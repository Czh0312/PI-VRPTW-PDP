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e3f71a818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概览" sheetId="1" r:id="Ra9e19eac450c4b00"/>
    <x:sheet xmlns:r="http://schemas.openxmlformats.org/officeDocument/2006/relationships" name="参数" sheetId="2" r:id="R8f1dad9f062546af"/>
    <x:sheet xmlns:r="http://schemas.openxmlformats.org/officeDocument/2006/relationships" name="成本明细" sheetId="3" r:id="R550b1b3dc8c54aa1"/>
    <x:sheet xmlns:r="http://schemas.openxmlformats.org/officeDocument/2006/relationships" name="单批比较" sheetId="4" r:id="Rcd13a60a560948a7"/>
    <x:sheet xmlns:r="http://schemas.openxmlformats.org/officeDocument/2006/relationships" name="多批比较" sheetId="5" r:id="R75006e9c8a0b4f73"/>
    <x:sheet xmlns:r="http://schemas.openxmlformats.org/officeDocument/2006/relationships" name="敏感性" sheetId="6" r:id="Rbecc08a9f613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—&quot;"/>
    <x:numFmt numFmtId="201" formatCode="0.00000000"/>
    <x:numFmt numFmtId="202" formatCode="#,##0;(#,##0);&quot;—&quot;"/>
    <x:numFmt numFmtId="203" formatCode="0.00"/>
    <x:numFmt numFmtId="204" formatCode="0.0%"/>
  </x:numFmts>
  <x:fonts count="8">
    <x:font>
      <x:sz val="11"/>
      <x:name val="Carlito"/>
    </x:font>
    <x:font>
      <x:sz val="10"/>
      <x:color rgb="FF202D3D"/>
      <x:name val="Arial"/>
    </x:font>
    <x:font>
      <x:b/>
      <x:sz val="15"/>
      <x:color rgb="FF243D64"/>
      <x:name val="Arial"/>
    </x:font>
    <x:font>
      <x:i/>
      <x:sz val="10"/>
      <x:color rgb="FF586579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64"/>
      </x:patternFill>
    </x:fill>
  </x:fills>
  <x:borders count="3">
    <x:border/>
    <x:border>
      <x:bottom style="thin">
        <x:color rgb="FFB4C0D0"/>
      </x:bottom>
    </x:border>
    <x:border>
      <x:bottom style="thin">
        <x:color rgb="FFDCE3EC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5" fillId="0" borderId="2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5" fillId="0" borderId="2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7" fillId="0" borderId="2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0" borderId="2" xfId="0" applyNumberFormat="1" applyFont="1" applyFill="1" applyBorder="1" applyAlignment="1">
      <x:alignment horizontal="lef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B32025"/>
      </x:font>
      <x:fill>
        <x:patternFill patternType="solid">
          <x:bgColor rgb="FFFCE8E6"/>
        </x:patternFill>
      </x:fill>
    </x:dxf>
    <x:dxf>
      <x:font>
        <x:color rgb="FFB32025"/>
      </x:font>
      <x:fill>
        <x:patternFill patternType="solid">
          <x:bgColor rgb="FFFCE8E6"/>
        </x:patternFill>
      </x:fill>
    </x:dxf>
    <x:dxf>
      <x:font>
        <x:color rgb="FFB320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a5b5dbd1346cb" /><Relationship Type="http://schemas.openxmlformats.org/officeDocument/2006/relationships/theme" Target="/xl/theme/theme1.xml" Id="Ree92d0bb9c7547ce" /><Relationship Type="http://schemas.openxmlformats.org/officeDocument/2006/relationships/sharedStrings" Target="/xl/sharedStrings.xml" Id="R17a6b4746ce14f42" /><Relationship Type="http://schemas.openxmlformats.org/officeDocument/2006/relationships/worksheet" Target="/xl/worksheets/sheet1.xml" Id="Ra9e19eac450c4b00" /><Relationship Type="http://schemas.openxmlformats.org/officeDocument/2006/relationships/worksheet" Target="/xl/worksheets/sheet2.xml" Id="R8f1dad9f062546af" /><Relationship Type="http://schemas.openxmlformats.org/officeDocument/2006/relationships/worksheet" Target="/xl/worksheets/sheet3.xml" Id="R550b1b3dc8c54aa1" /><Relationship Type="http://schemas.openxmlformats.org/officeDocument/2006/relationships/worksheet" Target="/xl/worksheets/sheet4.xml" Id="Rcd13a60a560948a7" /><Relationship Type="http://schemas.openxmlformats.org/officeDocument/2006/relationships/worksheet" Target="/xl/worksheets/sheet5.xml" Id="R75006e9c8a0b4f73" /><Relationship Type="http://schemas.openxmlformats.org/officeDocument/2006/relationships/worksheet" Target="/xl/worksheets/sheet6.xml" Id="Rbecc08a9f613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D64"/>
  </x:sheetPr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LaDe 杭州经济性核算（2026-10-05）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4" t="str">
        <x:v>21 组案例：10/20/30 AOI 各 7 天。货量及位置来自 LaDe，路网来自保存的 OSRM 矩阵。</x:v>
      </x:c>
      <x:c r="B4" s="1"/>
      <x:c r="C4" s="1"/>
      <x:c r="D4" s="1"/>
      <x:c r="E4" s="1"/>
      <x:c r="F4" s="1"/>
      <x:c r="G4" s="1"/>
      <x:c r="H4" s="1"/>
      <x:c r="I4" s="1"/>
    </x:row>
    <x:row r="6" ht="40" customHeight="1">
      <x:c r="A6" s="9" t="str">
        <x:v>AOI数</x:v>
      </x:c>
      <x:c r="B6" s="9" t="str">
        <x:v>包装对照</x:v>
      </x:c>
      <x:c r="C6" s="9" t="str">
        <x:v>计划配对</x:v>
      </x:c>
      <x:c r="D6" s="9" t="str">
        <x:v>有效配对</x:v>
      </x:c>
      <x:c r="E6" s="9" t="str">
        <x:v>累计不更贵</x:v>
      </x:c>
      <x:c r="F6" s="9" t="str">
        <x:v>平均累计节省</x:v>
      </x:c>
      <x:c r="G6" s="9" t="str">
        <x:v>合计节省率</x:v>
      </x:c>
      <x:c r="H6" s="9" t="str">
        <x:v>一次性元/件</x:v>
      </x:c>
      <x:c r="I6" s="9" t="str">
        <x:v>循环元/件</x:v>
      </x:c>
    </x:row>
    <x:row r="7" ht="22" customHeight="1">
      <x:c r="A7" s="11" t="n">
        <x:v>10</x:v>
      </x:c>
      <x:c r="B7" s="10" t="str">
        <x:v>M1 / M3</x:v>
      </x:c>
      <x:c r="C7" s="22" t="n">
        <x:v>21</x:v>
      </x:c>
      <x:c r="D7" s="22" t="n">
        <x:f>COUNTIFS('单批比较'!$B$6:$B$131,A7,'单批比较'!$D$6:$D$131,B7,'单批比较'!$E$6:$E$131,"有效")</x:f>
        <x:v>21</x:v>
      </x:c>
      <x:c r="E7" s="22" t="n">
        <x:f>COUNTIFS('单批比较'!$B$6:$B$131,A7,'单批比较'!$D$6:$D$131,B7,'单批比较'!$E$6:$E$131,"有效",'单批比较'!$N$6:$N$131,"&gt;=0")</x:f>
        <x:v>0</x:v>
      </x:c>
      <x:c r="F7" s="26" t="n">
        <x:f>IF(D7=0,"n.a.",SUMIFS('单批比较'!$N$6:$N$131,'单批比较'!$B$6:$B$131,A7,'单批比较'!$D$6:$D$131,B7,'单批比较'!$E$6:$E$131,"有效")/D7)</x:f>
        <x:v>-171180.5336718571</x:v>
      </x:c>
      <x:c r="G7" s="32" t="n">
        <x:f>IF(D7=0,"n.a.",SUMIFS('单批比较'!$N$6:$N$131,'单批比较'!$B$6:$B$131,A7,'单批比较'!$D$6:$D$131,B7,'单批比较'!$E$6:$E$131,"有效")/SUMIFS('单批比较'!$L$6:$L$131,'单批比较'!$B$6:$B$131,A7,'单批比较'!$D$6:$D$131,B7,'单批比较'!$E$6:$E$131,"有效"))</x:f>
        <x:v>-0.3156629552080429</x:v>
      </x:c>
      <x:c r="H7" s="26" t="n">
        <x:f>IF(D7=0,"n.a.",SUMIFS('单批比较'!$L$6:$L$131,'单批比较'!$B$6:$B$131,A7,'单批比较'!$D$6:$D$131,B7,'单批比较'!$E$6:$E$131,"有效")/(SUMIFS('单批比较'!$I$6:$I$131,'单批比较'!$B$6:$B$131,A7,'单批比较'!$D$6:$D$131,B7,'单批比较'!$E$6:$E$131,"有效")*'参数'!$B$9))</x:f>
        <x:v>14.868870643321587</x:v>
      </x:c>
      <x:c r="I7" s="26" t="n">
        <x:f>IF(D7=0,"n.a.",SUMIFS('单批比较'!$M$6:$M$131,'单批比较'!$B$6:$B$131,A7,'单批比较'!$D$6:$D$131,B7,'单批比较'!$E$6:$E$131,"有效")/(SUMIFS('单批比较'!$I$6:$I$131,'单批比较'!$B$6:$B$131,A7,'单批比较'!$D$6:$D$131,B7,'单批比较'!$E$6:$E$131,"有效")*'参数'!$B$9))</x:f>
        <x:v>19.56242229119859</x:v>
      </x:c>
    </x:row>
    <x:row r="8" ht="22" customHeight="1">
      <x:c r="A8" s="11" t="n">
        <x:v>10</x:v>
      </x:c>
      <x:c r="B8" s="10" t="str">
        <x:v>M2 / M4</x:v>
      </x:c>
      <x:c r="C8" s="22" t="n">
        <x:v>21</x:v>
      </x:c>
      <x:c r="D8" s="22" t="n">
        <x:f>COUNTIFS('单批比较'!$B$6:$B$131,A8,'单批比较'!$D$6:$D$131,B8,'单批比较'!$E$6:$E$131,"有效")</x:f>
        <x:v>21</x:v>
      </x:c>
      <x:c r="E8" s="22" t="n">
        <x:f>COUNTIFS('单批比较'!$B$6:$B$131,A8,'单批比较'!$D$6:$D$131,B8,'单批比较'!$E$6:$E$131,"有效",'单批比较'!$N$6:$N$131,"&gt;=0")</x:f>
        <x:v>0</x:v>
      </x:c>
      <x:c r="F8" s="26" t="n">
        <x:f>IF(D8=0,"n.a.",SUMIFS('单批比较'!$N$6:$N$131,'单批比较'!$B$6:$B$131,A8,'单批比较'!$D$6:$D$131,B8,'单批比较'!$E$6:$E$131,"有效")/D8)</x:f>
        <x:v>-195807.78556372217</x:v>
      </x:c>
      <x:c r="G8" s="32" t="n">
        <x:f>IF(D8=0,"n.a.",SUMIFS('单批比较'!$N$6:$N$131,'单批比较'!$B$6:$B$131,A8,'单批比较'!$D$6:$D$131,B8,'单批比较'!$E$6:$E$131,"有效")/SUMIFS('单批比较'!$L$6:$L$131,'单批比较'!$B$6:$B$131,A8,'单批比较'!$D$6:$D$131,B8,'单批比较'!$E$6:$E$131,"有效"))</x:f>
        <x:v>-0.40178326555102245</x:v>
      </x:c>
      <x:c r="H8" s="26" t="n">
        <x:f>IF(D8=0,"n.a.",SUMIFS('单批比较'!$L$6:$L$131,'单批比较'!$B$6:$B$131,A8,'单批比较'!$D$6:$D$131,B8,'单批比较'!$E$6:$E$131,"有效")/(SUMIFS('单批比较'!$I$6:$I$131,'单批比较'!$B$6:$B$131,A8,'单批比较'!$D$6:$D$131,B8,'单批比较'!$E$6:$E$131,"有效")*'参数'!$B$9))</x:f>
        <x:v>13.36242673057645</x:v>
      </x:c>
      <x:c r="I8" s="26" t="n">
        <x:f>IF(D8=0,"n.a.",SUMIFS('单批比较'!$M$6:$M$131,'单批比较'!$B$6:$B$131,A8,'单批比较'!$D$6:$D$131,B8,'单批比较'!$E$6:$E$131,"有效")/(SUMIFS('单批比较'!$I$6:$I$131,'单批比较'!$B$6:$B$131,A8,'单批比较'!$D$6:$D$131,B8,'单批比较'!$E$6:$E$131,"有效")*'参数'!$B$9))</x:f>
        <x:v>18.731226178073722</x:v>
      </x:c>
    </x:row>
    <x:row r="9" ht="22" customHeight="1">
      <x:c r="A9" s="11" t="n">
        <x:v>20</x:v>
      </x:c>
      <x:c r="B9" s="10" t="str">
        <x:v>M1 / M3</x:v>
      </x:c>
      <x:c r="C9" s="22" t="n">
        <x:v>21</x:v>
      </x:c>
      <x:c r="D9" s="22" t="n">
        <x:f>COUNTIFS('单批比较'!$B$6:$B$131,A9,'单批比较'!$D$6:$D$131,B9,'单批比较'!$E$6:$E$131,"有效")</x:f>
        <x:v>21</x:v>
      </x:c>
      <x:c r="E9" s="22" t="n">
        <x:f>COUNTIFS('单批比较'!$B$6:$B$131,A9,'单批比较'!$D$6:$D$131,B9,'单批比较'!$E$6:$E$131,"有效",'单批比较'!$N$6:$N$131,"&gt;=0")</x:f>
        <x:v>0</x:v>
      </x:c>
      <x:c r="F9" s="26" t="n">
        <x:f>IF(D9=0,"n.a.",SUMIFS('单批比较'!$N$6:$N$131,'单批比较'!$B$6:$B$131,A9,'单批比较'!$D$6:$D$131,B9,'单批比较'!$E$6:$E$131,"有效")/D9)</x:f>
        <x:v>-218955.13217028568</x:v>
      </x:c>
      <x:c r="G9" s="32" t="n">
        <x:f>IF(D9=0,"n.a.",SUMIFS('单批比较'!$N$6:$N$131,'单批比较'!$B$6:$B$131,A9,'单批比较'!$D$6:$D$131,B9,'单批比较'!$E$6:$E$131,"有效")/SUMIFS('单批比较'!$L$6:$L$131,'单批比较'!$B$6:$B$131,A9,'单批比较'!$D$6:$D$131,B9,'单批比较'!$E$6:$E$131,"有效"))</x:f>
        <x:v>-0.2315284308464778</x:v>
      </x:c>
      <x:c r="H9" s="26" t="n">
        <x:f>IF(D9=0,"n.a.",SUMIFS('单批比较'!$L$6:$L$131,'单批比较'!$B$6:$B$131,A9,'单批比较'!$D$6:$D$131,B9,'单批比较'!$E$6:$E$131,"有效")/(SUMIFS('单批比较'!$I$6:$I$131,'单批比较'!$B$6:$B$131,A9,'单批比较'!$D$6:$D$131,B9,'单批比较'!$E$6:$E$131,"有效")*'参数'!$B$9))</x:f>
        <x:v>16.754898882291265</x:v>
      </x:c>
      <x:c r="I9" s="26" t="n">
        <x:f>IF(D9=0,"n.a.",SUMIFS('单批比较'!$M$6:$M$131,'单批比较'!$B$6:$B$131,A9,'单批比较'!$D$6:$D$131,B9,'单批比较'!$E$6:$E$131,"有效")/(SUMIFS('单批比较'!$I$6:$I$131,'单批比较'!$B$6:$B$131,A9,'单批比较'!$D$6:$D$131,B9,'单批比较'!$E$6:$E$131,"有效")*'参数'!$B$9))</x:f>
        <x:v>20.634134329499567</x:v>
      </x:c>
    </x:row>
    <x:row r="10" ht="22" customHeight="1">
      <x:c r="A10" s="11" t="n">
        <x:v>20</x:v>
      </x:c>
      <x:c r="B10" s="10" t="str">
        <x:v>M2 / M4</x:v>
      </x:c>
      <x:c r="C10" s="22" t="n">
        <x:v>21</x:v>
      </x:c>
      <x:c r="D10" s="22" t="n">
        <x:f>COUNTIFS('单批比较'!$B$6:$B$131,A10,'单批比较'!$D$6:$D$131,B10,'单批比较'!$E$6:$E$131,"有效")</x:f>
        <x:v>21</x:v>
      </x:c>
      <x:c r="E10" s="22" t="n">
        <x:f>COUNTIFS('单批比较'!$B$6:$B$131,A10,'单批比较'!$D$6:$D$131,B10,'单批比较'!$E$6:$E$131,"有效",'单批比较'!$N$6:$N$131,"&gt;=0")</x:f>
        <x:v>0</x:v>
      </x:c>
      <x:c r="F10" s="26" t="n">
        <x:f>IF(D10=0,"n.a.",SUMIFS('单批比较'!$N$6:$N$131,'单批比较'!$B$6:$B$131,A10,'单批比较'!$D$6:$D$131,B10,'单批比较'!$E$6:$E$131,"有效")/D10)</x:f>
        <x:v>-364393.6906945317</x:v>
      </x:c>
      <x:c r="G10" s="32" t="n">
        <x:f>IF(D10=0,"n.a.",SUMIFS('单批比较'!$N$6:$N$131,'单批比较'!$B$6:$B$131,A10,'单批比较'!$D$6:$D$131,B10,'单批比较'!$E$6:$E$131,"有效")/SUMIFS('单批比较'!$L$6:$L$131,'单批比较'!$B$6:$B$131,A10,'单批比较'!$D$6:$D$131,B10,'单批比较'!$E$6:$E$131,"有效"))</x:f>
        <x:v>-0.44748315442651054</x:v>
      </x:c>
      <x:c r="H10" s="26" t="n">
        <x:f>IF(D10=0,"n.a.",SUMIFS('单批比较'!$L$6:$L$131,'单批比较'!$B$6:$B$131,A10,'单批比较'!$D$6:$D$131,B10,'单批比较'!$E$6:$E$131,"有效")/(SUMIFS('单批比较'!$I$6:$I$131,'单批比较'!$B$6:$B$131,A10,'单批比较'!$D$6:$D$131,B10,'单批比较'!$E$6:$E$131,"有效")*'参数'!$B$9))</x:f>
        <x:v>14.427303509697401</x:v>
      </x:c>
      <x:c r="I10" s="26" t="n">
        <x:f>IF(D10=0,"n.a.",SUMIFS('单批比较'!$M$6:$M$131,'单批比较'!$B$6:$B$131,A10,'单批比较'!$D$6:$D$131,B10,'单批比较'!$E$6:$E$131,"有效")/(SUMIFS('单批比较'!$I$6:$I$131,'单批比较'!$B$6:$B$131,A10,'单批比较'!$D$6:$D$131,B10,'单批比较'!$E$6:$E$131,"有效")*'参数'!$B$9))</x:f>
        <x:v>20.88327879408546</x:v>
      </x:c>
    </x:row>
    <x:row r="11" ht="22" customHeight="1">
      <x:c r="A11" s="11" t="n">
        <x:v>30</x:v>
      </x:c>
      <x:c r="B11" s="10" t="str">
        <x:v>M1 / M3</x:v>
      </x:c>
      <x:c r="C11" s="22" t="n">
        <x:v>21</x:v>
      </x:c>
      <x:c r="D11" s="22" t="n">
        <x:f>COUNTIFS('单批比较'!$B$6:$B$131,A11,'单批比较'!$D$6:$D$131,B11,'单批比较'!$E$6:$E$131,"有效")</x:f>
        <x:v>21</x:v>
      </x:c>
      <x:c r="E11" s="22" t="n">
        <x:f>COUNTIFS('单批比较'!$B$6:$B$131,A11,'单批比较'!$D$6:$D$131,B11,'单批比较'!$E$6:$E$131,"有效",'单批比较'!$N$6:$N$131,"&gt;=0")</x:f>
        <x:v>0</x:v>
      </x:c>
      <x:c r="F11" s="26" t="n">
        <x:f>IF(D11=0,"n.a.",SUMIFS('单批比较'!$N$6:$N$131,'单批比较'!$B$6:$B$131,A11,'单批比较'!$D$6:$D$131,B11,'单批比较'!$E$6:$E$131,"有效")/D11)</x:f>
        <x:v>-307093.66550137295</x:v>
      </x:c>
      <x:c r="G11" s="32" t="n">
        <x:f>IF(D11=0,"n.a.",SUMIFS('单批比较'!$N$6:$N$131,'单批比较'!$B$6:$B$131,A11,'单批比较'!$D$6:$D$131,B11,'单批比较'!$E$6:$E$131,"有效")/SUMIFS('单批比较'!$L$6:$L$131,'单批比较'!$B$6:$B$131,A11,'单批比较'!$D$6:$D$131,B11,'单批比较'!$E$6:$E$131,"有效"))</x:f>
        <x:v>-0.3034708435643408</x:v>
      </x:c>
      <x:c r="H11" s="26" t="n">
        <x:f>IF(D11=0,"n.a.",SUMIFS('单批比较'!$L$6:$L$131,'单批比较'!$B$6:$B$131,A11,'单批比较'!$D$6:$D$131,B11,'单批比较'!$E$6:$E$131,"有效")/(SUMIFS('单批比较'!$I$6:$I$131,'单批比较'!$B$6:$B$131,A11,'单批比较'!$D$6:$D$131,B11,'单批比较'!$E$6:$E$131,"有效")*'参数'!$B$9))</x:f>
        <x:v>14.249780125301303</x:v>
      </x:c>
      <x:c r="I11" s="26" t="n">
        <x:f>IF(D11=0,"n.a.",SUMIFS('单批比较'!$M$6:$M$131,'单批比较'!$B$6:$B$131,A11,'单批比较'!$D$6:$D$131,B11,'单批比较'!$E$6:$E$131,"有效")/(SUMIFS('单批比较'!$I$6:$I$131,'单批比较'!$B$6:$B$131,A11,'单批比较'!$D$6:$D$131,B11,'单批比较'!$E$6:$E$131,"有效")*'参数'!$B$9))</x:f>
        <x:v>18.57417292053287</x:v>
      </x:c>
    </x:row>
    <x:row r="12" ht="22" customHeight="1">
      <x:c r="A12" s="12" t="n">
        <x:v>30</x:v>
      </x:c>
      <x:c r="B12" s="13" t="str">
        <x:v>M2 / M4</x:v>
      </x:c>
      <x:c r="C12" s="23" t="n">
        <x:v>21</x:v>
      </x:c>
      <x:c r="D12" s="23" t="n">
        <x:f>COUNTIFS('单批比较'!$B$6:$B$131,A12,'单批比较'!$D$6:$D$131,B12,'单批比较'!$E$6:$E$131,"有效")</x:f>
        <x:v>21</x:v>
      </x:c>
      <x:c r="E12" s="23" t="n">
        <x:f>COUNTIFS('单批比较'!$B$6:$B$131,A12,'单批比较'!$D$6:$D$131,B12,'单批比较'!$E$6:$E$131,"有效",'单批比较'!$N$6:$N$131,"&gt;=0")</x:f>
        <x:v>0</x:v>
      </x:c>
      <x:c r="F12" s="27" t="n">
        <x:f>IF(D12=0,"n.a.",SUMIFS('单批比较'!$N$6:$N$131,'单批比较'!$B$6:$B$131,A12,'单批比较'!$D$6:$D$131,B12,'单批比较'!$E$6:$E$131,"有效")/D12)</x:f>
        <x:v>-338813.0029908095</x:v>
      </x:c>
      <x:c r="G12" s="33" t="n">
        <x:f>IF(D12=0,"n.a.",SUMIFS('单批比较'!$N$6:$N$131,'单批比较'!$B$6:$B$131,A12,'单批比较'!$D$6:$D$131,B12,'单批比较'!$E$6:$E$131,"有效")/SUMIFS('单批比较'!$L$6:$L$131,'单批比较'!$B$6:$B$131,A12,'单批比较'!$D$6:$D$131,B12,'单批比较'!$E$6:$E$131,"有效"))</x:f>
        <x:v>-0.35594911114602124</x:v>
      </x:c>
      <x:c r="H12" s="27" t="n">
        <x:f>IF(D12=0,"n.a.",SUMIFS('单批比较'!$L$6:$L$131,'单批比较'!$B$6:$B$131,A12,'单批比较'!$D$6:$D$131,B12,'单批比较'!$E$6:$E$131,"有效")/(SUMIFS('单批比较'!$I$6:$I$131,'单批比较'!$B$6:$B$131,A12,'单批比较'!$D$6:$D$131,B12,'单批比较'!$E$6:$E$131,"有效")*'参数'!$B$9))</x:f>
        <x:v>13.403753532674958</x:v>
      </x:c>
      <x:c r="I12" s="27" t="n">
        <x:f>IF(D12=0,"n.a.",SUMIFS('单批比较'!$M$6:$M$131,'单批比较'!$B$6:$B$131,A12,'单批比较'!$D$6:$D$131,B12,'单批比较'!$E$6:$E$131,"有效")/(SUMIFS('单批比较'!$I$6:$I$131,'单批比较'!$B$6:$B$131,A12,'单批比较'!$D$6:$D$131,B12,'单批比较'!$E$6:$E$131,"有效")*'参数'!$B$9))</x:f>
        <x:v>18.174807688650954</x:v>
      </x:c>
    </x:row>
    <x:row r="14">
      <x:c r="A14" t="str">
        <x:v>单批为 300 个相同周期，循环费用包含每 50 周期的整池补购。正节省表示循环方案更便宜。</x:v>
      </x:c>
    </x:row>
    <x:row r="15">
      <x:c r="A15" t="str">
        <x:v>每组 3 个种子全部保留。需求子集嵌套、日期重复，不能把种子当作独立业务样本。</x:v>
      </x:c>
    </x:row>
    <x:row r="18" ht="40" customHeight="1">
      <x:c r="A18" s="9" t="str">
        <x:v>AOI数</x:v>
      </x:c>
      <x:c r="B18" s="9" t="str">
        <x:v>批次数</x:v>
      </x:c>
      <x:c r="C18" s="9" t="str">
        <x:v>计划配对</x:v>
      </x:c>
      <x:c r="D18" s="9" t="str">
        <x:v>有效配对</x:v>
      </x:c>
      <x:c r="E18" s="9" t="str">
        <x:v>分摊不更贵</x:v>
      </x:c>
      <x:c r="F18" s="9" t="str">
        <x:v>平均周期节省</x:v>
      </x:c>
      <x:c r="G18" s="9" t="str">
        <x:v>合计节省率</x:v>
      </x:c>
      <x:c r="H18" s="9" t="str">
        <x:v>B1一次性元/件</x:v>
      </x:c>
      <x:c r="I18" s="9" t="str">
        <x:v>M5分摊元/件</x:v>
      </x:c>
    </x:row>
    <x:row r="19" ht="22" customHeight="1">
      <x:c r="A19" s="11" t="n">
        <x:v>10</x:v>
      </x:c>
      <x:c r="B19" s="10" t="n">
        <x:v>2</x:v>
      </x:c>
      <x:c r="C19" s="10" t="n">
        <x:v>21</x:v>
      </x:c>
      <x:c r="D19" s="10" t="n">
        <x:f>COUNTIFS('多批比较'!$B$6:$B$131,A19,'多批比较'!$C$6:$C$131,B19,'多批比较'!$E$6:$E$131,"有效")</x:f>
        <x:v>21</x:v>
      </x:c>
      <x:c r="E19" s="10" t="n">
        <x:f>COUNTIFS('多批比较'!$B$6:$B$131,A19,'多批比较'!$C$6:$C$131,B19,'多批比较'!$E$6:$E$131,"有效",'多批比较'!$H$6:$H$131,"&gt;=0")</x:f>
        <x:v>0</x:v>
      </x:c>
      <x:c r="F19" s="26" t="n">
        <x:f>IF(D19=0,"n.a.",SUMIFS('多批比较'!$H$6:$H$131,'多批比较'!$B$6:$B$131,A19,'多批比较'!$C$6:$C$131,B19,'多批比较'!$E$6:$E$131,"有效")/D19)</x:f>
        <x:v>-710.3975719838356</x:v>
      </x:c>
      <x:c r="G19" s="32" t="n">
        <x:f>IF(D19=0,"n.a.",SUMIFS('多批比较'!$H$6:$H$131,'多批比较'!$B$6:$B$131,A19,'多批比较'!$C$6:$C$131,B19,'多批比较'!$E$6:$E$131,"有效")/SUMIFS('多批比较'!$F$6:$F$131,'多批比较'!$B$6:$B$131,A19,'多批比较'!$C$6:$C$131,B19,'多批比较'!$E$6:$E$131,"有效"))</x:f>
        <x:v>-0.39299947044487415</x:v>
      </x:c>
      <x:c r="H19" s="26" t="n">
        <x:f>IF(D19=0,"n.a.",SUMIFS('多批比较'!$F$6:$F$131,'多批比较'!$B$6:$B$131,A19,'多批比较'!$C$6:$C$131,B19,'多批比较'!$E$6:$E$131,"有效")/SUMIFS('多批比较'!$M$6:$M$131,'多批比较'!$B$6:$B$131,A19,'多批比较'!$C$6:$C$131,B19,'多批比较'!$E$6:$E$131,"有效"))</x:f>
        <x:v>14.868870643321584</x:v>
      </x:c>
      <x:c r="I19" s="26" t="n">
        <x:f>IF(D19=0,"n.a.",SUMIFS('多批比较'!$G$6:$G$131,'多批比较'!$B$6:$B$131,A19,'多批比较'!$C$6:$C$131,B19,'多批比较'!$E$6:$E$131,"有效")/SUMIFS('多批比较'!$M$6:$M$131,'多批比较'!$B$6:$B$131,A19,'多批比较'!$C$6:$C$131,B19,'多批比较'!$E$6:$E$131,"有效"))</x:f>
        <x:v>20.7123289322603</x:v>
      </x:c>
    </x:row>
    <x:row r="20" ht="22" customHeight="1">
      <x:c r="A20" s="11" t="n">
        <x:v>10</x:v>
      </x:c>
      <x:c r="B20" s="10" t="n">
        <x:v>3</x:v>
      </x:c>
      <x:c r="C20" s="10" t="n">
        <x:v>21</x:v>
      </x:c>
      <x:c r="D20" s="10" t="n">
        <x:f>COUNTIFS('多批比较'!$B$6:$B$131,A20,'多批比较'!$C$6:$C$131,B20,'多批比较'!$E$6:$E$131,"有效")</x:f>
        <x:v>21</x:v>
      </x:c>
      <x:c r="E20" s="10" t="n">
        <x:f>COUNTIFS('多批比较'!$B$6:$B$131,A20,'多批比较'!$C$6:$C$131,B20,'多批比较'!$E$6:$E$131,"有效",'多批比较'!$H$6:$H$131,"&gt;=0")</x:f>
        <x:v>0</x:v>
      </x:c>
      <x:c r="F20" s="26" t="n">
        <x:f>IF(D20=0,"n.a.",SUMIFS('多批比较'!$H$6:$H$131,'多批比较'!$B$6:$B$131,A20,'多批比较'!$C$6:$C$131,B20,'多批比较'!$E$6:$E$131,"有效")/D20)</x:f>
        <x:v>-940.5495009301849</x:v>
      </x:c>
      <x:c r="G20" s="32" t="n">
        <x:f>IF(D20=0,"n.a.",SUMIFS('多批比较'!$H$6:$H$131,'多批比较'!$B$6:$B$131,A20,'多批比较'!$C$6:$C$131,B20,'多批比较'!$E$6:$E$131,"有效")/SUMIFS('多批比较'!$F$6:$F$131,'多批比较'!$B$6:$B$131,A20,'多批比较'!$C$6:$C$131,B20,'多批比较'!$E$6:$E$131,"有效"))</x:f>
        <x:v>-0.520321958252926</x:v>
      </x:c>
      <x:c r="H20" s="26" t="n">
        <x:f>IF(D20=0,"n.a.",SUMIFS('多批比较'!$F$6:$F$131,'多批比较'!$B$6:$B$131,A20,'多批比较'!$C$6:$C$131,B20,'多批比较'!$E$6:$E$131,"有效")/SUMIFS('多批比较'!$M$6:$M$131,'多批比较'!$B$6:$B$131,A20,'多批比较'!$C$6:$C$131,B20,'多批比较'!$E$6:$E$131,"有效"))</x:f>
        <x:v>14.868870643321584</x:v>
      </x:c>
      <x:c r="I20" s="26" t="n">
        <x:f>IF(D20=0,"n.a.",SUMIFS('多批比较'!$G$6:$G$131,'多批比较'!$B$6:$B$131,A20,'多批比较'!$C$6:$C$131,B20,'多批比较'!$E$6:$E$131,"有效")/SUMIFS('多批比较'!$M$6:$M$131,'多批比较'!$B$6:$B$131,A20,'多批比较'!$C$6:$C$131,B20,'多批比较'!$E$6:$E$131,"有效"))</x:f>
        <x:v>22.605470533464114</x:v>
      </x:c>
    </x:row>
    <x:row r="21" ht="22" customHeight="1">
      <x:c r="A21" s="11" t="n">
        <x:v>20</x:v>
      </x:c>
      <x:c r="B21" s="10" t="n">
        <x:v>2</x:v>
      </x:c>
      <x:c r="C21" s="10" t="n">
        <x:v>21</x:v>
      </x:c>
      <x:c r="D21" s="10" t="n">
        <x:f>COUNTIFS('多批比较'!$B$6:$B$131,A21,'多批比较'!$C$6:$C$131,B21,'多批比较'!$E$6:$E$131,"有效")</x:f>
        <x:v>21</x:v>
      </x:c>
      <x:c r="E21" s="10" t="n">
        <x:f>COUNTIFS('多批比较'!$B$6:$B$131,A21,'多批比较'!$C$6:$C$131,B21,'多批比较'!$E$6:$E$131,"有效",'多批比较'!$H$6:$H$131,"&gt;=0")</x:f>
        <x:v>0</x:v>
      </x:c>
      <x:c r="F21" s="26" t="n">
        <x:f>IF(D21=0,"n.a.",SUMIFS('多批比较'!$H$6:$H$131,'多批比较'!$B$6:$B$131,A21,'多批比较'!$C$6:$C$131,B21,'多批比较'!$E$6:$E$131,"有效")/D21)</x:f>
        <x:v>-1287.6329285545503</x:v>
      </x:c>
      <x:c r="G21" s="32" t="n">
        <x:f>IF(D21=0,"n.a.",SUMIFS('多批比较'!$H$6:$H$131,'多批比较'!$B$6:$B$131,A21,'多批比较'!$C$6:$C$131,B21,'多批比较'!$E$6:$E$131,"有效")/SUMIFS('多批比较'!$F$6:$F$131,'多批比较'!$B$6:$B$131,A21,'多批比较'!$C$6:$C$131,B21,'多批比较'!$E$6:$E$131,"有效"))</x:f>
        <x:v>-0.40847222236741176</x:v>
      </x:c>
      <x:c r="H21" s="26" t="n">
        <x:f>IF(D21=0,"n.a.",SUMIFS('多批比较'!$F$6:$F$131,'多批比较'!$B$6:$B$131,A21,'多批比较'!$C$6:$C$131,B21,'多批比较'!$E$6:$E$131,"有效")/SUMIFS('多批比较'!$M$6:$M$131,'多批比较'!$B$6:$B$131,A21,'多批比较'!$C$6:$C$131,B21,'多批比较'!$E$6:$E$131,"有效"))</x:f>
        <x:v>16.754898882291265</x:v>
      </x:c>
      <x:c r="I21" s="26" t="n">
        <x:f>IF(D21=0,"n.a.",SUMIFS('多批比较'!$G$6:$G$131,'多批比较'!$B$6:$B$131,A21,'多批比较'!$C$6:$C$131,B21,'多批比较'!$E$6:$E$131,"有效")/SUMIFS('多批比较'!$M$6:$M$131,'多批比较'!$B$6:$B$131,A21,'多批比较'!$C$6:$C$131,B21,'多批比较'!$E$6:$E$131,"有效"))</x:f>
        <x:v>23.598809664282033</x:v>
      </x:c>
    </x:row>
    <x:row r="22" ht="22" customHeight="1">
      <x:c r="A22" s="11" t="n">
        <x:v>20</x:v>
      </x:c>
      <x:c r="B22" s="10" t="n">
        <x:v>3</x:v>
      </x:c>
      <x:c r="C22" s="10" t="n">
        <x:v>21</x:v>
      </x:c>
      <x:c r="D22" s="10" t="n">
        <x:f>COUNTIFS('多批比较'!$B$6:$B$131,A22,'多批比较'!$C$6:$C$131,B22,'多批比较'!$E$6:$E$131,"有效")</x:f>
        <x:v>21</x:v>
      </x:c>
      <x:c r="E22" s="10" t="n">
        <x:f>COUNTIFS('多批比较'!$B$6:$B$131,A22,'多批比较'!$C$6:$C$131,B22,'多批比较'!$E$6:$E$131,"有效",'多批比较'!$H$6:$H$131,"&gt;=0")</x:f>
        <x:v>0</x:v>
      </x:c>
      <x:c r="F22" s="26" t="n">
        <x:f>IF(D22=0,"n.a.",SUMIFS('多批比较'!$H$6:$H$131,'多批比较'!$B$6:$B$131,A22,'多批比较'!$C$6:$C$131,B22,'多批比较'!$E$6:$E$131,"有效")/D22)</x:f>
        <x:v>-848.9853082564812</x:v>
      </x:c>
      <x:c r="G22" s="32" t="n">
        <x:f>IF(D22=0,"n.a.",SUMIFS('多批比较'!$H$6:$H$131,'多批比较'!$B$6:$B$131,A22,'多批比较'!$C$6:$C$131,B22,'多批比较'!$E$6:$E$131,"有效")/SUMIFS('多批比较'!$F$6:$F$131,'多批比较'!$B$6:$B$131,A22,'多批比较'!$C$6:$C$131,B22,'多批比较'!$E$6:$E$131,"有效"))</x:f>
        <x:v>-0.2693212544743612</x:v>
      </x:c>
      <x:c r="H22" s="26" t="n">
        <x:f>IF(D22=0,"n.a.",SUMIFS('多批比较'!$F$6:$F$131,'多批比较'!$B$6:$B$131,A22,'多批比较'!$C$6:$C$131,B22,'多批比较'!$E$6:$E$131,"有效")/SUMIFS('多批比较'!$M$6:$M$131,'多批比较'!$B$6:$B$131,A22,'多批比较'!$C$6:$C$131,B22,'多批比较'!$E$6:$E$131,"有效"))</x:f>
        <x:v>16.754898882291265</x:v>
      </x:c>
      <x:c r="I22" s="26" t="n">
        <x:f>IF(D22=0,"n.a.",SUMIFS('多批比较'!$G$6:$G$131,'多批比较'!$B$6:$B$131,A22,'多批比较'!$C$6:$C$131,B22,'多批比较'!$E$6:$E$131,"有效")/SUMIFS('多批比较'!$M$6:$M$131,'多批比较'!$B$6:$B$131,A22,'多批比较'!$C$6:$C$131,B22,'多批比较'!$E$6:$E$131,"有效"))</x:f>
        <x:v>21.267349267861015</x:v>
      </x:c>
    </x:row>
    <x:row r="23" ht="22" customHeight="1">
      <x:c r="A23" s="11" t="n">
        <x:v>30</x:v>
      </x:c>
      <x:c r="B23" s="10" t="n">
        <x:v>2</x:v>
      </x:c>
      <x:c r="C23" s="10" t="n">
        <x:v>21</x:v>
      </x:c>
      <x:c r="D23" s="10" t="n">
        <x:f>COUNTIFS('多批比较'!$B$6:$B$131,A23,'多批比较'!$C$6:$C$131,B23,'多批比较'!$E$6:$E$131,"有效")</x:f>
        <x:v>21</x:v>
      </x:c>
      <x:c r="E23" s="10" t="n">
        <x:f>COUNTIFS('多批比较'!$B$6:$B$131,A23,'多批比较'!$C$6:$C$131,B23,'多批比较'!$E$6:$E$131,"有效",'多批比较'!$H$6:$H$131,"&gt;=0")</x:f>
        <x:v>0</x:v>
      </x:c>
      <x:c r="F23" s="26" t="n">
        <x:f>IF(D23=0,"n.a.",SUMIFS('多批比较'!$H$6:$H$131,'多批比较'!$B$6:$B$131,A23,'多批比较'!$C$6:$C$131,B23,'多批比较'!$E$6:$E$131,"有效")/D23)</x:f>
        <x:v>-1100.3146397821956</x:v>
      </x:c>
      <x:c r="G23" s="32" t="n">
        <x:f>IF(D23=0,"n.a.",SUMIFS('多批比较'!$H$6:$H$131,'多批比较'!$B$6:$B$131,A23,'多批比较'!$C$6:$C$131,B23,'多批比较'!$E$6:$E$131,"有效")/SUMIFS('多批比较'!$F$6:$F$131,'多批比较'!$B$6:$B$131,A23,'多批比较'!$C$6:$C$131,B23,'多批比较'!$E$6:$E$131,"有效"))</x:f>
        <x:v>-0.326200227584379</x:v>
      </x:c>
      <x:c r="H23" s="26" t="n">
        <x:f>IF(D23=0,"n.a.",SUMIFS('多批比较'!$F$6:$F$131,'多批比较'!$B$6:$B$131,A23,'多批比较'!$C$6:$C$131,B23,'多批比较'!$E$6:$E$131,"有效")/SUMIFS('多批比较'!$M$6:$M$131,'多批比较'!$B$6:$B$131,A23,'多批比较'!$C$6:$C$131,B23,'多批比较'!$E$6:$E$131,"有效"))</x:f>
        <x:v>14.249780125301303</x:v>
      </x:c>
      <x:c r="I23" s="26" t="n">
        <x:f>IF(D23=0,"n.a.",SUMIFS('多批比较'!$G$6:$G$131,'多批比较'!$B$6:$B$131,A23,'多批比较'!$C$6:$C$131,B23,'多批比较'!$E$6:$E$131,"有效")/SUMIFS('多批比较'!$M$6:$M$131,'多批比较'!$B$6:$B$131,A23,'多批比较'!$C$6:$C$131,B23,'多批比较'!$E$6:$E$131,"有效"))</x:f>
        <x:v>18.89806164520195</x:v>
      </x:c>
    </x:row>
    <x:row r="24" ht="22" customHeight="1">
      <x:c r="A24" s="12" t="n">
        <x:v>30</x:v>
      </x:c>
      <x:c r="B24" s="13" t="n">
        <x:v>3</x:v>
      </x:c>
      <x:c r="C24" s="13" t="n">
        <x:v>21</x:v>
      </x:c>
      <x:c r="D24" s="13" t="n">
        <x:f>COUNTIFS('多批比较'!$B$6:$B$131,A24,'多批比较'!$C$6:$C$131,B24,'多批比较'!$E$6:$E$131,"有效")</x:f>
        <x:v>21</x:v>
      </x:c>
      <x:c r="E24" s="13" t="n">
        <x:f>COUNTIFS('多批比较'!$B$6:$B$131,A24,'多批比较'!$C$6:$C$131,B24,'多批比较'!$E$6:$E$131,"有效",'多批比较'!$H$6:$H$131,"&gt;=0")</x:f>
        <x:v>0</x:v>
      </x:c>
      <x:c r="F24" s="27" t="n">
        <x:f>IF(D24=0,"n.a.",SUMIFS('多批比较'!$H$6:$H$131,'多批比较'!$B$6:$B$131,A24,'多批比较'!$C$6:$C$131,B24,'多批比较'!$E$6:$E$131,"有效")/D24)</x:f>
        <x:v>-1057.2536133672484</x:v>
      </x:c>
      <x:c r="G24" s="33" t="n">
        <x:f>IF(D24=0,"n.a.",SUMIFS('多批比较'!$H$6:$H$131,'多批比较'!$B$6:$B$131,A24,'多批比较'!$C$6:$C$131,B24,'多批比较'!$E$6:$E$131,"有效")/SUMIFS('多批比较'!$F$6:$F$131,'多批比较'!$B$6:$B$131,A24,'多批比较'!$C$6:$C$131,B24,'多批比较'!$E$6:$E$131,"有效"))</x:f>
        <x:v>-0.31343431853553344</x:v>
      </x:c>
      <x:c r="H24" s="27" t="n">
        <x:f>IF(D24=0,"n.a.",SUMIFS('多批比较'!$F$6:$F$131,'多批比较'!$B$6:$B$131,A24,'多批比较'!$C$6:$C$131,B24,'多批比较'!$E$6:$E$131,"有效")/SUMIFS('多批比较'!$M$6:$M$131,'多批比较'!$B$6:$B$131,A24,'多批比较'!$C$6:$C$131,B24,'多批比较'!$E$6:$E$131,"有效"))</x:f>
        <x:v>14.249780125301303</x:v>
      </x:c>
      <x:c r="I24" s="27" t="n">
        <x:f>IF(D24=0,"n.a.",SUMIFS('多批比较'!$G$6:$G$131,'多批比较'!$B$6:$B$131,A24,'多批比较'!$C$6:$C$131,B24,'多批比较'!$E$6:$E$131,"有效")/SUMIFS('多批比较'!$M$6:$M$131,'多批比较'!$B$6:$B$131,A24,'多批比较'!$C$6:$C$131,B24,'多批比较'!$E$6:$E$131,"有效"))</x:f>
        <x:v>18.716150248156307</x:v>
      </x:c>
    </x:row>
    <x:row r="26">
      <x:c r="A26" t="str">
        <x:v>全部循环方案使用 N=Q。多批箱体损耗按实际箱次分摊，初始投入单列，不重复加入分摊总费。</x:v>
      </x:c>
    </x:row>
    <x:row r="27">
      <x:c r="A27" t="str">
        <x:v>费用依据为公开参考及情景假设，路线未按总费用优化。这些结果支持条件经济性判断。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6A9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8" hidden="0" customWidth="1"/>
    <x:col min="4" max="4" width="43" hidden="0" customWidth="1"/>
    <x:col min="5" max="5" width="66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费用参数与来源</x:v>
      </x:c>
      <x:c r="B2" s="1"/>
      <x:c r="C2" s="1"/>
      <x:c r="D2" s="1"/>
      <x:c r="E2" s="1"/>
    </x:row>
    <x:row r="3">
      <x:c r="A3" s="3"/>
      <x:c r="B3" s="3"/>
      <x:c r="C3" s="3"/>
      <x:c r="D3" s="3"/>
      <x:c r="E3" s="3"/>
    </x:row>
    <x:row r="4">
      <x:c r="A4" s="1"/>
      <x:c r="B4" s="1"/>
      <x:c r="C4" s="1"/>
      <x:c r="D4" s="1"/>
      <x:c r="E4" s="1"/>
    </x:row>
    <x:row r="5" ht="40" customHeight="1">
      <x:c r="A5" s="9" t="str">
        <x:v>参数</x:v>
      </x:c>
      <x:c r="B5" s="9" t="str">
        <x:v>基准值</x:v>
      </x:c>
      <x:c r="C5" s="9" t="str">
        <x:v>单位</x:v>
      </x:c>
      <x:c r="D5" s="9" t="str">
        <x:v>依据</x:v>
      </x:c>
      <x:c r="E5" s="9" t="str">
        <x:v>来源链接</x:v>
      </x:c>
    </x:row>
    <x:row r="6" ht="36" customHeight="1">
      <x:c r="A6" s="11" t="str">
        <x:v>一次性包装</x:v>
      </x:c>
      <x:c r="B6" s="16" t="n">
        <x:v>4</x:v>
      </x:c>
      <x:c r="C6" s="11" t="str">
        <x:v>元/件</x:v>
      </x:c>
      <x:c r="D6" s="11" t="str">
        <x:v>公开零售价参照</x:v>
      </x:c>
      <x:c r="E6" s="20" t="str">
        <x:v>https://www.sf-express.com/chn/sc/express/add-service/pkg-normal</x:v>
      </x:c>
    </x:row>
    <x:row r="7" ht="36" customHeight="1">
      <x:c r="A7" s="11" t="str">
        <x:v>循环箱购置</x:v>
      </x:c>
      <x:c r="B7" s="16" t="n">
        <x:v>36.5</x:v>
      </x:c>
      <x:c r="C7" s="11" t="str">
        <x:v>元/箱</x:v>
      </x:c>
      <x:c r="D7" s="11" t="str">
        <x:v>2022 年企业采访历史价</x:v>
      </x:c>
      <x:c r="E7" s="20" t="str">
        <x:v>https://www.news.cn/politics/2022-06/28/c_1128783518.htm</x:v>
      </x:c>
    </x:row>
    <x:row r="8" ht="36" customHeight="1">
      <x:c r="A8" s="11" t="str">
        <x:v>容器寿命</x:v>
      </x:c>
      <x:c r="B8" s="16" t="n">
        <x:v>50</x:v>
      </x:c>
      <x:c r="C8" s="11" t="str">
        <x:v>次使用</x:v>
      </x:c>
      <x:c r="D8" s="11" t="str">
        <x:v>情景，B1 N=Q 时为运营周期</x:v>
      </x:c>
      <x:c r="E8" s="20" t="str">
        <x:v>https://www.news.cn/politics/2022-06/28/c_1128783518.htm</x:v>
      </x:c>
    </x:row>
    <x:row r="9" ht="36" customHeight="1">
      <x:c r="A9" s="11" t="str">
        <x:v>评价期</x:v>
      </x:c>
      <x:c r="B9" s="16" t="n">
        <x:v>300</x:v>
      </x:c>
      <x:c r="C9" s="11" t="str">
        <x:v>运营周期</x:v>
      </x:c>
      <x:c r="D9" s="11" t="str">
        <x:v>重复相同需求的情景</x:v>
      </x:c>
      <x:c r="E9" s="20" t="str"/>
    </x:row>
    <x:row r="10" ht="36" customHeight="1">
      <x:c r="A10" s="11" t="str">
        <x:v>一级距离费</x:v>
      </x:c>
      <x:c r="B10" s="19" t="n">
        <x:f>B19*B20/100+B21</x:f>
        <x:v>0.90205</x:v>
      </x:c>
      <x:c r="C10" s="11" t="str">
        <x:v>元/km</x:v>
      </x:c>
      <x:c r="D10" s="11" t="str">
        <x:v>燃油＋假设维保</x:v>
      </x:c>
      <x:c r="E10" s="20" t="str"/>
    </x:row>
    <x:row r="11" ht="36" customHeight="1">
      <x:c r="A11" s="11" t="str">
        <x:v>二级距离费</x:v>
      </x:c>
      <x:c r="B11" s="19" t="n">
        <x:f>B10</x:f>
        <x:v>0.90205</x:v>
      </x:c>
      <x:c r="C11" s="11" t="str">
        <x:v>元/km</x:v>
      </x:c>
      <x:c r="D11" s="11" t="str">
        <x:v>同一轻型柴油车代理</x:v>
      </x:c>
      <x:c r="E11" s="20" t="str"/>
    </x:row>
    <x:row r="12" ht="36" customHeight="1">
      <x:c r="A12" s="11" t="str">
        <x:v>一级工时费</x:v>
      </x:c>
      <x:c r="B12" s="19" t="n">
        <x:f>B22/(B24*60)*B25</x:f>
        <x:v>1.0729374999999999</x:v>
      </x:c>
      <x:c r="C12" s="11" t="str">
        <x:v>元/min</x:v>
      </x:c>
      <x:c r="D12" s="11" t="str">
        <x:v>年工资÷有效分钟×雇主乘数</x:v>
      </x:c>
      <x:c r="E12" s="20" t="str"/>
    </x:row>
    <x:row r="13" ht="36" customHeight="1">
      <x:c r="A13" s="11" t="str">
        <x:v>二级工时费</x:v>
      </x:c>
      <x:c r="B13" s="19" t="n">
        <x:f>B23/(B24*60)*B25</x:f>
        <x:v>0.7354791666666667</x:v>
      </x:c>
      <x:c r="C13" s="11" t="str">
        <x:v>元/min</x:v>
      </x:c>
      <x:c r="D13" s="11" t="str">
        <x:v>年工资÷有效分钟×雇主乘数</x:v>
      </x:c>
      <x:c r="E13" s="20" t="str"/>
    </x:row>
    <x:row r="14" ht="36" customHeight="1">
      <x:c r="A14" s="11" t="str">
        <x:v>一级固定车辆费</x:v>
      </x:c>
      <x:c r="B14" s="16" t="n">
        <x:v>100</x:v>
      </x:c>
      <x:c r="C14" s="11" t="str">
        <x:v>元/启用车周期</x:v>
      </x:c>
      <x:c r="D14" s="11" t="str">
        <x:v>折旧保险分摊假设</x:v>
      </x:c>
      <x:c r="E14" s="20" t="str"/>
    </x:row>
    <x:row r="15" ht="36" customHeight="1">
      <x:c r="A15" s="11" t="str">
        <x:v>二级固定车辆费</x:v>
      </x:c>
      <x:c r="B15" s="16" t="n">
        <x:v>60</x:v>
      </x:c>
      <x:c r="C15" s="11" t="str">
        <x:v>元/启用车周期</x:v>
      </x:c>
      <x:c r="D15" s="11" t="str">
        <x:v>折旧保险分摊假设</x:v>
      </x:c>
      <x:c r="E15" s="20" t="str"/>
    </x:row>
    <x:row r="16" ht="36" customHeight="1">
      <x:c r="A16" s="11" t="str">
        <x:v>清洗</x:v>
      </x:c>
      <x:c r="B16" s="16" t="n">
        <x:v>0.8</x:v>
      </x:c>
      <x:c r="C16" s="11" t="str">
        <x:v>元/归还箱次</x:v>
      </x:c>
      <x:c r="D16" s="11" t="str">
        <x:v>分拣清洗人工已包含</x:v>
      </x:c>
      <x:c r="E16" s="20" t="str"/>
    </x:row>
    <x:row r="17" ht="36" customHeight="1">
      <x:c r="A17" s="11" t="str">
        <x:v>跟踪</x:v>
      </x:c>
      <x:c r="B17" s="16" t="n">
        <x:v>0.1</x:v>
      </x:c>
      <x:c r="C17" s="11" t="str">
        <x:v>元/发出箱次</x:v>
      </x:c>
      <x:c r="D17" s="11" t="str">
        <x:v>非人工 IT/标签费用假设</x:v>
      </x:c>
      <x:c r="E17" s="20" t="str"/>
    </x:row>
    <x:row r="18" ht="36" customHeight="1">
      <x:c r="A18" s="11" t="str">
        <x:v>一次性处置</x:v>
      </x:c>
      <x:c r="B18" s="16" t="n">
        <x:v>0</x:v>
      </x:c>
      <x:c r="C18" s="11" t="str">
        <x:v>元/件</x:v>
      </x:c>
      <x:c r="D18" s="11" t="str">
        <x:v>经营主体额外付费暂不计</x:v>
      </x:c>
      <x:c r="E18" s="20" t="str"/>
    </x:row>
    <x:row r="19" ht="36" customHeight="1">
      <x:c r="A19" s="11" t="str">
        <x:v>柴油</x:v>
      </x:c>
      <x:c r="B19" s="16" t="n">
        <x:v>8.45</x:v>
      </x:c>
      <x:c r="C19" s="11" t="str">
        <x:v>元/L</x:v>
      </x:c>
      <x:c r="D19" s="11" t="str">
        <x:v>2026-05-21 浙江固定日期参考</x:v>
      </x:c>
      <x:c r="E19" s="20" t="str">
        <x:v>https://cif.mofcom.gov.cn/newsite/html/zhejiangsheng/html/1086127/2026/6/15/1781515022016.html</x:v>
      </x:c>
    </x:row>
    <x:row r="20" ht="36" customHeight="1">
      <x:c r="A20" s="11" t="str">
        <x:v>油耗</x:v>
      </x:c>
      <x:c r="B20" s="16" t="n">
        <x:v>8.9</x:v>
      </x:c>
      <x:c r="C20" s="11" t="str">
        <x:v>L/100km</x:v>
      </x:c>
      <x:c r="D20" s="11" t="str">
        <x:v>2019 轻型货车研究基年代理</x:v>
      </x:c>
      <x:c r="E20" s="20" t="str">
        <x:v>https://www.icet.org.cn/admin/upload/2021081652142545.pdf</x:v>
      </x:c>
    </x:row>
    <x:row r="21" ht="36" customHeight="1">
      <x:c r="A21" s="11" t="str">
        <x:v>维保</x:v>
      </x:c>
      <x:c r="B21" s="16" t="n">
        <x:v>0.15</x:v>
      </x:c>
      <x:c r="C21" s="11" t="str">
        <x:v>元/km</x:v>
      </x:c>
      <x:c r="D21" s="11" t="str">
        <x:v>不含人工、折旧和保险的假设</x:v>
      </x:c>
      <x:c r="E21" s="20" t="str"/>
    </x:row>
    <x:row r="22" ht="36" customHeight="1">
      <x:c r="A22" s="11" t="str">
        <x:v>一级人员年工资</x:v>
      </x:c>
      <x:c r="B22" s="16" t="n">
        <x:v>103002</x:v>
      </x:c>
      <x:c r="C22" s="11" t="str">
        <x:v>元/年</x:v>
      </x:c>
      <x:c r="D22" s="11" t="str">
        <x:v>杭州 2023 中级货运驾驶员中位数</x:v>
      </x:c>
      <x:c r="E22" s="20" t="str">
        <x:v>https://zjjcmspublic.oss-cn-hangzhou-zwynet-d01-a.internet.cloud.zj.gov.cn/jcms_files/jcms1/web3163/site/attach/0/8de07211fbc54b69b37cb7c62f3ddc47.pdf</x:v>
      </x:c>
    </x:row>
    <x:row r="23" ht="36" customHeight="1">
      <x:c r="A23" s="11" t="str">
        <x:v>二级人员年工资</x:v>
      </x:c>
      <x:c r="B23" s="16" t="n">
        <x:v>70606</x:v>
      </x:c>
      <x:c r="C23" s="11" t="str">
        <x:v>元/年</x:v>
      </x:c>
      <x:c r="D23" s="11" t="str">
        <x:v>杭州 2023 邮政快递人员中位数</x:v>
      </x:c>
      <x:c r="E23" s="20" t="str">
        <x:v>https://zjjcmspublic.oss-cn-hangzhou-zwynet-d01-a.internet.cloud.zj.gov.cn/jcms_files/jcms1/web3163/site/attach/0/8de07211fbc54b69b37cb7c62f3ddc47.pdf</x:v>
      </x:c>
    </x:row>
    <x:row r="24" ht="36" customHeight="1">
      <x:c r="A24" s="11" t="str">
        <x:v>有效工作时数</x:v>
      </x:c>
      <x:c r="B24" s="16" t="n">
        <x:v>2000</x:v>
      </x:c>
      <x:c r="C24" s="11" t="str">
        <x:v>小时/年</x:v>
      </x:c>
      <x:c r="D24" s="11" t="str">
        <x:v>250 天×8 小时情景假设</x:v>
      </x:c>
      <x:c r="E24" s="20" t="str"/>
    </x:row>
    <x:row r="25" ht="36" customHeight="1">
      <x:c r="A25" s="12" t="str">
        <x:v>雇主成本乘数</x:v>
      </x:c>
      <x:c r="B25" s="17" t="n">
        <x:v>1.25</x:v>
      </x:c>
      <x:c r="C25" s="12" t="str">
        <x:v>倍</x:v>
      </x:c>
      <x:c r="D25" s="12" t="str">
        <x:v>情景，非规定费率</x:v>
      </x:c>
      <x:c r="E25" s="21" t="str"/>
    </x:row>
    <x:row r="28">
      <x:c r="A28" t="str">
        <x:v>基准价格来自不同年份，未平减。回收、寿命、清洗和车型仍为情景假设。</x:v>
      </x:c>
    </x:row>
    <x:row r="29">
      <x:c r="A29" t="str">
        <x:v>蓝色为输入。修改参数会更新成本与对照。敏感性固定路线，未重新优化路径。</x:v>
      </x:c>
    </x:row>
  </x:sheetData>
  <x:dataValidations count="1">
    <x:dataValidation type="whole" operator="between" sqref="B8:B9">
      <x:formula1>1</x:formula1>
      <x:formula2>1000000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路线与成本组成（人民币）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40" customHeight="1">
      <x:c r="A5" s="9" t="str">
        <x:v>案例</x:v>
      </x:c>
      <x:c r="B5" s="9" t="str">
        <x:v>AOI数</x:v>
      </x:c>
      <x:c r="C5" s="9" t="str">
        <x:v>批次数</x:v>
      </x:c>
      <x:c r="D5" s="9" t="str">
        <x:v>模型</x:v>
      </x:c>
      <x:c r="E5" s="9" t="str">
        <x:v>种子</x:v>
      </x:c>
      <x:c r="F5" s="9" t="str">
        <x:v>可行状态</x:v>
      </x:c>
      <x:c r="G5" s="9" t="str">
        <x:v>配送件数</x:v>
      </x:c>
      <x:c r="H5" s="9" t="str">
        <x:v>箱池数量</x:v>
      </x:c>
      <x:c r="I5" s="9" t="str">
        <x:v>一级km</x:v>
      </x:c>
      <x:c r="J5" s="9" t="str">
        <x:v>二级km</x:v>
      </x:c>
      <x:c r="K5" s="9" t="str">
        <x:v>一级min</x:v>
      </x:c>
      <x:c r="L5" s="9" t="str">
        <x:v>二级min</x:v>
      </x:c>
      <x:c r="M5" s="9" t="str">
        <x:v>一级车数</x:v>
      </x:c>
      <x:c r="N5" s="9" t="str">
        <x:v>二级车数</x:v>
      </x:c>
      <x:c r="O5" s="9" t="str">
        <x:v>距离费</x:v>
      </x:c>
      <x:c r="P5" s="9" t="str">
        <x:v>工时费</x:v>
      </x:c>
      <x:c r="Q5" s="9" t="str">
        <x:v>车辆费</x:v>
      </x:c>
      <x:c r="R5" s="9" t="str">
        <x:v>纸箱费</x:v>
      </x:c>
      <x:c r="S5" s="9" t="str">
        <x:v>清洗费</x:v>
      </x:c>
      <x:c r="T5" s="9" t="str">
        <x:v>跟踪费</x:v>
      </x:c>
      <x:c r="U5" s="9" t="str">
        <x:v>运营费/周期</x:v>
      </x:c>
      <x:c r="V5" s="9" t="str">
        <x:v>箱池初始投入</x:v>
      </x:c>
      <x:c r="W5" s="9" t="str">
        <x:v>箱体使用分摊</x:v>
      </x:c>
      <x:c r="X5" s="9" t="str">
        <x:v>分摊总费/周期</x:v>
      </x:c>
      <x:c r="Y5" s="9" t="str">
        <x:v>分摊元/件</x:v>
      </x:c>
    </x:row>
    <x:row r="6" ht="22" customHeight="1">
      <x:c r="A6" s="11" t="str">
        <x:v>lade_0823_10aoi</x:v>
      </x:c>
      <x:c r="B6" s="22" t="n">
        <x:v>10</x:v>
      </x:c>
      <x:c r="C6" s="22" t="n">
        <x:v>1</x:v>
      </x:c>
      <x:c r="D6" s="22" t="n">
        <x:v>1</x:v>
      </x:c>
      <x:c r="E6" s="22" t="n">
        <x:v>42</x:v>
      </x:c>
      <x:c r="F6" s="30" t="str">
        <x:v>有效</x:v>
      </x:c>
      <x:c r="G6" s="22" t="n">
        <x:v>131</x:v>
      </x:c>
      <x:c r="H6" s="22" t="n">
        <x:v>0</x:v>
      </x:c>
      <x:c r="I6" s="24" t="n">
        <x:v>59.477500000000006</x:v>
      </x:c>
      <x:c r="J6" s="24" t="n">
        <x:v>42.158699999999996</x:v>
      </x:c>
      <x:c r="K6" s="24" t="n">
        <x:v>60.63333333333333</x:v>
      </x:c>
      <x:c r="L6" s="24" t="n">
        <x:v>1201.4</x:v>
      </x:c>
      <x:c r="M6" s="10" t="n">
        <x:v>1</x:v>
      </x:c>
      <x:c r="N6" s="10" t="n">
        <x:v>3</x:v>
      </x:c>
      <x:c r="O6" s="28" t="n">
        <x:f>IF(F6="有效",I6*'参数'!$B$10+J6*'参数'!$B$11,"n.a.")</x:f>
        <x:v>91.68093421</x:v>
      </x:c>
      <x:c r="P6" s="28" t="n">
        <x:f>IF(F6="有效",K6*'参数'!$B$12+L6*'参数'!$B$13,"n.a.")</x:f>
        <x:v>948.6604479166667</x:v>
      </x:c>
      <x:c r="Q6" s="28" t="n">
        <x:f>IF(F6="有效",M6*'参数'!$B$14+N6*'参数'!$B$15,"n.a.")</x:f>
        <x:v>280</x:v>
      </x:c>
      <x:c r="R6" s="28" t="n">
        <x:f>IF(F6="有效",IF(D6&lt;=2,G6*('参数'!$B$6+'参数'!$B$18),0),"n.a.")</x:f>
        <x:v>524</x:v>
      </x:c>
      <x:c r="S6" s="28" t="n">
        <x:f>IF(F6="有效",IF(D6&gt;=3,G6*'参数'!$B$16,0),"n.a.")</x:f>
        <x:v>0</x:v>
      </x:c>
      <x:c r="T6" s="28" t="n">
        <x:f>IF(F6="有效",IF(D6&gt;=3,G6*'参数'!$B$17,0),"n.a.")</x:f>
        <x:v>0</x:v>
      </x:c>
      <x:c r="U6" s="28" t="n">
        <x:f>IF(F6="有效",SUM(O6:T6),"n.a.")</x:f>
        <x:v>1844.3413821266668</x:v>
      </x:c>
      <x:c r="V6" s="28" t="n">
        <x:f>IF(F6="有效",H6*'参数'!$B$7,"n.a.")</x:f>
        <x:v>0</x:v>
      </x:c>
      <x:c r="W6" s="28" t="n">
        <x:f>IF(F6="有效",IF(D6&gt;=3,G6*'参数'!$B$7/'参数'!$B$8,0),"n.a.")</x:f>
        <x:v>0</x:v>
      </x:c>
      <x:c r="X6" s="28" t="n">
        <x:f>IF(F6="有效",U6+W6,"n.a.")</x:f>
        <x:v>1844.3413821266668</x:v>
      </x:c>
      <x:c r="Y6" s="28" t="n">
        <x:f>IF(F6="有效",X6/G6,"n.a.")</x:f>
        <x:v>14.078941848295166</x:v>
      </x:c>
    </x:row>
    <x:row r="7" ht="22" customHeight="1">
      <x:c r="A7" s="11" t="str">
        <x:v>lade_0823_10aoi</x:v>
      </x:c>
      <x:c r="B7" s="22" t="n">
        <x:v>10</x:v>
      </x:c>
      <x:c r="C7" s="22" t="n">
        <x:v>1</x:v>
      </x:c>
      <x:c r="D7" s="22" t="n">
        <x:v>1</x:v>
      </x:c>
      <x:c r="E7" s="22" t="n">
        <x:v>43</x:v>
      </x:c>
      <x:c r="F7" s="30" t="str">
        <x:v>有效</x:v>
      </x:c>
      <x:c r="G7" s="22" t="n">
        <x:v>131</x:v>
      </x:c>
      <x:c r="H7" s="22" t="n">
        <x:v>0</x:v>
      </x:c>
      <x:c r="I7" s="24" t="n">
        <x:v>59.477500000000006</x:v>
      </x:c>
      <x:c r="J7" s="24" t="n">
        <x:v>42.1587</x:v>
      </x:c>
      <x:c r="K7" s="24" t="n">
        <x:v>60.63333333333333</x:v>
      </x:c>
      <x:c r="L7" s="24" t="n">
        <x:v>1201.4</x:v>
      </x:c>
      <x:c r="M7" s="10" t="n">
        <x:v>1</x:v>
      </x:c>
      <x:c r="N7" s="10" t="n">
        <x:v>3</x:v>
      </x:c>
      <x:c r="O7" s="28" t="n">
        <x:f>IF(F7="有效",I7*'参数'!$B$10+J7*'参数'!$B$11,"n.a.")</x:f>
        <x:v>91.68093421</x:v>
      </x:c>
      <x:c r="P7" s="28" t="n">
        <x:f>IF(F7="有效",K7*'参数'!$B$12+L7*'参数'!$B$13,"n.a.")</x:f>
        <x:v>948.6604479166667</x:v>
      </x:c>
      <x:c r="Q7" s="28" t="n">
        <x:f>IF(F7="有效",M7*'参数'!$B$14+N7*'参数'!$B$15,"n.a.")</x:f>
        <x:v>280</x:v>
      </x:c>
      <x:c r="R7" s="28" t="n">
        <x:f>IF(F7="有效",IF(D7&lt;=2,G7*('参数'!$B$6+'参数'!$B$18),0),"n.a.")</x:f>
        <x:v>524</x:v>
      </x:c>
      <x:c r="S7" s="28" t="n">
        <x:f>IF(F7="有效",IF(D7&gt;=3,G7*'参数'!$B$16,0),"n.a.")</x:f>
        <x:v>0</x:v>
      </x:c>
      <x:c r="T7" s="28" t="n">
        <x:f>IF(F7="有效",IF(D7&gt;=3,G7*'参数'!$B$17,0),"n.a.")</x:f>
        <x:v>0</x:v>
      </x:c>
      <x:c r="U7" s="28" t="n">
        <x:f>IF(F7="有效",SUM(O7:T7),"n.a.")</x:f>
        <x:v>1844.3413821266668</x:v>
      </x:c>
      <x:c r="V7" s="28" t="n">
        <x:f>IF(F7="有效",H7*'参数'!$B$7,"n.a.")</x:f>
        <x:v>0</x:v>
      </x:c>
      <x:c r="W7" s="28" t="n">
        <x:f>IF(F7="有效",IF(D7&gt;=3,G7*'参数'!$B$7/'参数'!$B$8,0),"n.a.")</x:f>
        <x:v>0</x:v>
      </x:c>
      <x:c r="X7" s="28" t="n">
        <x:f>IF(F7="有效",U7+W7,"n.a.")</x:f>
        <x:v>1844.3413821266668</x:v>
      </x:c>
      <x:c r="Y7" s="28" t="n">
        <x:f>IF(F7="有效",X7/G7,"n.a.")</x:f>
        <x:v>14.078941848295166</x:v>
      </x:c>
    </x:row>
    <x:row r="8" ht="22" customHeight="1">
      <x:c r="A8" s="11" t="str">
        <x:v>lade_0823_10aoi</x:v>
      </x:c>
      <x:c r="B8" s="22" t="n">
        <x:v>10</x:v>
      </x:c>
      <x:c r="C8" s="22" t="n">
        <x:v>1</x:v>
      </x:c>
      <x:c r="D8" s="22" t="n">
        <x:v>1</x:v>
      </x:c>
      <x:c r="E8" s="22" t="n">
        <x:v>44</x:v>
      </x:c>
      <x:c r="F8" s="30" t="str">
        <x:v>有效</x:v>
      </x:c>
      <x:c r="G8" s="22" t="n">
        <x:v>131</x:v>
      </x:c>
      <x:c r="H8" s="22" t="n">
        <x:v>0</x:v>
      </x:c>
      <x:c r="I8" s="24" t="n">
        <x:v>59.477500000000006</x:v>
      </x:c>
      <x:c r="J8" s="24" t="n">
        <x:v>42.158699999999996</x:v>
      </x:c>
      <x:c r="K8" s="24" t="n">
        <x:v>60.63333333333333</x:v>
      </x:c>
      <x:c r="L8" s="24" t="n">
        <x:v>1201.4</x:v>
      </x:c>
      <x:c r="M8" s="10" t="n">
        <x:v>1</x:v>
      </x:c>
      <x:c r="N8" s="10" t="n">
        <x:v>3</x:v>
      </x:c>
      <x:c r="O8" s="28" t="n">
        <x:f>IF(F8="有效",I8*'参数'!$B$10+J8*'参数'!$B$11,"n.a.")</x:f>
        <x:v>91.68093421</x:v>
      </x:c>
      <x:c r="P8" s="28" t="n">
        <x:f>IF(F8="有效",K8*'参数'!$B$12+L8*'参数'!$B$13,"n.a.")</x:f>
        <x:v>948.6604479166667</x:v>
      </x:c>
      <x:c r="Q8" s="28" t="n">
        <x:f>IF(F8="有效",M8*'参数'!$B$14+N8*'参数'!$B$15,"n.a.")</x:f>
        <x:v>280</x:v>
      </x:c>
      <x:c r="R8" s="28" t="n">
        <x:f>IF(F8="有效",IF(D8&lt;=2,G8*('参数'!$B$6+'参数'!$B$18),0),"n.a.")</x:f>
        <x:v>524</x:v>
      </x:c>
      <x:c r="S8" s="28" t="n">
        <x:f>IF(F8="有效",IF(D8&gt;=3,G8*'参数'!$B$16,0),"n.a.")</x:f>
        <x:v>0</x:v>
      </x:c>
      <x:c r="T8" s="28" t="n">
        <x:f>IF(F8="有效",IF(D8&gt;=3,G8*'参数'!$B$17,0),"n.a.")</x:f>
        <x:v>0</x:v>
      </x:c>
      <x:c r="U8" s="28" t="n">
        <x:f>IF(F8="有效",SUM(O8:T8),"n.a.")</x:f>
        <x:v>1844.3413821266668</x:v>
      </x:c>
      <x:c r="V8" s="28" t="n">
        <x:f>IF(F8="有效",H8*'参数'!$B$7,"n.a.")</x:f>
        <x:v>0</x:v>
      </x:c>
      <x:c r="W8" s="28" t="n">
        <x:f>IF(F8="有效",IF(D8&gt;=3,G8*'参数'!$B$7/'参数'!$B$8,0),"n.a.")</x:f>
        <x:v>0</x:v>
      </x:c>
      <x:c r="X8" s="28" t="n">
        <x:f>IF(F8="有效",U8+W8,"n.a.")</x:f>
        <x:v>1844.3413821266668</x:v>
      </x:c>
      <x:c r="Y8" s="28" t="n">
        <x:f>IF(F8="有效",X8/G8,"n.a.")</x:f>
        <x:v>14.078941848295166</x:v>
      </x:c>
    </x:row>
    <x:row r="9" ht="22" customHeight="1">
      <x:c r="A9" s="11" t="str">
        <x:v>lade_0823_10aoi</x:v>
      </x:c>
      <x:c r="B9" s="22" t="n">
        <x:v>10</x:v>
      </x:c>
      <x:c r="C9" s="22" t="n">
        <x:v>1</x:v>
      </x:c>
      <x:c r="D9" s="22" t="n">
        <x:v>2</x:v>
      </x:c>
      <x:c r="E9" s="22" t="n">
        <x:v>42</x:v>
      </x:c>
      <x:c r="F9" s="30" t="str">
        <x:v>有效</x:v>
      </x:c>
      <x:c r="G9" s="22" t="n">
        <x:v>131</x:v>
      </x:c>
      <x:c r="H9" s="22" t="n">
        <x:v>0</x:v>
      </x:c>
      <x:c r="I9" s="24" t="n">
        <x:v>59.477500000000006</x:v>
      </x:c>
      <x:c r="J9" s="24" t="n">
        <x:v>42.158699999999996</x:v>
      </x:c>
      <x:c r="K9" s="24" t="n">
        <x:v>60.63333333333333</x:v>
      </x:c>
      <x:c r="L9" s="24" t="n">
        <x:v>1201.4</x:v>
      </x:c>
      <x:c r="M9" s="10" t="n">
        <x:v>1</x:v>
      </x:c>
      <x:c r="N9" s="10" t="n">
        <x:v>3</x:v>
      </x:c>
      <x:c r="O9" s="28" t="n">
        <x:f>IF(F9="有效",I9*'参数'!$B$10+J9*'参数'!$B$11,"n.a.")</x:f>
        <x:v>91.68093421</x:v>
      </x:c>
      <x:c r="P9" s="28" t="n">
        <x:f>IF(F9="有效",K9*'参数'!$B$12+L9*'参数'!$B$13,"n.a.")</x:f>
        <x:v>948.6604479166667</x:v>
      </x:c>
      <x:c r="Q9" s="28" t="n">
        <x:f>IF(F9="有效",M9*'参数'!$B$14+N9*'参数'!$B$15,"n.a.")</x:f>
        <x:v>280</x:v>
      </x:c>
      <x:c r="R9" s="28" t="n">
        <x:f>IF(F9="有效",IF(D9&lt;=2,G9*('参数'!$B$6+'参数'!$B$18),0),"n.a.")</x:f>
        <x:v>524</x:v>
      </x:c>
      <x:c r="S9" s="28" t="n">
        <x:f>IF(F9="有效",IF(D9&gt;=3,G9*'参数'!$B$16,0),"n.a.")</x:f>
        <x:v>0</x:v>
      </x:c>
      <x:c r="T9" s="28" t="n">
        <x:f>IF(F9="有效",IF(D9&gt;=3,G9*'参数'!$B$17,0),"n.a.")</x:f>
        <x:v>0</x:v>
      </x:c>
      <x:c r="U9" s="28" t="n">
        <x:f>IF(F9="有效",SUM(O9:T9),"n.a.")</x:f>
        <x:v>1844.3413821266668</x:v>
      </x:c>
      <x:c r="V9" s="28" t="n">
        <x:f>IF(F9="有效",H9*'参数'!$B$7,"n.a.")</x:f>
        <x:v>0</x:v>
      </x:c>
      <x:c r="W9" s="28" t="n">
        <x:f>IF(F9="有效",IF(D9&gt;=3,G9*'参数'!$B$7/'参数'!$B$8,0),"n.a.")</x:f>
        <x:v>0</x:v>
      </x:c>
      <x:c r="X9" s="28" t="n">
        <x:f>IF(F9="有效",U9+W9,"n.a.")</x:f>
        <x:v>1844.3413821266668</x:v>
      </x:c>
      <x:c r="Y9" s="28" t="n">
        <x:f>IF(F9="有效",X9/G9,"n.a.")</x:f>
        <x:v>14.078941848295166</x:v>
      </x:c>
    </x:row>
    <x:row r="10" ht="22" customHeight="1">
      <x:c r="A10" s="11" t="str">
        <x:v>lade_0823_10aoi</x:v>
      </x:c>
      <x:c r="B10" s="22" t="n">
        <x:v>10</x:v>
      </x:c>
      <x:c r="C10" s="22" t="n">
        <x:v>1</x:v>
      </x:c>
      <x:c r="D10" s="22" t="n">
        <x:v>2</x:v>
      </x:c>
      <x:c r="E10" s="22" t="n">
        <x:v>43</x:v>
      </x:c>
      <x:c r="F10" s="30" t="str">
        <x:v>有效</x:v>
      </x:c>
      <x:c r="G10" s="22" t="n">
        <x:v>131</x:v>
      </x:c>
      <x:c r="H10" s="22" t="n">
        <x:v>0</x:v>
      </x:c>
      <x:c r="I10" s="24" t="n">
        <x:v>59.477500000000006</x:v>
      </x:c>
      <x:c r="J10" s="24" t="n">
        <x:v>42.1587</x:v>
      </x:c>
      <x:c r="K10" s="24" t="n">
        <x:v>60.63333333333333</x:v>
      </x:c>
      <x:c r="L10" s="24" t="n">
        <x:v>1201.4</x:v>
      </x:c>
      <x:c r="M10" s="10" t="n">
        <x:v>1</x:v>
      </x:c>
      <x:c r="N10" s="10" t="n">
        <x:v>3</x:v>
      </x:c>
      <x:c r="O10" s="28" t="n">
        <x:f>IF(F10="有效",I10*'参数'!$B$10+J10*'参数'!$B$11,"n.a.")</x:f>
        <x:v>91.68093421</x:v>
      </x:c>
      <x:c r="P10" s="28" t="n">
        <x:f>IF(F10="有效",K10*'参数'!$B$12+L10*'参数'!$B$13,"n.a.")</x:f>
        <x:v>948.6604479166667</x:v>
      </x:c>
      <x:c r="Q10" s="28" t="n">
        <x:f>IF(F10="有效",M10*'参数'!$B$14+N10*'参数'!$B$15,"n.a.")</x:f>
        <x:v>280</x:v>
      </x:c>
      <x:c r="R10" s="28" t="n">
        <x:f>IF(F10="有效",IF(D10&lt;=2,G10*('参数'!$B$6+'参数'!$B$18),0),"n.a.")</x:f>
        <x:v>524</x:v>
      </x:c>
      <x:c r="S10" s="28" t="n">
        <x:f>IF(F10="有效",IF(D10&gt;=3,G10*'参数'!$B$16,0),"n.a.")</x:f>
        <x:v>0</x:v>
      </x:c>
      <x:c r="T10" s="28" t="n">
        <x:f>IF(F10="有效",IF(D10&gt;=3,G10*'参数'!$B$17,0),"n.a.")</x:f>
        <x:v>0</x:v>
      </x:c>
      <x:c r="U10" s="28" t="n">
        <x:f>IF(F10="有效",SUM(O10:T10),"n.a.")</x:f>
        <x:v>1844.3413821266668</x:v>
      </x:c>
      <x:c r="V10" s="28" t="n">
        <x:f>IF(F10="有效",H10*'参数'!$B$7,"n.a.")</x:f>
        <x:v>0</x:v>
      </x:c>
      <x:c r="W10" s="28" t="n">
        <x:f>IF(F10="有效",IF(D10&gt;=3,G10*'参数'!$B$7/'参数'!$B$8,0),"n.a.")</x:f>
        <x:v>0</x:v>
      </x:c>
      <x:c r="X10" s="28" t="n">
        <x:f>IF(F10="有效",U10+W10,"n.a.")</x:f>
        <x:v>1844.3413821266668</x:v>
      </x:c>
      <x:c r="Y10" s="28" t="n">
        <x:f>IF(F10="有效",X10/G10,"n.a.")</x:f>
        <x:v>14.078941848295166</x:v>
      </x:c>
    </x:row>
    <x:row r="11" ht="22" customHeight="1">
      <x:c r="A11" s="11" t="str">
        <x:v>lade_0823_10aoi</x:v>
      </x:c>
      <x:c r="B11" s="22" t="n">
        <x:v>10</x:v>
      </x:c>
      <x:c r="C11" s="22" t="n">
        <x:v>1</x:v>
      </x:c>
      <x:c r="D11" s="22" t="n">
        <x:v>2</x:v>
      </x:c>
      <x:c r="E11" s="22" t="n">
        <x:v>44</x:v>
      </x:c>
      <x:c r="F11" s="30" t="str">
        <x:v>有效</x:v>
      </x:c>
      <x:c r="G11" s="22" t="n">
        <x:v>131</x:v>
      </x:c>
      <x:c r="H11" s="22" t="n">
        <x:v>0</x:v>
      </x:c>
      <x:c r="I11" s="24" t="n">
        <x:v>59.477500000000006</x:v>
      </x:c>
      <x:c r="J11" s="24" t="n">
        <x:v>42.158699999999996</x:v>
      </x:c>
      <x:c r="K11" s="24" t="n">
        <x:v>60.63333333333333</x:v>
      </x:c>
      <x:c r="L11" s="24" t="n">
        <x:v>1201.4</x:v>
      </x:c>
      <x:c r="M11" s="10" t="n">
        <x:v>1</x:v>
      </x:c>
      <x:c r="N11" s="10" t="n">
        <x:v>3</x:v>
      </x:c>
      <x:c r="O11" s="28" t="n">
        <x:f>IF(F11="有效",I11*'参数'!$B$10+J11*'参数'!$B$11,"n.a.")</x:f>
        <x:v>91.68093421</x:v>
      </x:c>
      <x:c r="P11" s="28" t="n">
        <x:f>IF(F11="有效",K11*'参数'!$B$12+L11*'参数'!$B$13,"n.a.")</x:f>
        <x:v>948.6604479166667</x:v>
      </x:c>
      <x:c r="Q11" s="28" t="n">
        <x:f>IF(F11="有效",M11*'参数'!$B$14+N11*'参数'!$B$15,"n.a.")</x:f>
        <x:v>280</x:v>
      </x:c>
      <x:c r="R11" s="28" t="n">
        <x:f>IF(F11="有效",IF(D11&lt;=2,G11*('参数'!$B$6+'参数'!$B$18),0),"n.a.")</x:f>
        <x:v>524</x:v>
      </x:c>
      <x:c r="S11" s="28" t="n">
        <x:f>IF(F11="有效",IF(D11&gt;=3,G11*'参数'!$B$16,0),"n.a.")</x:f>
        <x:v>0</x:v>
      </x:c>
      <x:c r="T11" s="28" t="n">
        <x:f>IF(F11="有效",IF(D11&gt;=3,G11*'参数'!$B$17,0),"n.a.")</x:f>
        <x:v>0</x:v>
      </x:c>
      <x:c r="U11" s="28" t="n">
        <x:f>IF(F11="有效",SUM(O11:T11),"n.a.")</x:f>
        <x:v>1844.3413821266668</x:v>
      </x:c>
      <x:c r="V11" s="28" t="n">
        <x:f>IF(F11="有效",H11*'参数'!$B$7,"n.a.")</x:f>
        <x:v>0</x:v>
      </x:c>
      <x:c r="W11" s="28" t="n">
        <x:f>IF(F11="有效",IF(D11&gt;=3,G11*'参数'!$B$7/'参数'!$B$8,0),"n.a.")</x:f>
        <x:v>0</x:v>
      </x:c>
      <x:c r="X11" s="28" t="n">
        <x:f>IF(F11="有效",U11+W11,"n.a.")</x:f>
        <x:v>1844.3413821266668</x:v>
      </x:c>
      <x:c r="Y11" s="28" t="n">
        <x:f>IF(F11="有效",X11/G11,"n.a.")</x:f>
        <x:v>14.078941848295166</x:v>
      </x:c>
    </x:row>
    <x:row r="12" ht="22" customHeight="1">
      <x:c r="A12" s="11" t="str">
        <x:v>lade_0823_10aoi</x:v>
      </x:c>
      <x:c r="B12" s="22" t="n">
        <x:v>10</x:v>
      </x:c>
      <x:c r="C12" s="22" t="n">
        <x:v>1</x:v>
      </x:c>
      <x:c r="D12" s="22" t="n">
        <x:v>3</x:v>
      </x:c>
      <x:c r="E12" s="22" t="n">
        <x:v>42</x:v>
      </x:c>
      <x:c r="F12" s="30" t="str">
        <x:v>有效</x:v>
      </x:c>
      <x:c r="G12" s="22" t="n">
        <x:v>131</x:v>
      </x:c>
      <x:c r="H12" s="22" t="n">
        <x:v>131</x:v>
      </x:c>
      <x:c r="I12" s="24" t="n">
        <x:v>63.013999999999996</x:v>
      </x:c>
      <x:c r="J12" s="24" t="n">
        <x:v>47.02539999999999</x:v>
      </x:c>
      <x:c r="K12" s="24" t="n">
        <x:v>738.65</x:v>
      </x:c>
      <x:c r="L12" s="24" t="n">
        <x:v>1381.4</x:v>
      </x:c>
      <x:c r="M12" s="10" t="n">
        <x:v>1</x:v>
      </x:c>
      <x:c r="N12" s="10" t="n">
        <x:v>3</x:v>
      </x:c>
      <x:c r="O12" s="28" t="n">
        <x:f>IF(F12="有效",I12*'参数'!$B$10+J12*'参数'!$B$11,"n.a.")</x:f>
        <x:v>99.26104077</x:v>
      </x:c>
      <x:c r="P12" s="28" t="n">
        <x:f>IF(F12="有效",K12*'参数'!$B$12+L12*'参数'!$B$13,"n.a.")</x:f>
        <x:v>1808.5162052083333</x:v>
      </x:c>
      <x:c r="Q12" s="28" t="n">
        <x:f>IF(F12="有效",M12*'参数'!$B$14+N12*'参数'!$B$15,"n.a.")</x:f>
        <x:v>280</x:v>
      </x:c>
      <x:c r="R12" s="28" t="n">
        <x:f>IF(F12="有效",IF(D12&lt;=2,G12*('参数'!$B$6+'参数'!$B$18),0),"n.a.")</x:f>
        <x:v>0</x:v>
      </x:c>
      <x:c r="S12" s="28" t="n">
        <x:f>IF(F12="有效",IF(D12&gt;=3,G12*'参数'!$B$16,0),"n.a.")</x:f>
        <x:v>104.80000000000001</x:v>
      </x:c>
      <x:c r="T12" s="28" t="n">
        <x:f>IF(F12="有效",IF(D12&gt;=3,G12*'参数'!$B$17,0),"n.a.")</x:f>
        <x:v>13.100000000000001</x:v>
      </x:c>
      <x:c r="U12" s="28" t="n">
        <x:f>IF(F12="有效",SUM(O12:T12),"n.a.")</x:f>
        <x:v>2305.6772459783333</x:v>
      </x:c>
      <x:c r="V12" s="28" t="n">
        <x:f>IF(F12="有效",H12*'参数'!$B$7,"n.a.")</x:f>
        <x:v>4781.5</x:v>
      </x:c>
      <x:c r="W12" s="28" t="n">
        <x:f>IF(F12="有效",IF(D12&gt;=3,G12*'参数'!$B$7/'参数'!$B$8,0),"n.a.")</x:f>
        <x:v>95.63</x:v>
      </x:c>
      <x:c r="X12" s="28" t="n">
        <x:f>IF(F12="有效",U12+W12,"n.a.")</x:f>
        <x:v>2401.3072459783334</x:v>
      </x:c>
      <x:c r="Y12" s="28" t="n">
        <x:f>IF(F12="有效",X12/G12,"n.a.")</x:f>
        <x:v>18.330589663956744</x:v>
      </x:c>
    </x:row>
    <x:row r="13" ht="22" customHeight="1">
      <x:c r="A13" s="11" t="str">
        <x:v>lade_0823_10aoi</x:v>
      </x:c>
      <x:c r="B13" s="22" t="n">
        <x:v>10</x:v>
      </x:c>
      <x:c r="C13" s="22" t="n">
        <x:v>1</x:v>
      </x:c>
      <x:c r="D13" s="22" t="n">
        <x:v>3</x:v>
      </x:c>
      <x:c r="E13" s="22" t="n">
        <x:v>43</x:v>
      </x:c>
      <x:c r="F13" s="30" t="str">
        <x:v>有效</x:v>
      </x:c>
      <x:c r="G13" s="22" t="n">
        <x:v>131</x:v>
      </x:c>
      <x:c r="H13" s="22" t="n">
        <x:v>131</x:v>
      </x:c>
      <x:c r="I13" s="24" t="n">
        <x:v>63.013999999999996</x:v>
      </x:c>
      <x:c r="J13" s="24" t="n">
        <x:v>47.0254</x:v>
      </x:c>
      <x:c r="K13" s="24" t="n">
        <x:v>738.65</x:v>
      </x:c>
      <x:c r="L13" s="24" t="n">
        <x:v>1381.4</x:v>
      </x:c>
      <x:c r="M13" s="10" t="n">
        <x:v>1</x:v>
      </x:c>
      <x:c r="N13" s="10" t="n">
        <x:v>3</x:v>
      </x:c>
      <x:c r="O13" s="28" t="n">
        <x:f>IF(F13="有效",I13*'参数'!$B$10+J13*'参数'!$B$11,"n.a.")</x:f>
        <x:v>99.26104077</x:v>
      </x:c>
      <x:c r="P13" s="28" t="n">
        <x:f>IF(F13="有效",K13*'参数'!$B$12+L13*'参数'!$B$13,"n.a.")</x:f>
        <x:v>1808.5162052083333</x:v>
      </x:c>
      <x:c r="Q13" s="28" t="n">
        <x:f>IF(F13="有效",M13*'参数'!$B$14+N13*'参数'!$B$15,"n.a.")</x:f>
        <x:v>280</x:v>
      </x:c>
      <x:c r="R13" s="28" t="n">
        <x:f>IF(F13="有效",IF(D13&lt;=2,G13*('参数'!$B$6+'参数'!$B$18),0),"n.a.")</x:f>
        <x:v>0</x:v>
      </x:c>
      <x:c r="S13" s="28" t="n">
        <x:f>IF(F13="有效",IF(D13&gt;=3,G13*'参数'!$B$16,0),"n.a.")</x:f>
        <x:v>104.80000000000001</x:v>
      </x:c>
      <x:c r="T13" s="28" t="n">
        <x:f>IF(F13="有效",IF(D13&gt;=3,G13*'参数'!$B$17,0),"n.a.")</x:f>
        <x:v>13.100000000000001</x:v>
      </x:c>
      <x:c r="U13" s="28" t="n">
        <x:f>IF(F13="有效",SUM(O13:T13),"n.a.")</x:f>
        <x:v>2305.6772459783333</x:v>
      </x:c>
      <x:c r="V13" s="28" t="n">
        <x:f>IF(F13="有效",H13*'参数'!$B$7,"n.a.")</x:f>
        <x:v>4781.5</x:v>
      </x:c>
      <x:c r="W13" s="28" t="n">
        <x:f>IF(F13="有效",IF(D13&gt;=3,G13*'参数'!$B$7/'参数'!$B$8,0),"n.a.")</x:f>
        <x:v>95.63</x:v>
      </x:c>
      <x:c r="X13" s="28" t="n">
        <x:f>IF(F13="有效",U13+W13,"n.a.")</x:f>
        <x:v>2401.3072459783334</x:v>
      </x:c>
      <x:c r="Y13" s="28" t="n">
        <x:f>IF(F13="有效",X13/G13,"n.a.")</x:f>
        <x:v>18.330589663956744</x:v>
      </x:c>
    </x:row>
    <x:row r="14" ht="22" customHeight="1">
      <x:c r="A14" s="11" t="str">
        <x:v>lade_0823_10aoi</x:v>
      </x:c>
      <x:c r="B14" s="22" t="n">
        <x:v>10</x:v>
      </x:c>
      <x:c r="C14" s="22" t="n">
        <x:v>1</x:v>
      </x:c>
      <x:c r="D14" s="22" t="n">
        <x:v>3</x:v>
      </x:c>
      <x:c r="E14" s="22" t="n">
        <x:v>44</x:v>
      </x:c>
      <x:c r="F14" s="30" t="str">
        <x:v>有效</x:v>
      </x:c>
      <x:c r="G14" s="22" t="n">
        <x:v>131</x:v>
      </x:c>
      <x:c r="H14" s="22" t="n">
        <x:v>131</x:v>
      </x:c>
      <x:c r="I14" s="24" t="n">
        <x:v>63.013999999999996</x:v>
      </x:c>
      <x:c r="J14" s="24" t="n">
        <x:v>47.0254</x:v>
      </x:c>
      <x:c r="K14" s="24" t="n">
        <x:v>738.65</x:v>
      </x:c>
      <x:c r="L14" s="24" t="n">
        <x:v>1381.4</x:v>
      </x:c>
      <x:c r="M14" s="10" t="n">
        <x:v>1</x:v>
      </x:c>
      <x:c r="N14" s="10" t="n">
        <x:v>3</x:v>
      </x:c>
      <x:c r="O14" s="28" t="n">
        <x:f>IF(F14="有效",I14*'参数'!$B$10+J14*'参数'!$B$11,"n.a.")</x:f>
        <x:v>99.26104077</x:v>
      </x:c>
      <x:c r="P14" s="28" t="n">
        <x:f>IF(F14="有效",K14*'参数'!$B$12+L14*'参数'!$B$13,"n.a.")</x:f>
        <x:v>1808.5162052083333</x:v>
      </x:c>
      <x:c r="Q14" s="28" t="n">
        <x:f>IF(F14="有效",M14*'参数'!$B$14+N14*'参数'!$B$15,"n.a.")</x:f>
        <x:v>280</x:v>
      </x:c>
      <x:c r="R14" s="28" t="n">
        <x:f>IF(F14="有效",IF(D14&lt;=2,G14*('参数'!$B$6+'参数'!$B$18),0),"n.a.")</x:f>
        <x:v>0</x:v>
      </x:c>
      <x:c r="S14" s="28" t="n">
        <x:f>IF(F14="有效",IF(D14&gt;=3,G14*'参数'!$B$16,0),"n.a.")</x:f>
        <x:v>104.80000000000001</x:v>
      </x:c>
      <x:c r="T14" s="28" t="n">
        <x:f>IF(F14="有效",IF(D14&gt;=3,G14*'参数'!$B$17,0),"n.a.")</x:f>
        <x:v>13.100000000000001</x:v>
      </x:c>
      <x:c r="U14" s="28" t="n">
        <x:f>IF(F14="有效",SUM(O14:T14),"n.a.")</x:f>
        <x:v>2305.6772459783333</x:v>
      </x:c>
      <x:c r="V14" s="28" t="n">
        <x:f>IF(F14="有效",H14*'参数'!$B$7,"n.a.")</x:f>
        <x:v>4781.5</x:v>
      </x:c>
      <x:c r="W14" s="28" t="n">
        <x:f>IF(F14="有效",IF(D14&gt;=3,G14*'参数'!$B$7/'参数'!$B$8,0),"n.a.")</x:f>
        <x:v>95.63</x:v>
      </x:c>
      <x:c r="X14" s="28" t="n">
        <x:f>IF(F14="有效",U14+W14,"n.a.")</x:f>
        <x:v>2401.3072459783334</x:v>
      </x:c>
      <x:c r="Y14" s="28" t="n">
        <x:f>IF(F14="有效",X14/G14,"n.a.")</x:f>
        <x:v>18.330589663956744</x:v>
      </x:c>
    </x:row>
    <x:row r="15" ht="22" customHeight="1">
      <x:c r="A15" s="11" t="str">
        <x:v>lade_0823_10aoi</x:v>
      </x:c>
      <x:c r="B15" s="22" t="n">
        <x:v>10</x:v>
      </x:c>
      <x:c r="C15" s="22" t="n">
        <x:v>1</x:v>
      </x:c>
      <x:c r="D15" s="22" t="n">
        <x:v>4</x:v>
      </x:c>
      <x:c r="E15" s="22" t="n">
        <x:v>42</x:v>
      </x:c>
      <x:c r="F15" s="30" t="str">
        <x:v>有效</x:v>
      </x:c>
      <x:c r="G15" s="22" t="n">
        <x:v>131</x:v>
      </x:c>
      <x:c r="H15" s="22" t="n">
        <x:v>131</x:v>
      </x:c>
      <x:c r="I15" s="24" t="n">
        <x:v>63.013999999999996</x:v>
      </x:c>
      <x:c r="J15" s="24" t="n">
        <x:v>40.4638</x:v>
      </x:c>
      <x:c r="K15" s="24" t="n">
        <x:v>738.65</x:v>
      </x:c>
      <x:c r="L15" s="24" t="n">
        <x:v>1378.9833333333333</x:v>
      </x:c>
      <x:c r="M15" s="10" t="n">
        <x:v>1</x:v>
      </x:c>
      <x:c r="N15" s="10" t="n">
        <x:v>3</x:v>
      </x:c>
      <x:c r="O15" s="28" t="n">
        <x:f>IF(F15="有效",I15*'参数'!$B$10+J15*'参数'!$B$11,"n.a.")</x:f>
        <x:v>93.34214949</x:v>
      </x:c>
      <x:c r="P15" s="28" t="n">
        <x:f>IF(F15="有效",K15*'参数'!$B$12+L15*'参数'!$B$13,"n.a.")</x:f>
        <x:v>1806.738797222222</x:v>
      </x:c>
      <x:c r="Q15" s="28" t="n">
        <x:f>IF(F15="有效",M15*'参数'!$B$14+N15*'参数'!$B$15,"n.a.")</x:f>
        <x:v>280</x:v>
      </x:c>
      <x:c r="R15" s="28" t="n">
        <x:f>IF(F15="有效",IF(D15&lt;=2,G15*('参数'!$B$6+'参数'!$B$18),0),"n.a.")</x:f>
        <x:v>0</x:v>
      </x:c>
      <x:c r="S15" s="28" t="n">
        <x:f>IF(F15="有效",IF(D15&gt;=3,G15*'参数'!$B$16,0),"n.a.")</x:f>
        <x:v>104.80000000000001</x:v>
      </x:c>
      <x:c r="T15" s="28" t="n">
        <x:f>IF(F15="有效",IF(D15&gt;=3,G15*'参数'!$B$17,0),"n.a.")</x:f>
        <x:v>13.100000000000001</x:v>
      </x:c>
      <x:c r="U15" s="28" t="n">
        <x:f>IF(F15="有效",SUM(O15:T15),"n.a.")</x:f>
        <x:v>2297.9809467122222</x:v>
      </x:c>
      <x:c r="V15" s="28" t="n">
        <x:f>IF(F15="有效",H15*'参数'!$B$7,"n.a.")</x:f>
        <x:v>4781.5</x:v>
      </x:c>
      <x:c r="W15" s="28" t="n">
        <x:f>IF(F15="有效",IF(D15&gt;=3,G15*'参数'!$B$7/'参数'!$B$8,0),"n.a.")</x:f>
        <x:v>95.63</x:v>
      </x:c>
      <x:c r="X15" s="28" t="n">
        <x:f>IF(F15="有效",U15+W15,"n.a.")</x:f>
        <x:v>2393.6109467122224</x:v>
      </x:c>
      <x:c r="Y15" s="28" t="n">
        <x:f>IF(F15="有效",X15/G15,"n.a.")</x:f>
        <x:v>18.27183928787956</x:v>
      </x:c>
    </x:row>
    <x:row r="16" ht="22" customHeight="1">
      <x:c r="A16" s="11" t="str">
        <x:v>lade_0823_10aoi</x:v>
      </x:c>
      <x:c r="B16" s="22" t="n">
        <x:v>10</x:v>
      </x:c>
      <x:c r="C16" s="22" t="n">
        <x:v>1</x:v>
      </x:c>
      <x:c r="D16" s="22" t="n">
        <x:v>4</x:v>
      </x:c>
      <x:c r="E16" s="22" t="n">
        <x:v>43</x:v>
      </x:c>
      <x:c r="F16" s="30" t="str">
        <x:v>有效</x:v>
      </x:c>
      <x:c r="G16" s="22" t="n">
        <x:v>131</x:v>
      </x:c>
      <x:c r="H16" s="22" t="n">
        <x:v>131</x:v>
      </x:c>
      <x:c r="I16" s="24" t="n">
        <x:v>63.013999999999996</x:v>
      </x:c>
      <x:c r="J16" s="24" t="n">
        <x:v>47.356899999999996</x:v>
      </x:c>
      <x:c r="K16" s="24" t="n">
        <x:v>738.65</x:v>
      </x:c>
      <x:c r="L16" s="24" t="n">
        <x:v>1378.9833333333333</x:v>
      </x:c>
      <x:c r="M16" s="10" t="n">
        <x:v>1</x:v>
      </x:c>
      <x:c r="N16" s="10" t="n">
        <x:v>3</x:v>
      </x:c>
      <x:c r="O16" s="28" t="n">
        <x:f>IF(F16="有效",I16*'参数'!$B$10+J16*'参数'!$B$11,"n.a.")</x:f>
        <x:v>99.560070345</x:v>
      </x:c>
      <x:c r="P16" s="28" t="n">
        <x:f>IF(F16="有效",K16*'参数'!$B$12+L16*'参数'!$B$13,"n.a.")</x:f>
        <x:v>1806.738797222222</x:v>
      </x:c>
      <x:c r="Q16" s="28" t="n">
        <x:f>IF(F16="有效",M16*'参数'!$B$14+N16*'参数'!$B$15,"n.a.")</x:f>
        <x:v>280</x:v>
      </x:c>
      <x:c r="R16" s="28" t="n">
        <x:f>IF(F16="有效",IF(D16&lt;=2,G16*('参数'!$B$6+'参数'!$B$18),0),"n.a.")</x:f>
        <x:v>0</x:v>
      </x:c>
      <x:c r="S16" s="28" t="n">
        <x:f>IF(F16="有效",IF(D16&gt;=3,G16*'参数'!$B$16,0),"n.a.")</x:f>
        <x:v>104.80000000000001</x:v>
      </x:c>
      <x:c r="T16" s="28" t="n">
        <x:f>IF(F16="有效",IF(D16&gt;=3,G16*'参数'!$B$17,0),"n.a.")</x:f>
        <x:v>13.100000000000001</x:v>
      </x:c>
      <x:c r="U16" s="28" t="n">
        <x:f>IF(F16="有效",SUM(O16:T16),"n.a.")</x:f>
        <x:v>2304.1988675672224</x:v>
      </x:c>
      <x:c r="V16" s="28" t="n">
        <x:f>IF(F16="有效",H16*'参数'!$B$7,"n.a.")</x:f>
        <x:v>4781.5</x:v>
      </x:c>
      <x:c r="W16" s="28" t="n">
        <x:f>IF(F16="有效",IF(D16&gt;=3,G16*'参数'!$B$7/'参数'!$B$8,0),"n.a.")</x:f>
        <x:v>95.63</x:v>
      </x:c>
      <x:c r="X16" s="28" t="n">
        <x:f>IF(F16="有效",U16+W16,"n.a.")</x:f>
        <x:v>2399.8288675672225</x:v>
      </x:c>
      <x:c r="Y16" s="28" t="n">
        <x:f>IF(F16="有效",X16/G16,"n.a.")</x:f>
        <x:v>18.319304332574216</x:v>
      </x:c>
    </x:row>
    <x:row r="17" ht="22" customHeight="1">
      <x:c r="A17" s="11" t="str">
        <x:v>lade_0823_10aoi</x:v>
      </x:c>
      <x:c r="B17" s="22" t="n">
        <x:v>10</x:v>
      </x:c>
      <x:c r="C17" s="22" t="n">
        <x:v>1</x:v>
      </x:c>
      <x:c r="D17" s="22" t="n">
        <x:v>4</x:v>
      </x:c>
      <x:c r="E17" s="22" t="n">
        <x:v>44</x:v>
      </x:c>
      <x:c r="F17" s="30" t="str">
        <x:v>有效</x:v>
      </x:c>
      <x:c r="G17" s="22" t="n">
        <x:v>131</x:v>
      </x:c>
      <x:c r="H17" s="22" t="n">
        <x:v>131</x:v>
      </x:c>
      <x:c r="I17" s="24" t="n">
        <x:v>63.013999999999996</x:v>
      </x:c>
      <x:c r="J17" s="24" t="n">
        <x:v>45.310599999999994</x:v>
      </x:c>
      <x:c r="K17" s="24" t="n">
        <x:v>738.65</x:v>
      </x:c>
      <x:c r="L17" s="24" t="n">
        <x:v>1382.1166666666666</x:v>
      </x:c>
      <x:c r="M17" s="10" t="n">
        <x:v>1</x:v>
      </x:c>
      <x:c r="N17" s="10" t="n">
        <x:v>3</x:v>
      </x:c>
      <x:c r="O17" s="28" t="n">
        <x:f>IF(F17="有效",I17*'参数'!$B$10+J17*'参数'!$B$11,"n.a.")</x:f>
        <x:v>97.71420542999999</x:v>
      </x:c>
      <x:c r="P17" s="28" t="n">
        <x:f>IF(F17="有效",K17*'参数'!$B$12+L17*'参数'!$B$13,"n.a.")</x:f>
        <x:v>1809.043298611111</x:v>
      </x:c>
      <x:c r="Q17" s="28" t="n">
        <x:f>IF(F17="有效",M17*'参数'!$B$14+N17*'参数'!$B$15,"n.a.")</x:f>
        <x:v>280</x:v>
      </x:c>
      <x:c r="R17" s="28" t="n">
        <x:f>IF(F17="有效",IF(D17&lt;=2,G17*('参数'!$B$6+'参数'!$B$18),0),"n.a.")</x:f>
        <x:v>0</x:v>
      </x:c>
      <x:c r="S17" s="28" t="n">
        <x:f>IF(F17="有效",IF(D17&gt;=3,G17*'参数'!$B$16,0),"n.a.")</x:f>
        <x:v>104.80000000000001</x:v>
      </x:c>
      <x:c r="T17" s="28" t="n">
        <x:f>IF(F17="有效",IF(D17&gt;=3,G17*'参数'!$B$17,0),"n.a.")</x:f>
        <x:v>13.100000000000001</x:v>
      </x:c>
      <x:c r="U17" s="28" t="n">
        <x:f>IF(F17="有效",SUM(O17:T17),"n.a.")</x:f>
        <x:v>2304.657504041111</x:v>
      </x:c>
      <x:c r="V17" s="28" t="n">
        <x:f>IF(F17="有效",H17*'参数'!$B$7,"n.a.")</x:f>
        <x:v>4781.5</x:v>
      </x:c>
      <x:c r="W17" s="28" t="n">
        <x:f>IF(F17="有效",IF(D17&gt;=3,G17*'参数'!$B$7/'参数'!$B$8,0),"n.a.")</x:f>
        <x:v>95.63</x:v>
      </x:c>
      <x:c r="X17" s="28" t="n">
        <x:f>IF(F17="有效",U17+W17,"n.a.")</x:f>
        <x:v>2400.2875040411113</x:v>
      </x:c>
      <x:c r="Y17" s="28" t="n">
        <x:f>IF(F17="有效",X17/G17,"n.a.")</x:f>
        <x:v>18.32280537435963</x:v>
      </x:c>
    </x:row>
    <x:row r="18" ht="22" customHeight="1">
      <x:c r="A18" s="11" t="str">
        <x:v>lade_0823_10aoi</x:v>
      </x:c>
      <x:c r="B18" s="22" t="n">
        <x:v>10</x:v>
      </x:c>
      <x:c r="C18" s="22" t="n">
        <x:v>2</x:v>
      </x:c>
      <x:c r="D18" s="22" t="n">
        <x:v>5</x:v>
      </x:c>
      <x:c r="E18" s="22" t="n">
        <x:v>42</x:v>
      </x:c>
      <x:c r="F18" s="30" t="str">
        <x:v>有效</x:v>
      </x:c>
      <x:c r="G18" s="22" t="n">
        <x:v>131</x:v>
      </x:c>
      <x:c r="H18" s="22" t="n">
        <x:v>131</x:v>
      </x:c>
      <x:c r="I18" s="24" t="n">
        <x:v>204.26580000000004</x:v>
      </x:c>
      <x:c r="J18" s="24" t="n">
        <x:v>52.154199999999996</x:v>
      </x:c>
      <x:c r="K18" s="24" t="n">
        <x:v>1391.0166666666667</x:v>
      </x:c>
      <x:c r="L18" s="24" t="n">
        <x:v>1054.9166666666667</x:v>
      </x:c>
      <x:c r="M18" s="10" t="n">
        <x:v>3</x:v>
      </x:c>
      <x:c r="N18" s="10" t="n">
        <x:v>3</x:v>
      </x:c>
      <x:c r="O18" s="28" t="n">
        <x:f>IF(F18="有效",I18*'参数'!$B$10+J18*'参数'!$B$11,"n.a.")</x:f>
        <x:v>231.30366100000003</x:v>
      </x:c>
      <x:c r="P18" s="28" t="n">
        <x:f>IF(F18="有效",K18*'参数'!$B$12+L18*'参数'!$B$13,"n.a.")</x:f>
        <x:v>2268.3431756944447</x:v>
      </x:c>
      <x:c r="Q18" s="28" t="n">
        <x:f>IF(F18="有效",M18*'参数'!$B$14+N18*'参数'!$B$15,"n.a.")</x:f>
        <x:v>480</x:v>
      </x:c>
      <x:c r="R18" s="28" t="n">
        <x:f>IF(F18="有效",IF(D18&lt;=2,G18*('参数'!$B$6+'参数'!$B$18),0),"n.a.")</x:f>
        <x:v>0</x:v>
      </x:c>
      <x:c r="S18" s="28" t="n">
        <x:f>IF(F18="有效",IF(D18&gt;=3,G18*'参数'!$B$16,0),"n.a.")</x:f>
        <x:v>104.80000000000001</x:v>
      </x:c>
      <x:c r="T18" s="28" t="n">
        <x:f>IF(F18="有效",IF(D18&gt;=3,G18*'参数'!$B$17,0),"n.a.")</x:f>
        <x:v>13.100000000000001</x:v>
      </x:c>
      <x:c r="U18" s="28" t="n">
        <x:f>IF(F18="有效",SUM(O18:T18),"n.a.")</x:f>
        <x:v>3097.5468366944447</x:v>
      </x:c>
      <x:c r="V18" s="28" t="n">
        <x:f>IF(F18="有效",H18*'参数'!$B$7,"n.a.")</x:f>
        <x:v>4781.5</x:v>
      </x:c>
      <x:c r="W18" s="28" t="n">
        <x:f>IF(F18="有效",IF(D18&gt;=3,G18*'参数'!$B$7/'参数'!$B$8,0),"n.a.")</x:f>
        <x:v>95.63</x:v>
      </x:c>
      <x:c r="X18" s="28" t="n">
        <x:f>IF(F18="有效",U18+W18,"n.a.")</x:f>
        <x:v>3193.176836694445</x:v>
      </x:c>
      <x:c r="Y18" s="28" t="n">
        <x:f>IF(F18="有效",X18/G18,"n.a.")</x:f>
        <x:v>24.375395699957593</x:v>
      </x:c>
    </x:row>
    <x:row r="19" ht="22" customHeight="1">
      <x:c r="A19" s="11" t="str">
        <x:v>lade_0823_10aoi</x:v>
      </x:c>
      <x:c r="B19" s="22" t="n">
        <x:v>10</x:v>
      </x:c>
      <x:c r="C19" s="22" t="n">
        <x:v>2</x:v>
      </x:c>
      <x:c r="D19" s="22" t="n">
        <x:v>5</x:v>
      </x:c>
      <x:c r="E19" s="22" t="n">
        <x:v>43</x:v>
      </x:c>
      <x:c r="F19" s="30" t="str">
        <x:v>有效</x:v>
      </x:c>
      <x:c r="G19" s="22" t="n">
        <x:v>131</x:v>
      </x:c>
      <x:c r="H19" s="22" t="n">
        <x:v>131</x:v>
      </x:c>
      <x:c r="I19" s="24" t="n">
        <x:v>114.1513</x:v>
      </x:c>
      <x:c r="J19" s="24" t="n">
        <x:v>52.15419999999999</x:v>
      </x:c>
      <x:c r="K19" s="24" t="n">
        <x:v>705.05</x:v>
      </x:c>
      <x:c r="L19" s="24" t="n">
        <x:v>1045.9833333333333</x:v>
      </x:c>
      <x:c r="M19" s="10" t="n">
        <x:v>2</x:v>
      </x:c>
      <x:c r="N19" s="10" t="n">
        <x:v>3</x:v>
      </x:c>
      <x:c r="O19" s="28" t="n">
        <x:f>IF(F19="有效",I19*'参数'!$B$10+J19*'参数'!$B$11,"n.a.")</x:f>
        <x:v>150.01587627499998</x:v>
      </x:c>
      <x:c r="P19" s="28" t="n">
        <x:f>IF(F19="有效",K19*'参数'!$B$12+L19*'参数'!$B$13,"n.a.")</x:f>
        <x:v>1525.773534722222</x:v>
      </x:c>
      <x:c r="Q19" s="28" t="n">
        <x:f>IF(F19="有效",M19*'参数'!$B$14+N19*'参数'!$B$15,"n.a.")</x:f>
        <x:v>380</x:v>
      </x:c>
      <x:c r="R19" s="28" t="n">
        <x:f>IF(F19="有效",IF(D19&lt;=2,G19*('参数'!$B$6+'参数'!$B$18),0),"n.a.")</x:f>
        <x:v>0</x:v>
      </x:c>
      <x:c r="S19" s="28" t="n">
        <x:f>IF(F19="有效",IF(D19&gt;=3,G19*'参数'!$B$16,0),"n.a.")</x:f>
        <x:v>104.80000000000001</x:v>
      </x:c>
      <x:c r="T19" s="28" t="n">
        <x:f>IF(F19="有效",IF(D19&gt;=3,G19*'参数'!$B$17,0),"n.a.")</x:f>
        <x:v>13.100000000000001</x:v>
      </x:c>
      <x:c r="U19" s="28" t="n">
        <x:f>IF(F19="有效",SUM(O19:T19),"n.a.")</x:f>
        <x:v>2173.6894109972222</x:v>
      </x:c>
      <x:c r="V19" s="28" t="n">
        <x:f>IF(F19="有效",H19*'参数'!$B$7,"n.a.")</x:f>
        <x:v>4781.5</x:v>
      </x:c>
      <x:c r="W19" s="28" t="n">
        <x:f>IF(F19="有效",IF(D19&gt;=3,G19*'参数'!$B$7/'参数'!$B$8,0),"n.a.")</x:f>
        <x:v>95.63</x:v>
      </x:c>
      <x:c r="X19" s="28" t="n">
        <x:f>IF(F19="有效",U19+W19,"n.a.")</x:f>
        <x:v>2269.3194109972223</x:v>
      </x:c>
      <x:c r="Y19" s="28" t="n">
        <x:f>IF(F19="有效",X19/G19,"n.a.")</x:f>
        <x:v>17.323048938910095</x:v>
      </x:c>
    </x:row>
    <x:row r="20" ht="22" customHeight="1">
      <x:c r="A20" s="11" t="str">
        <x:v>lade_0823_10aoi</x:v>
      </x:c>
      <x:c r="B20" s="22" t="n">
        <x:v>10</x:v>
      </x:c>
      <x:c r="C20" s="22" t="n">
        <x:v>2</x:v>
      </x:c>
      <x:c r="D20" s="22" t="n">
        <x:v>5</x:v>
      </x:c>
      <x:c r="E20" s="22" t="n">
        <x:v>44</x:v>
      </x:c>
      <x:c r="F20" s="30" t="str">
        <x:v>有效</x:v>
      </x:c>
      <x:c r="G20" s="22" t="n">
        <x:v>131</x:v>
      </x:c>
      <x:c r="H20" s="22" t="n">
        <x:v>131</x:v>
      </x:c>
      <x:c r="I20" s="24" t="n">
        <x:v>114.1513</x:v>
      </x:c>
      <x:c r="J20" s="24" t="n">
        <x:v>52.15419999999999</x:v>
      </x:c>
      <x:c r="K20" s="24" t="n">
        <x:v>705.05</x:v>
      </x:c>
      <x:c r="L20" s="24" t="n">
        <x:v>1045.9833333333333</x:v>
      </x:c>
      <x:c r="M20" s="10" t="n">
        <x:v>2</x:v>
      </x:c>
      <x:c r="N20" s="10" t="n">
        <x:v>3</x:v>
      </x:c>
      <x:c r="O20" s="28" t="n">
        <x:f>IF(F20="有效",I20*'参数'!$B$10+J20*'参数'!$B$11,"n.a.")</x:f>
        <x:v>150.01587627499998</x:v>
      </x:c>
      <x:c r="P20" s="28" t="n">
        <x:f>IF(F20="有效",K20*'参数'!$B$12+L20*'参数'!$B$13,"n.a.")</x:f>
        <x:v>1525.773534722222</x:v>
      </x:c>
      <x:c r="Q20" s="28" t="n">
        <x:f>IF(F20="有效",M20*'参数'!$B$14+N20*'参数'!$B$15,"n.a.")</x:f>
        <x:v>380</x:v>
      </x:c>
      <x:c r="R20" s="28" t="n">
        <x:f>IF(F20="有效",IF(D20&lt;=2,G20*('参数'!$B$6+'参数'!$B$18),0),"n.a.")</x:f>
        <x:v>0</x:v>
      </x:c>
      <x:c r="S20" s="28" t="n">
        <x:f>IF(F20="有效",IF(D20&gt;=3,G20*'参数'!$B$16,0),"n.a.")</x:f>
        <x:v>104.80000000000001</x:v>
      </x:c>
      <x:c r="T20" s="28" t="n">
        <x:f>IF(F20="有效",IF(D20&gt;=3,G20*'参数'!$B$17,0),"n.a.")</x:f>
        <x:v>13.100000000000001</x:v>
      </x:c>
      <x:c r="U20" s="28" t="n">
        <x:f>IF(F20="有效",SUM(O20:T20),"n.a.")</x:f>
        <x:v>2173.6894109972222</x:v>
      </x:c>
      <x:c r="V20" s="28" t="n">
        <x:f>IF(F20="有效",H20*'参数'!$B$7,"n.a.")</x:f>
        <x:v>4781.5</x:v>
      </x:c>
      <x:c r="W20" s="28" t="n">
        <x:f>IF(F20="有效",IF(D20&gt;=3,G20*'参数'!$B$7/'参数'!$B$8,0),"n.a.")</x:f>
        <x:v>95.63</x:v>
      </x:c>
      <x:c r="X20" s="28" t="n">
        <x:f>IF(F20="有效",U20+W20,"n.a.")</x:f>
        <x:v>2269.3194109972223</x:v>
      </x:c>
      <x:c r="Y20" s="28" t="n">
        <x:f>IF(F20="有效",X20/G20,"n.a.")</x:f>
        <x:v>17.323048938910095</x:v>
      </x:c>
    </x:row>
    <x:row r="21" ht="22" customHeight="1">
      <x:c r="A21" s="11" t="str">
        <x:v>lade_0823_10aoi</x:v>
      </x:c>
      <x:c r="B21" s="22" t="n">
        <x:v>10</x:v>
      </x:c>
      <x:c r="C21" s="22" t="n">
        <x:v>3</x:v>
      </x:c>
      <x:c r="D21" s="22" t="n">
        <x:v>5</x:v>
      </x:c>
      <x:c r="E21" s="22" t="n">
        <x:v>42</x:v>
      </x:c>
      <x:c r="F21" s="30" t="str">
        <x:v>有效</x:v>
      </x:c>
      <x:c r="G21" s="22" t="n">
        <x:v>131</x:v>
      </x:c>
      <x:c r="H21" s="22" t="n">
        <x:v>131</x:v>
      </x:c>
      <x:c r="I21" s="24" t="n">
        <x:v>263.74330000000003</x:v>
      </x:c>
      <x:c r="J21" s="24" t="n">
        <x:v>58.178099999999986</x:v>
      </x:c>
      <x:c r="K21" s="24" t="n">
        <x:v>1117.4166666666667</x:v>
      </x:c>
      <x:c r="L21" s="24" t="n">
        <x:v>724.6</x:v>
      </x:c>
      <x:c r="M21" s="10" t="n">
        <x:v>3</x:v>
      </x:c>
      <x:c r="N21" s="10" t="n">
        <x:v>3</x:v>
      </x:c>
      <x:c r="O21" s="28" t="n">
        <x:f>IF(F21="有效",I21*'参数'!$B$10+J21*'参数'!$B$11,"n.a.")</x:f>
        <x:v>290.38919887000003</x:v>
      </x:c>
      <x:c r="P21" s="28" t="n">
        <x:f>IF(F21="有效",K21*'参数'!$B$12+L21*'参数'!$B$13,"n.a.")</x:f>
        <x:v>1731.8464489583334</x:v>
      </x:c>
      <x:c r="Q21" s="28" t="n">
        <x:f>IF(F21="有效",M21*'参数'!$B$14+N21*'参数'!$B$15,"n.a.")</x:f>
        <x:v>480</x:v>
      </x:c>
      <x:c r="R21" s="28" t="n">
        <x:f>IF(F21="有效",IF(D21&lt;=2,G21*('参数'!$B$6+'参数'!$B$18),0),"n.a.")</x:f>
        <x:v>0</x:v>
      </x:c>
      <x:c r="S21" s="28" t="n">
        <x:f>IF(F21="有效",IF(D21&gt;=3,G21*'参数'!$B$16,0),"n.a.")</x:f>
        <x:v>104.80000000000001</x:v>
      </x:c>
      <x:c r="T21" s="28" t="n">
        <x:f>IF(F21="有效",IF(D21&gt;=3,G21*'参数'!$B$17,0),"n.a.")</x:f>
        <x:v>13.100000000000001</x:v>
      </x:c>
      <x:c r="U21" s="28" t="n">
        <x:f>IF(F21="有效",SUM(O21:T21),"n.a.")</x:f>
        <x:v>2620.1356478283337</x:v>
      </x:c>
      <x:c r="V21" s="28" t="n">
        <x:f>IF(F21="有效",H21*'参数'!$B$7,"n.a.")</x:f>
        <x:v>4781.5</x:v>
      </x:c>
      <x:c r="W21" s="28" t="n">
        <x:f>IF(F21="有效",IF(D21&gt;=3,G21*'参数'!$B$7/'参数'!$B$8,0),"n.a.")</x:f>
        <x:v>95.63</x:v>
      </x:c>
      <x:c r="X21" s="28" t="n">
        <x:f>IF(F21="有效",U21+W21,"n.a.")</x:f>
        <x:v>2715.765647828334</x:v>
      </x:c>
      <x:c r="Y21" s="28" t="n">
        <x:f>IF(F21="有效",X21/G21,"n.a.")</x:f>
        <x:v>20.731035479605602</x:v>
      </x:c>
    </x:row>
    <x:row r="22" ht="22" customHeight="1">
      <x:c r="A22" s="11" t="str">
        <x:v>lade_0823_10aoi</x:v>
      </x:c>
      <x:c r="B22" s="22" t="n">
        <x:v>10</x:v>
      </x:c>
      <x:c r="C22" s="22" t="n">
        <x:v>3</x:v>
      </x:c>
      <x:c r="D22" s="22" t="n">
        <x:v>5</x:v>
      </x:c>
      <x:c r="E22" s="22" t="n">
        <x:v>43</x:v>
      </x:c>
      <x:c r="F22" s="30" t="str">
        <x:v>有效</x:v>
      </x:c>
      <x:c r="G22" s="22" t="n">
        <x:v>131</x:v>
      </x:c>
      <x:c r="H22" s="22" t="n">
        <x:v>131</x:v>
      </x:c>
      <x:c r="I22" s="24" t="n">
        <x:v>355.17379999999997</x:v>
      </x:c>
      <x:c r="J22" s="24" t="n">
        <x:v>58.178099999999986</x:v>
      </x:c>
      <x:c r="K22" s="24" t="n">
        <x:v>1523.2333333333333</x:v>
      </x:c>
      <x:c r="L22" s="24" t="n">
        <x:v>757.9666666666667</x:v>
      </x:c>
      <x:c r="M22" s="10" t="n">
        <x:v>3</x:v>
      </x:c>
      <x:c r="N22" s="10" t="n">
        <x:v>3</x:v>
      </x:c>
      <x:c r="O22" s="28" t="n">
        <x:f>IF(F22="有效",I22*'参数'!$B$10+J22*'参数'!$B$11,"n.a.")</x:f>
        <x:v>372.86408139499997</x:v>
      </x:c>
      <x:c r="P22" s="28" t="n">
        <x:f>IF(F22="有效",K22*'参数'!$B$12+L22*'参数'!$B$13,"n.a.")</x:f>
        <x:v>2191.802856944444</x:v>
      </x:c>
      <x:c r="Q22" s="28" t="n">
        <x:f>IF(F22="有效",M22*'参数'!$B$14+N22*'参数'!$B$15,"n.a.")</x:f>
        <x:v>480</x:v>
      </x:c>
      <x:c r="R22" s="28" t="n">
        <x:f>IF(F22="有效",IF(D22&lt;=2,G22*('参数'!$B$6+'参数'!$B$18),0),"n.a.")</x:f>
        <x:v>0</x:v>
      </x:c>
      <x:c r="S22" s="28" t="n">
        <x:f>IF(F22="有效",IF(D22&gt;=3,G22*'参数'!$B$16,0),"n.a.")</x:f>
        <x:v>104.80000000000001</x:v>
      </x:c>
      <x:c r="T22" s="28" t="n">
        <x:f>IF(F22="有效",IF(D22&gt;=3,G22*'参数'!$B$17,0),"n.a.")</x:f>
        <x:v>13.100000000000001</x:v>
      </x:c>
      <x:c r="U22" s="28" t="n">
        <x:f>IF(F22="有效",SUM(O22:T22),"n.a.")</x:f>
        <x:v>3162.5669383394443</x:v>
      </x:c>
      <x:c r="V22" s="28" t="n">
        <x:f>IF(F22="有效",H22*'参数'!$B$7,"n.a.")</x:f>
        <x:v>4781.5</x:v>
      </x:c>
      <x:c r="W22" s="28" t="n">
        <x:f>IF(F22="有效",IF(D22&gt;=3,G22*'参数'!$B$7/'参数'!$B$8,0),"n.a.")</x:f>
        <x:v>95.63</x:v>
      </x:c>
      <x:c r="X22" s="28" t="n">
        <x:f>IF(F22="有效",U22+W22,"n.a.")</x:f>
        <x:v>3258.1969383394444</x:v>
      </x:c>
      <x:c r="Y22" s="28" t="n">
        <x:f>IF(F22="有效",X22/G22,"n.a.")</x:f>
        <x:v>24.871732353736217</x:v>
      </x:c>
    </x:row>
    <x:row r="23" ht="22" customHeight="1">
      <x:c r="A23" s="11" t="str">
        <x:v>lade_0823_10aoi</x:v>
      </x:c>
      <x:c r="B23" s="22" t="n">
        <x:v>10</x:v>
      </x:c>
      <x:c r="C23" s="22" t="n">
        <x:v>3</x:v>
      </x:c>
      <x:c r="D23" s="22" t="n">
        <x:v>5</x:v>
      </x:c>
      <x:c r="E23" s="22" t="n">
        <x:v>44</x:v>
      </x:c>
      <x:c r="F23" s="30" t="str">
        <x:v>有效</x:v>
      </x:c>
      <x:c r="G23" s="22" t="n">
        <x:v>131</x:v>
      </x:c>
      <x:c r="H23" s="22" t="n">
        <x:v>131</x:v>
      </x:c>
      <x:c r="I23" s="24" t="n">
        <x:v>311.18580000000003</x:v>
      </x:c>
      <x:c r="J23" s="24" t="n">
        <x:v>58.178099999999986</x:v>
      </x:c>
      <x:c r="K23" s="24" t="n">
        <x:v>1321.6333333333334</x:v>
      </x:c>
      <x:c r="L23" s="24" t="n">
        <x:v>682.3666666666667</x:v>
      </x:c>
      <x:c r="M23" s="10" t="n">
        <x:v>2</x:v>
      </x:c>
      <x:c r="N23" s="10" t="n">
        <x:v>3</x:v>
      </x:c>
      <x:c r="O23" s="28" t="n">
        <x:f>IF(F23="有效",I23*'参数'!$B$10+J23*'参数'!$B$11,"n.a.")</x:f>
        <x:v>333.184705995</x:v>
      </x:c>
      <x:c r="P23" s="28" t="n">
        <x:f>IF(F23="有效",K23*'参数'!$B$12+L23*'参数'!$B$13,"n.a.")</x:f>
        <x:v>1919.8964319444444</x:v>
      </x:c>
      <x:c r="Q23" s="28" t="n">
        <x:f>IF(F23="有效",M23*'参数'!$B$14+N23*'参数'!$B$15,"n.a.")</x:f>
        <x:v>380</x:v>
      </x:c>
      <x:c r="R23" s="28" t="n">
        <x:f>IF(F23="有效",IF(D23&lt;=2,G23*('参数'!$B$6+'参数'!$B$18),0),"n.a.")</x:f>
        <x:v>0</x:v>
      </x:c>
      <x:c r="S23" s="28" t="n">
        <x:f>IF(F23="有效",IF(D23&gt;=3,G23*'参数'!$B$16,0),"n.a.")</x:f>
        <x:v>104.80000000000001</x:v>
      </x:c>
      <x:c r="T23" s="28" t="n">
        <x:f>IF(F23="有效",IF(D23&gt;=3,G23*'参数'!$B$17,0),"n.a.")</x:f>
        <x:v>13.100000000000001</x:v>
      </x:c>
      <x:c r="U23" s="28" t="n">
        <x:f>IF(F23="有效",SUM(O23:T23),"n.a.")</x:f>
        <x:v>2750.9811379394446</x:v>
      </x:c>
      <x:c r="V23" s="28" t="n">
        <x:f>IF(F23="有效",H23*'参数'!$B$7,"n.a.")</x:f>
        <x:v>4781.5</x:v>
      </x:c>
      <x:c r="W23" s="28" t="n">
        <x:f>IF(F23="有效",IF(D23&gt;=3,G23*'参数'!$B$7/'参数'!$B$8,0),"n.a.")</x:f>
        <x:v>95.63</x:v>
      </x:c>
      <x:c r="X23" s="28" t="n">
        <x:f>IF(F23="有效",U23+W23,"n.a.")</x:f>
        <x:v>2846.6111379394447</x:v>
      </x:c>
      <x:c r="Y23" s="28" t="n">
        <x:f>IF(F23="有效",X23/G23,"n.a.")</x:f>
        <x:v>21.72985601480492</x:v>
      </x:c>
    </x:row>
    <x:row r="24" ht="22" customHeight="1">
      <x:c r="A24" s="11" t="str">
        <x:v>lade_0823_20aoi</x:v>
      </x:c>
      <x:c r="B24" s="22" t="n">
        <x:v>20</x:v>
      </x:c>
      <x:c r="C24" s="22" t="n">
        <x:v>1</x:v>
      </x:c>
      <x:c r="D24" s="22" t="n">
        <x:v>1</x:v>
      </x:c>
      <x:c r="E24" s="22" t="n">
        <x:v>42</x:v>
      </x:c>
      <x:c r="F24" s="30" t="str">
        <x:v>有效</x:v>
      </x:c>
      <x:c r="G24" s="22" t="n">
        <x:v>201</x:v>
      </x:c>
      <x:c r="H24" s="22" t="n">
        <x:v>0</x:v>
      </x:c>
      <x:c r="I24" s="24" t="n">
        <x:v>59.477500000000006</x:v>
      </x:c>
      <x:c r="J24" s="24" t="n">
        <x:v>56.008499999999984</x:v>
      </x:c>
      <x:c r="K24" s="24" t="n">
        <x:v>60.63333333333333</x:v>
      </x:c>
      <x:c r="L24" s="24" t="n">
        <x:v>2447.366666666667</x:v>
      </x:c>
      <x:c r="M24" s="10" t="n">
        <x:v>1</x:v>
      </x:c>
      <x:c r="N24" s="10" t="n">
        <x:v>6</x:v>
      </x:c>
      <x:c r="O24" s="28" t="n">
        <x:f>IF(F24="有效",I24*'参数'!$B$10+J24*'参数'!$B$11,"n.a.")</x:f>
        <x:v>104.17414629999999</x:v>
      </x:c>
      <x:c r="P24" s="28" t="n">
        <x:f>IF(F24="有效",K24*'参数'!$B$12+L24*'参数'!$B$13,"n.a.")</x:f>
        <x:v>1865.0429736111114</x:v>
      </x:c>
      <x:c r="Q24" s="28" t="n">
        <x:f>IF(F24="有效",M24*'参数'!$B$14+N24*'参数'!$B$15,"n.a.")</x:f>
        <x:v>460</x:v>
      </x:c>
      <x:c r="R24" s="28" t="n">
        <x:f>IF(F24="有效",IF(D24&lt;=2,G24*('参数'!$B$6+'参数'!$B$18),0),"n.a.")</x:f>
        <x:v>804</x:v>
      </x:c>
      <x:c r="S24" s="28" t="n">
        <x:f>IF(F24="有效",IF(D24&gt;=3,G24*'参数'!$B$16,0),"n.a.")</x:f>
        <x:v>0</x:v>
      </x:c>
      <x:c r="T24" s="28" t="n">
        <x:f>IF(F24="有效",IF(D24&gt;=3,G24*'参数'!$B$17,0),"n.a.")</x:f>
        <x:v>0</x:v>
      </x:c>
      <x:c r="U24" s="28" t="n">
        <x:f>IF(F24="有效",SUM(O24:T24),"n.a.")</x:f>
        <x:v>3233.2171199111117</x:v>
      </x:c>
      <x:c r="V24" s="28" t="n">
        <x:f>IF(F24="有效",H24*'参数'!$B$7,"n.a.")</x:f>
        <x:v>0</x:v>
      </x:c>
      <x:c r="W24" s="28" t="n">
        <x:f>IF(F24="有效",IF(D24&gt;=3,G24*'参数'!$B$7/'参数'!$B$8,0),"n.a.")</x:f>
        <x:v>0</x:v>
      </x:c>
      <x:c r="X24" s="28" t="n">
        <x:f>IF(F24="有效",U24+W24,"n.a.")</x:f>
        <x:v>3233.2171199111117</x:v>
      </x:c>
      <x:c r="Y24" s="28" t="n">
        <x:f>IF(F24="有效",X24/G24,"n.a.")</x:f>
        <x:v>16.085657312990605</x:v>
      </x:c>
    </x:row>
    <x:row r="25" ht="22" customHeight="1">
      <x:c r="A25" s="11" t="str">
        <x:v>lade_0823_20aoi</x:v>
      </x:c>
      <x:c r="B25" s="22" t="n">
        <x:v>20</x:v>
      </x:c>
      <x:c r="C25" s="22" t="n">
        <x:v>1</x:v>
      </x:c>
      <x:c r="D25" s="22" t="n">
        <x:v>1</x:v>
      </x:c>
      <x:c r="E25" s="22" t="n">
        <x:v>43</x:v>
      </x:c>
      <x:c r="F25" s="30" t="str">
        <x:v>有效</x:v>
      </x:c>
      <x:c r="G25" s="22" t="n">
        <x:v>201</x:v>
      </x:c>
      <x:c r="H25" s="22" t="n">
        <x:v>0</x:v>
      </x:c>
      <x:c r="I25" s="24" t="n">
        <x:v>59.477500000000006</x:v>
      </x:c>
      <x:c r="J25" s="24" t="n">
        <x:v>56.104099999999995</x:v>
      </x:c>
      <x:c r="K25" s="24" t="n">
        <x:v>60.63333333333333</x:v>
      </x:c>
      <x:c r="L25" s="24" t="n">
        <x:v>2447.366666666667</x:v>
      </x:c>
      <x:c r="M25" s="10" t="n">
        <x:v>1</x:v>
      </x:c>
      <x:c r="N25" s="10" t="n">
        <x:v>6</x:v>
      </x:c>
      <x:c r="O25" s="28" t="n">
        <x:f>IF(F25="有效",I25*'参数'!$B$10+J25*'参数'!$B$11,"n.a.")</x:f>
        <x:v>104.26038228000002</x:v>
      </x:c>
      <x:c r="P25" s="28" t="n">
        <x:f>IF(F25="有效",K25*'参数'!$B$12+L25*'参数'!$B$13,"n.a.")</x:f>
        <x:v>1865.0429736111114</x:v>
      </x:c>
      <x:c r="Q25" s="28" t="n">
        <x:f>IF(F25="有效",M25*'参数'!$B$14+N25*'参数'!$B$15,"n.a.")</x:f>
        <x:v>460</x:v>
      </x:c>
      <x:c r="R25" s="28" t="n">
        <x:f>IF(F25="有效",IF(D25&lt;=2,G25*('参数'!$B$6+'参数'!$B$18),0),"n.a.")</x:f>
        <x:v>804</x:v>
      </x:c>
      <x:c r="S25" s="28" t="n">
        <x:f>IF(F25="有效",IF(D25&gt;=3,G25*'参数'!$B$16,0),"n.a.")</x:f>
        <x:v>0</x:v>
      </x:c>
      <x:c r="T25" s="28" t="n">
        <x:f>IF(F25="有效",IF(D25&gt;=3,G25*'参数'!$B$17,0),"n.a.")</x:f>
        <x:v>0</x:v>
      </x:c>
      <x:c r="U25" s="28" t="n">
        <x:f>IF(F25="有效",SUM(O25:T25),"n.a.")</x:f>
        <x:v>3233.303355891111</x:v>
      </x:c>
      <x:c r="V25" s="28" t="n">
        <x:f>IF(F25="有效",H25*'参数'!$B$7,"n.a.")</x:f>
        <x:v>0</x:v>
      </x:c>
      <x:c r="W25" s="28" t="n">
        <x:f>IF(F25="有效",IF(D25&gt;=3,G25*'参数'!$B$7/'参数'!$B$8,0),"n.a.")</x:f>
        <x:v>0</x:v>
      </x:c>
      <x:c r="X25" s="28" t="n">
        <x:f>IF(F25="有效",U25+W25,"n.a.")</x:f>
        <x:v>3233.303355891111</x:v>
      </x:c>
      <x:c r="Y25" s="28" t="n">
        <x:f>IF(F25="有效",X25/G25,"n.a.")</x:f>
        <x:v>16.08608634771697</x:v>
      </x:c>
    </x:row>
    <x:row r="26" ht="22" customHeight="1">
      <x:c r="A26" s="11" t="str">
        <x:v>lade_0823_20aoi</x:v>
      </x:c>
      <x:c r="B26" s="22" t="n">
        <x:v>20</x:v>
      </x:c>
      <x:c r="C26" s="22" t="n">
        <x:v>1</x:v>
      </x:c>
      <x:c r="D26" s="22" t="n">
        <x:v>1</x:v>
      </x:c>
      <x:c r="E26" s="22" t="n">
        <x:v>44</x:v>
      </x:c>
      <x:c r="F26" s="30" t="str">
        <x:v>有效</x:v>
      </x:c>
      <x:c r="G26" s="22" t="n">
        <x:v>201</x:v>
      </x:c>
      <x:c r="H26" s="22" t="n">
        <x:v>0</x:v>
      </x:c>
      <x:c r="I26" s="24" t="n">
        <x:v>59.477500000000006</x:v>
      </x:c>
      <x:c r="J26" s="24" t="n">
        <x:v>56.008499999999984</x:v>
      </x:c>
      <x:c r="K26" s="24" t="n">
        <x:v>60.63333333333333</x:v>
      </x:c>
      <x:c r="L26" s="24" t="n">
        <x:v>2447.366666666667</x:v>
      </x:c>
      <x:c r="M26" s="10" t="n">
        <x:v>1</x:v>
      </x:c>
      <x:c r="N26" s="10" t="n">
        <x:v>6</x:v>
      </x:c>
      <x:c r="O26" s="28" t="n">
        <x:f>IF(F26="有效",I26*'参数'!$B$10+J26*'参数'!$B$11,"n.a.")</x:f>
        <x:v>104.17414629999999</x:v>
      </x:c>
      <x:c r="P26" s="28" t="n">
        <x:f>IF(F26="有效",K26*'参数'!$B$12+L26*'参数'!$B$13,"n.a.")</x:f>
        <x:v>1865.0429736111114</x:v>
      </x:c>
      <x:c r="Q26" s="28" t="n">
        <x:f>IF(F26="有效",M26*'参数'!$B$14+N26*'参数'!$B$15,"n.a.")</x:f>
        <x:v>460</x:v>
      </x:c>
      <x:c r="R26" s="28" t="n">
        <x:f>IF(F26="有效",IF(D26&lt;=2,G26*('参数'!$B$6+'参数'!$B$18),0),"n.a.")</x:f>
        <x:v>804</x:v>
      </x:c>
      <x:c r="S26" s="28" t="n">
        <x:f>IF(F26="有效",IF(D26&gt;=3,G26*'参数'!$B$16,0),"n.a.")</x:f>
        <x:v>0</x:v>
      </x:c>
      <x:c r="T26" s="28" t="n">
        <x:f>IF(F26="有效",IF(D26&gt;=3,G26*'参数'!$B$17,0),"n.a.")</x:f>
        <x:v>0</x:v>
      </x:c>
      <x:c r="U26" s="28" t="n">
        <x:f>IF(F26="有效",SUM(O26:T26),"n.a.")</x:f>
        <x:v>3233.2171199111117</x:v>
      </x:c>
      <x:c r="V26" s="28" t="n">
        <x:f>IF(F26="有效",H26*'参数'!$B$7,"n.a.")</x:f>
        <x:v>0</x:v>
      </x:c>
      <x:c r="W26" s="28" t="n">
        <x:f>IF(F26="有效",IF(D26&gt;=3,G26*'参数'!$B$7/'参数'!$B$8,0),"n.a.")</x:f>
        <x:v>0</x:v>
      </x:c>
      <x:c r="X26" s="28" t="n">
        <x:f>IF(F26="有效",U26+W26,"n.a.")</x:f>
        <x:v>3233.2171199111117</x:v>
      </x:c>
      <x:c r="Y26" s="28" t="n">
        <x:f>IF(F26="有效",X26/G26,"n.a.")</x:f>
        <x:v>16.085657312990605</x:v>
      </x:c>
    </x:row>
    <x:row r="27" ht="22" customHeight="1">
      <x:c r="A27" s="11" t="str">
        <x:v>lade_0823_20aoi</x:v>
      </x:c>
      <x:c r="B27" s="22" t="n">
        <x:v>20</x:v>
      </x:c>
      <x:c r="C27" s="22" t="n">
        <x:v>1</x:v>
      </x:c>
      <x:c r="D27" s="22" t="n">
        <x:v>2</x:v>
      </x:c>
      <x:c r="E27" s="22" t="n">
        <x:v>42</x:v>
      </x:c>
      <x:c r="F27" s="30" t="str">
        <x:v>有效</x:v>
      </x:c>
      <x:c r="G27" s="22" t="n">
        <x:v>201</x:v>
      </x:c>
      <x:c r="H27" s="22" t="n">
        <x:v>0</x:v>
      </x:c>
      <x:c r="I27" s="24" t="n">
        <x:v>59.477500000000006</x:v>
      </x:c>
      <x:c r="J27" s="24" t="n">
        <x:v>51.6396</x:v>
      </x:c>
      <x:c r="K27" s="24" t="n">
        <x:v>60.63333333333333</x:v>
      </x:c>
      <x:c r="L27" s="24" t="n">
        <x:v>1947.2666666666667</x:v>
      </x:c>
      <x:c r="M27" s="10" t="n">
        <x:v>1</x:v>
      </x:c>
      <x:c r="N27" s="10" t="n">
        <x:v>5</x:v>
      </x:c>
      <x:c r="O27" s="28" t="n">
        <x:f>IF(F27="有效",I27*'参数'!$B$10+J27*'参数'!$B$11,"n.a.")</x:f>
        <x:v>100.23318005500002</x:v>
      </x:c>
      <x:c r="P27" s="28" t="n">
        <x:f>IF(F27="有效",K27*'参数'!$B$12+L27*'参数'!$B$13,"n.a.")</x:f>
        <x:v>1497.2298423611112</x:v>
      </x:c>
      <x:c r="Q27" s="28" t="n">
        <x:f>IF(F27="有效",M27*'参数'!$B$14+N27*'参数'!$B$15,"n.a.")</x:f>
        <x:v>400</x:v>
      </x:c>
      <x:c r="R27" s="28" t="n">
        <x:f>IF(F27="有效",IF(D27&lt;=2,G27*('参数'!$B$6+'参数'!$B$18),0),"n.a.")</x:f>
        <x:v>804</x:v>
      </x:c>
      <x:c r="S27" s="28" t="n">
        <x:f>IF(F27="有效",IF(D27&gt;=3,G27*'参数'!$B$16,0),"n.a.")</x:f>
        <x:v>0</x:v>
      </x:c>
      <x:c r="T27" s="28" t="n">
        <x:f>IF(F27="有效",IF(D27&gt;=3,G27*'参数'!$B$17,0),"n.a.")</x:f>
        <x:v>0</x:v>
      </x:c>
      <x:c r="U27" s="28" t="n">
        <x:f>IF(F27="有效",SUM(O27:T27),"n.a.")</x:f>
        <x:v>2801.463022416111</x:v>
      </x:c>
      <x:c r="V27" s="28" t="n">
        <x:f>IF(F27="有效",H27*'参数'!$B$7,"n.a.")</x:f>
        <x:v>0</x:v>
      </x:c>
      <x:c r="W27" s="28" t="n">
        <x:f>IF(F27="有效",IF(D27&gt;=3,G27*'参数'!$B$7/'参数'!$B$8,0),"n.a.")</x:f>
        <x:v>0</x:v>
      </x:c>
      <x:c r="X27" s="28" t="n">
        <x:f>IF(F27="有效",U27+W27,"n.a.")</x:f>
        <x:v>2801.463022416111</x:v>
      </x:c>
      <x:c r="Y27" s="28" t="n">
        <x:f>IF(F27="有效",X27/G27,"n.a.")</x:f>
        <x:v>13.937626977194583</x:v>
      </x:c>
    </x:row>
    <x:row r="28" ht="22" customHeight="1">
      <x:c r="A28" s="11" t="str">
        <x:v>lade_0823_20aoi</x:v>
      </x:c>
      <x:c r="B28" s="22" t="n">
        <x:v>20</x:v>
      </x:c>
      <x:c r="C28" s="22" t="n">
        <x:v>1</x:v>
      </x:c>
      <x:c r="D28" s="22" t="n">
        <x:v>2</x:v>
      </x:c>
      <x:c r="E28" s="22" t="n">
        <x:v>43</x:v>
      </x:c>
      <x:c r="F28" s="30" t="str">
        <x:v>有效</x:v>
      </x:c>
      <x:c r="G28" s="22" t="n">
        <x:v>201</x:v>
      </x:c>
      <x:c r="H28" s="22" t="n">
        <x:v>0</x:v>
      </x:c>
      <x:c r="I28" s="24" t="n">
        <x:v>59.477500000000006</x:v>
      </x:c>
      <x:c r="J28" s="24" t="n">
        <x:v>49.6127</x:v>
      </x:c>
      <x:c r="K28" s="24" t="n">
        <x:v>60.63333333333333</x:v>
      </x:c>
      <x:c r="L28" s="24" t="n">
        <x:v>2176.4166666666665</x:v>
      </x:c>
      <x:c r="M28" s="10" t="n">
        <x:v>1</x:v>
      </x:c>
      <x:c r="N28" s="10" t="n">
        <x:v>5</x:v>
      </x:c>
      <x:c r="O28" s="28" t="n">
        <x:f>IF(F28="有效",I28*'参数'!$B$10+J28*'参数'!$B$11,"n.a.")</x:f>
        <x:v>98.40481491</x:v>
      </x:c>
      <x:c r="P28" s="28" t="n">
        <x:f>IF(F28="有效",K28*'参数'!$B$12+L28*'参数'!$B$13,"n.a.")</x:f>
        <x:v>1665.7648934027777</x:v>
      </x:c>
      <x:c r="Q28" s="28" t="n">
        <x:f>IF(F28="有效",M28*'参数'!$B$14+N28*'参数'!$B$15,"n.a.")</x:f>
        <x:v>400</x:v>
      </x:c>
      <x:c r="R28" s="28" t="n">
        <x:f>IF(F28="有效",IF(D28&lt;=2,G28*('参数'!$B$6+'参数'!$B$18),0),"n.a.")</x:f>
        <x:v>804</x:v>
      </x:c>
      <x:c r="S28" s="28" t="n">
        <x:f>IF(F28="有效",IF(D28&gt;=3,G28*'参数'!$B$16,0),"n.a.")</x:f>
        <x:v>0</x:v>
      </x:c>
      <x:c r="T28" s="28" t="n">
        <x:f>IF(F28="有效",IF(D28&gt;=3,G28*'参数'!$B$17,0),"n.a.")</x:f>
        <x:v>0</x:v>
      </x:c>
      <x:c r="U28" s="28" t="n">
        <x:f>IF(F28="有效",SUM(O28:T28),"n.a.")</x:f>
        <x:v>2968.1697083127774</x:v>
      </x:c>
      <x:c r="V28" s="28" t="n">
        <x:f>IF(F28="有效",H28*'参数'!$B$7,"n.a.")</x:f>
        <x:v>0</x:v>
      </x:c>
      <x:c r="W28" s="28" t="n">
        <x:f>IF(F28="有效",IF(D28&gt;=3,G28*'参数'!$B$7/'参数'!$B$8,0),"n.a.")</x:f>
        <x:v>0</x:v>
      </x:c>
      <x:c r="X28" s="28" t="n">
        <x:f>IF(F28="有效",U28+W28,"n.a.")</x:f>
        <x:v>2968.1697083127774</x:v>
      </x:c>
      <x:c r="Y28" s="28" t="n">
        <x:f>IF(F28="有效",X28/G28,"n.a.")</x:f>
        <x:v>14.767013474192922</x:v>
      </x:c>
    </x:row>
    <x:row r="29" ht="22" customHeight="1">
      <x:c r="A29" s="11" t="str">
        <x:v>lade_0823_20aoi</x:v>
      </x:c>
      <x:c r="B29" s="22" t="n">
        <x:v>20</x:v>
      </x:c>
      <x:c r="C29" s="22" t="n">
        <x:v>1</x:v>
      </x:c>
      <x:c r="D29" s="22" t="n">
        <x:v>2</x:v>
      </x:c>
      <x:c r="E29" s="22" t="n">
        <x:v>44</x:v>
      </x:c>
      <x:c r="F29" s="30" t="str">
        <x:v>有效</x:v>
      </x:c>
      <x:c r="G29" s="22" t="n">
        <x:v>201</x:v>
      </x:c>
      <x:c r="H29" s="22" t="n">
        <x:v>0</x:v>
      </x:c>
      <x:c r="I29" s="24" t="n">
        <x:v>59.477500000000006</x:v>
      </x:c>
      <x:c r="J29" s="24" t="n">
        <x:v>51.58509999999999</x:v>
      </x:c>
      <x:c r="K29" s="24" t="n">
        <x:v>60.63333333333333</x:v>
      </x:c>
      <x:c r="L29" s="24" t="n">
        <x:v>1952.7833333333333</x:v>
      </x:c>
      <x:c r="M29" s="10" t="n">
        <x:v>1</x:v>
      </x:c>
      <x:c r="N29" s="10" t="n">
        <x:v>5</x:v>
      </x:c>
      <x:c r="O29" s="28" t="n">
        <x:f>IF(F29="有效",I29*'参数'!$B$10+J29*'参数'!$B$11,"n.a.")</x:f>
        <x:v>100.18401833</x:v>
      </x:c>
      <x:c r="P29" s="28" t="n">
        <x:f>IF(F29="有效",K29*'参数'!$B$12+L29*'参数'!$B$13,"n.a.")</x:f>
        <x:v>1501.287235763889</x:v>
      </x:c>
      <x:c r="Q29" s="28" t="n">
        <x:f>IF(F29="有效",M29*'参数'!$B$14+N29*'参数'!$B$15,"n.a.")</x:f>
        <x:v>400</x:v>
      </x:c>
      <x:c r="R29" s="28" t="n">
        <x:f>IF(F29="有效",IF(D29&lt;=2,G29*('参数'!$B$6+'参数'!$B$18),0),"n.a.")</x:f>
        <x:v>804</x:v>
      </x:c>
      <x:c r="S29" s="28" t="n">
        <x:f>IF(F29="有效",IF(D29&gt;=3,G29*'参数'!$B$16,0),"n.a.")</x:f>
        <x:v>0</x:v>
      </x:c>
      <x:c r="T29" s="28" t="n">
        <x:f>IF(F29="有效",IF(D29&gt;=3,G29*'参数'!$B$17,0),"n.a.")</x:f>
        <x:v>0</x:v>
      </x:c>
      <x:c r="U29" s="28" t="n">
        <x:f>IF(F29="有效",SUM(O29:T29),"n.a.")</x:f>
        <x:v>2805.471254093889</x:v>
      </x:c>
      <x:c r="V29" s="28" t="n">
        <x:f>IF(F29="有效",H29*'参数'!$B$7,"n.a.")</x:f>
        <x:v>0</x:v>
      </x:c>
      <x:c r="W29" s="28" t="n">
        <x:f>IF(F29="有效",IF(D29&gt;=3,G29*'参数'!$B$7/'参数'!$B$8,0),"n.a.")</x:f>
        <x:v>0</x:v>
      </x:c>
      <x:c r="X29" s="28" t="n">
        <x:f>IF(F29="有效",U29+W29,"n.a.")</x:f>
        <x:v>2805.471254093889</x:v>
      </x:c>
      <x:c r="Y29" s="28" t="n">
        <x:f>IF(F29="有效",X29/G29,"n.a.")</x:f>
        <x:v>13.957568428327805</x:v>
      </x:c>
    </x:row>
    <x:row r="30" ht="22" customHeight="1">
      <x:c r="A30" s="11" t="str">
        <x:v>lade_0823_20aoi</x:v>
      </x:c>
      <x:c r="B30" s="22" t="n">
        <x:v>20</x:v>
      </x:c>
      <x:c r="C30" s="22" t="n">
        <x:v>1</x:v>
      </x:c>
      <x:c r="D30" s="22" t="n">
        <x:v>3</x:v>
      </x:c>
      <x:c r="E30" s="22" t="n">
        <x:v>42</x:v>
      </x:c>
      <x:c r="F30" s="30" t="str">
        <x:v>有效</x:v>
      </x:c>
      <x:c r="G30" s="22" t="n">
        <x:v>201</x:v>
      </x:c>
      <x:c r="H30" s="22" t="n">
        <x:v>201</x:v>
      </x:c>
      <x:c r="I30" s="24" t="n">
        <x:v>63.013999999999996</x:v>
      </x:c>
      <x:c r="J30" s="24" t="n">
        <x:v>60.16369999999999</x:v>
      </x:c>
      <x:c r="K30" s="24" t="n">
        <x:v>738.65</x:v>
      </x:c>
      <x:c r="L30" s="24" t="n">
        <x:v>3103</x:v>
      </x:c>
      <x:c r="M30" s="10" t="n">
        <x:v>1</x:v>
      </x:c>
      <x:c r="N30" s="10" t="n">
        <x:v>6</x:v>
      </x:c>
      <x:c r="O30" s="28" t="n">
        <x:f>IF(F30="有效",I30*'参数'!$B$10+J30*'参数'!$B$11,"n.a.")</x:f>
        <x:v>111.112444285</x:v>
      </x:c>
      <x:c r="P30" s="28" t="n">
        <x:f>IF(F30="有效",K30*'参数'!$B$12+L30*'参数'!$B$13,"n.a.")</x:f>
        <x:v>3074.717138541667</x:v>
      </x:c>
      <x:c r="Q30" s="28" t="n">
        <x:f>IF(F30="有效",M30*'参数'!$B$14+N30*'参数'!$B$15,"n.a.")</x:f>
        <x:v>460</x:v>
      </x:c>
      <x:c r="R30" s="28" t="n">
        <x:f>IF(F30="有效",IF(D30&lt;=2,G30*('参数'!$B$6+'参数'!$B$18),0),"n.a.")</x:f>
        <x:v>0</x:v>
      </x:c>
      <x:c r="S30" s="28" t="n">
        <x:f>IF(F30="有效",IF(D30&gt;=3,G30*'参数'!$B$16,0),"n.a.")</x:f>
        <x:v>160.8</x:v>
      </x:c>
      <x:c r="T30" s="28" t="n">
        <x:f>IF(F30="有效",IF(D30&gt;=3,G30*'参数'!$B$17,0),"n.a.")</x:f>
        <x:v>20.1</x:v>
      </x:c>
      <x:c r="U30" s="28" t="n">
        <x:f>IF(F30="有效",SUM(O30:T30),"n.a.")</x:f>
        <x:v>3826.729582826667</x:v>
      </x:c>
      <x:c r="V30" s="28" t="n">
        <x:f>IF(F30="有效",H30*'参数'!$B$7,"n.a.")</x:f>
        <x:v>7336.5</x:v>
      </x:c>
      <x:c r="W30" s="28" t="n">
        <x:f>IF(F30="有效",IF(D30&gt;=3,G30*'参数'!$B$7/'参数'!$B$8,0),"n.a.")</x:f>
        <x:v>146.73</x:v>
      </x:c>
      <x:c r="X30" s="28" t="n">
        <x:f>IF(F30="有效",U30+W30,"n.a.")</x:f>
        <x:v>3973.459582826667</x:v>
      </x:c>
      <x:c r="Y30" s="28" t="n">
        <x:f>IF(F30="有效",X30/G30,"n.a.")</x:f>
        <x:v>19.76845563595357</x:v>
      </x:c>
    </x:row>
    <x:row r="31" ht="22" customHeight="1">
      <x:c r="A31" s="11" t="str">
        <x:v>lade_0823_20aoi</x:v>
      </x:c>
      <x:c r="B31" s="22" t="n">
        <x:v>20</x:v>
      </x:c>
      <x:c r="C31" s="22" t="n">
        <x:v>1</x:v>
      </x:c>
      <x:c r="D31" s="22" t="n">
        <x:v>3</x:v>
      </x:c>
      <x:c r="E31" s="22" t="n">
        <x:v>43</x:v>
      </x:c>
      <x:c r="F31" s="30" t="str">
        <x:v>有效</x:v>
      </x:c>
      <x:c r="G31" s="22" t="n">
        <x:v>201</x:v>
      </x:c>
      <x:c r="H31" s="22" t="n">
        <x:v>201</x:v>
      </x:c>
      <x:c r="I31" s="24" t="n">
        <x:v>63.013999999999996</x:v>
      </x:c>
      <x:c r="J31" s="24" t="n">
        <x:v>60.16369999999999</x:v>
      </x:c>
      <x:c r="K31" s="24" t="n">
        <x:v>738.65</x:v>
      </x:c>
      <x:c r="L31" s="24" t="n">
        <x:v>3103</x:v>
      </x:c>
      <x:c r="M31" s="10" t="n">
        <x:v>1</x:v>
      </x:c>
      <x:c r="N31" s="10" t="n">
        <x:v>6</x:v>
      </x:c>
      <x:c r="O31" s="28" t="n">
        <x:f>IF(F31="有效",I31*'参数'!$B$10+J31*'参数'!$B$11,"n.a.")</x:f>
        <x:v>111.112444285</x:v>
      </x:c>
      <x:c r="P31" s="28" t="n">
        <x:f>IF(F31="有效",K31*'参数'!$B$12+L31*'参数'!$B$13,"n.a.")</x:f>
        <x:v>3074.717138541667</x:v>
      </x:c>
      <x:c r="Q31" s="28" t="n">
        <x:f>IF(F31="有效",M31*'参数'!$B$14+N31*'参数'!$B$15,"n.a.")</x:f>
        <x:v>460</x:v>
      </x:c>
      <x:c r="R31" s="28" t="n">
        <x:f>IF(F31="有效",IF(D31&lt;=2,G31*('参数'!$B$6+'参数'!$B$18),0),"n.a.")</x:f>
        <x:v>0</x:v>
      </x:c>
      <x:c r="S31" s="28" t="n">
        <x:f>IF(F31="有效",IF(D31&gt;=3,G31*'参数'!$B$16,0),"n.a.")</x:f>
        <x:v>160.8</x:v>
      </x:c>
      <x:c r="T31" s="28" t="n">
        <x:f>IF(F31="有效",IF(D31&gt;=3,G31*'参数'!$B$17,0),"n.a.")</x:f>
        <x:v>20.1</x:v>
      </x:c>
      <x:c r="U31" s="28" t="n">
        <x:f>IF(F31="有效",SUM(O31:T31),"n.a.")</x:f>
        <x:v>3826.729582826667</x:v>
      </x:c>
      <x:c r="V31" s="28" t="n">
        <x:f>IF(F31="有效",H31*'参数'!$B$7,"n.a.")</x:f>
        <x:v>7336.5</x:v>
      </x:c>
      <x:c r="W31" s="28" t="n">
        <x:f>IF(F31="有效",IF(D31&gt;=3,G31*'参数'!$B$7/'参数'!$B$8,0),"n.a.")</x:f>
        <x:v>146.73</x:v>
      </x:c>
      <x:c r="X31" s="28" t="n">
        <x:f>IF(F31="有效",U31+W31,"n.a.")</x:f>
        <x:v>3973.459582826667</x:v>
      </x:c>
      <x:c r="Y31" s="28" t="n">
        <x:f>IF(F31="有效",X31/G31,"n.a.")</x:f>
        <x:v>19.76845563595357</x:v>
      </x:c>
    </x:row>
    <x:row r="32" ht="22" customHeight="1">
      <x:c r="A32" s="11" t="str">
        <x:v>lade_0823_20aoi</x:v>
      </x:c>
      <x:c r="B32" s="22" t="n">
        <x:v>20</x:v>
      </x:c>
      <x:c r="C32" s="22" t="n">
        <x:v>1</x:v>
      </x:c>
      <x:c r="D32" s="22" t="n">
        <x:v>3</x:v>
      </x:c>
      <x:c r="E32" s="22" t="n">
        <x:v>44</x:v>
      </x:c>
      <x:c r="F32" s="30" t="str">
        <x:v>有效</x:v>
      </x:c>
      <x:c r="G32" s="22" t="n">
        <x:v>201</x:v>
      </x:c>
      <x:c r="H32" s="22" t="n">
        <x:v>201</x:v>
      </x:c>
      <x:c r="I32" s="24" t="n">
        <x:v>63.013999999999996</x:v>
      </x:c>
      <x:c r="J32" s="24" t="n">
        <x:v>60.16369999999999</x:v>
      </x:c>
      <x:c r="K32" s="24" t="n">
        <x:v>738.65</x:v>
      </x:c>
      <x:c r="L32" s="24" t="n">
        <x:v>3103</x:v>
      </x:c>
      <x:c r="M32" s="10" t="n">
        <x:v>1</x:v>
      </x:c>
      <x:c r="N32" s="10" t="n">
        <x:v>6</x:v>
      </x:c>
      <x:c r="O32" s="28" t="n">
        <x:f>IF(F32="有效",I32*'参数'!$B$10+J32*'参数'!$B$11,"n.a.")</x:f>
        <x:v>111.112444285</x:v>
      </x:c>
      <x:c r="P32" s="28" t="n">
        <x:f>IF(F32="有效",K32*'参数'!$B$12+L32*'参数'!$B$13,"n.a.")</x:f>
        <x:v>3074.717138541667</x:v>
      </x:c>
      <x:c r="Q32" s="28" t="n">
        <x:f>IF(F32="有效",M32*'参数'!$B$14+N32*'参数'!$B$15,"n.a.")</x:f>
        <x:v>460</x:v>
      </x:c>
      <x:c r="R32" s="28" t="n">
        <x:f>IF(F32="有效",IF(D32&lt;=2,G32*('参数'!$B$6+'参数'!$B$18),0),"n.a.")</x:f>
        <x:v>0</x:v>
      </x:c>
      <x:c r="S32" s="28" t="n">
        <x:f>IF(F32="有效",IF(D32&gt;=3,G32*'参数'!$B$16,0),"n.a.")</x:f>
        <x:v>160.8</x:v>
      </x:c>
      <x:c r="T32" s="28" t="n">
        <x:f>IF(F32="有效",IF(D32&gt;=3,G32*'参数'!$B$17,0),"n.a.")</x:f>
        <x:v>20.1</x:v>
      </x:c>
      <x:c r="U32" s="28" t="n">
        <x:f>IF(F32="有效",SUM(O32:T32),"n.a.")</x:f>
        <x:v>3826.729582826667</x:v>
      </x:c>
      <x:c r="V32" s="28" t="n">
        <x:f>IF(F32="有效",H32*'参数'!$B$7,"n.a.")</x:f>
        <x:v>7336.5</x:v>
      </x:c>
      <x:c r="W32" s="28" t="n">
        <x:f>IF(F32="有效",IF(D32&gt;=3,G32*'参数'!$B$7/'参数'!$B$8,0),"n.a.")</x:f>
        <x:v>146.73</x:v>
      </x:c>
      <x:c r="X32" s="28" t="n">
        <x:f>IF(F32="有效",U32+W32,"n.a.")</x:f>
        <x:v>3973.459582826667</x:v>
      </x:c>
      <x:c r="Y32" s="28" t="n">
        <x:f>IF(F32="有效",X32/G32,"n.a.")</x:f>
        <x:v>19.76845563595357</x:v>
      </x:c>
    </x:row>
    <x:row r="33" ht="22" customHeight="1">
      <x:c r="A33" s="11" t="str">
        <x:v>lade_0823_20aoi</x:v>
      </x:c>
      <x:c r="B33" s="22" t="n">
        <x:v>20</x:v>
      </x:c>
      <x:c r="C33" s="22" t="n">
        <x:v>1</x:v>
      </x:c>
      <x:c r="D33" s="22" t="n">
        <x:v>4</x:v>
      </x:c>
      <x:c r="E33" s="22" t="n">
        <x:v>42</x:v>
      </x:c>
      <x:c r="F33" s="30" t="str">
        <x:v>有效</x:v>
      </x:c>
      <x:c r="G33" s="22" t="n">
        <x:v>201</x:v>
      </x:c>
      <x:c r="H33" s="22" t="n">
        <x:v>201</x:v>
      </x:c>
      <x:c r="I33" s="24" t="n">
        <x:v>63.013999999999996</x:v>
      </x:c>
      <x:c r="J33" s="24" t="n">
        <x:v>56.98120000000001</x:v>
      </x:c>
      <x:c r="K33" s="24" t="n">
        <x:v>738.65</x:v>
      </x:c>
      <x:c r="L33" s="24" t="n">
        <x:v>3053.6</x:v>
      </x:c>
      <x:c r="M33" s="10" t="n">
        <x:v>1</x:v>
      </x:c>
      <x:c r="N33" s="10" t="n">
        <x:v>6</x:v>
      </x:c>
      <x:c r="O33" s="28" t="n">
        <x:f>IF(F33="有效",I33*'参数'!$B$10+J33*'参数'!$B$11,"n.a.")</x:f>
        <x:v>108.24167016000001</x:v>
      </x:c>
      <x:c r="P33" s="28" t="n">
        <x:f>IF(F33="有效",K33*'参数'!$B$12+L33*'参数'!$B$13,"n.a.")</x:f>
        <x:v>3038.3844677083334</x:v>
      </x:c>
      <x:c r="Q33" s="28" t="n">
        <x:f>IF(F33="有效",M33*'参数'!$B$14+N33*'参数'!$B$15,"n.a.")</x:f>
        <x:v>460</x:v>
      </x:c>
      <x:c r="R33" s="28" t="n">
        <x:f>IF(F33="有效",IF(D33&lt;=2,G33*('参数'!$B$6+'参数'!$B$18),0),"n.a.")</x:f>
        <x:v>0</x:v>
      </x:c>
      <x:c r="S33" s="28" t="n">
        <x:f>IF(F33="有效",IF(D33&gt;=3,G33*'参数'!$B$16,0),"n.a.")</x:f>
        <x:v>160.8</x:v>
      </x:c>
      <x:c r="T33" s="28" t="n">
        <x:f>IF(F33="有效",IF(D33&gt;=3,G33*'参数'!$B$17,0),"n.a.")</x:f>
        <x:v>20.1</x:v>
      </x:c>
      <x:c r="U33" s="28" t="n">
        <x:f>IF(F33="有效",SUM(O33:T33),"n.a.")</x:f>
        <x:v>3787.5261378683335</x:v>
      </x:c>
      <x:c r="V33" s="28" t="n">
        <x:f>IF(F33="有效",H33*'参数'!$B$7,"n.a.")</x:f>
        <x:v>7336.5</x:v>
      </x:c>
      <x:c r="W33" s="28" t="n">
        <x:f>IF(F33="有效",IF(D33&gt;=3,G33*'参数'!$B$7/'参数'!$B$8,0),"n.a.")</x:f>
        <x:v>146.73</x:v>
      </x:c>
      <x:c r="X33" s="28" t="n">
        <x:f>IF(F33="有效",U33+W33,"n.a.")</x:f>
        <x:v>3934.2561378683336</x:v>
      </x:c>
      <x:c r="Y33" s="28" t="n">
        <x:f>IF(F33="有效",X33/G33,"n.a.")</x:f>
        <x:v>19.573413621235492</x:v>
      </x:c>
    </x:row>
    <x:row r="34" ht="22" customHeight="1">
      <x:c r="A34" s="11" t="str">
        <x:v>lade_0823_20aoi</x:v>
      </x:c>
      <x:c r="B34" s="22" t="n">
        <x:v>20</x:v>
      </x:c>
      <x:c r="C34" s="22" t="n">
        <x:v>1</x:v>
      </x:c>
      <x:c r="D34" s="22" t="n">
        <x:v>4</x:v>
      </x:c>
      <x:c r="E34" s="22" t="n">
        <x:v>43</x:v>
      </x:c>
      <x:c r="F34" s="30" t="str">
        <x:v>有效</x:v>
      </x:c>
      <x:c r="G34" s="22" t="n">
        <x:v>201</x:v>
      </x:c>
      <x:c r="H34" s="22" t="n">
        <x:v>201</x:v>
      </x:c>
      <x:c r="I34" s="24" t="n">
        <x:v>63.013999999999996</x:v>
      </x:c>
      <x:c r="J34" s="24" t="n">
        <x:v>59.291599999999995</x:v>
      </x:c>
      <x:c r="K34" s="24" t="n">
        <x:v>738.65</x:v>
      </x:c>
      <x:c r="L34" s="24" t="n">
        <x:v>2494.1833333333334</x:v>
      </x:c>
      <x:c r="M34" s="10" t="n">
        <x:v>1</x:v>
      </x:c>
      <x:c r="N34" s="10" t="n">
        <x:v>5</x:v>
      </x:c>
      <x:c r="O34" s="28" t="n">
        <x:f>IF(F34="有效",I34*'参数'!$B$10+J34*'参数'!$B$11,"n.a.")</x:f>
        <x:v>110.32576648</x:v>
      </x:c>
      <x:c r="P34" s="28" t="n">
        <x:f>IF(F34="有效",K34*'参数'!$B$12+L34*'参数'!$B$13,"n.a.")</x:f>
        <x:v>2626.9451638888886</x:v>
      </x:c>
      <x:c r="Q34" s="28" t="n">
        <x:f>IF(F34="有效",M34*'参数'!$B$14+N34*'参数'!$B$15,"n.a.")</x:f>
        <x:v>400</x:v>
      </x:c>
      <x:c r="R34" s="28" t="n">
        <x:f>IF(F34="有效",IF(D34&lt;=2,G34*('参数'!$B$6+'参数'!$B$18),0),"n.a.")</x:f>
        <x:v>0</x:v>
      </x:c>
      <x:c r="S34" s="28" t="n">
        <x:f>IF(F34="有效",IF(D34&gt;=3,G34*'参数'!$B$16,0),"n.a.")</x:f>
        <x:v>160.8</x:v>
      </x:c>
      <x:c r="T34" s="28" t="n">
        <x:f>IF(F34="有效",IF(D34&gt;=3,G34*'参数'!$B$17,0),"n.a.")</x:f>
        <x:v>20.1</x:v>
      </x:c>
      <x:c r="U34" s="28" t="n">
        <x:f>IF(F34="有效",SUM(O34:T34),"n.a.")</x:f>
        <x:v>3318.1709303688885</x:v>
      </x:c>
      <x:c r="V34" s="28" t="n">
        <x:f>IF(F34="有效",H34*'参数'!$B$7,"n.a.")</x:f>
        <x:v>7336.5</x:v>
      </x:c>
      <x:c r="W34" s="28" t="n">
        <x:f>IF(F34="有效",IF(D34&gt;=3,G34*'参数'!$B$7/'参数'!$B$8,0),"n.a.")</x:f>
        <x:v>146.73</x:v>
      </x:c>
      <x:c r="X34" s="28" t="n">
        <x:f>IF(F34="有效",U34+W34,"n.a.")</x:f>
        <x:v>3464.9009303688886</x:v>
      </x:c>
      <x:c r="Y34" s="28" t="n">
        <x:f>IF(F34="有效",X34/G34,"n.a.")</x:f>
        <x:v>17.23831308641238</x:v>
      </x:c>
    </x:row>
    <x:row r="35" ht="22" customHeight="1">
      <x:c r="A35" s="11" t="str">
        <x:v>lade_0823_20aoi</x:v>
      </x:c>
      <x:c r="B35" s="22" t="n">
        <x:v>20</x:v>
      </x:c>
      <x:c r="C35" s="22" t="n">
        <x:v>1</x:v>
      </x:c>
      <x:c r="D35" s="22" t="n">
        <x:v>4</x:v>
      </x:c>
      <x:c r="E35" s="22" t="n">
        <x:v>44</x:v>
      </x:c>
      <x:c r="F35" s="30" t="str">
        <x:v>有效</x:v>
      </x:c>
      <x:c r="G35" s="22" t="n">
        <x:v>201</x:v>
      </x:c>
      <x:c r="H35" s="22" t="n">
        <x:v>201</x:v>
      </x:c>
      <x:c r="I35" s="24" t="n">
        <x:v>63.013999999999996</x:v>
      </x:c>
      <x:c r="J35" s="24" t="n">
        <x:v>53.80909999999999</x:v>
      </x:c>
      <x:c r="K35" s="24" t="n">
        <x:v>738.65</x:v>
      </x:c>
      <x:c r="L35" s="24" t="n">
        <x:v>2854.7</x:v>
      </x:c>
      <x:c r="M35" s="10" t="n">
        <x:v>1</x:v>
      </x:c>
      <x:c r="N35" s="10" t="n">
        <x:v>6</x:v>
      </x:c>
      <x:c r="O35" s="28" t="n">
        <x:f>IF(F35="有效",I35*'参数'!$B$10+J35*'参数'!$B$11,"n.a.")</x:f>
        <x:v>105.38027735499999</x:v>
      </x:c>
      <x:c r="P35" s="28" t="n">
        <x:f>IF(F35="有效",K35*'参数'!$B$12+L35*'参数'!$B$13,"n.a.")</x:f>
        <x:v>2892.0976614583333</x:v>
      </x:c>
      <x:c r="Q35" s="28" t="n">
        <x:f>IF(F35="有效",M35*'参数'!$B$14+N35*'参数'!$B$15,"n.a.")</x:f>
        <x:v>460</x:v>
      </x:c>
      <x:c r="R35" s="28" t="n">
        <x:f>IF(F35="有效",IF(D35&lt;=2,G35*('参数'!$B$6+'参数'!$B$18),0),"n.a.")</x:f>
        <x:v>0</x:v>
      </x:c>
      <x:c r="S35" s="28" t="n">
        <x:f>IF(F35="有效",IF(D35&gt;=3,G35*'参数'!$B$16,0),"n.a.")</x:f>
        <x:v>160.8</x:v>
      </x:c>
      <x:c r="T35" s="28" t="n">
        <x:f>IF(F35="有效",IF(D35&gt;=3,G35*'参数'!$B$17,0),"n.a.")</x:f>
        <x:v>20.1</x:v>
      </x:c>
      <x:c r="U35" s="28" t="n">
        <x:f>IF(F35="有效",SUM(O35:T35),"n.a.")</x:f>
        <x:v>3638.3779388133335</x:v>
      </x:c>
      <x:c r="V35" s="28" t="n">
        <x:f>IF(F35="有效",H35*'参数'!$B$7,"n.a.")</x:f>
        <x:v>7336.5</x:v>
      </x:c>
      <x:c r="W35" s="28" t="n">
        <x:f>IF(F35="有效",IF(D35&gt;=3,G35*'参数'!$B$7/'参数'!$B$8,0),"n.a.")</x:f>
        <x:v>146.73</x:v>
      </x:c>
      <x:c r="X35" s="28" t="n">
        <x:f>IF(F35="有效",U35+W35,"n.a.")</x:f>
        <x:v>3785.1079388133335</x:v>
      </x:c>
      <x:c r="Y35" s="28" t="n">
        <x:f>IF(F35="有效",X35/G35,"n.a.")</x:f>
        <x:v>18.83138278016584</x:v>
      </x:c>
    </x:row>
    <x:row r="36" ht="22" customHeight="1">
      <x:c r="A36" s="11" t="str">
        <x:v>lade_0823_20aoi</x:v>
      </x:c>
      <x:c r="B36" s="22" t="n">
        <x:v>20</x:v>
      </x:c>
      <x:c r="C36" s="22" t="n">
        <x:v>2</x:v>
      </x:c>
      <x:c r="D36" s="22" t="n">
        <x:v>5</x:v>
      </x:c>
      <x:c r="E36" s="22" t="n">
        <x:v>42</x:v>
      </x:c>
      <x:c r="F36" s="30" t="str">
        <x:v>有效</x:v>
      </x:c>
      <x:c r="G36" s="22" t="n">
        <x:v>201</x:v>
      </x:c>
      <x:c r="H36" s="22" t="n">
        <x:v>201</x:v>
      </x:c>
      <x:c r="I36" s="24" t="n">
        <x:v>216.1425</x:v>
      </x:c>
      <x:c r="J36" s="24" t="n">
        <x:v>66.7122</x:v>
      </x:c>
      <x:c r="K36" s="24" t="n">
        <x:v>1203.2666666666667</x:v>
      </x:c>
      <x:c r="L36" s="24" t="n">
        <x:v>2562.5</x:v>
      </x:c>
      <x:c r="M36" s="10" t="n">
        <x:v>3</x:v>
      </x:c>
      <x:c r="N36" s="10" t="n">
        <x:v>6</x:v>
      </x:c>
      <x:c r="O36" s="28" t="n">
        <x:f>IF(F36="有效",I36*'参数'!$B$10+J36*'参数'!$B$11,"n.a.")</x:f>
        <x:v>255.14908213500001</x:v>
      </x:c>
      <x:c r="P36" s="28" t="n">
        <x:f>IF(F36="有效",K36*'参数'!$B$12+L36*'参数'!$B$13,"n.a.")</x:f>
        <x:v>3175.69529375</x:v>
      </x:c>
      <x:c r="Q36" s="28" t="n">
        <x:f>IF(F36="有效",M36*'参数'!$B$14+N36*'参数'!$B$15,"n.a.")</x:f>
        <x:v>660</x:v>
      </x:c>
      <x:c r="R36" s="28" t="n">
        <x:f>IF(F36="有效",IF(D36&lt;=2,G36*('参数'!$B$6+'参数'!$B$18),0),"n.a.")</x:f>
        <x:v>0</x:v>
      </x:c>
      <x:c r="S36" s="28" t="n">
        <x:f>IF(F36="有效",IF(D36&gt;=3,G36*'参数'!$B$16,0),"n.a.")</x:f>
        <x:v>160.8</x:v>
      </x:c>
      <x:c r="T36" s="28" t="n">
        <x:f>IF(F36="有效",IF(D36&gt;=3,G36*'参数'!$B$17,0),"n.a.")</x:f>
        <x:v>20.1</x:v>
      </x:c>
      <x:c r="U36" s="28" t="n">
        <x:f>IF(F36="有效",SUM(O36:T36),"n.a.")</x:f>
        <x:v>4271.744375885</x:v>
      </x:c>
      <x:c r="V36" s="28" t="n">
        <x:f>IF(F36="有效",H36*'参数'!$B$7,"n.a.")</x:f>
        <x:v>7336.5</x:v>
      </x:c>
      <x:c r="W36" s="28" t="n">
        <x:f>IF(F36="有效",IF(D36&gt;=3,G36*'参数'!$B$7/'参数'!$B$8,0),"n.a.")</x:f>
        <x:v>146.73</x:v>
      </x:c>
      <x:c r="X36" s="28" t="n">
        <x:f>IF(F36="有效",U36+W36,"n.a.")</x:f>
        <x:v>4418.474375885</x:v>
      </x:c>
      <x:c r="Y36" s="28" t="n">
        <x:f>IF(F36="有效",X36/G36,"n.a.")</x:f>
        <x:v>21.982459581517414</x:v>
      </x:c>
    </x:row>
    <x:row r="37" ht="22" customHeight="1">
      <x:c r="A37" s="11" t="str">
        <x:v>lade_0823_20aoi</x:v>
      </x:c>
      <x:c r="B37" s="22" t="n">
        <x:v>20</x:v>
      </x:c>
      <x:c r="C37" s="22" t="n">
        <x:v>2</x:v>
      </x:c>
      <x:c r="D37" s="22" t="n">
        <x:v>5</x:v>
      </x:c>
      <x:c r="E37" s="22" t="n">
        <x:v>43</x:v>
      </x:c>
      <x:c r="F37" s="30" t="str">
        <x:v>有效</x:v>
      </x:c>
      <x:c r="G37" s="22" t="n">
        <x:v>201</x:v>
      </x:c>
      <x:c r="H37" s="22" t="n">
        <x:v>201</x:v>
      </x:c>
      <x:c r="I37" s="24" t="n">
        <x:v>169.4097</x:v>
      </x:c>
      <x:c r="J37" s="24" t="n">
        <x:v>70.77239999999999</x:v>
      </x:c>
      <x:c r="K37" s="24" t="n">
        <x:v>949.2</x:v>
      </x:c>
      <x:c r="L37" s="24" t="n">
        <x:v>2240.116666666667</x:v>
      </x:c>
      <x:c r="M37" s="10" t="n">
        <x:v>2</x:v>
      </x:c>
      <x:c r="N37" s="10" t="n">
        <x:v>6</x:v>
      </x:c>
      <x:c r="O37" s="28" t="n">
        <x:f>IF(F37="有效",I37*'参数'!$B$10+J37*'参数'!$B$11,"n.a.")</x:f>
        <x:v>216.65626330499998</x:v>
      </x:c>
      <x:c r="P37" s="28" t="n">
        <x:f>IF(F37="有效",K37*'参数'!$B$12+L37*'参数'!$B$13,"n.a.")</x:f>
        <x:v>2665.9914142361113</x:v>
      </x:c>
      <x:c r="Q37" s="28" t="n">
        <x:f>IF(F37="有效",M37*'参数'!$B$14+N37*'参数'!$B$15,"n.a.")</x:f>
        <x:v>560</x:v>
      </x:c>
      <x:c r="R37" s="28" t="n">
        <x:f>IF(F37="有效",IF(D37&lt;=2,G37*('参数'!$B$6+'参数'!$B$18),0),"n.a.")</x:f>
        <x:v>0</x:v>
      </x:c>
      <x:c r="S37" s="28" t="n">
        <x:f>IF(F37="有效",IF(D37&gt;=3,G37*'参数'!$B$16,0),"n.a.")</x:f>
        <x:v>160.8</x:v>
      </x:c>
      <x:c r="T37" s="28" t="n">
        <x:f>IF(F37="有效",IF(D37&gt;=3,G37*'参数'!$B$17,0),"n.a.")</x:f>
        <x:v>20.1</x:v>
      </x:c>
      <x:c r="U37" s="28" t="n">
        <x:f>IF(F37="有效",SUM(O37:T37),"n.a.")</x:f>
        <x:v>3623.547677541111</x:v>
      </x:c>
      <x:c r="V37" s="28" t="n">
        <x:f>IF(F37="有效",H37*'参数'!$B$7,"n.a.")</x:f>
        <x:v>7336.5</x:v>
      </x:c>
      <x:c r="W37" s="28" t="n">
        <x:f>IF(F37="有效",IF(D37&gt;=3,G37*'参数'!$B$7/'参数'!$B$8,0),"n.a.")</x:f>
        <x:v>146.73</x:v>
      </x:c>
      <x:c r="X37" s="28" t="n">
        <x:f>IF(F37="有效",U37+W37,"n.a.")</x:f>
        <x:v>3770.277677541111</x:v>
      </x:c>
      <x:c r="Y37" s="28" t="n">
        <x:f>IF(F37="有效",X37/G37,"n.a.")</x:f>
        <x:v>18.757600385776673</x:v>
      </x:c>
    </x:row>
    <x:row r="38" ht="22" customHeight="1">
      <x:c r="A38" s="11" t="str">
        <x:v>lade_0823_20aoi</x:v>
      </x:c>
      <x:c r="B38" s="22" t="n">
        <x:v>20</x:v>
      </x:c>
      <x:c r="C38" s="22" t="n">
        <x:v>2</x:v>
      </x:c>
      <x:c r="D38" s="22" t="n">
        <x:v>5</x:v>
      </x:c>
      <x:c r="E38" s="22" t="n">
        <x:v>44</x:v>
      </x:c>
      <x:c r="F38" s="30" t="str">
        <x:v>有效</x:v>
      </x:c>
      <x:c r="G38" s="22" t="n">
        <x:v>201</x:v>
      </x:c>
      <x:c r="H38" s="22" t="n">
        <x:v>201</x:v>
      </x:c>
      <x:c r="I38" s="24" t="n">
        <x:v>213.64520000000002</x:v>
      </x:c>
      <x:c r="J38" s="24" t="n">
        <x:v>69.30839999999999</x:v>
      </x:c>
      <x:c r="K38" s="24" t="n">
        <x:v>1193.8333333333333</x:v>
      </x:c>
      <x:c r="L38" s="24" t="n">
        <x:v>2491.266666666667</x:v>
      </x:c>
      <x:c r="M38" s="10" t="n">
        <x:v>3</x:v>
      </x:c>
      <x:c r="N38" s="10" t="n">
        <x:v>6</x:v>
      </x:c>
      <x:c r="O38" s="28" t="n">
        <x:f>IF(F38="有效",I38*'参数'!$B$10+J38*'参数'!$B$11,"n.a.")</x:f>
        <x:v>255.23829488</x:v>
      </x:c>
      <x:c r="P38" s="28" t="n">
        <x:f>IF(F38="有效",K38*'参数'!$B$12+L38*'参数'!$B$13,"n.a.")</x:f>
        <x:v>3113.1832840277775</x:v>
      </x:c>
      <x:c r="Q38" s="28" t="n">
        <x:f>IF(F38="有效",M38*'参数'!$B$14+N38*'参数'!$B$15,"n.a.")</x:f>
        <x:v>660</x:v>
      </x:c>
      <x:c r="R38" s="28" t="n">
        <x:f>IF(F38="有效",IF(D38&lt;=2,G38*('参数'!$B$6+'参数'!$B$18),0),"n.a.")</x:f>
        <x:v>0</x:v>
      </x:c>
      <x:c r="S38" s="28" t="n">
        <x:f>IF(F38="有效",IF(D38&gt;=3,G38*'参数'!$B$16,0),"n.a.")</x:f>
        <x:v>160.8</x:v>
      </x:c>
      <x:c r="T38" s="28" t="n">
        <x:f>IF(F38="有效",IF(D38&gt;=3,G38*'参数'!$B$17,0),"n.a.")</x:f>
        <x:v>20.1</x:v>
      </x:c>
      <x:c r="U38" s="28" t="n">
        <x:f>IF(F38="有效",SUM(O38:T38),"n.a.")</x:f>
        <x:v>4209.321578907778</x:v>
      </x:c>
      <x:c r="V38" s="28" t="n">
        <x:f>IF(F38="有效",H38*'参数'!$B$7,"n.a.")</x:f>
        <x:v>7336.5</x:v>
      </x:c>
      <x:c r="W38" s="28" t="n">
        <x:f>IF(F38="有效",IF(D38&gt;=3,G38*'参数'!$B$7/'参数'!$B$8,0),"n.a.")</x:f>
        <x:v>146.73</x:v>
      </x:c>
      <x:c r="X38" s="28" t="n">
        <x:f>IF(F38="有效",U38+W38,"n.a.")</x:f>
        <x:v>4356.051578907777</x:v>
      </x:c>
      <x:c r="Y38" s="28" t="n">
        <x:f>IF(F38="有效",X38/G38,"n.a.")</x:f>
        <x:v>21.671898402526253</x:v>
      </x:c>
    </x:row>
    <x:row r="39" ht="22" customHeight="1">
      <x:c r="A39" s="11" t="str">
        <x:v>lade_0823_20aoi</x:v>
      </x:c>
      <x:c r="B39" s="22" t="n">
        <x:v>20</x:v>
      </x:c>
      <x:c r="C39" s="22" t="n">
        <x:v>3</x:v>
      </x:c>
      <x:c r="D39" s="22" t="n">
        <x:v>5</x:v>
      </x:c>
      <x:c r="E39" s="22" t="n">
        <x:v>42</x:v>
      </x:c>
      <x:c r="F39" s="30" t="str">
        <x:v>有效</x:v>
      </x:c>
      <x:c r="G39" s="22" t="n">
        <x:v>201</x:v>
      </x:c>
      <x:c r="H39" s="22" t="n">
        <x:v>201</x:v>
      </x:c>
      <x:c r="I39" s="24" t="n">
        <x:v>368.28450000000004</x:v>
      </x:c>
      <x:c r="J39" s="24" t="n">
        <x:v>78.93169999999999</x:v>
      </x:c>
      <x:c r="K39" s="24" t="n">
        <x:v>1575.7</x:v>
      </x:c>
      <x:c r="L39" s="24" t="n">
        <x:v>1124.4333333333334</x:v>
      </x:c>
      <x:c r="M39" s="10" t="n">
        <x:v>3</x:v>
      </x:c>
      <x:c r="N39" s="10" t="n">
        <x:v>4</x:v>
      </x:c>
      <x:c r="O39" s="28" t="n">
        <x:f>IF(F39="有效",I39*'参数'!$B$10+J39*'参数'!$B$11,"n.a.")</x:f>
        <x:v>403.4113732100001</x:v>
      </x:c>
      <x:c r="P39" s="28" t="n">
        <x:f>IF(F39="有效",K39*'参数'!$B$12+L39*'参数'!$B$13,"n.a.")</x:f>
        <x:v>2517.624909722222</x:v>
      </x:c>
      <x:c r="Q39" s="28" t="n">
        <x:f>IF(F39="有效",M39*'参数'!$B$14+N39*'参数'!$B$15,"n.a.")</x:f>
        <x:v>540</x:v>
      </x:c>
      <x:c r="R39" s="28" t="n">
        <x:f>IF(F39="有效",IF(D39&lt;=2,G39*('参数'!$B$6+'参数'!$B$18),0),"n.a.")</x:f>
        <x:v>0</x:v>
      </x:c>
      <x:c r="S39" s="28" t="n">
        <x:f>IF(F39="有效",IF(D39&gt;=3,G39*'参数'!$B$16,0),"n.a.")</x:f>
        <x:v>160.8</x:v>
      </x:c>
      <x:c r="T39" s="28" t="n">
        <x:f>IF(F39="有效",IF(D39&gt;=3,G39*'参数'!$B$17,0),"n.a.")</x:f>
        <x:v>20.1</x:v>
      </x:c>
      <x:c r="U39" s="28" t="n">
        <x:f>IF(F39="有效",SUM(O39:T39),"n.a.")</x:f>
        <x:v>3641.936282932222</x:v>
      </x:c>
      <x:c r="V39" s="28" t="n">
        <x:f>IF(F39="有效",H39*'参数'!$B$7,"n.a.")</x:f>
        <x:v>7336.5</x:v>
      </x:c>
      <x:c r="W39" s="28" t="n">
        <x:f>IF(F39="有效",IF(D39&gt;=3,G39*'参数'!$B$7/'参数'!$B$8,0),"n.a.")</x:f>
        <x:v>146.73</x:v>
      </x:c>
      <x:c r="X39" s="28" t="n">
        <x:f>IF(F39="有效",U39+W39,"n.a.")</x:f>
        <x:v>3788.666282932222</x:v>
      </x:c>
      <x:c r="Y39" s="28" t="n">
        <x:f>IF(F39="有效",X39/G39,"n.a.")</x:f>
        <x:v>18.849085984737425</x:v>
      </x:c>
    </x:row>
    <x:row r="40" ht="22" customHeight="1">
      <x:c r="A40" s="11" t="str">
        <x:v>lade_0823_20aoi</x:v>
      </x:c>
      <x:c r="B40" s="22" t="n">
        <x:v>20</x:v>
      </x:c>
      <x:c r="C40" s="22" t="n">
        <x:v>3</x:v>
      </x:c>
      <x:c r="D40" s="22" t="n">
        <x:v>5</x:v>
      </x:c>
      <x:c r="E40" s="22" t="n">
        <x:v>43</x:v>
      </x:c>
      <x:c r="F40" s="30" t="str">
        <x:v>有效</x:v>
      </x:c>
      <x:c r="G40" s="22" t="n">
        <x:v>201</x:v>
      </x:c>
      <x:c r="H40" s="22" t="n">
        <x:v>201</x:v>
      </x:c>
      <x:c r="I40" s="24" t="n">
        <x:v>412.9799</x:v>
      </x:c>
      <x:c r="J40" s="24" t="n">
        <x:v>78.93169999999999</x:v>
      </x:c>
      <x:c r="K40" s="24" t="n">
        <x:v>1620.0333333333333</x:v>
      </x:c>
      <x:c r="L40" s="24" t="n">
        <x:v>1161.8166666666666</x:v>
      </x:c>
      <x:c r="M40" s="10" t="n">
        <x:v>3</x:v>
      </x:c>
      <x:c r="N40" s="10" t="n">
        <x:v>6</x:v>
      </x:c>
      <x:c r="O40" s="28" t="n">
        <x:f>IF(F40="有效",I40*'参数'!$B$10+J40*'参数'!$B$11,"n.a.")</x:f>
        <x:v>443.72885878</x:v>
      </x:c>
      <x:c r="P40" s="28" t="n">
        <x:f>IF(F40="有效",K40*'参数'!$B$12+L40*'参数'!$B$13,"n.a.")</x:f>
        <x:v>2592.686468402778</x:v>
      </x:c>
      <x:c r="Q40" s="28" t="n">
        <x:f>IF(F40="有效",M40*'参数'!$B$14+N40*'参数'!$B$15,"n.a.")</x:f>
        <x:v>660</x:v>
      </x:c>
      <x:c r="R40" s="28" t="n">
        <x:f>IF(F40="有效",IF(D40&lt;=2,G40*('参数'!$B$6+'参数'!$B$18),0),"n.a.")</x:f>
        <x:v>0</x:v>
      </x:c>
      <x:c r="S40" s="28" t="n">
        <x:f>IF(F40="有效",IF(D40&gt;=3,G40*'参数'!$B$16,0),"n.a.")</x:f>
        <x:v>160.8</x:v>
      </x:c>
      <x:c r="T40" s="28" t="n">
        <x:f>IF(F40="有效",IF(D40&gt;=3,G40*'参数'!$B$17,0),"n.a.")</x:f>
        <x:v>20.1</x:v>
      </x:c>
      <x:c r="U40" s="28" t="n">
        <x:f>IF(F40="有效",SUM(O40:T40),"n.a.")</x:f>
        <x:v>3877.3153271827778</x:v>
      </x:c>
      <x:c r="V40" s="28" t="n">
        <x:f>IF(F40="有效",H40*'参数'!$B$7,"n.a.")</x:f>
        <x:v>7336.5</x:v>
      </x:c>
      <x:c r="W40" s="28" t="n">
        <x:f>IF(F40="有效",IF(D40&gt;=3,G40*'参数'!$B$7/'参数'!$B$8,0),"n.a.")</x:f>
        <x:v>146.73</x:v>
      </x:c>
      <x:c r="X40" s="28" t="n">
        <x:f>IF(F40="有效",U40+W40,"n.a.")</x:f>
        <x:v>4024.045327182778</x:v>
      </x:c>
      <x:c r="Y40" s="28" t="n">
        <x:f>IF(F40="有效",X40/G40,"n.a.")</x:f>
        <x:v>20.020126005884467</x:v>
      </x:c>
    </x:row>
    <x:row r="41" ht="22" customHeight="1">
      <x:c r="A41" s="11" t="str">
        <x:v>lade_0823_20aoi</x:v>
      </x:c>
      <x:c r="B41" s="22" t="n">
        <x:v>20</x:v>
      </x:c>
      <x:c r="C41" s="22" t="n">
        <x:v>3</x:v>
      </x:c>
      <x:c r="D41" s="22" t="n">
        <x:v>5</x:v>
      </x:c>
      <x:c r="E41" s="22" t="n">
        <x:v>44</x:v>
      </x:c>
      <x:c r="F41" s="30" t="str">
        <x:v>有效</x:v>
      </x:c>
      <x:c r="G41" s="22" t="n">
        <x:v>201</x:v>
      </x:c>
      <x:c r="H41" s="22" t="n">
        <x:v>201</x:v>
      </x:c>
      <x:c r="I41" s="24" t="n">
        <x:v>365.73679999999996</x:v>
      </x:c>
      <x:c r="J41" s="24" t="n">
        <x:v>78.93169999999999</x:v>
      </x:c>
      <x:c r="K41" s="24" t="n">
        <x:v>1422.5833333333333</x:v>
      </x:c>
      <x:c r="L41" s="24" t="n">
        <x:v>1906.3833333333334</x:v>
      </x:c>
      <x:c r="M41" s="10" t="n">
        <x:v>3</x:v>
      </x:c>
      <x:c r="N41" s="10" t="n">
        <x:v>6</x:v>
      </x:c>
      <x:c r="O41" s="28" t="n">
        <x:f>IF(F41="有效",I41*'参数'!$B$10+J41*'参数'!$B$11,"n.a.")</x:f>
        <x:v>401.113220425</x:v>
      </x:c>
      <x:c r="P41" s="28" t="n">
        <x:f>IF(F41="有效",K41*'参数'!$B$12+L41*'参数'!$B$13,"n.a.")</x:f>
        <x:v>2928.4482305555557</x:v>
      </x:c>
      <x:c r="Q41" s="28" t="n">
        <x:f>IF(F41="有效",M41*'参数'!$B$14+N41*'参数'!$B$15,"n.a.")</x:f>
        <x:v>660</x:v>
      </x:c>
      <x:c r="R41" s="28" t="n">
        <x:f>IF(F41="有效",IF(D41&lt;=2,G41*('参数'!$B$6+'参数'!$B$18),0),"n.a.")</x:f>
        <x:v>0</x:v>
      </x:c>
      <x:c r="S41" s="28" t="n">
        <x:f>IF(F41="有效",IF(D41&gt;=3,G41*'参数'!$B$16,0),"n.a.")</x:f>
        <x:v>160.8</x:v>
      </x:c>
      <x:c r="T41" s="28" t="n">
        <x:f>IF(F41="有效",IF(D41&gt;=3,G41*'参数'!$B$17,0),"n.a.")</x:f>
        <x:v>20.1</x:v>
      </x:c>
      <x:c r="U41" s="28" t="n">
        <x:f>IF(F41="有效",SUM(O41:T41),"n.a.")</x:f>
        <x:v>4170.461450980556</x:v>
      </x:c>
      <x:c r="V41" s="28" t="n">
        <x:f>IF(F41="有效",H41*'参数'!$B$7,"n.a.")</x:f>
        <x:v>7336.5</x:v>
      </x:c>
      <x:c r="W41" s="28" t="n">
        <x:f>IF(F41="有效",IF(D41&gt;=3,G41*'参数'!$B$7/'参数'!$B$8,0),"n.a.")</x:f>
        <x:v>146.73</x:v>
      </x:c>
      <x:c r="X41" s="28" t="n">
        <x:f>IF(F41="有效",U41+W41,"n.a.")</x:f>
        <x:v>4317.191450980556</x:v>
      </x:c>
      <x:c r="Y41" s="28" t="n">
        <x:f>IF(F41="有效",X41/G41,"n.a.")</x:f>
        <x:v>21.478564432739084</x:v>
      </x:c>
    </x:row>
    <x:row r="42" ht="22" customHeight="1">
      <x:c r="A42" s="11" t="str">
        <x:v>lade_0823_30aoi</x:v>
      </x:c>
      <x:c r="B42" s="22" t="n">
        <x:v>30</x:v>
      </x:c>
      <x:c r="C42" s="22" t="n">
        <x:v>1</x:v>
      </x:c>
      <x:c r="D42" s="22" t="n">
        <x:v>1</x:v>
      </x:c>
      <x:c r="E42" s="22" t="n">
        <x:v>42</x:v>
      </x:c>
      <x:c r="F42" s="30" t="str">
        <x:v>有效</x:v>
      </x:c>
      <x:c r="G42" s="22" t="n">
        <x:v>255</x:v>
      </x:c>
      <x:c r="H42" s="22" t="n">
        <x:v>0</x:v>
      </x:c>
      <x:c r="I42" s="24" t="n">
        <x:v>59.477500000000006</x:v>
      </x:c>
      <x:c r="J42" s="24" t="n">
        <x:v>66.3984</x:v>
      </x:c>
      <x:c r="K42" s="24" t="n">
        <x:v>60.63333333333333</x:v>
      </x:c>
      <x:c r="L42" s="24" t="n">
        <x:v>2698.233333333333</x:v>
      </x:c>
      <x:c r="M42" s="10" t="n">
        <x:v>1</x:v>
      </x:c>
      <x:c r="N42" s="10" t="n">
        <x:v>6</x:v>
      </x:c>
      <x:c r="O42" s="28" t="n">
        <x:f>IF(F42="有效",I42*'参数'!$B$10+J42*'参数'!$B$11,"n.a.")</x:f>
        <x:v>113.54635559500001</x:v>
      </x:c>
      <x:c r="P42" s="28" t="n">
        <x:f>IF(F42="有效",K42*'参数'!$B$12+L42*'参数'!$B$13,"n.a.")</x:f>
        <x:v>2049.5501805555555</x:v>
      </x:c>
      <x:c r="Q42" s="28" t="n">
        <x:f>IF(F42="有效",M42*'参数'!$B$14+N42*'参数'!$B$15,"n.a.")</x:f>
        <x:v>460</x:v>
      </x:c>
      <x:c r="R42" s="28" t="n">
        <x:f>IF(F42="有效",IF(D42&lt;=2,G42*('参数'!$B$6+'参数'!$B$18),0),"n.a.")</x:f>
        <x:v>1020</x:v>
      </x:c>
      <x:c r="S42" s="28" t="n">
        <x:f>IF(F42="有效",IF(D42&gt;=3,G42*'参数'!$B$16,0),"n.a.")</x:f>
        <x:v>0</x:v>
      </x:c>
      <x:c r="T42" s="28" t="n">
        <x:f>IF(F42="有效",IF(D42&gt;=3,G42*'参数'!$B$17,0),"n.a.")</x:f>
        <x:v>0</x:v>
      </x:c>
      <x:c r="U42" s="28" t="n">
        <x:f>IF(F42="有效",SUM(O42:T42),"n.a.")</x:f>
        <x:v>3643.0965361505555</x:v>
      </x:c>
      <x:c r="V42" s="28" t="n">
        <x:f>IF(F42="有效",H42*'参数'!$B$7,"n.a.")</x:f>
        <x:v>0</x:v>
      </x:c>
      <x:c r="W42" s="28" t="n">
        <x:f>IF(F42="有效",IF(D42&gt;=3,G42*'参数'!$B$7/'参数'!$B$8,0),"n.a.")</x:f>
        <x:v>0</x:v>
      </x:c>
      <x:c r="X42" s="28" t="n">
        <x:f>IF(F42="有效",U42+W42,"n.a.")</x:f>
        <x:v>3643.0965361505555</x:v>
      </x:c>
      <x:c r="Y42" s="28" t="n">
        <x:f>IF(F42="有效",X42/G42,"n.a.")</x:f>
        <x:v>14.286653082943355</x:v>
      </x:c>
    </x:row>
    <x:row r="43" ht="22" customHeight="1">
      <x:c r="A43" s="11" t="str">
        <x:v>lade_0823_30aoi</x:v>
      </x:c>
      <x:c r="B43" s="22" t="n">
        <x:v>30</x:v>
      </x:c>
      <x:c r="C43" s="22" t="n">
        <x:v>1</x:v>
      </x:c>
      <x:c r="D43" s="22" t="n">
        <x:v>1</x:v>
      </x:c>
      <x:c r="E43" s="22" t="n">
        <x:v>43</x:v>
      </x:c>
      <x:c r="F43" s="30" t="str">
        <x:v>有效</x:v>
      </x:c>
      <x:c r="G43" s="22" t="n">
        <x:v>255</x:v>
      </x:c>
      <x:c r="H43" s="22" t="n">
        <x:v>0</x:v>
      </x:c>
      <x:c r="I43" s="24" t="n">
        <x:v>59.477500000000006</x:v>
      </x:c>
      <x:c r="J43" s="24" t="n">
        <x:v>67.56999999999996</x:v>
      </x:c>
      <x:c r="K43" s="24" t="n">
        <x:v>60.63333333333333</x:v>
      </x:c>
      <x:c r="L43" s="24" t="n">
        <x:v>2698.233333333333</x:v>
      </x:c>
      <x:c r="M43" s="10" t="n">
        <x:v>1</x:v>
      </x:c>
      <x:c r="N43" s="10" t="n">
        <x:v>6</x:v>
      </x:c>
      <x:c r="O43" s="28" t="n">
        <x:f>IF(F43="有效",I43*'参数'!$B$10+J43*'参数'!$B$11,"n.a.")</x:f>
        <x:v>114.60319737499998</x:v>
      </x:c>
      <x:c r="P43" s="28" t="n">
        <x:f>IF(F43="有效",K43*'参数'!$B$12+L43*'参数'!$B$13,"n.a.")</x:f>
        <x:v>2049.5501805555555</x:v>
      </x:c>
      <x:c r="Q43" s="28" t="n">
        <x:f>IF(F43="有效",M43*'参数'!$B$14+N43*'参数'!$B$15,"n.a.")</x:f>
        <x:v>460</x:v>
      </x:c>
      <x:c r="R43" s="28" t="n">
        <x:f>IF(F43="有效",IF(D43&lt;=2,G43*('参数'!$B$6+'参数'!$B$18),0),"n.a.")</x:f>
        <x:v>1020</x:v>
      </x:c>
      <x:c r="S43" s="28" t="n">
        <x:f>IF(F43="有效",IF(D43&gt;=3,G43*'参数'!$B$16,0),"n.a.")</x:f>
        <x:v>0</x:v>
      </x:c>
      <x:c r="T43" s="28" t="n">
        <x:f>IF(F43="有效",IF(D43&gt;=3,G43*'参数'!$B$17,0),"n.a.")</x:f>
        <x:v>0</x:v>
      </x:c>
      <x:c r="U43" s="28" t="n">
        <x:f>IF(F43="有效",SUM(O43:T43),"n.a.")</x:f>
        <x:v>3644.1533779305555</x:v>
      </x:c>
      <x:c r="V43" s="28" t="n">
        <x:f>IF(F43="有效",H43*'参数'!$B$7,"n.a.")</x:f>
        <x:v>0</x:v>
      </x:c>
      <x:c r="W43" s="28" t="n">
        <x:f>IF(F43="有效",IF(D43&gt;=3,G43*'参数'!$B$7/'参数'!$B$8,0),"n.a.")</x:f>
        <x:v>0</x:v>
      </x:c>
      <x:c r="X43" s="28" t="n">
        <x:f>IF(F43="有效",U43+W43,"n.a.")</x:f>
        <x:v>3644.1533779305555</x:v>
      </x:c>
      <x:c r="Y43" s="28" t="n">
        <x:f>IF(F43="有效",X43/G43,"n.a.")</x:f>
        <x:v>14.290797560511983</x:v>
      </x:c>
    </x:row>
    <x:row r="44" ht="22" customHeight="1">
      <x:c r="A44" s="11" t="str">
        <x:v>lade_0823_30aoi</x:v>
      </x:c>
      <x:c r="B44" s="22" t="n">
        <x:v>30</x:v>
      </x:c>
      <x:c r="C44" s="22" t="n">
        <x:v>1</x:v>
      </x:c>
      <x:c r="D44" s="22" t="n">
        <x:v>1</x:v>
      </x:c>
      <x:c r="E44" s="22" t="n">
        <x:v>44</x:v>
      </x:c>
      <x:c r="F44" s="30" t="str">
        <x:v>有效</x:v>
      </x:c>
      <x:c r="G44" s="22" t="n">
        <x:v>255</x:v>
      </x:c>
      <x:c r="H44" s="22" t="n">
        <x:v>0</x:v>
      </x:c>
      <x:c r="I44" s="24" t="n">
        <x:v>59.477500000000006</x:v>
      </x:c>
      <x:c r="J44" s="24" t="n">
        <x:v>67.27050000000001</x:v>
      </x:c>
      <x:c r="K44" s="24" t="n">
        <x:v>60.63333333333333</x:v>
      </x:c>
      <x:c r="L44" s="24" t="n">
        <x:v>2475.8</x:v>
      </x:c>
      <x:c r="M44" s="10" t="n">
        <x:v>1</x:v>
      </x:c>
      <x:c r="N44" s="10" t="n">
        <x:v>6</x:v>
      </x:c>
      <x:c r="O44" s="28" t="n">
        <x:f>IF(F44="有效",I44*'参数'!$B$10+J44*'参数'!$B$11,"n.a.")</x:f>
        <x:v>114.33303340000002</x:v>
      </x:c>
      <x:c r="P44" s="28" t="n">
        <x:f>IF(F44="有效",K44*'参数'!$B$12+L44*'参数'!$B$13,"n.a.")</x:f>
        <x:v>1885.955097916667</x:v>
      </x:c>
      <x:c r="Q44" s="28" t="n">
        <x:f>IF(F44="有效",M44*'参数'!$B$14+N44*'参数'!$B$15,"n.a.")</x:f>
        <x:v>460</x:v>
      </x:c>
      <x:c r="R44" s="28" t="n">
        <x:f>IF(F44="有效",IF(D44&lt;=2,G44*('参数'!$B$6+'参数'!$B$18),0),"n.a.")</x:f>
        <x:v>1020</x:v>
      </x:c>
      <x:c r="S44" s="28" t="n">
        <x:f>IF(F44="有效",IF(D44&gt;=3,G44*'参数'!$B$16,0),"n.a.")</x:f>
        <x:v>0</x:v>
      </x:c>
      <x:c r="T44" s="28" t="n">
        <x:f>IF(F44="有效",IF(D44&gt;=3,G44*'参数'!$B$17,0),"n.a.")</x:f>
        <x:v>0</x:v>
      </x:c>
      <x:c r="U44" s="28" t="n">
        <x:f>IF(F44="有效",SUM(O44:T44),"n.a.")</x:f>
        <x:v>3480.288131316667</x:v>
      </x:c>
      <x:c r="V44" s="28" t="n">
        <x:f>IF(F44="有效",H44*'参数'!$B$7,"n.a.")</x:f>
        <x:v>0</x:v>
      </x:c>
      <x:c r="W44" s="28" t="n">
        <x:f>IF(F44="有效",IF(D44&gt;=3,G44*'参数'!$B$7/'参数'!$B$8,0),"n.a.")</x:f>
        <x:v>0</x:v>
      </x:c>
      <x:c r="X44" s="28" t="n">
        <x:f>IF(F44="有效",U44+W44,"n.a.")</x:f>
        <x:v>3480.288131316667</x:v>
      </x:c>
      <x:c r="Y44" s="28" t="n">
        <x:f>IF(F44="有效",X44/G44,"n.a.")</x:f>
        <x:v>13.64818875026144</x:v>
      </x:c>
    </x:row>
    <x:row r="45" ht="22" customHeight="1">
      <x:c r="A45" s="11" t="str">
        <x:v>lade_0823_30aoi</x:v>
      </x:c>
      <x:c r="B45" s="22" t="n">
        <x:v>30</x:v>
      </x:c>
      <x:c r="C45" s="22" t="n">
        <x:v>1</x:v>
      </x:c>
      <x:c r="D45" s="22" t="n">
        <x:v>2</x:v>
      </x:c>
      <x:c r="E45" s="22" t="n">
        <x:v>42</x:v>
      </x:c>
      <x:c r="F45" s="30" t="str">
        <x:v>有效</x:v>
      </x:c>
      <x:c r="G45" s="22" t="n">
        <x:v>255</x:v>
      </x:c>
      <x:c r="H45" s="22" t="n">
        <x:v>0</x:v>
      </x:c>
      <x:c r="I45" s="24" t="n">
        <x:v>59.477500000000006</x:v>
      </x:c>
      <x:c r="J45" s="24" t="n">
        <x:v>66.39839999999998</x:v>
      </x:c>
      <x:c r="K45" s="24" t="n">
        <x:v>60.63333333333333</x:v>
      </x:c>
      <x:c r="L45" s="24" t="n">
        <x:v>2698.233333333333</x:v>
      </x:c>
      <x:c r="M45" s="10" t="n">
        <x:v>1</x:v>
      </x:c>
      <x:c r="N45" s="10" t="n">
        <x:v>6</x:v>
      </x:c>
      <x:c r="O45" s="28" t="n">
        <x:f>IF(F45="有效",I45*'参数'!$B$10+J45*'参数'!$B$11,"n.a.")</x:f>
        <x:v>113.546355595</x:v>
      </x:c>
      <x:c r="P45" s="28" t="n">
        <x:f>IF(F45="有效",K45*'参数'!$B$12+L45*'参数'!$B$13,"n.a.")</x:f>
        <x:v>2049.5501805555555</x:v>
      </x:c>
      <x:c r="Q45" s="28" t="n">
        <x:f>IF(F45="有效",M45*'参数'!$B$14+N45*'参数'!$B$15,"n.a.")</x:f>
        <x:v>460</x:v>
      </x:c>
      <x:c r="R45" s="28" t="n">
        <x:f>IF(F45="有效",IF(D45&lt;=2,G45*('参数'!$B$6+'参数'!$B$18),0),"n.a.")</x:f>
        <x:v>1020</x:v>
      </x:c>
      <x:c r="S45" s="28" t="n">
        <x:f>IF(F45="有效",IF(D45&gt;=3,G45*'参数'!$B$16,0),"n.a.")</x:f>
        <x:v>0</x:v>
      </x:c>
      <x:c r="T45" s="28" t="n">
        <x:f>IF(F45="有效",IF(D45&gt;=3,G45*'参数'!$B$17,0),"n.a.")</x:f>
        <x:v>0</x:v>
      </x:c>
      <x:c r="U45" s="28" t="n">
        <x:f>IF(F45="有效",SUM(O45:T45),"n.a.")</x:f>
        <x:v>3643.0965361505555</x:v>
      </x:c>
      <x:c r="V45" s="28" t="n">
        <x:f>IF(F45="有效",H45*'参数'!$B$7,"n.a.")</x:f>
        <x:v>0</x:v>
      </x:c>
      <x:c r="W45" s="28" t="n">
        <x:f>IF(F45="有效",IF(D45&gt;=3,G45*'参数'!$B$7/'参数'!$B$8,0),"n.a.")</x:f>
        <x:v>0</x:v>
      </x:c>
      <x:c r="X45" s="28" t="n">
        <x:f>IF(F45="有效",U45+W45,"n.a.")</x:f>
        <x:v>3643.0965361505555</x:v>
      </x:c>
      <x:c r="Y45" s="28" t="n">
        <x:f>IF(F45="有效",X45/G45,"n.a.")</x:f>
        <x:v>14.286653082943355</x:v>
      </x:c>
    </x:row>
    <x:row r="46" ht="22" customHeight="1">
      <x:c r="A46" s="11" t="str">
        <x:v>lade_0823_30aoi</x:v>
      </x:c>
      <x:c r="B46" s="22" t="n">
        <x:v>30</x:v>
      </x:c>
      <x:c r="C46" s="22" t="n">
        <x:v>1</x:v>
      </x:c>
      <x:c r="D46" s="22" t="n">
        <x:v>2</x:v>
      </x:c>
      <x:c r="E46" s="22" t="n">
        <x:v>43</x:v>
      </x:c>
      <x:c r="F46" s="30" t="str">
        <x:v>有效</x:v>
      </x:c>
      <x:c r="G46" s="22" t="n">
        <x:v>255</x:v>
      </x:c>
      <x:c r="H46" s="22" t="n">
        <x:v>0</x:v>
      </x:c>
      <x:c r="I46" s="24" t="n">
        <x:v>59.477500000000006</x:v>
      </x:c>
      <x:c r="J46" s="24" t="n">
        <x:v>66.5826</x:v>
      </x:c>
      <x:c r="K46" s="24" t="n">
        <x:v>60.63333333333333</x:v>
      </x:c>
      <x:c r="L46" s="24" t="n">
        <x:v>2707.9166666666665</x:v>
      </x:c>
      <x:c r="M46" s="10" t="n">
        <x:v>1</x:v>
      </x:c>
      <x:c r="N46" s="10" t="n">
        <x:v>6</x:v>
      </x:c>
      <x:c r="O46" s="28" t="n">
        <x:f>IF(F46="有效",I46*'参数'!$B$10+J46*'参数'!$B$11,"n.a.")</x:f>
        <x:v>113.71251320500001</x:v>
      </x:c>
      <x:c r="P46" s="28" t="n">
        <x:f>IF(F46="有效",K46*'参数'!$B$12+L46*'参数'!$B$13,"n.a.")</x:f>
        <x:v>2056.672070486111</x:v>
      </x:c>
      <x:c r="Q46" s="28" t="n">
        <x:f>IF(F46="有效",M46*'参数'!$B$14+N46*'参数'!$B$15,"n.a.")</x:f>
        <x:v>460</x:v>
      </x:c>
      <x:c r="R46" s="28" t="n">
        <x:f>IF(F46="有效",IF(D46&lt;=2,G46*('参数'!$B$6+'参数'!$B$18),0),"n.a.")</x:f>
        <x:v>1020</x:v>
      </x:c>
      <x:c r="S46" s="28" t="n">
        <x:f>IF(F46="有效",IF(D46&gt;=3,G46*'参数'!$B$16,0),"n.a.")</x:f>
        <x:v>0</x:v>
      </x:c>
      <x:c r="T46" s="28" t="n">
        <x:f>IF(F46="有效",IF(D46&gt;=3,G46*'参数'!$B$17,0),"n.a.")</x:f>
        <x:v>0</x:v>
      </x:c>
      <x:c r="U46" s="28" t="n">
        <x:f>IF(F46="有效",SUM(O46:T46),"n.a.")</x:f>
        <x:v>3650.384583691111</x:v>
      </x:c>
      <x:c r="V46" s="28" t="n">
        <x:f>IF(F46="有效",H46*'参数'!$B$7,"n.a.")</x:f>
        <x:v>0</x:v>
      </x:c>
      <x:c r="W46" s="28" t="n">
        <x:f>IF(F46="有效",IF(D46&gt;=3,G46*'参数'!$B$7/'参数'!$B$8,0),"n.a.")</x:f>
        <x:v>0</x:v>
      </x:c>
      <x:c r="X46" s="28" t="n">
        <x:f>IF(F46="有效",U46+W46,"n.a.")</x:f>
        <x:v>3650.384583691111</x:v>
      </x:c>
      <x:c r="Y46" s="28" t="n">
        <x:f>IF(F46="有效",X46/G46,"n.a.")</x:f>
        <x:v>14.31523366153377</x:v>
      </x:c>
    </x:row>
    <x:row r="47" ht="22" customHeight="1">
      <x:c r="A47" s="11" t="str">
        <x:v>lade_0823_30aoi</x:v>
      </x:c>
      <x:c r="B47" s="22" t="n">
        <x:v>30</x:v>
      </x:c>
      <x:c r="C47" s="22" t="n">
        <x:v>1</x:v>
      </x:c>
      <x:c r="D47" s="22" t="n">
        <x:v>2</x:v>
      </x:c>
      <x:c r="E47" s="22" t="n">
        <x:v>44</x:v>
      </x:c>
      <x:c r="F47" s="30" t="str">
        <x:v>有效</x:v>
      </x:c>
      <x:c r="G47" s="22" t="n">
        <x:v>255</x:v>
      </x:c>
      <x:c r="H47" s="22" t="n">
        <x:v>0</x:v>
      </x:c>
      <x:c r="I47" s="24" t="n">
        <x:v>59.477500000000006</x:v>
      </x:c>
      <x:c r="J47" s="24" t="n">
        <x:v>66.6807</x:v>
      </x:c>
      <x:c r="K47" s="24" t="n">
        <x:v>60.63333333333333</x:v>
      </x:c>
      <x:c r="L47" s="24" t="n">
        <x:v>2926.1666666666665</x:v>
      </x:c>
      <x:c r="M47" s="10" t="n">
        <x:v>1</x:v>
      </x:c>
      <x:c r="N47" s="10" t="n">
        <x:v>6</x:v>
      </x:c>
      <x:c r="O47" s="28" t="n">
        <x:f>IF(F47="有效",I47*'参数'!$B$10+J47*'参数'!$B$11,"n.a.")</x:f>
        <x:v>113.80100431000001</x:v>
      </x:c>
      <x:c r="P47" s="28" t="n">
        <x:f>IF(F47="有效",K47*'参数'!$B$12+L47*'参数'!$B$13,"n.a.")</x:f>
        <x:v>2217.190398611111</x:v>
      </x:c>
      <x:c r="Q47" s="28" t="n">
        <x:f>IF(F47="有效",M47*'参数'!$B$14+N47*'参数'!$B$15,"n.a.")</x:f>
        <x:v>460</x:v>
      </x:c>
      <x:c r="R47" s="28" t="n">
        <x:f>IF(F47="有效",IF(D47&lt;=2,G47*('参数'!$B$6+'参数'!$B$18),0),"n.a.")</x:f>
        <x:v>1020</x:v>
      </x:c>
      <x:c r="S47" s="28" t="n">
        <x:f>IF(F47="有效",IF(D47&gt;=3,G47*'参数'!$B$16,0),"n.a.")</x:f>
        <x:v>0</x:v>
      </x:c>
      <x:c r="T47" s="28" t="n">
        <x:f>IF(F47="有效",IF(D47&gt;=3,G47*'参数'!$B$17,0),"n.a.")</x:f>
        <x:v>0</x:v>
      </x:c>
      <x:c r="U47" s="28" t="n">
        <x:f>IF(F47="有效",SUM(O47:T47),"n.a.")</x:f>
        <x:v>3810.991402921111</x:v>
      </x:c>
      <x:c r="V47" s="28" t="n">
        <x:f>IF(F47="有效",H47*'参数'!$B$7,"n.a.")</x:f>
        <x:v>0</x:v>
      </x:c>
      <x:c r="W47" s="28" t="n">
        <x:f>IF(F47="有效",IF(D47&gt;=3,G47*'参数'!$B$7/'参数'!$B$8,0),"n.a.")</x:f>
        <x:v>0</x:v>
      </x:c>
      <x:c r="X47" s="28" t="n">
        <x:f>IF(F47="有效",U47+W47,"n.a.")</x:f>
        <x:v>3810.991402921111</x:v>
      </x:c>
      <x:c r="Y47" s="28" t="n">
        <x:f>IF(F47="有效",X47/G47,"n.a.")</x:f>
        <x:v>14.945064325180827</x:v>
      </x:c>
    </x:row>
    <x:row r="48" ht="22" customHeight="1">
      <x:c r="A48" s="11" t="str">
        <x:v>lade_0823_30aoi</x:v>
      </x:c>
      <x:c r="B48" s="22" t="n">
        <x:v>30</x:v>
      </x:c>
      <x:c r="C48" s="22" t="n">
        <x:v>1</x:v>
      </x:c>
      <x:c r="D48" s="22" t="n">
        <x:v>3</x:v>
      </x:c>
      <x:c r="E48" s="22" t="n">
        <x:v>42</x:v>
      </x:c>
      <x:c r="F48" s="30" t="str">
        <x:v>有效</x:v>
      </x:c>
      <x:c r="G48" s="22" t="n">
        <x:v>255</x:v>
      </x:c>
      <x:c r="H48" s="22" t="n">
        <x:v>255</x:v>
      </x:c>
      <x:c r="I48" s="24" t="n">
        <x:v>107.9065</x:v>
      </x:c>
      <x:c r="J48" s="24" t="n">
        <x:v>85.58060000000002</x:v>
      </x:c>
      <x:c r="K48" s="24" t="n">
        <x:v>1462.8</x:v>
      </x:c>
      <x:c r="L48" s="24" t="n">
        <x:v>3159.7833333333333</x:v>
      </x:c>
      <x:c r="M48" s="10" t="n">
        <x:v>2</x:v>
      </x:c>
      <x:c r="N48" s="10" t="n">
        <x:v>6</x:v>
      </x:c>
      <x:c r="O48" s="28" t="n">
        <x:f>IF(F48="有效",I48*'参数'!$B$10+J48*'参数'!$B$11,"n.a.")</x:f>
        <x:v>174.53503855500003</x:v>
      </x:c>
      <x:c r="P48" s="28" t="n">
        <x:f>IF(F48="有效",K48*'参数'!$B$12+L48*'参数'!$B$13,"n.a.")</x:f>
        <x:v>3893.447787847222</x:v>
      </x:c>
      <x:c r="Q48" s="28" t="n">
        <x:f>IF(F48="有效",M48*'参数'!$B$14+N48*'参数'!$B$15,"n.a.")</x:f>
        <x:v>560</x:v>
      </x:c>
      <x:c r="R48" s="28" t="n">
        <x:f>IF(F48="有效",IF(D48&lt;=2,G48*('参数'!$B$6+'参数'!$B$18),0),"n.a.")</x:f>
        <x:v>0</x:v>
      </x:c>
      <x:c r="S48" s="28" t="n">
        <x:f>IF(F48="有效",IF(D48&gt;=3,G48*'参数'!$B$16,0),"n.a.")</x:f>
        <x:v>204</x:v>
      </x:c>
      <x:c r="T48" s="28" t="n">
        <x:f>IF(F48="有效",IF(D48&gt;=3,G48*'参数'!$B$17,0),"n.a.")</x:f>
        <x:v>25.5</x:v>
      </x:c>
      <x:c r="U48" s="28" t="n">
        <x:f>IF(F48="有效",SUM(O48:T48),"n.a.")</x:f>
        <x:v>4857.482826402222</x:v>
      </x:c>
      <x:c r="V48" s="28" t="n">
        <x:f>IF(F48="有效",H48*'参数'!$B$7,"n.a.")</x:f>
        <x:v>9307.5</x:v>
      </x:c>
      <x:c r="W48" s="28" t="n">
        <x:f>IF(F48="有效",IF(D48&gt;=3,G48*'参数'!$B$7/'参数'!$B$8,0),"n.a.")</x:f>
        <x:v>186.15</x:v>
      </x:c>
      <x:c r="X48" s="28" t="n">
        <x:f>IF(F48="有效",U48+W48,"n.a.")</x:f>
        <x:v>5043.632826402221</x:v>
      </x:c>
      <x:c r="Y48" s="28" t="n">
        <x:f>IF(F48="有效",X48/G48,"n.a.")</x:f>
        <x:v>19.778952260400867</x:v>
      </x:c>
    </x:row>
    <x:row r="49" ht="22" customHeight="1">
      <x:c r="A49" s="11" t="str">
        <x:v>lade_0823_30aoi</x:v>
      </x:c>
      <x:c r="B49" s="22" t="n">
        <x:v>30</x:v>
      </x:c>
      <x:c r="C49" s="22" t="n">
        <x:v>1</x:v>
      </x:c>
      <x:c r="D49" s="22" t="n">
        <x:v>3</x:v>
      </x:c>
      <x:c r="E49" s="22" t="n">
        <x:v>43</x:v>
      </x:c>
      <x:c r="F49" s="30" t="str">
        <x:v>有效</x:v>
      </x:c>
      <x:c r="G49" s="22" t="n">
        <x:v>255</x:v>
      </x:c>
      <x:c r="H49" s="22" t="n">
        <x:v>255</x:v>
      </x:c>
      <x:c r="I49" s="24" t="n">
        <x:v>107.90650000000001</x:v>
      </x:c>
      <x:c r="J49" s="24" t="n">
        <x:v>83.7097</x:v>
      </x:c>
      <x:c r="K49" s="24" t="n">
        <x:v>1462.8</x:v>
      </x:c>
      <x:c r="L49" s="24" t="n">
        <x:v>3400.8333333333335</x:v>
      </x:c>
      <x:c r="M49" s="10" t="n">
        <x:v>2</x:v>
      </x:c>
      <x:c r="N49" s="10" t="n">
        <x:v>6</x:v>
      </x:c>
      <x:c r="O49" s="28" t="n">
        <x:f>IF(F49="有效",I49*'参数'!$B$10+J49*'参数'!$B$11,"n.a.")</x:f>
        <x:v>172.84739321</x:v>
      </x:c>
      <x:c r="P49" s="28" t="n">
        <x:f>IF(F49="有效",K49*'参数'!$B$12+L49*'参数'!$B$13,"n.a.")</x:f>
        <x:v>4070.735040972222</x:v>
      </x:c>
      <x:c r="Q49" s="28" t="n">
        <x:f>IF(F49="有效",M49*'参数'!$B$14+N49*'参数'!$B$15,"n.a.")</x:f>
        <x:v>560</x:v>
      </x:c>
      <x:c r="R49" s="28" t="n">
        <x:f>IF(F49="有效",IF(D49&lt;=2,G49*('参数'!$B$6+'参数'!$B$18),0),"n.a.")</x:f>
        <x:v>0</x:v>
      </x:c>
      <x:c r="S49" s="28" t="n">
        <x:f>IF(F49="有效",IF(D49&gt;=3,G49*'参数'!$B$16,0),"n.a.")</x:f>
        <x:v>204</x:v>
      </x:c>
      <x:c r="T49" s="28" t="n">
        <x:f>IF(F49="有效",IF(D49&gt;=3,G49*'参数'!$B$17,0),"n.a.")</x:f>
        <x:v>25.5</x:v>
      </x:c>
      <x:c r="U49" s="28" t="n">
        <x:f>IF(F49="有效",SUM(O49:T49),"n.a.")</x:f>
        <x:v>5033.082434182222</x:v>
      </x:c>
      <x:c r="V49" s="28" t="n">
        <x:f>IF(F49="有效",H49*'参数'!$B$7,"n.a.")</x:f>
        <x:v>9307.5</x:v>
      </x:c>
      <x:c r="W49" s="28" t="n">
        <x:f>IF(F49="有效",IF(D49&gt;=3,G49*'参数'!$B$7/'参数'!$B$8,0),"n.a.")</x:f>
        <x:v>186.15</x:v>
      </x:c>
      <x:c r="X49" s="28" t="n">
        <x:f>IF(F49="有效",U49+W49,"n.a.")</x:f>
        <x:v>5219.232434182221</x:v>
      </x:c>
      <x:c r="Y49" s="28" t="n">
        <x:f>IF(F49="有效",X49/G49,"n.a.")</x:f>
        <x:v>20.467578173263615</x:v>
      </x:c>
    </x:row>
    <x:row r="50" ht="22" customHeight="1">
      <x:c r="A50" s="11" t="str">
        <x:v>lade_0823_30aoi</x:v>
      </x:c>
      <x:c r="B50" s="22" t="n">
        <x:v>30</x:v>
      </x:c>
      <x:c r="C50" s="22" t="n">
        <x:v>1</x:v>
      </x:c>
      <x:c r="D50" s="22" t="n">
        <x:v>3</x:v>
      </x:c>
      <x:c r="E50" s="22" t="n">
        <x:v>44</x:v>
      </x:c>
      <x:c r="F50" s="30" t="str">
        <x:v>有效</x:v>
      </x:c>
      <x:c r="G50" s="22" t="n">
        <x:v>255</x:v>
      </x:c>
      <x:c r="H50" s="22" t="n">
        <x:v>255</x:v>
      </x:c>
      <x:c r="I50" s="24" t="n">
        <x:v>63.013999999999996</x:v>
      </x:c>
      <x:c r="J50" s="24" t="n">
        <x:v>84.85239999999999</x:v>
      </x:c>
      <x:c r="K50" s="24" t="n">
        <x:v>738.65</x:v>
      </x:c>
      <x:c r="L50" s="24" t="n">
        <x:v>3395.0666666666666</x:v>
      </x:c>
      <x:c r="M50" s="10" t="n">
        <x:v>1</x:v>
      </x:c>
      <x:c r="N50" s="10" t="n">
        <x:v>6</x:v>
      </x:c>
      <x:c r="O50" s="28" t="n">
        <x:f>IF(F50="有效",I50*'参数'!$B$10+J50*'参数'!$B$11,"n.a.")</x:f>
        <x:v>133.38288612</x:v>
      </x:c>
      <x:c r="P50" s="28" t="n">
        <x:f>IF(F50="有效",K50*'参数'!$B$12+L50*'参数'!$B$13,"n.a.")</x:f>
        <x:v>3289.5260871527776</x:v>
      </x:c>
      <x:c r="Q50" s="28" t="n">
        <x:f>IF(F50="有效",M50*'参数'!$B$14+N50*'参数'!$B$15,"n.a.")</x:f>
        <x:v>460</x:v>
      </x:c>
      <x:c r="R50" s="28" t="n">
        <x:f>IF(F50="有效",IF(D50&lt;=2,G50*('参数'!$B$6+'参数'!$B$18),0),"n.a.")</x:f>
        <x:v>0</x:v>
      </x:c>
      <x:c r="S50" s="28" t="n">
        <x:f>IF(F50="有效",IF(D50&gt;=3,G50*'参数'!$B$16,0),"n.a.")</x:f>
        <x:v>204</x:v>
      </x:c>
      <x:c r="T50" s="28" t="n">
        <x:f>IF(F50="有效",IF(D50&gt;=3,G50*'参数'!$B$17,0),"n.a.")</x:f>
        <x:v>25.5</x:v>
      </x:c>
      <x:c r="U50" s="28" t="n">
        <x:f>IF(F50="有效",SUM(O50:T50),"n.a.")</x:f>
        <x:v>4112.408973272777</x:v>
      </x:c>
      <x:c r="V50" s="28" t="n">
        <x:f>IF(F50="有效",H50*'参数'!$B$7,"n.a.")</x:f>
        <x:v>9307.5</x:v>
      </x:c>
      <x:c r="W50" s="28" t="n">
        <x:f>IF(F50="有效",IF(D50&gt;=3,G50*'参数'!$B$7/'参数'!$B$8,0),"n.a.")</x:f>
        <x:v>186.15</x:v>
      </x:c>
      <x:c r="X50" s="28" t="n">
        <x:f>IF(F50="有效",U50+W50,"n.a.")</x:f>
        <x:v>4298.558973272777</x:v>
      </x:c>
      <x:c r="Y50" s="28" t="n">
        <x:f>IF(F50="有效",X50/G50,"n.a.")</x:f>
        <x:v>16.85709401283442</x:v>
      </x:c>
    </x:row>
    <x:row r="51" ht="22" customHeight="1">
      <x:c r="A51" s="11" t="str">
        <x:v>lade_0823_30aoi</x:v>
      </x:c>
      <x:c r="B51" s="22" t="n">
        <x:v>30</x:v>
      </x:c>
      <x:c r="C51" s="22" t="n">
        <x:v>1</x:v>
      </x:c>
      <x:c r="D51" s="22" t="n">
        <x:v>4</x:v>
      </x:c>
      <x:c r="E51" s="22" t="n">
        <x:v>42</x:v>
      </x:c>
      <x:c r="F51" s="30" t="str">
        <x:v>有效</x:v>
      </x:c>
      <x:c r="G51" s="22" t="n">
        <x:v>255</x:v>
      </x:c>
      <x:c r="H51" s="22" t="n">
        <x:v>255</x:v>
      </x:c>
      <x:c r="I51" s="24" t="n">
        <x:v>63.013999999999996</x:v>
      </x:c>
      <x:c r="J51" s="24" t="n">
        <x:v>89.21400000000001</x:v>
      </x:c>
      <x:c r="K51" s="24" t="n">
        <x:v>738.65</x:v>
      </x:c>
      <x:c r="L51" s="24" t="n">
        <x:v>3355.2833333333333</x:v>
      </x:c>
      <x:c r="M51" s="10" t="n">
        <x:v>1</x:v>
      </x:c>
      <x:c r="N51" s="10" t="n">
        <x:v>6</x:v>
      </x:c>
      <x:c r="O51" s="28" t="n">
        <x:f>IF(F51="有效",I51*'参数'!$B$10+J51*'参数'!$B$11,"n.a.")</x:f>
        <x:v>137.31726740000002</x:v>
      </x:c>
      <x:c r="P51" s="28" t="n">
        <x:f>IF(F51="有效",K51*'参数'!$B$12+L51*'参数'!$B$13,"n.a.")</x:f>
        <x:v>3260.2662743055557</x:v>
      </x:c>
      <x:c r="Q51" s="28" t="n">
        <x:f>IF(F51="有效",M51*'参数'!$B$14+N51*'参数'!$B$15,"n.a.")</x:f>
        <x:v>460</x:v>
      </x:c>
      <x:c r="R51" s="28" t="n">
        <x:f>IF(F51="有效",IF(D51&lt;=2,G51*('参数'!$B$6+'参数'!$B$18),0),"n.a.")</x:f>
        <x:v>0</x:v>
      </x:c>
      <x:c r="S51" s="28" t="n">
        <x:f>IF(F51="有效",IF(D51&gt;=3,G51*'参数'!$B$16,0),"n.a.")</x:f>
        <x:v>204</x:v>
      </x:c>
      <x:c r="T51" s="28" t="n">
        <x:f>IF(F51="有效",IF(D51&gt;=3,G51*'参数'!$B$17,0),"n.a.")</x:f>
        <x:v>25.5</x:v>
      </x:c>
      <x:c r="U51" s="28" t="n">
        <x:f>IF(F51="有效",SUM(O51:T51),"n.a.")</x:f>
        <x:v>4087.083541705556</x:v>
      </x:c>
      <x:c r="V51" s="28" t="n">
        <x:f>IF(F51="有效",H51*'参数'!$B$7,"n.a.")</x:f>
        <x:v>9307.5</x:v>
      </x:c>
      <x:c r="W51" s="28" t="n">
        <x:f>IF(F51="有效",IF(D51&gt;=3,G51*'参数'!$B$7/'参数'!$B$8,0),"n.a.")</x:f>
        <x:v>186.15</x:v>
      </x:c>
      <x:c r="X51" s="28" t="n">
        <x:f>IF(F51="有效",U51+W51,"n.a.")</x:f>
        <x:v>4273.233541705556</x:v>
      </x:c>
      <x:c r="Y51" s="28" t="n">
        <x:f>IF(F51="有效",X51/G51,"n.a.")</x:f>
        <x:v>16.757778594923746</x:v>
      </x:c>
    </x:row>
    <x:row r="52" ht="22" customHeight="1">
      <x:c r="A52" s="11" t="str">
        <x:v>lade_0823_30aoi</x:v>
      </x:c>
      <x:c r="B52" s="22" t="n">
        <x:v>30</x:v>
      </x:c>
      <x:c r="C52" s="22" t="n">
        <x:v>1</x:v>
      </x:c>
      <x:c r="D52" s="22" t="n">
        <x:v>4</x:v>
      </x:c>
      <x:c r="E52" s="22" t="n">
        <x:v>43</x:v>
      </x:c>
      <x:c r="F52" s="30" t="str">
        <x:v>有效</x:v>
      </x:c>
      <x:c r="G52" s="22" t="n">
        <x:v>255</x:v>
      </x:c>
      <x:c r="H52" s="22" t="n">
        <x:v>255</x:v>
      </x:c>
      <x:c r="I52" s="24" t="n">
        <x:v>63.013999999999996</x:v>
      </x:c>
      <x:c r="J52" s="24" t="n">
        <x:v>88.42180000000002</x:v>
      </x:c>
      <x:c r="K52" s="24" t="n">
        <x:v>738.65</x:v>
      </x:c>
      <x:c r="L52" s="24" t="n">
        <x:v>3388.1833333333334</x:v>
      </x:c>
      <x:c r="M52" s="10" t="n">
        <x:v>1</x:v>
      </x:c>
      <x:c r="N52" s="10" t="n">
        <x:v>6</x:v>
      </x:c>
      <x:c r="O52" s="28" t="n">
        <x:f>IF(F52="有效",I52*'参数'!$B$10+J52*'参数'!$B$11,"n.a.")</x:f>
        <x:v>136.60266339</x:v>
      </x:c>
      <x:c r="P52" s="28" t="n">
        <x:f>IF(F52="有效",K52*'参数'!$B$12+L52*'参数'!$B$13,"n.a.")</x:f>
        <x:v>3284.463538888889</x:v>
      </x:c>
      <x:c r="Q52" s="28" t="n">
        <x:f>IF(F52="有效",M52*'参数'!$B$14+N52*'参数'!$B$15,"n.a.")</x:f>
        <x:v>460</x:v>
      </x:c>
      <x:c r="R52" s="28" t="n">
        <x:f>IF(F52="有效",IF(D52&lt;=2,G52*('参数'!$B$6+'参数'!$B$18),0),"n.a.")</x:f>
        <x:v>0</x:v>
      </x:c>
      <x:c r="S52" s="28" t="n">
        <x:f>IF(F52="有效",IF(D52&gt;=3,G52*'参数'!$B$16,0),"n.a.")</x:f>
        <x:v>204</x:v>
      </x:c>
      <x:c r="T52" s="28" t="n">
        <x:f>IF(F52="有效",IF(D52&gt;=3,G52*'参数'!$B$17,0),"n.a.")</x:f>
        <x:v>25.5</x:v>
      </x:c>
      <x:c r="U52" s="28" t="n">
        <x:f>IF(F52="有效",SUM(O52:T52),"n.a.")</x:f>
        <x:v>4110.566202278889</x:v>
      </x:c>
      <x:c r="V52" s="28" t="n">
        <x:f>IF(F52="有效",H52*'参数'!$B$7,"n.a.")</x:f>
        <x:v>9307.5</x:v>
      </x:c>
      <x:c r="W52" s="28" t="n">
        <x:f>IF(F52="有效",IF(D52&gt;=3,G52*'参数'!$B$7/'参数'!$B$8,0),"n.a.")</x:f>
        <x:v>186.15</x:v>
      </x:c>
      <x:c r="X52" s="28" t="n">
        <x:f>IF(F52="有效",U52+W52,"n.a.")</x:f>
        <x:v>4296.716202278889</x:v>
      </x:c>
      <x:c r="Y52" s="28" t="n">
        <x:f>IF(F52="有效",X52/G52,"n.a.")</x:f>
        <x:v>16.84986745991721</x:v>
      </x:c>
    </x:row>
    <x:row r="53" ht="22" customHeight="1">
      <x:c r="A53" s="11" t="str">
        <x:v>lade_0823_30aoi</x:v>
      </x:c>
      <x:c r="B53" s="22" t="n">
        <x:v>30</x:v>
      </x:c>
      <x:c r="C53" s="22" t="n">
        <x:v>1</x:v>
      </x:c>
      <x:c r="D53" s="22" t="n">
        <x:v>4</x:v>
      </x:c>
      <x:c r="E53" s="22" t="n">
        <x:v>44</x:v>
      </x:c>
      <x:c r="F53" s="30" t="str">
        <x:v>有效</x:v>
      </x:c>
      <x:c r="G53" s="22" t="n">
        <x:v>255</x:v>
      </x:c>
      <x:c r="H53" s="22" t="n">
        <x:v>255</x:v>
      </x:c>
      <x:c r="I53" s="24" t="n">
        <x:v>108.23600000000002</x:v>
      </x:c>
      <x:c r="J53" s="24" t="n">
        <x:v>93.57309999999998</x:v>
      </x:c>
      <x:c r="K53" s="24" t="n">
        <x:v>1465.4666666666667</x:v>
      </x:c>
      <x:c r="L53" s="24" t="n">
        <x:v>3396.6666666666665</x:v>
      </x:c>
      <x:c r="M53" s="10" t="n">
        <x:v>2</x:v>
      </x:c>
      <x:c r="N53" s="10" t="n">
        <x:v>6</x:v>
      </x:c>
      <x:c r="O53" s="28" t="n">
        <x:f>IF(F53="有效",I53*'参数'!$B$10+J53*'参数'!$B$11,"n.a.")</x:f>
        <x:v>182.041898655</x:v>
      </x:c>
      <x:c r="P53" s="28" t="n">
        <x:f>IF(F53="有效",K53*'参数'!$B$12+L53*'参数'!$B$13,"n.a.")</x:f>
        <x:v>4070.531711111111</x:v>
      </x:c>
      <x:c r="Q53" s="28" t="n">
        <x:f>IF(F53="有效",M53*'参数'!$B$14+N53*'参数'!$B$15,"n.a.")</x:f>
        <x:v>560</x:v>
      </x:c>
      <x:c r="R53" s="28" t="n">
        <x:f>IF(F53="有效",IF(D53&lt;=2,G53*('参数'!$B$6+'参数'!$B$18),0),"n.a.")</x:f>
        <x:v>0</x:v>
      </x:c>
      <x:c r="S53" s="28" t="n">
        <x:f>IF(F53="有效",IF(D53&gt;=3,G53*'参数'!$B$16,0),"n.a.")</x:f>
        <x:v>204</x:v>
      </x:c>
      <x:c r="T53" s="28" t="n">
        <x:f>IF(F53="有效",IF(D53&gt;=3,G53*'参数'!$B$17,0),"n.a.")</x:f>
        <x:v>25.5</x:v>
      </x:c>
      <x:c r="U53" s="28" t="n">
        <x:f>IF(F53="有效",SUM(O53:T53),"n.a.")</x:f>
        <x:v>5042.073609766111</x:v>
      </x:c>
      <x:c r="V53" s="28" t="n">
        <x:f>IF(F53="有效",H53*'参数'!$B$7,"n.a.")</x:f>
        <x:v>9307.5</x:v>
      </x:c>
      <x:c r="W53" s="28" t="n">
        <x:f>IF(F53="有效",IF(D53&gt;=3,G53*'参数'!$B$7/'参数'!$B$8,0),"n.a.")</x:f>
        <x:v>186.15</x:v>
      </x:c>
      <x:c r="X53" s="28" t="n">
        <x:f>IF(F53="有效",U53+W53,"n.a.")</x:f>
        <x:v>5228.223609766111</x:v>
      </x:c>
      <x:c r="Y53" s="28" t="n">
        <x:f>IF(F53="有效",X53/G53,"n.a.")</x:f>
        <x:v>20.502837685357296</x:v>
      </x:c>
    </x:row>
    <x:row r="54" ht="22" customHeight="1">
      <x:c r="A54" s="11" t="str">
        <x:v>lade_0823_30aoi</x:v>
      </x:c>
      <x:c r="B54" s="22" t="n">
        <x:v>30</x:v>
      </x:c>
      <x:c r="C54" s="22" t="n">
        <x:v>2</x:v>
      </x:c>
      <x:c r="D54" s="22" t="n">
        <x:v>5</x:v>
      </x:c>
      <x:c r="E54" s="22" t="n">
        <x:v>42</x:v>
      </x:c>
      <x:c r="F54" s="30" t="str">
        <x:v>有效</x:v>
      </x:c>
      <x:c r="G54" s="22" t="n">
        <x:v>255</x:v>
      </x:c>
      <x:c r="H54" s="22" t="n">
        <x:v>255</x:v>
      </x:c>
      <x:c r="I54" s="24" t="n">
        <x:v>215.81300000000002</x:v>
      </x:c>
      <x:c r="J54" s="24" t="n">
        <x:v>93.3757</x:v>
      </x:c>
      <x:c r="K54" s="24" t="n">
        <x:v>1395.6</x:v>
      </x:c>
      <x:c r="L54" s="24" t="n">
        <x:v>2331.1666666666665</x:v>
      </x:c>
      <x:c r="M54" s="10" t="n">
        <x:v>3</x:v>
      </x:c>
      <x:c r="N54" s="10" t="n">
        <x:v>6</x:v>
      </x:c>
      <x:c r="O54" s="28" t="n">
        <x:f>IF(F54="有效",I54*'参数'!$B$10+J54*'参数'!$B$11,"n.a.")</x:f>
        <x:v>278.903666835</x:v>
      </x:c>
      <x:c r="P54" s="28" t="n">
        <x:f>IF(F54="有效",K54*'参数'!$B$12+L54*'参数'!$B$13,"n.a.")</x:f>
        <x:v>3211.9160923611107</x:v>
      </x:c>
      <x:c r="Q54" s="28" t="n">
        <x:f>IF(F54="有效",M54*'参数'!$B$14+N54*'参数'!$B$15,"n.a.")</x:f>
        <x:v>660</x:v>
      </x:c>
      <x:c r="R54" s="28" t="n">
        <x:f>IF(F54="有效",IF(D54&lt;=2,G54*('参数'!$B$6+'参数'!$B$18),0),"n.a.")</x:f>
        <x:v>0</x:v>
      </x:c>
      <x:c r="S54" s="28" t="n">
        <x:f>IF(F54="有效",IF(D54&gt;=3,G54*'参数'!$B$16,0),"n.a.")</x:f>
        <x:v>204</x:v>
      </x:c>
      <x:c r="T54" s="28" t="n">
        <x:f>IF(F54="有效",IF(D54&gt;=3,G54*'参数'!$B$17,0),"n.a.")</x:f>
        <x:v>25.5</x:v>
      </x:c>
      <x:c r="U54" s="28" t="n">
        <x:f>IF(F54="有效",SUM(O54:T54),"n.a.")</x:f>
        <x:v>4380.319759196111</x:v>
      </x:c>
      <x:c r="V54" s="28" t="n">
        <x:f>IF(F54="有效",H54*'参数'!$B$7,"n.a.")</x:f>
        <x:v>9307.5</x:v>
      </x:c>
      <x:c r="W54" s="28" t="n">
        <x:f>IF(F54="有效",IF(D54&gt;=3,G54*'参数'!$B$7/'参数'!$B$8,0),"n.a.")</x:f>
        <x:v>186.15</x:v>
      </x:c>
      <x:c r="X54" s="28" t="n">
        <x:f>IF(F54="有效",U54+W54,"n.a.")</x:f>
        <x:v>4566.46975919611</x:v>
      </x:c>
      <x:c r="Y54" s="28" t="n">
        <x:f>IF(F54="有效",X54/G54,"n.a.")</x:f>
        <x:v>17.9077245458671</x:v>
      </x:c>
    </x:row>
    <x:row r="55" ht="22" customHeight="1">
      <x:c r="A55" s="11" t="str">
        <x:v>lade_0823_30aoi</x:v>
      </x:c>
      <x:c r="B55" s="22" t="n">
        <x:v>30</x:v>
      </x:c>
      <x:c r="C55" s="22" t="n">
        <x:v>2</x:v>
      </x:c>
      <x:c r="D55" s="22" t="n">
        <x:v>5</x:v>
      </x:c>
      <x:c r="E55" s="22" t="n">
        <x:v>43</x:v>
      </x:c>
      <x:c r="F55" s="30" t="str">
        <x:v>有效</x:v>
      </x:c>
      <x:c r="G55" s="22" t="n">
        <x:v>255</x:v>
      </x:c>
      <x:c r="H55" s="22" t="n">
        <x:v>255</x:v>
      </x:c>
      <x:c r="I55" s="24" t="n">
        <x:v>261.035</x:v>
      </x:c>
      <x:c r="J55" s="24" t="n">
        <x:v>93.7856</x:v>
      </x:c>
      <x:c r="K55" s="24" t="n">
        <x:v>1642.4166666666667</x:v>
      </x:c>
      <x:c r="L55" s="24" t="n">
        <x:v>2186.3</x:v>
      </x:c>
      <x:c r="M55" s="10" t="n">
        <x:v>3</x:v>
      </x:c>
      <x:c r="N55" s="10" t="n">
        <x:v>6</x:v>
      </x:c>
      <x:c r="O55" s="28" t="n">
        <x:f>IF(F55="有效",I55*'参数'!$B$10+J55*'参数'!$B$11,"n.a.")</x:f>
        <x:v>320.06592223000007</x:v>
      </x:c>
      <x:c r="P55" s="28" t="n">
        <x:f>IF(F55="有效",K55*'参数'!$B$12+L55*'参数'!$B$13,"n.a.")</x:f>
        <x:v>3370.188534375</x:v>
      </x:c>
      <x:c r="Q55" s="28" t="n">
        <x:f>IF(F55="有效",M55*'参数'!$B$14+N55*'参数'!$B$15,"n.a.")</x:f>
        <x:v>660</x:v>
      </x:c>
      <x:c r="R55" s="28" t="n">
        <x:f>IF(F55="有效",IF(D55&lt;=2,G55*('参数'!$B$6+'参数'!$B$18),0),"n.a.")</x:f>
        <x:v>0</x:v>
      </x:c>
      <x:c r="S55" s="28" t="n">
        <x:f>IF(F55="有效",IF(D55&gt;=3,G55*'参数'!$B$16,0),"n.a.")</x:f>
        <x:v>204</x:v>
      </x:c>
      <x:c r="T55" s="28" t="n">
        <x:f>IF(F55="有效",IF(D55&gt;=3,G55*'参数'!$B$17,0),"n.a.")</x:f>
        <x:v>25.5</x:v>
      </x:c>
      <x:c r="U55" s="28" t="n">
        <x:f>IF(F55="有效",SUM(O55:T55),"n.a.")</x:f>
        <x:v>4579.754456605</x:v>
      </x:c>
      <x:c r="V55" s="28" t="n">
        <x:f>IF(F55="有效",H55*'参数'!$B$7,"n.a.")</x:f>
        <x:v>9307.5</x:v>
      </x:c>
      <x:c r="W55" s="28" t="n">
        <x:f>IF(F55="有效",IF(D55&gt;=3,G55*'参数'!$B$7/'参数'!$B$8,0),"n.a.")</x:f>
        <x:v>186.15</x:v>
      </x:c>
      <x:c r="X55" s="28" t="n">
        <x:f>IF(F55="有效",U55+W55,"n.a.")</x:f>
        <x:v>4765.904456605</x:v>
      </x:c>
      <x:c r="Y55" s="28" t="n">
        <x:f>IF(F55="有效",X55/G55,"n.a.")</x:f>
        <x:v>18.68982139845098</x:v>
      </x:c>
    </x:row>
    <x:row r="56" ht="22" customHeight="1">
      <x:c r="A56" s="11" t="str">
        <x:v>lade_0823_30aoi</x:v>
      </x:c>
      <x:c r="B56" s="22" t="n">
        <x:v>30</x:v>
      </x:c>
      <x:c r="C56" s="22" t="n">
        <x:v>2</x:v>
      </x:c>
      <x:c r="D56" s="22" t="n">
        <x:v>5</x:v>
      </x:c>
      <x:c r="E56" s="22" t="n">
        <x:v>44</x:v>
      </x:c>
      <x:c r="F56" s="30" t="str">
        <x:v>有效</x:v>
      </x:c>
      <x:c r="G56" s="22" t="n">
        <x:v>255</x:v>
      </x:c>
      <x:c r="H56" s="22" t="n">
        <x:v>255</x:v>
      </x:c>
      <x:c r="I56" s="24" t="n">
        <x:v>260.0485</x:v>
      </x:c>
      <x:c r="J56" s="24" t="n">
        <x:v>90.97279999999999</x:v>
      </x:c>
      <x:c r="K56" s="24" t="n">
        <x:v>1640.2333333333333</x:v>
      </x:c>
      <x:c r="L56" s="24" t="n">
        <x:v>2653</x:v>
      </x:c>
      <x:c r="M56" s="10" t="n">
        <x:v>3</x:v>
      </x:c>
      <x:c r="N56" s="10" t="n">
        <x:v>6</x:v>
      </x:c>
      <x:c r="O56" s="28" t="n">
        <x:f>IF(F56="有效",I56*'参数'!$B$10+J56*'参数'!$B$11,"n.a.")</x:f>
        <x:v>316.638763665</x:v>
      </x:c>
      <x:c r="P56" s="28" t="n">
        <x:f>IF(F56="有效",K56*'参数'!$B$12+L56*'参数'!$B$13,"n.a.")</x:f>
        <x:v>3711.09408125</x:v>
      </x:c>
      <x:c r="Q56" s="28" t="n">
        <x:f>IF(F56="有效",M56*'参数'!$B$14+N56*'参数'!$B$15,"n.a.")</x:f>
        <x:v>660</x:v>
      </x:c>
      <x:c r="R56" s="28" t="n">
        <x:f>IF(F56="有效",IF(D56&lt;=2,G56*('参数'!$B$6+'参数'!$B$18),0),"n.a.")</x:f>
        <x:v>0</x:v>
      </x:c>
      <x:c r="S56" s="28" t="n">
        <x:f>IF(F56="有效",IF(D56&gt;=3,G56*'参数'!$B$16,0),"n.a.")</x:f>
        <x:v>204</x:v>
      </x:c>
      <x:c r="T56" s="28" t="n">
        <x:f>IF(F56="有效",IF(D56&gt;=3,G56*'参数'!$B$17,0),"n.a.")</x:f>
        <x:v>25.5</x:v>
      </x:c>
      <x:c r="U56" s="28" t="n">
        <x:f>IF(F56="有效",SUM(O56:T56),"n.a.")</x:f>
        <x:v>4917.232844915</x:v>
      </x:c>
      <x:c r="V56" s="28" t="n">
        <x:f>IF(F56="有效",H56*'参数'!$B$7,"n.a.")</x:f>
        <x:v>9307.5</x:v>
      </x:c>
      <x:c r="W56" s="28" t="n">
        <x:f>IF(F56="有效",IF(D56&gt;=3,G56*'参数'!$B$7/'参数'!$B$8,0),"n.a.")</x:f>
        <x:v>186.15</x:v>
      </x:c>
      <x:c r="X56" s="28" t="n">
        <x:f>IF(F56="有效",U56+W56,"n.a.")</x:f>
        <x:v>5103.382844915</x:v>
      </x:c>
      <x:c r="Y56" s="28" t="n">
        <x:f>IF(F56="有效",X56/G56,"n.a.")</x:f>
        <x:v>20.013266058490196</x:v>
      </x:c>
    </x:row>
    <x:row r="57" ht="22" customHeight="1">
      <x:c r="A57" s="11" t="str">
        <x:v>lade_0823_30aoi</x:v>
      </x:c>
      <x:c r="B57" s="22" t="n">
        <x:v>30</x:v>
      </x:c>
      <x:c r="C57" s="22" t="n">
        <x:v>3</x:v>
      </x:c>
      <x:c r="D57" s="22" t="n">
        <x:v>5</x:v>
      </x:c>
      <x:c r="E57" s="22" t="n">
        <x:v>42</x:v>
      </x:c>
      <x:c r="F57" s="30" t="str">
        <x:v>有效</x:v>
      </x:c>
      <x:c r="G57" s="22" t="n">
        <x:v>255</x:v>
      </x:c>
      <x:c r="H57" s="22" t="n">
        <x:v>255</x:v>
      </x:c>
      <x:c r="I57" s="24" t="n">
        <x:v>411.94300000000004</x:v>
      </x:c>
      <x:c r="J57" s="24" t="n">
        <x:v>103.71720000000003</x:v>
      </x:c>
      <x:c r="K57" s="24" t="n">
        <x:v>1774.6333333333334</x:v>
      </x:c>
      <x:c r="L57" s="24" t="n">
        <x:v>2760.766666666667</x:v>
      </x:c>
      <x:c r="M57" s="10" t="n">
        <x:v>3</x:v>
      </x:c>
      <x:c r="N57" s="10" t="n">
        <x:v>6</x:v>
      </x:c>
      <x:c r="O57" s="28" t="n">
        <x:f>IF(F57="有效",I57*'参数'!$B$10+J57*'参数'!$B$11,"n.a.")</x:f>
        <x:v>465.15128341</x:v>
      </x:c>
      <x:c r="P57" s="28" t="n">
        <x:f>IF(F57="有效",K57*'参数'!$B$12+L57*'参数'!$B$13,"n.a.")</x:f>
        <x:v>3934.5570194444444</x:v>
      </x:c>
      <x:c r="Q57" s="28" t="n">
        <x:f>IF(F57="有效",M57*'参数'!$B$14+N57*'参数'!$B$15,"n.a.")</x:f>
        <x:v>660</x:v>
      </x:c>
      <x:c r="R57" s="28" t="n">
        <x:f>IF(F57="有效",IF(D57&lt;=2,G57*('参数'!$B$6+'参数'!$B$18),0),"n.a.")</x:f>
        <x:v>0</x:v>
      </x:c>
      <x:c r="S57" s="28" t="n">
        <x:f>IF(F57="有效",IF(D57&gt;=3,G57*'参数'!$B$16,0),"n.a.")</x:f>
        <x:v>204</x:v>
      </x:c>
      <x:c r="T57" s="28" t="n">
        <x:f>IF(F57="有效",IF(D57&gt;=3,G57*'参数'!$B$17,0),"n.a.")</x:f>
        <x:v>25.5</x:v>
      </x:c>
      <x:c r="U57" s="28" t="n">
        <x:f>IF(F57="有效",SUM(O57:T57),"n.a.")</x:f>
        <x:v>5289.208302854445</x:v>
      </x:c>
      <x:c r="V57" s="28" t="n">
        <x:f>IF(F57="有效",H57*'参数'!$B$7,"n.a.")</x:f>
        <x:v>9307.5</x:v>
      </x:c>
      <x:c r="W57" s="28" t="n">
        <x:f>IF(F57="有效",IF(D57&gt;=3,G57*'参数'!$B$7/'参数'!$B$8,0),"n.a.")</x:f>
        <x:v>186.15</x:v>
      </x:c>
      <x:c r="X57" s="28" t="n">
        <x:f>IF(F57="有效",U57+W57,"n.a.")</x:f>
        <x:v>5475.358302854444</x:v>
      </x:c>
      <x:c r="Y57" s="28" t="n">
        <x:f>IF(F57="有效",X57/G57,"n.a.")</x:f>
        <x:v>21.471993344527235</x:v>
      </x:c>
    </x:row>
    <x:row r="58" ht="22" customHeight="1">
      <x:c r="A58" s="11" t="str">
        <x:v>lade_0823_30aoi</x:v>
      </x:c>
      <x:c r="B58" s="22" t="n">
        <x:v>30</x:v>
      </x:c>
      <x:c r="C58" s="22" t="n">
        <x:v>3</x:v>
      </x:c>
      <x:c r="D58" s="22" t="n">
        <x:v>5</x:v>
      </x:c>
      <x:c r="E58" s="22" t="n">
        <x:v>43</x:v>
      </x:c>
      <x:c r="F58" s="30" t="str">
        <x:v>有效</x:v>
      </x:c>
      <x:c r="G58" s="22" t="n">
        <x:v>255</x:v>
      </x:c>
      <x:c r="H58" s="22" t="n">
        <x:v>255</x:v>
      </x:c>
      <x:c r="I58" s="24" t="n">
        <x:v>411.94300000000004</x:v>
      </x:c>
      <x:c r="J58" s="24" t="n">
        <x:v>103.46700000000001</x:v>
      </x:c>
      <x:c r="K58" s="24" t="n">
        <x:v>1774.6333333333334</x:v>
      </x:c>
      <x:c r="L58" s="24" t="n">
        <x:v>2195.9166666666665</x:v>
      </x:c>
      <x:c r="M58" s="10" t="n">
        <x:v>3</x:v>
      </x:c>
      <x:c r="N58" s="10" t="n">
        <x:v>6</x:v>
      </x:c>
      <x:c r="O58" s="28" t="n">
        <x:f>IF(F58="有效",I58*'参数'!$B$10+J58*'参数'!$B$11,"n.a.")</x:f>
        <x:v>464.9255905</x:v>
      </x:c>
      <x:c r="P58" s="28" t="n">
        <x:f>IF(F58="有效",K58*'参数'!$B$12+L58*'参数'!$B$13,"n.a.")</x:f>
        <x:v>3519.1216121527777</x:v>
      </x:c>
      <x:c r="Q58" s="28" t="n">
        <x:f>IF(F58="有效",M58*'参数'!$B$14+N58*'参数'!$B$15,"n.a.")</x:f>
        <x:v>660</x:v>
      </x:c>
      <x:c r="R58" s="28" t="n">
        <x:f>IF(F58="有效",IF(D58&lt;=2,G58*('参数'!$B$6+'参数'!$B$18),0),"n.a.")</x:f>
        <x:v>0</x:v>
      </x:c>
      <x:c r="S58" s="28" t="n">
        <x:f>IF(F58="有效",IF(D58&gt;=3,G58*'参数'!$B$16,0),"n.a.")</x:f>
        <x:v>204</x:v>
      </x:c>
      <x:c r="T58" s="28" t="n">
        <x:f>IF(F58="有效",IF(D58&gt;=3,G58*'参数'!$B$17,0),"n.a.")</x:f>
        <x:v>25.5</x:v>
      </x:c>
      <x:c r="U58" s="28" t="n">
        <x:f>IF(F58="有效",SUM(O58:T58),"n.a.")</x:f>
        <x:v>4873.547202652778</x:v>
      </x:c>
      <x:c r="V58" s="28" t="n">
        <x:f>IF(F58="有效",H58*'参数'!$B$7,"n.a.")</x:f>
        <x:v>9307.5</x:v>
      </x:c>
      <x:c r="W58" s="28" t="n">
        <x:f>IF(F58="有效",IF(D58&gt;=3,G58*'参数'!$B$7/'参数'!$B$8,0),"n.a.")</x:f>
        <x:v>186.15</x:v>
      </x:c>
      <x:c r="X58" s="28" t="n">
        <x:f>IF(F58="有效",U58+W58,"n.a.")</x:f>
        <x:v>5059.697202652777</x:v>
      </x:c>
      <x:c r="Y58" s="28" t="n">
        <x:f>IF(F58="有效",X58/G58,"n.a.")</x:f>
        <x:v>19.841949814324618</x:v>
      </x:c>
    </x:row>
    <x:row r="59" ht="22" customHeight="1">
      <x:c r="A59" s="11" t="str">
        <x:v>lade_0823_30aoi</x:v>
      </x:c>
      <x:c r="B59" s="22" t="n">
        <x:v>30</x:v>
      </x:c>
      <x:c r="C59" s="22" t="n">
        <x:v>3</x:v>
      </x:c>
      <x:c r="D59" s="22" t="n">
        <x:v>5</x:v>
      </x:c>
      <x:c r="E59" s="22" t="n">
        <x:v>44</x:v>
      </x:c>
      <x:c r="F59" s="30" t="str">
        <x:v>有效</x:v>
      </x:c>
      <x:c r="G59" s="22" t="n">
        <x:v>255</x:v>
      </x:c>
      <x:c r="H59" s="22" t="n">
        <x:v>255</x:v>
      </x:c>
      <x:c r="I59" s="24" t="n">
        <x:v>459.38550000000004</x:v>
      </x:c>
      <x:c r="J59" s="24" t="n">
        <x:v>103.958</x:v>
      </x:c>
      <x:c r="K59" s="24" t="n">
        <x:v>1671.75</x:v>
      </x:c>
      <x:c r="L59" s="24" t="n">
        <x:v>1891.7166666666667</x:v>
      </x:c>
      <x:c r="M59" s="10" t="n">
        <x:v>3</x:v>
      </x:c>
      <x:c r="N59" s="10" t="n">
        <x:v>6</x:v>
      </x:c>
      <x:c r="O59" s="28" t="n">
        <x:f>IF(F59="有效",I59*'参数'!$B$10+J59*'参数'!$B$11,"n.a.")</x:f>
        <x:v>508.16400417500006</x:v>
      </x:c>
      <x:c r="P59" s="28" t="n">
        <x:f>IF(F59="有效",K59*'参数'!$B$12+L59*'参数'!$B$13,"n.a.")</x:f>
        <x:v>3185.001463194444</x:v>
      </x:c>
      <x:c r="Q59" s="28" t="n">
        <x:f>IF(F59="有效",M59*'参数'!$B$14+N59*'参数'!$B$15,"n.a.")</x:f>
        <x:v>660</x:v>
      </x:c>
      <x:c r="R59" s="28" t="n">
        <x:f>IF(F59="有效",IF(D59&lt;=2,G59*('参数'!$B$6+'参数'!$B$18),0),"n.a.")</x:f>
        <x:v>0</x:v>
      </x:c>
      <x:c r="S59" s="28" t="n">
        <x:f>IF(F59="有效",IF(D59&gt;=3,G59*'参数'!$B$16,0),"n.a.")</x:f>
        <x:v>204</x:v>
      </x:c>
      <x:c r="T59" s="28" t="n">
        <x:f>IF(F59="有效",IF(D59&gt;=3,G59*'参数'!$B$17,0),"n.a.")</x:f>
        <x:v>25.5</x:v>
      </x:c>
      <x:c r="U59" s="28" t="n">
        <x:f>IF(F59="有效",SUM(O59:T59),"n.a.")</x:f>
        <x:v>4582.665467369445</x:v>
      </x:c>
      <x:c r="V59" s="28" t="n">
        <x:f>IF(F59="有效",H59*'参数'!$B$7,"n.a.")</x:f>
        <x:v>9307.5</x:v>
      </x:c>
      <x:c r="W59" s="28" t="n">
        <x:f>IF(F59="有效",IF(D59&gt;=3,G59*'参数'!$B$7/'参数'!$B$8,0),"n.a.")</x:f>
        <x:v>186.15</x:v>
      </x:c>
      <x:c r="X59" s="28" t="n">
        <x:f>IF(F59="有效",U59+W59,"n.a.")</x:f>
        <x:v>4768.815467369444</x:v>
      </x:c>
      <x:c r="Y59" s="28" t="n">
        <x:f>IF(F59="有效",X59/G59,"n.a.")</x:f>
        <x:v>18.701237126939</x:v>
      </x:c>
    </x:row>
    <x:row r="60" ht="22" customHeight="1">
      <x:c r="A60" s="11" t="str">
        <x:v>lade_0824_10aoi</x:v>
      </x:c>
      <x:c r="B60" s="22" t="n">
        <x:v>10</x:v>
      </x:c>
      <x:c r="C60" s="22" t="n">
        <x:v>1</x:v>
      </x:c>
      <x:c r="D60" s="22" t="n">
        <x:v>1</x:v>
      </x:c>
      <x:c r="E60" s="22" t="n">
        <x:v>42</x:v>
      </x:c>
      <x:c r="F60" s="30" t="str">
        <x:v>有效</x:v>
      </x:c>
      <x:c r="G60" s="22" t="n">
        <x:v>131</x:v>
      </x:c>
      <x:c r="H60" s="22" t="n">
        <x:v>0</x:v>
      </x:c>
      <x:c r="I60" s="24" t="n">
        <x:v>59.477500000000006</x:v>
      </x:c>
      <x:c r="J60" s="24" t="n">
        <x:v>39.7629</x:v>
      </x:c>
      <x:c r="K60" s="24" t="n">
        <x:v>60.63333333333333</x:v>
      </x:c>
      <x:c r="L60" s="24" t="n">
        <x:v>1206.8833333333334</x:v>
      </x:c>
      <x:c r="M60" s="10" t="n">
        <x:v>1</x:v>
      </x:c>
      <x:c r="N60" s="10" t="n">
        <x:v>3</x:v>
      </x:c>
      <x:c r="O60" s="28" t="n">
        <x:f>IF(F60="有效",I60*'参数'!$B$10+J60*'参数'!$B$11,"n.a.")</x:f>
        <x:v>89.51980282000001</x:v>
      </x:c>
      <x:c r="P60" s="28" t="n">
        <x:f>IF(F60="有效",K60*'参数'!$B$12+L60*'参数'!$B$13,"n.a.")</x:f>
        <x:v>952.6933253472223</x:v>
      </x:c>
      <x:c r="Q60" s="28" t="n">
        <x:f>IF(F60="有效",M60*'参数'!$B$14+N60*'参数'!$B$15,"n.a.")</x:f>
        <x:v>280</x:v>
      </x:c>
      <x:c r="R60" s="28" t="n">
        <x:f>IF(F60="有效",IF(D60&lt;=2,G60*('参数'!$B$6+'参数'!$B$18),0),"n.a.")</x:f>
        <x:v>524</x:v>
      </x:c>
      <x:c r="S60" s="28" t="n">
        <x:f>IF(F60="有效",IF(D60&gt;=3,G60*'参数'!$B$16,0),"n.a.")</x:f>
        <x:v>0</x:v>
      </x:c>
      <x:c r="T60" s="28" t="n">
        <x:f>IF(F60="有效",IF(D60&gt;=3,G60*'参数'!$B$17,0),"n.a.")</x:f>
        <x:v>0</x:v>
      </x:c>
      <x:c r="U60" s="28" t="n">
        <x:f>IF(F60="有效",SUM(O60:T60),"n.a.")</x:f>
        <x:v>1846.2131281672223</x:v>
      </x:c>
      <x:c r="V60" s="28" t="n">
        <x:f>IF(F60="有效",H60*'参数'!$B$7,"n.a.")</x:f>
        <x:v>0</x:v>
      </x:c>
      <x:c r="W60" s="28" t="n">
        <x:f>IF(F60="有效",IF(D60&gt;=3,G60*'参数'!$B$7/'参数'!$B$8,0),"n.a.")</x:f>
        <x:v>0</x:v>
      </x:c>
      <x:c r="X60" s="28" t="n">
        <x:f>IF(F60="有效",U60+W60,"n.a.")</x:f>
        <x:v>1846.2131281672223</x:v>
      </x:c>
      <x:c r="Y60" s="28" t="n">
        <x:f>IF(F60="有效",X60/G60,"n.a.")</x:f>
        <x:v>14.09322998600933</x:v>
      </x:c>
    </x:row>
    <x:row r="61" ht="22" customHeight="1">
      <x:c r="A61" s="11" t="str">
        <x:v>lade_0824_10aoi</x:v>
      </x:c>
      <x:c r="B61" s="22" t="n">
        <x:v>10</x:v>
      </x:c>
      <x:c r="C61" s="22" t="n">
        <x:v>1</x:v>
      </x:c>
      <x:c r="D61" s="22" t="n">
        <x:v>1</x:v>
      </x:c>
      <x:c r="E61" s="22" t="n">
        <x:v>43</x:v>
      </x:c>
      <x:c r="F61" s="30" t="str">
        <x:v>有效</x:v>
      </x:c>
      <x:c r="G61" s="22" t="n">
        <x:v>131</x:v>
      </x:c>
      <x:c r="H61" s="22" t="n">
        <x:v>0</x:v>
      </x:c>
      <x:c r="I61" s="24" t="n">
        <x:v>59.477500000000006</x:v>
      </x:c>
      <x:c r="J61" s="24" t="n">
        <x:v>39.7629</x:v>
      </x:c>
      <x:c r="K61" s="24" t="n">
        <x:v>60.63333333333333</x:v>
      </x:c>
      <x:c r="L61" s="24" t="n">
        <x:v>1206.8833333333334</x:v>
      </x:c>
      <x:c r="M61" s="10" t="n">
        <x:v>1</x:v>
      </x:c>
      <x:c r="N61" s="10" t="n">
        <x:v>3</x:v>
      </x:c>
      <x:c r="O61" s="28" t="n">
        <x:f>IF(F61="有效",I61*'参数'!$B$10+J61*'参数'!$B$11,"n.a.")</x:f>
        <x:v>89.51980282000001</x:v>
      </x:c>
      <x:c r="P61" s="28" t="n">
        <x:f>IF(F61="有效",K61*'参数'!$B$12+L61*'参数'!$B$13,"n.a.")</x:f>
        <x:v>952.6933253472223</x:v>
      </x:c>
      <x:c r="Q61" s="28" t="n">
        <x:f>IF(F61="有效",M61*'参数'!$B$14+N61*'参数'!$B$15,"n.a.")</x:f>
        <x:v>280</x:v>
      </x:c>
      <x:c r="R61" s="28" t="n">
        <x:f>IF(F61="有效",IF(D61&lt;=2,G61*('参数'!$B$6+'参数'!$B$18),0),"n.a.")</x:f>
        <x:v>524</x:v>
      </x:c>
      <x:c r="S61" s="28" t="n">
        <x:f>IF(F61="有效",IF(D61&gt;=3,G61*'参数'!$B$16,0),"n.a.")</x:f>
        <x:v>0</x:v>
      </x:c>
      <x:c r="T61" s="28" t="n">
        <x:f>IF(F61="有效",IF(D61&gt;=3,G61*'参数'!$B$17,0),"n.a.")</x:f>
        <x:v>0</x:v>
      </x:c>
      <x:c r="U61" s="28" t="n">
        <x:f>IF(F61="有效",SUM(O61:T61),"n.a.")</x:f>
        <x:v>1846.2131281672223</x:v>
      </x:c>
      <x:c r="V61" s="28" t="n">
        <x:f>IF(F61="有效",H61*'参数'!$B$7,"n.a.")</x:f>
        <x:v>0</x:v>
      </x:c>
      <x:c r="W61" s="28" t="n">
        <x:f>IF(F61="有效",IF(D61&gt;=3,G61*'参数'!$B$7/'参数'!$B$8,0),"n.a.")</x:f>
        <x:v>0</x:v>
      </x:c>
      <x:c r="X61" s="28" t="n">
        <x:f>IF(F61="有效",U61+W61,"n.a.")</x:f>
        <x:v>1846.2131281672223</x:v>
      </x:c>
      <x:c r="Y61" s="28" t="n">
        <x:f>IF(F61="有效",X61/G61,"n.a.")</x:f>
        <x:v>14.09322998600933</x:v>
      </x:c>
    </x:row>
    <x:row r="62" ht="22" customHeight="1">
      <x:c r="A62" s="11" t="str">
        <x:v>lade_0824_10aoi</x:v>
      </x:c>
      <x:c r="B62" s="22" t="n">
        <x:v>10</x:v>
      </x:c>
      <x:c r="C62" s="22" t="n">
        <x:v>1</x:v>
      </x:c>
      <x:c r="D62" s="22" t="n">
        <x:v>1</x:v>
      </x:c>
      <x:c r="E62" s="22" t="n">
        <x:v>44</x:v>
      </x:c>
      <x:c r="F62" s="30" t="str">
        <x:v>有效</x:v>
      </x:c>
      <x:c r="G62" s="22" t="n">
        <x:v>131</x:v>
      </x:c>
      <x:c r="H62" s="22" t="n">
        <x:v>0</x:v>
      </x:c>
      <x:c r="I62" s="24" t="n">
        <x:v>59.477500000000006</x:v>
      </x:c>
      <x:c r="J62" s="24" t="n">
        <x:v>39.762899999999995</x:v>
      </x:c>
      <x:c r="K62" s="24" t="n">
        <x:v>60.63333333333333</x:v>
      </x:c>
      <x:c r="L62" s="24" t="n">
        <x:v>1206.8833333333334</x:v>
      </x:c>
      <x:c r="M62" s="10" t="n">
        <x:v>1</x:v>
      </x:c>
      <x:c r="N62" s="10" t="n">
        <x:v>3</x:v>
      </x:c>
      <x:c r="O62" s="28" t="n">
        <x:f>IF(F62="有效",I62*'参数'!$B$10+J62*'参数'!$B$11,"n.a.")</x:f>
        <x:v>89.51980282</x:v>
      </x:c>
      <x:c r="P62" s="28" t="n">
        <x:f>IF(F62="有效",K62*'参数'!$B$12+L62*'参数'!$B$13,"n.a.")</x:f>
        <x:v>952.6933253472223</x:v>
      </x:c>
      <x:c r="Q62" s="28" t="n">
        <x:f>IF(F62="有效",M62*'参数'!$B$14+N62*'参数'!$B$15,"n.a.")</x:f>
        <x:v>280</x:v>
      </x:c>
      <x:c r="R62" s="28" t="n">
        <x:f>IF(F62="有效",IF(D62&lt;=2,G62*('参数'!$B$6+'参数'!$B$18),0),"n.a.")</x:f>
        <x:v>524</x:v>
      </x:c>
      <x:c r="S62" s="28" t="n">
        <x:f>IF(F62="有效",IF(D62&gt;=3,G62*'参数'!$B$16,0),"n.a.")</x:f>
        <x:v>0</x:v>
      </x:c>
      <x:c r="T62" s="28" t="n">
        <x:f>IF(F62="有效",IF(D62&gt;=3,G62*'参数'!$B$17,0),"n.a.")</x:f>
        <x:v>0</x:v>
      </x:c>
      <x:c r="U62" s="28" t="n">
        <x:f>IF(F62="有效",SUM(O62:T62),"n.a.")</x:f>
        <x:v>1846.2131281672223</x:v>
      </x:c>
      <x:c r="V62" s="28" t="n">
        <x:f>IF(F62="有效",H62*'参数'!$B$7,"n.a.")</x:f>
        <x:v>0</x:v>
      </x:c>
      <x:c r="W62" s="28" t="n">
        <x:f>IF(F62="有效",IF(D62&gt;=3,G62*'参数'!$B$7/'参数'!$B$8,0),"n.a.")</x:f>
        <x:v>0</x:v>
      </x:c>
      <x:c r="X62" s="28" t="n">
        <x:f>IF(F62="有效",U62+W62,"n.a.")</x:f>
        <x:v>1846.2131281672223</x:v>
      </x:c>
      <x:c r="Y62" s="28" t="n">
        <x:f>IF(F62="有效",X62/G62,"n.a.")</x:f>
        <x:v>14.09322998600933</x:v>
      </x:c>
    </x:row>
    <x:row r="63" ht="22" customHeight="1">
      <x:c r="A63" s="11" t="str">
        <x:v>lade_0824_10aoi</x:v>
      </x:c>
      <x:c r="B63" s="22" t="n">
        <x:v>10</x:v>
      </x:c>
      <x:c r="C63" s="22" t="n">
        <x:v>1</x:v>
      </x:c>
      <x:c r="D63" s="22" t="n">
        <x:v>2</x:v>
      </x:c>
      <x:c r="E63" s="22" t="n">
        <x:v>42</x:v>
      </x:c>
      <x:c r="F63" s="30" t="str">
        <x:v>有效</x:v>
      </x:c>
      <x:c r="G63" s="22" t="n">
        <x:v>131</x:v>
      </x:c>
      <x:c r="H63" s="22" t="n">
        <x:v>0</x:v>
      </x:c>
      <x:c r="I63" s="24" t="n">
        <x:v>59.477500000000006</x:v>
      </x:c>
      <x:c r="J63" s="24" t="n">
        <x:v>39.7629</x:v>
      </x:c>
      <x:c r="K63" s="24" t="n">
        <x:v>60.63333333333333</x:v>
      </x:c>
      <x:c r="L63" s="24" t="n">
        <x:v>1206.8833333333334</x:v>
      </x:c>
      <x:c r="M63" s="10" t="n">
        <x:v>1</x:v>
      </x:c>
      <x:c r="N63" s="10" t="n">
        <x:v>3</x:v>
      </x:c>
      <x:c r="O63" s="28" t="n">
        <x:f>IF(F63="有效",I63*'参数'!$B$10+J63*'参数'!$B$11,"n.a.")</x:f>
        <x:v>89.51980282000001</x:v>
      </x:c>
      <x:c r="P63" s="28" t="n">
        <x:f>IF(F63="有效",K63*'参数'!$B$12+L63*'参数'!$B$13,"n.a.")</x:f>
        <x:v>952.6933253472223</x:v>
      </x:c>
      <x:c r="Q63" s="28" t="n">
        <x:f>IF(F63="有效",M63*'参数'!$B$14+N63*'参数'!$B$15,"n.a.")</x:f>
        <x:v>280</x:v>
      </x:c>
      <x:c r="R63" s="28" t="n">
        <x:f>IF(F63="有效",IF(D63&lt;=2,G63*('参数'!$B$6+'参数'!$B$18),0),"n.a.")</x:f>
        <x:v>524</x:v>
      </x:c>
      <x:c r="S63" s="28" t="n">
        <x:f>IF(F63="有效",IF(D63&gt;=3,G63*'参数'!$B$16,0),"n.a.")</x:f>
        <x:v>0</x:v>
      </x:c>
      <x:c r="T63" s="28" t="n">
        <x:f>IF(F63="有效",IF(D63&gt;=3,G63*'参数'!$B$17,0),"n.a.")</x:f>
        <x:v>0</x:v>
      </x:c>
      <x:c r="U63" s="28" t="n">
        <x:f>IF(F63="有效",SUM(O63:T63),"n.a.")</x:f>
        <x:v>1846.2131281672223</x:v>
      </x:c>
      <x:c r="V63" s="28" t="n">
        <x:f>IF(F63="有效",H63*'参数'!$B$7,"n.a.")</x:f>
        <x:v>0</x:v>
      </x:c>
      <x:c r="W63" s="28" t="n">
        <x:f>IF(F63="有效",IF(D63&gt;=3,G63*'参数'!$B$7/'参数'!$B$8,0),"n.a.")</x:f>
        <x:v>0</x:v>
      </x:c>
      <x:c r="X63" s="28" t="n">
        <x:f>IF(F63="有效",U63+W63,"n.a.")</x:f>
        <x:v>1846.2131281672223</x:v>
      </x:c>
      <x:c r="Y63" s="28" t="n">
        <x:f>IF(F63="有效",X63/G63,"n.a.")</x:f>
        <x:v>14.09322998600933</x:v>
      </x:c>
    </x:row>
    <x:row r="64" ht="22" customHeight="1">
      <x:c r="A64" s="11" t="str">
        <x:v>lade_0824_10aoi</x:v>
      </x:c>
      <x:c r="B64" s="22" t="n">
        <x:v>10</x:v>
      </x:c>
      <x:c r="C64" s="22" t="n">
        <x:v>1</x:v>
      </x:c>
      <x:c r="D64" s="22" t="n">
        <x:v>2</x:v>
      </x:c>
      <x:c r="E64" s="22" t="n">
        <x:v>43</x:v>
      </x:c>
      <x:c r="F64" s="30" t="str">
        <x:v>有效</x:v>
      </x:c>
      <x:c r="G64" s="22" t="n">
        <x:v>131</x:v>
      </x:c>
      <x:c r="H64" s="22" t="n">
        <x:v>0</x:v>
      </x:c>
      <x:c r="I64" s="24" t="n">
        <x:v>59.477500000000006</x:v>
      </x:c>
      <x:c r="J64" s="24" t="n">
        <x:v>39.7629</x:v>
      </x:c>
      <x:c r="K64" s="24" t="n">
        <x:v>60.63333333333333</x:v>
      </x:c>
      <x:c r="L64" s="24" t="n">
        <x:v>1206.8833333333334</x:v>
      </x:c>
      <x:c r="M64" s="10" t="n">
        <x:v>1</x:v>
      </x:c>
      <x:c r="N64" s="10" t="n">
        <x:v>3</x:v>
      </x:c>
      <x:c r="O64" s="28" t="n">
        <x:f>IF(F64="有效",I64*'参数'!$B$10+J64*'参数'!$B$11,"n.a.")</x:f>
        <x:v>89.51980282000001</x:v>
      </x:c>
      <x:c r="P64" s="28" t="n">
        <x:f>IF(F64="有效",K64*'参数'!$B$12+L64*'参数'!$B$13,"n.a.")</x:f>
        <x:v>952.6933253472223</x:v>
      </x:c>
      <x:c r="Q64" s="28" t="n">
        <x:f>IF(F64="有效",M64*'参数'!$B$14+N64*'参数'!$B$15,"n.a.")</x:f>
        <x:v>280</x:v>
      </x:c>
      <x:c r="R64" s="28" t="n">
        <x:f>IF(F64="有效",IF(D64&lt;=2,G64*('参数'!$B$6+'参数'!$B$18),0),"n.a.")</x:f>
        <x:v>524</x:v>
      </x:c>
      <x:c r="S64" s="28" t="n">
        <x:f>IF(F64="有效",IF(D64&gt;=3,G64*'参数'!$B$16,0),"n.a.")</x:f>
        <x:v>0</x:v>
      </x:c>
      <x:c r="T64" s="28" t="n">
        <x:f>IF(F64="有效",IF(D64&gt;=3,G64*'参数'!$B$17,0),"n.a.")</x:f>
        <x:v>0</x:v>
      </x:c>
      <x:c r="U64" s="28" t="n">
        <x:f>IF(F64="有效",SUM(O64:T64),"n.a.")</x:f>
        <x:v>1846.2131281672223</x:v>
      </x:c>
      <x:c r="V64" s="28" t="n">
        <x:f>IF(F64="有效",H64*'参数'!$B$7,"n.a.")</x:f>
        <x:v>0</x:v>
      </x:c>
      <x:c r="W64" s="28" t="n">
        <x:f>IF(F64="有效",IF(D64&gt;=3,G64*'参数'!$B$7/'参数'!$B$8,0),"n.a.")</x:f>
        <x:v>0</x:v>
      </x:c>
      <x:c r="X64" s="28" t="n">
        <x:f>IF(F64="有效",U64+W64,"n.a.")</x:f>
        <x:v>1846.2131281672223</x:v>
      </x:c>
      <x:c r="Y64" s="28" t="n">
        <x:f>IF(F64="有效",X64/G64,"n.a.")</x:f>
        <x:v>14.09322998600933</x:v>
      </x:c>
    </x:row>
    <x:row r="65" ht="22" customHeight="1">
      <x:c r="A65" s="11" t="str">
        <x:v>lade_0824_10aoi</x:v>
      </x:c>
      <x:c r="B65" s="22" t="n">
        <x:v>10</x:v>
      </x:c>
      <x:c r="C65" s="22" t="n">
        <x:v>1</x:v>
      </x:c>
      <x:c r="D65" s="22" t="n">
        <x:v>2</x:v>
      </x:c>
      <x:c r="E65" s="22" t="n">
        <x:v>44</x:v>
      </x:c>
      <x:c r="F65" s="30" t="str">
        <x:v>有效</x:v>
      </x:c>
      <x:c r="G65" s="22" t="n">
        <x:v>131</x:v>
      </x:c>
      <x:c r="H65" s="22" t="n">
        <x:v>0</x:v>
      </x:c>
      <x:c r="I65" s="24" t="n">
        <x:v>59.477500000000006</x:v>
      </x:c>
      <x:c r="J65" s="24" t="n">
        <x:v>39.762899999999995</x:v>
      </x:c>
      <x:c r="K65" s="24" t="n">
        <x:v>60.63333333333333</x:v>
      </x:c>
      <x:c r="L65" s="24" t="n">
        <x:v>1206.8833333333334</x:v>
      </x:c>
      <x:c r="M65" s="10" t="n">
        <x:v>1</x:v>
      </x:c>
      <x:c r="N65" s="10" t="n">
        <x:v>3</x:v>
      </x:c>
      <x:c r="O65" s="28" t="n">
        <x:f>IF(F65="有效",I65*'参数'!$B$10+J65*'参数'!$B$11,"n.a.")</x:f>
        <x:v>89.51980282</x:v>
      </x:c>
      <x:c r="P65" s="28" t="n">
        <x:f>IF(F65="有效",K65*'参数'!$B$12+L65*'参数'!$B$13,"n.a.")</x:f>
        <x:v>952.6933253472223</x:v>
      </x:c>
      <x:c r="Q65" s="28" t="n">
        <x:f>IF(F65="有效",M65*'参数'!$B$14+N65*'参数'!$B$15,"n.a.")</x:f>
        <x:v>280</x:v>
      </x:c>
      <x:c r="R65" s="28" t="n">
        <x:f>IF(F65="有效",IF(D65&lt;=2,G65*('参数'!$B$6+'参数'!$B$18),0),"n.a.")</x:f>
        <x:v>524</x:v>
      </x:c>
      <x:c r="S65" s="28" t="n">
        <x:f>IF(F65="有效",IF(D65&gt;=3,G65*'参数'!$B$16,0),"n.a.")</x:f>
        <x:v>0</x:v>
      </x:c>
      <x:c r="T65" s="28" t="n">
        <x:f>IF(F65="有效",IF(D65&gt;=3,G65*'参数'!$B$17,0),"n.a.")</x:f>
        <x:v>0</x:v>
      </x:c>
      <x:c r="U65" s="28" t="n">
        <x:f>IF(F65="有效",SUM(O65:T65),"n.a.")</x:f>
        <x:v>1846.2131281672223</x:v>
      </x:c>
      <x:c r="V65" s="28" t="n">
        <x:f>IF(F65="有效",H65*'参数'!$B$7,"n.a.")</x:f>
        <x:v>0</x:v>
      </x:c>
      <x:c r="W65" s="28" t="n">
        <x:f>IF(F65="有效",IF(D65&gt;=3,G65*'参数'!$B$7/'参数'!$B$8,0),"n.a.")</x:f>
        <x:v>0</x:v>
      </x:c>
      <x:c r="X65" s="28" t="n">
        <x:f>IF(F65="有效",U65+W65,"n.a.")</x:f>
        <x:v>1846.2131281672223</x:v>
      </x:c>
      <x:c r="Y65" s="28" t="n">
        <x:f>IF(F65="有效",X65/G65,"n.a.")</x:f>
        <x:v>14.09322998600933</x:v>
      </x:c>
    </x:row>
    <x:row r="66" ht="22" customHeight="1">
      <x:c r="A66" s="11" t="str">
        <x:v>lade_0824_10aoi</x:v>
      </x:c>
      <x:c r="B66" s="22" t="n">
        <x:v>10</x:v>
      </x:c>
      <x:c r="C66" s="22" t="n">
        <x:v>1</x:v>
      </x:c>
      <x:c r="D66" s="22" t="n">
        <x:v>3</x:v>
      </x:c>
      <x:c r="E66" s="22" t="n">
        <x:v>42</x:v>
      </x:c>
      <x:c r="F66" s="30" t="str">
        <x:v>有效</x:v>
      </x:c>
      <x:c r="G66" s="22" t="n">
        <x:v>131</x:v>
      </x:c>
      <x:c r="H66" s="22" t="n">
        <x:v>131</x:v>
      </x:c>
      <x:c r="I66" s="24" t="n">
        <x:v>63.013999999999996</x:v>
      </x:c>
      <x:c r="J66" s="24" t="n">
        <x:v>41.6363</x:v>
      </x:c>
      <x:c r="K66" s="24" t="n">
        <x:v>738.65</x:v>
      </x:c>
      <x:c r="L66" s="24" t="n">
        <x:v>1353.8833333333334</x:v>
      </x:c>
      <x:c r="M66" s="10" t="n">
        <x:v>1</x:v>
      </x:c>
      <x:c r="N66" s="10" t="n">
        <x:v>3</x:v>
      </x:c>
      <x:c r="O66" s="28" t="n">
        <x:f>IF(F66="有效",I66*'参数'!$B$10+J66*'参数'!$B$11,"n.a.")</x:f>
        <x:v>94.399803115</x:v>
      </x:c>
      <x:c r="P66" s="28" t="n">
        <x:f>IF(F66="有效",K66*'参数'!$B$12+L66*'参数'!$B$13,"n.a.")</x:f>
        <x:v>1788.2782701388887</x:v>
      </x:c>
      <x:c r="Q66" s="28" t="n">
        <x:f>IF(F66="有效",M66*'参数'!$B$14+N66*'参数'!$B$15,"n.a.")</x:f>
        <x:v>280</x:v>
      </x:c>
      <x:c r="R66" s="28" t="n">
        <x:f>IF(F66="有效",IF(D66&lt;=2,G66*('参数'!$B$6+'参数'!$B$18),0),"n.a.")</x:f>
        <x:v>0</x:v>
      </x:c>
      <x:c r="S66" s="28" t="n">
        <x:f>IF(F66="有效",IF(D66&gt;=3,G66*'参数'!$B$16,0),"n.a.")</x:f>
        <x:v>104.80000000000001</x:v>
      </x:c>
      <x:c r="T66" s="28" t="n">
        <x:f>IF(F66="有效",IF(D66&gt;=3,G66*'参数'!$B$17,0),"n.a.")</x:f>
        <x:v>13.100000000000001</x:v>
      </x:c>
      <x:c r="U66" s="28" t="n">
        <x:f>IF(F66="有效",SUM(O66:T66),"n.a.")</x:f>
        <x:v>2280.5780732538888</x:v>
      </x:c>
      <x:c r="V66" s="28" t="n">
        <x:f>IF(F66="有效",H66*'参数'!$B$7,"n.a.")</x:f>
        <x:v>4781.5</x:v>
      </x:c>
      <x:c r="W66" s="28" t="n">
        <x:f>IF(F66="有效",IF(D66&gt;=3,G66*'参数'!$B$7/'参数'!$B$8,0),"n.a.")</x:f>
        <x:v>95.63</x:v>
      </x:c>
      <x:c r="X66" s="28" t="n">
        <x:f>IF(F66="有效",U66+W66,"n.a.")</x:f>
        <x:v>2376.208073253889</x:v>
      </x:c>
      <x:c r="Y66" s="28" t="n">
        <x:f>IF(F66="有效",X66/G66,"n.a.")</x:f>
        <x:v>18.138992925602206</x:v>
      </x:c>
    </x:row>
    <x:row r="67" ht="22" customHeight="1">
      <x:c r="A67" s="11" t="str">
        <x:v>lade_0824_10aoi</x:v>
      </x:c>
      <x:c r="B67" s="22" t="n">
        <x:v>10</x:v>
      </x:c>
      <x:c r="C67" s="22" t="n">
        <x:v>1</x:v>
      </x:c>
      <x:c r="D67" s="22" t="n">
        <x:v>3</x:v>
      </x:c>
      <x:c r="E67" s="22" t="n">
        <x:v>43</x:v>
      </x:c>
      <x:c r="F67" s="30" t="str">
        <x:v>有效</x:v>
      </x:c>
      <x:c r="G67" s="22" t="n">
        <x:v>131</x:v>
      </x:c>
      <x:c r="H67" s="22" t="n">
        <x:v>131</x:v>
      </x:c>
      <x:c r="I67" s="24" t="n">
        <x:v>63.013999999999996</x:v>
      </x:c>
      <x:c r="J67" s="24" t="n">
        <x:v>41.6363</x:v>
      </x:c>
      <x:c r="K67" s="24" t="n">
        <x:v>738.65</x:v>
      </x:c>
      <x:c r="L67" s="24" t="n">
        <x:v>1353.8833333333334</x:v>
      </x:c>
      <x:c r="M67" s="10" t="n">
        <x:v>1</x:v>
      </x:c>
      <x:c r="N67" s="10" t="n">
        <x:v>3</x:v>
      </x:c>
      <x:c r="O67" s="28" t="n">
        <x:f>IF(F67="有效",I67*'参数'!$B$10+J67*'参数'!$B$11,"n.a.")</x:f>
        <x:v>94.399803115</x:v>
      </x:c>
      <x:c r="P67" s="28" t="n">
        <x:f>IF(F67="有效",K67*'参数'!$B$12+L67*'参数'!$B$13,"n.a.")</x:f>
        <x:v>1788.2782701388887</x:v>
      </x:c>
      <x:c r="Q67" s="28" t="n">
        <x:f>IF(F67="有效",M67*'参数'!$B$14+N67*'参数'!$B$15,"n.a.")</x:f>
        <x:v>280</x:v>
      </x:c>
      <x:c r="R67" s="28" t="n">
        <x:f>IF(F67="有效",IF(D67&lt;=2,G67*('参数'!$B$6+'参数'!$B$18),0),"n.a.")</x:f>
        <x:v>0</x:v>
      </x:c>
      <x:c r="S67" s="28" t="n">
        <x:f>IF(F67="有效",IF(D67&gt;=3,G67*'参数'!$B$16,0),"n.a.")</x:f>
        <x:v>104.80000000000001</x:v>
      </x:c>
      <x:c r="T67" s="28" t="n">
        <x:f>IF(F67="有效",IF(D67&gt;=3,G67*'参数'!$B$17,0),"n.a.")</x:f>
        <x:v>13.100000000000001</x:v>
      </x:c>
      <x:c r="U67" s="28" t="n">
        <x:f>IF(F67="有效",SUM(O67:T67),"n.a.")</x:f>
        <x:v>2280.5780732538888</x:v>
      </x:c>
      <x:c r="V67" s="28" t="n">
        <x:f>IF(F67="有效",H67*'参数'!$B$7,"n.a.")</x:f>
        <x:v>4781.5</x:v>
      </x:c>
      <x:c r="W67" s="28" t="n">
        <x:f>IF(F67="有效",IF(D67&gt;=3,G67*'参数'!$B$7/'参数'!$B$8,0),"n.a.")</x:f>
        <x:v>95.63</x:v>
      </x:c>
      <x:c r="X67" s="28" t="n">
        <x:f>IF(F67="有效",U67+W67,"n.a.")</x:f>
        <x:v>2376.208073253889</x:v>
      </x:c>
      <x:c r="Y67" s="28" t="n">
        <x:f>IF(F67="有效",X67/G67,"n.a.")</x:f>
        <x:v>18.138992925602206</x:v>
      </x:c>
    </x:row>
    <x:row r="68" ht="22" customHeight="1">
      <x:c r="A68" s="11" t="str">
        <x:v>lade_0824_10aoi</x:v>
      </x:c>
      <x:c r="B68" s="22" t="n">
        <x:v>10</x:v>
      </x:c>
      <x:c r="C68" s="22" t="n">
        <x:v>1</x:v>
      </x:c>
      <x:c r="D68" s="22" t="n">
        <x:v>3</x:v>
      </x:c>
      <x:c r="E68" s="22" t="n">
        <x:v>44</x:v>
      </x:c>
      <x:c r="F68" s="30" t="str">
        <x:v>有效</x:v>
      </x:c>
      <x:c r="G68" s="22" t="n">
        <x:v>131</x:v>
      </x:c>
      <x:c r="H68" s="22" t="n">
        <x:v>131</x:v>
      </x:c>
      <x:c r="I68" s="24" t="n">
        <x:v>63.013999999999996</x:v>
      </x:c>
      <x:c r="J68" s="24" t="n">
        <x:v>41.6363</x:v>
      </x:c>
      <x:c r="K68" s="24" t="n">
        <x:v>738.65</x:v>
      </x:c>
      <x:c r="L68" s="24" t="n">
        <x:v>1353.8833333333334</x:v>
      </x:c>
      <x:c r="M68" s="10" t="n">
        <x:v>1</x:v>
      </x:c>
      <x:c r="N68" s="10" t="n">
        <x:v>3</x:v>
      </x:c>
      <x:c r="O68" s="28" t="n">
        <x:f>IF(F68="有效",I68*'参数'!$B$10+J68*'参数'!$B$11,"n.a.")</x:f>
        <x:v>94.399803115</x:v>
      </x:c>
      <x:c r="P68" s="28" t="n">
        <x:f>IF(F68="有效",K68*'参数'!$B$12+L68*'参数'!$B$13,"n.a.")</x:f>
        <x:v>1788.2782701388887</x:v>
      </x:c>
      <x:c r="Q68" s="28" t="n">
        <x:f>IF(F68="有效",M68*'参数'!$B$14+N68*'参数'!$B$15,"n.a.")</x:f>
        <x:v>280</x:v>
      </x:c>
      <x:c r="R68" s="28" t="n">
        <x:f>IF(F68="有效",IF(D68&lt;=2,G68*('参数'!$B$6+'参数'!$B$18),0),"n.a.")</x:f>
        <x:v>0</x:v>
      </x:c>
      <x:c r="S68" s="28" t="n">
        <x:f>IF(F68="有效",IF(D68&gt;=3,G68*'参数'!$B$16,0),"n.a.")</x:f>
        <x:v>104.80000000000001</x:v>
      </x:c>
      <x:c r="T68" s="28" t="n">
        <x:f>IF(F68="有效",IF(D68&gt;=3,G68*'参数'!$B$17,0),"n.a.")</x:f>
        <x:v>13.100000000000001</x:v>
      </x:c>
      <x:c r="U68" s="28" t="n">
        <x:f>IF(F68="有效",SUM(O68:T68),"n.a.")</x:f>
        <x:v>2280.5780732538888</x:v>
      </x:c>
      <x:c r="V68" s="28" t="n">
        <x:f>IF(F68="有效",H68*'参数'!$B$7,"n.a.")</x:f>
        <x:v>4781.5</x:v>
      </x:c>
      <x:c r="W68" s="28" t="n">
        <x:f>IF(F68="有效",IF(D68&gt;=3,G68*'参数'!$B$7/'参数'!$B$8,0),"n.a.")</x:f>
        <x:v>95.63</x:v>
      </x:c>
      <x:c r="X68" s="28" t="n">
        <x:f>IF(F68="有效",U68+W68,"n.a.")</x:f>
        <x:v>2376.208073253889</x:v>
      </x:c>
      <x:c r="Y68" s="28" t="n">
        <x:f>IF(F68="有效",X68/G68,"n.a.")</x:f>
        <x:v>18.138992925602206</x:v>
      </x:c>
    </x:row>
    <x:row r="69" ht="22" customHeight="1">
      <x:c r="A69" s="11" t="str">
        <x:v>lade_0824_10aoi</x:v>
      </x:c>
      <x:c r="B69" s="22" t="n">
        <x:v>10</x:v>
      </x:c>
      <x:c r="C69" s="22" t="n">
        <x:v>1</x:v>
      </x:c>
      <x:c r="D69" s="22" t="n">
        <x:v>4</x:v>
      </x:c>
      <x:c r="E69" s="22" t="n">
        <x:v>42</x:v>
      </x:c>
      <x:c r="F69" s="30" t="str">
        <x:v>有效</x:v>
      </x:c>
      <x:c r="G69" s="22" t="n">
        <x:v>131</x:v>
      </x:c>
      <x:c r="H69" s="22" t="n">
        <x:v>131</x:v>
      </x:c>
      <x:c r="I69" s="24" t="n">
        <x:v>63.013999999999996</x:v>
      </x:c>
      <x:c r="J69" s="24" t="n">
        <x:v>42.5447</x:v>
      </x:c>
      <x:c r="K69" s="24" t="n">
        <x:v>738.65</x:v>
      </x:c>
      <x:c r="L69" s="24" t="n">
        <x:v>1134.4</x:v>
      </x:c>
      <x:c r="M69" s="10" t="n">
        <x:v>1</x:v>
      </x:c>
      <x:c r="N69" s="10" t="n">
        <x:v>3</x:v>
      </x:c>
      <x:c r="O69" s="28" t="n">
        <x:f>IF(F69="有效",I69*'参数'!$B$10+J69*'参数'!$B$11,"n.a.")</x:f>
        <x:v>95.219225335</x:v>
      </x:c>
      <x:c r="P69" s="28" t="n">
        <x:f>IF(F69="有效",K69*'参数'!$B$12+L69*'参数'!$B$13,"n.a.")</x:f>
        <x:v>1626.8528510416666</x:v>
      </x:c>
      <x:c r="Q69" s="28" t="n">
        <x:f>IF(F69="有效",M69*'参数'!$B$14+N69*'参数'!$B$15,"n.a.")</x:f>
        <x:v>280</x:v>
      </x:c>
      <x:c r="R69" s="28" t="n">
        <x:f>IF(F69="有效",IF(D69&lt;=2,G69*('参数'!$B$6+'参数'!$B$18),0),"n.a.")</x:f>
        <x:v>0</x:v>
      </x:c>
      <x:c r="S69" s="28" t="n">
        <x:f>IF(F69="有效",IF(D69&gt;=3,G69*'参数'!$B$16,0),"n.a.")</x:f>
        <x:v>104.80000000000001</x:v>
      </x:c>
      <x:c r="T69" s="28" t="n">
        <x:f>IF(F69="有效",IF(D69&gt;=3,G69*'参数'!$B$17,0),"n.a.")</x:f>
        <x:v>13.100000000000001</x:v>
      </x:c>
      <x:c r="U69" s="28" t="n">
        <x:f>IF(F69="有效",SUM(O69:T69),"n.a.")</x:f>
        <x:v>2119.9720763766663</x:v>
      </x:c>
      <x:c r="V69" s="28" t="n">
        <x:f>IF(F69="有效",H69*'参数'!$B$7,"n.a.")</x:f>
        <x:v>4781.5</x:v>
      </x:c>
      <x:c r="W69" s="28" t="n">
        <x:f>IF(F69="有效",IF(D69&gt;=3,G69*'参数'!$B$7/'参数'!$B$8,0),"n.a.")</x:f>
        <x:v>95.63</x:v>
      </x:c>
      <x:c r="X69" s="28" t="n">
        <x:f>IF(F69="有效",U69+W69,"n.a.")</x:f>
        <x:v>2215.6020763766664</x:v>
      </x:c>
      <x:c r="Y69" s="28" t="n">
        <x:f>IF(F69="有效",X69/G69,"n.a.")</x:f>
        <x:v>16.912992949440202</x:v>
      </x:c>
    </x:row>
    <x:row r="70" ht="22" customHeight="1">
      <x:c r="A70" s="11" t="str">
        <x:v>lade_0824_10aoi</x:v>
      </x:c>
      <x:c r="B70" s="22" t="n">
        <x:v>10</x:v>
      </x:c>
      <x:c r="C70" s="22" t="n">
        <x:v>1</x:v>
      </x:c>
      <x:c r="D70" s="22" t="n">
        <x:v>4</x:v>
      </x:c>
      <x:c r="E70" s="22" t="n">
        <x:v>43</x:v>
      </x:c>
      <x:c r="F70" s="30" t="str">
        <x:v>有效</x:v>
      </x:c>
      <x:c r="G70" s="22" t="n">
        <x:v>131</x:v>
      </x:c>
      <x:c r="H70" s="22" t="n">
        <x:v>131</x:v>
      </x:c>
      <x:c r="I70" s="24" t="n">
        <x:v>63.013999999999996</x:v>
      </x:c>
      <x:c r="J70" s="24" t="n">
        <x:v>42.2143</x:v>
      </x:c>
      <x:c r="K70" s="24" t="n">
        <x:v>738.65</x:v>
      </x:c>
      <x:c r="L70" s="24" t="n">
        <x:v>1354</x:v>
      </x:c>
      <x:c r="M70" s="10" t="n">
        <x:v>1</x:v>
      </x:c>
      <x:c r="N70" s="10" t="n">
        <x:v>3</x:v>
      </x:c>
      <x:c r="O70" s="28" t="n">
        <x:f>IF(F70="有效",I70*'参数'!$B$10+J70*'参数'!$B$11,"n.a.")</x:f>
        <x:v>94.921188015</x:v>
      </x:c>
      <x:c r="P70" s="28" t="n">
        <x:f>IF(F70="有效",K70*'参数'!$B$12+L70*'参数'!$B$13,"n.a.")</x:f>
        <x:v>1788.3640760416665</x:v>
      </x:c>
      <x:c r="Q70" s="28" t="n">
        <x:f>IF(F70="有效",M70*'参数'!$B$14+N70*'参数'!$B$15,"n.a.")</x:f>
        <x:v>280</x:v>
      </x:c>
      <x:c r="R70" s="28" t="n">
        <x:f>IF(F70="有效",IF(D70&lt;=2,G70*('参数'!$B$6+'参数'!$B$18),0),"n.a.")</x:f>
        <x:v>0</x:v>
      </x:c>
      <x:c r="S70" s="28" t="n">
        <x:f>IF(F70="有效",IF(D70&gt;=3,G70*'参数'!$B$16,0),"n.a.")</x:f>
        <x:v>104.80000000000001</x:v>
      </x:c>
      <x:c r="T70" s="28" t="n">
        <x:f>IF(F70="有效",IF(D70&gt;=3,G70*'参数'!$B$17,0),"n.a.")</x:f>
        <x:v>13.100000000000001</x:v>
      </x:c>
      <x:c r="U70" s="28" t="n">
        <x:f>IF(F70="有效",SUM(O70:T70),"n.a.")</x:f>
        <x:v>2281.1852640566667</x:v>
      </x:c>
      <x:c r="V70" s="28" t="n">
        <x:f>IF(F70="有效",H70*'参数'!$B$7,"n.a.")</x:f>
        <x:v>4781.5</x:v>
      </x:c>
      <x:c r="W70" s="28" t="n">
        <x:f>IF(F70="有效",IF(D70&gt;=3,G70*'参数'!$B$7/'参数'!$B$8,0),"n.a.")</x:f>
        <x:v>95.63</x:v>
      </x:c>
      <x:c r="X70" s="28" t="n">
        <x:f>IF(F70="有效",U70+W70,"n.a.")</x:f>
        <x:v>2376.815264056667</x:v>
      </x:c>
      <x:c r="Y70" s="28" t="n">
        <x:f>IF(F70="有效",X70/G70,"n.a.")</x:f>
        <x:v>18.14362796989822</x:v>
      </x:c>
    </x:row>
    <x:row r="71" ht="22" customHeight="1">
      <x:c r="A71" s="11" t="str">
        <x:v>lade_0824_10aoi</x:v>
      </x:c>
      <x:c r="B71" s="22" t="n">
        <x:v>10</x:v>
      </x:c>
      <x:c r="C71" s="22" t="n">
        <x:v>1</x:v>
      </x:c>
      <x:c r="D71" s="22" t="n">
        <x:v>4</x:v>
      </x:c>
      <x:c r="E71" s="22" t="n">
        <x:v>44</x:v>
      </x:c>
      <x:c r="F71" s="30" t="str">
        <x:v>有效</x:v>
      </x:c>
      <x:c r="G71" s="22" t="n">
        <x:v>131</x:v>
      </x:c>
      <x:c r="H71" s="22" t="n">
        <x:v>131</x:v>
      </x:c>
      <x:c r="I71" s="24" t="n">
        <x:v>63.013999999999996</x:v>
      </x:c>
      <x:c r="J71" s="24" t="n">
        <x:v>42.1452</x:v>
      </x:c>
      <x:c r="K71" s="24" t="n">
        <x:v>738.65</x:v>
      </x:c>
      <x:c r="L71" s="24" t="n">
        <x:v>1330.2833333333333</x:v>
      </x:c>
      <x:c r="M71" s="10" t="n">
        <x:v>1</x:v>
      </x:c>
      <x:c r="N71" s="10" t="n">
        <x:v>3</x:v>
      </x:c>
      <x:c r="O71" s="28" t="n">
        <x:f>IF(F71="有效",I71*'参数'!$B$10+J71*'参数'!$B$11,"n.a.")</x:f>
        <x:v>94.85885636</x:v>
      </x:c>
      <x:c r="P71" s="28" t="n">
        <x:f>IF(F71="有效",K71*'参数'!$B$12+L71*'参数'!$B$13,"n.a.")</x:f>
        <x:v>1770.9209618055554</x:v>
      </x:c>
      <x:c r="Q71" s="28" t="n">
        <x:f>IF(F71="有效",M71*'参数'!$B$14+N71*'参数'!$B$15,"n.a.")</x:f>
        <x:v>280</x:v>
      </x:c>
      <x:c r="R71" s="28" t="n">
        <x:f>IF(F71="有效",IF(D71&lt;=2,G71*('参数'!$B$6+'参数'!$B$18),0),"n.a.")</x:f>
        <x:v>0</x:v>
      </x:c>
      <x:c r="S71" s="28" t="n">
        <x:f>IF(F71="有效",IF(D71&gt;=3,G71*'参数'!$B$16,0),"n.a.")</x:f>
        <x:v>104.80000000000001</x:v>
      </x:c>
      <x:c r="T71" s="28" t="n">
        <x:f>IF(F71="有效",IF(D71&gt;=3,G71*'参数'!$B$17,0),"n.a.")</x:f>
        <x:v>13.100000000000001</x:v>
      </x:c>
      <x:c r="U71" s="28" t="n">
        <x:f>IF(F71="有效",SUM(O71:T71),"n.a.")</x:f>
        <x:v>2263.6798181655554</x:v>
      </x:c>
      <x:c r="V71" s="28" t="n">
        <x:f>IF(F71="有效",H71*'参数'!$B$7,"n.a.")</x:f>
        <x:v>4781.5</x:v>
      </x:c>
      <x:c r="W71" s="28" t="n">
        <x:f>IF(F71="有效",IF(D71&gt;=3,G71*'参数'!$B$7/'参数'!$B$8,0),"n.a.")</x:f>
        <x:v>95.63</x:v>
      </x:c>
      <x:c r="X71" s="28" t="n">
        <x:f>IF(F71="有效",U71+W71,"n.a.")</x:f>
        <x:v>2359.3098181655555</x:v>
      </x:c>
      <x:c r="Y71" s="28" t="n">
        <x:f>IF(F71="有效",X71/G71,"n.a.")</x:f>
        <x:v>18.009998611950806</x:v>
      </x:c>
    </x:row>
    <x:row r="72" ht="22" customHeight="1">
      <x:c r="A72" s="11" t="str">
        <x:v>lade_0824_10aoi</x:v>
      </x:c>
      <x:c r="B72" s="22" t="n">
        <x:v>10</x:v>
      </x:c>
      <x:c r="C72" s="22" t="n">
        <x:v>2</x:v>
      </x:c>
      <x:c r="D72" s="22" t="n">
        <x:v>5</x:v>
      </x:c>
      <x:c r="E72" s="22" t="n">
        <x:v>42</x:v>
      </x:c>
      <x:c r="F72" s="30" t="str">
        <x:v>有效</x:v>
      </x:c>
      <x:c r="G72" s="22" t="n">
        <x:v>131</x:v>
      </x:c>
      <x:c r="H72" s="22" t="n">
        <x:v>131</x:v>
      </x:c>
      <x:c r="I72" s="24" t="n">
        <x:v>110.61480000000002</x:v>
      </x:c>
      <x:c r="J72" s="24" t="n">
        <x:v>44.763099999999994</x:v>
      </x:c>
      <x:c r="K72" s="24" t="n">
        <x:v>697.8</x:v>
      </x:c>
      <x:c r="L72" s="24" t="n">
        <x:v>1187</x:v>
      </x:c>
      <x:c r="M72" s="10" t="n">
        <x:v>1</x:v>
      </x:c>
      <x:c r="N72" s="10" t="n">
        <x:v>3</x:v>
      </x:c>
      <x:c r="O72" s="28" t="n">
        <x:f>IF(F72="有效",I72*'参数'!$B$10+J72*'参数'!$B$11,"n.a.")</x:f>
        <x:v>140.15863469500002</x:v>
      </x:c>
      <x:c r="P72" s="28" t="n">
        <x:f>IF(F72="有效",K72*'参数'!$B$12+L72*'参数'!$B$13,"n.a.")</x:f>
        <x:v>1621.7095583333332</x:v>
      </x:c>
      <x:c r="Q72" s="28" t="n">
        <x:f>IF(F72="有效",M72*'参数'!$B$14+N72*'参数'!$B$15,"n.a.")</x:f>
        <x:v>280</x:v>
      </x:c>
      <x:c r="R72" s="28" t="n">
        <x:f>IF(F72="有效",IF(D72&lt;=2,G72*('参数'!$B$6+'参数'!$B$18),0),"n.a.")</x:f>
        <x:v>0</x:v>
      </x:c>
      <x:c r="S72" s="28" t="n">
        <x:f>IF(F72="有效",IF(D72&gt;=3,G72*'参数'!$B$16,0),"n.a.")</x:f>
        <x:v>104.80000000000001</x:v>
      </x:c>
      <x:c r="T72" s="28" t="n">
        <x:f>IF(F72="有效",IF(D72&gt;=3,G72*'参数'!$B$17,0),"n.a.")</x:f>
        <x:v>13.100000000000001</x:v>
      </x:c>
      <x:c r="U72" s="28" t="n">
        <x:f>IF(F72="有效",SUM(O72:T72),"n.a.")</x:f>
        <x:v>2159.7681930283334</x:v>
      </x:c>
      <x:c r="V72" s="28" t="n">
        <x:f>IF(F72="有效",H72*'参数'!$B$7,"n.a.")</x:f>
        <x:v>4781.5</x:v>
      </x:c>
      <x:c r="W72" s="28" t="n">
        <x:f>IF(F72="有效",IF(D72&gt;=3,G72*'参数'!$B$7/'参数'!$B$8,0),"n.a.")</x:f>
        <x:v>95.63</x:v>
      </x:c>
      <x:c r="X72" s="28" t="n">
        <x:f>IF(F72="有效",U72+W72,"n.a.")</x:f>
        <x:v>2255.3981930283335</x:v>
      </x:c>
      <x:c r="Y72" s="28" t="n">
        <x:f>IF(F72="有效",X72/G72,"n.a.")</x:f>
        <x:v>17.216780099452926</x:v>
      </x:c>
    </x:row>
    <x:row r="73" ht="22" customHeight="1">
      <x:c r="A73" s="11" t="str">
        <x:v>lade_0824_10aoi</x:v>
      </x:c>
      <x:c r="B73" s="22" t="n">
        <x:v>10</x:v>
      </x:c>
      <x:c r="C73" s="22" t="n">
        <x:v>2</x:v>
      </x:c>
      <x:c r="D73" s="22" t="n">
        <x:v>5</x:v>
      </x:c>
      <x:c r="E73" s="22" t="n">
        <x:v>43</x:v>
      </x:c>
      <x:c r="F73" s="30" t="str">
        <x:v>有效</x:v>
      </x:c>
      <x:c r="G73" s="22" t="n">
        <x:v>131</x:v>
      </x:c>
      <x:c r="H73" s="22" t="n">
        <x:v>131</x:v>
      </x:c>
      <x:c r="I73" s="24" t="n">
        <x:v>158.0573</x:v>
      </x:c>
      <x:c r="J73" s="24" t="n">
        <x:v>44.7631</x:v>
      </x:c>
      <x:c r="K73" s="24" t="n">
        <x:v>1142.0166666666667</x:v>
      </x:c>
      <x:c r="L73" s="24" t="n">
        <x:v>1193.6166666666666</x:v>
      </x:c>
      <x:c r="M73" s="10" t="n">
        <x:v>3</x:v>
      </x:c>
      <x:c r="N73" s="10" t="n">
        <x:v>3</x:v>
      </x:c>
      <x:c r="O73" s="28" t="n">
        <x:f>IF(F73="有效",I73*'参数'!$B$10+J73*'参数'!$B$11,"n.a.")</x:f>
        <x:v>182.95414182000002</x:v>
      </x:c>
      <x:c r="P73" s="28" t="n">
        <x:f>IF(F73="有效",K73*'参数'!$B$12+L73*'参数'!$B$13,"n.a.")</x:f>
        <x:v>2103.1926986111107</x:v>
      </x:c>
      <x:c r="Q73" s="28" t="n">
        <x:f>IF(F73="有效",M73*'参数'!$B$14+N73*'参数'!$B$15,"n.a.")</x:f>
        <x:v>480</x:v>
      </x:c>
      <x:c r="R73" s="28" t="n">
        <x:f>IF(F73="有效",IF(D73&lt;=2,G73*('参数'!$B$6+'参数'!$B$18),0),"n.a.")</x:f>
        <x:v>0</x:v>
      </x:c>
      <x:c r="S73" s="28" t="n">
        <x:f>IF(F73="有效",IF(D73&gt;=3,G73*'参数'!$B$16,0),"n.a.")</x:f>
        <x:v>104.80000000000001</x:v>
      </x:c>
      <x:c r="T73" s="28" t="n">
        <x:f>IF(F73="有效",IF(D73&gt;=3,G73*'参数'!$B$17,0),"n.a.")</x:f>
        <x:v>13.100000000000001</x:v>
      </x:c>
      <x:c r="U73" s="28" t="n">
        <x:f>IF(F73="有效",SUM(O73:T73),"n.a.")</x:f>
        <x:v>2884.046840431111</x:v>
      </x:c>
      <x:c r="V73" s="28" t="n">
        <x:f>IF(F73="有效",H73*'参数'!$B$7,"n.a.")</x:f>
        <x:v>4781.5</x:v>
      </x:c>
      <x:c r="W73" s="28" t="n">
        <x:f>IF(F73="有效",IF(D73&gt;=3,G73*'参数'!$B$7/'参数'!$B$8,0),"n.a.")</x:f>
        <x:v>95.63</x:v>
      </x:c>
      <x:c r="X73" s="28" t="n">
        <x:f>IF(F73="有效",U73+W73,"n.a.")</x:f>
        <x:v>2979.676840431111</x:v>
      </x:c>
      <x:c r="Y73" s="28" t="n">
        <x:f>IF(F73="有效",X73/G73,"n.a.")</x:f>
        <x:v>22.745624736115353</x:v>
      </x:c>
    </x:row>
    <x:row r="74" ht="22" customHeight="1">
      <x:c r="A74" s="11" t="str">
        <x:v>lade_0824_10aoi</x:v>
      </x:c>
      <x:c r="B74" s="22" t="n">
        <x:v>10</x:v>
      </x:c>
      <x:c r="C74" s="22" t="n">
        <x:v>2</x:v>
      </x:c>
      <x:c r="D74" s="22" t="n">
        <x:v>5</x:v>
      </x:c>
      <x:c r="E74" s="22" t="n">
        <x:v>44</x:v>
      </x:c>
      <x:c r="F74" s="30" t="str">
        <x:v>有效</x:v>
      </x:c>
      <x:c r="G74" s="22" t="n">
        <x:v>131</x:v>
      </x:c>
      <x:c r="H74" s="22" t="n">
        <x:v>131</x:v>
      </x:c>
      <x:c r="I74" s="24" t="n">
        <x:v>155.8368</x:v>
      </x:c>
      <x:c r="J74" s="24" t="n">
        <x:v>44.763099999999994</x:v>
      </x:c>
      <x:c r="K74" s="24" t="n">
        <x:v>944.6166666666667</x:v>
      </x:c>
      <x:c r="L74" s="24" t="n">
        <x:v>1187</x:v>
      </x:c>
      <x:c r="M74" s="10" t="n">
        <x:v>3</x:v>
      </x:c>
      <x:c r="N74" s="10" t="n">
        <x:v>3</x:v>
      </x:c>
      <x:c r="O74" s="28" t="n">
        <x:f>IF(F74="有效",I74*'参数'!$B$10+J74*'参数'!$B$11,"n.a.")</x:f>
        <x:v>180.95113979500002</x:v>
      </x:c>
      <x:c r="P74" s="28" t="n">
        <x:f>IF(F74="有效",K74*'参数'!$B$12+L74*'参数'!$B$13,"n.a.")</x:f>
        <x:v>1886.528415625</x:v>
      </x:c>
      <x:c r="Q74" s="28" t="n">
        <x:f>IF(F74="有效",M74*'参数'!$B$14+N74*'参数'!$B$15,"n.a.")</x:f>
        <x:v>480</x:v>
      </x:c>
      <x:c r="R74" s="28" t="n">
        <x:f>IF(F74="有效",IF(D74&lt;=2,G74*('参数'!$B$6+'参数'!$B$18),0),"n.a.")</x:f>
        <x:v>0</x:v>
      </x:c>
      <x:c r="S74" s="28" t="n">
        <x:f>IF(F74="有效",IF(D74&gt;=3,G74*'参数'!$B$16,0),"n.a.")</x:f>
        <x:v>104.80000000000001</x:v>
      </x:c>
      <x:c r="T74" s="28" t="n">
        <x:f>IF(F74="有效",IF(D74&gt;=3,G74*'参数'!$B$17,0),"n.a.")</x:f>
        <x:v>13.100000000000001</x:v>
      </x:c>
      <x:c r="U74" s="28" t="n">
        <x:f>IF(F74="有效",SUM(O74:T74),"n.a.")</x:f>
        <x:v>2665.37955542</x:v>
      </x:c>
      <x:c r="V74" s="28" t="n">
        <x:f>IF(F74="有效",H74*'参数'!$B$7,"n.a.")</x:f>
        <x:v>4781.5</x:v>
      </x:c>
      <x:c r="W74" s="28" t="n">
        <x:f>IF(F74="有效",IF(D74&gt;=3,G74*'参数'!$B$7/'参数'!$B$8,0),"n.a.")</x:f>
        <x:v>95.63</x:v>
      </x:c>
      <x:c r="X74" s="28" t="n">
        <x:f>IF(F74="有效",U74+W74,"n.a.")</x:f>
        <x:v>2761.00955542</x:v>
      </x:c>
      <x:c r="Y74" s="28" t="n">
        <x:f>IF(F74="有效",X74/G74,"n.a.")</x:f>
        <x:v>21.07640882</x:v>
      </x:c>
    </x:row>
    <x:row r="75" ht="22" customHeight="1">
      <x:c r="A75" s="11" t="str">
        <x:v>lade_0824_10aoi</x:v>
      </x:c>
      <x:c r="B75" s="22" t="n">
        <x:v>10</x:v>
      </x:c>
      <x:c r="C75" s="22" t="n">
        <x:v>3</x:v>
      </x:c>
      <x:c r="D75" s="22" t="n">
        <x:v>5</x:v>
      </x:c>
      <x:c r="E75" s="22" t="n">
        <x:v>42</x:v>
      </x:c>
      <x:c r="F75" s="30" t="str">
        <x:v>有效</x:v>
      </x:c>
      <x:c r="G75" s="22" t="n">
        <x:v>131</x:v>
      </x:c>
      <x:c r="H75" s="22" t="n">
        <x:v>131</x:v>
      </x:c>
      <x:c r="I75" s="24" t="n">
        <x:v>402.6163</x:v>
      </x:c>
      <x:c r="J75" s="24" t="n">
        <x:v>57.11979999999999</x:v>
      </x:c>
      <x:c r="K75" s="24" t="n">
        <x:v>1727.45</x:v>
      </x:c>
      <x:c r="L75" s="24" t="n">
        <x:v>487.6166666666667</x:v>
      </x:c>
      <x:c r="M75" s="10" t="n">
        <x:v>3</x:v>
      </x:c>
      <x:c r="N75" s="10" t="n">
        <x:v>3</x:v>
      </x:c>
      <x:c r="O75" s="28" t="n">
        <x:f>IF(F75="有效",I75*'参数'!$B$10+J75*'参数'!$B$11,"n.a.")</x:f>
        <x:v>414.704949005</x:v>
      </x:c>
      <x:c r="P75" s="28" t="n">
        <x:f>IF(F75="有效",K75*'参数'!$B$12+L75*'参数'!$B$13,"n.a.")</x:f>
        <x:v>2212.077784027778</x:v>
      </x:c>
      <x:c r="Q75" s="28" t="n">
        <x:f>IF(F75="有效",M75*'参数'!$B$14+N75*'参数'!$B$15,"n.a.")</x:f>
        <x:v>480</x:v>
      </x:c>
      <x:c r="R75" s="28" t="n">
        <x:f>IF(F75="有效",IF(D75&lt;=2,G75*('参数'!$B$6+'参数'!$B$18),0),"n.a.")</x:f>
        <x:v>0</x:v>
      </x:c>
      <x:c r="S75" s="28" t="n">
        <x:f>IF(F75="有效",IF(D75&gt;=3,G75*'参数'!$B$16,0),"n.a.")</x:f>
        <x:v>104.80000000000001</x:v>
      </x:c>
      <x:c r="T75" s="28" t="n">
        <x:f>IF(F75="有效",IF(D75&gt;=3,G75*'参数'!$B$17,0),"n.a.")</x:f>
        <x:v>13.100000000000001</x:v>
      </x:c>
      <x:c r="U75" s="28" t="n">
        <x:f>IF(F75="有效",SUM(O75:T75),"n.a.")</x:f>
        <x:v>3224.682733032778</x:v>
      </x:c>
      <x:c r="V75" s="28" t="n">
        <x:f>IF(F75="有效",H75*'参数'!$B$7,"n.a.")</x:f>
        <x:v>4781.5</x:v>
      </x:c>
      <x:c r="W75" s="28" t="n">
        <x:f>IF(F75="有效",IF(D75&gt;=3,G75*'参数'!$B$7/'参数'!$B$8,0),"n.a.")</x:f>
        <x:v>95.63</x:v>
      </x:c>
      <x:c r="X75" s="28" t="n">
        <x:f>IF(F75="有效",U75+W75,"n.a.")</x:f>
        <x:v>3320.312733032778</x:v>
      </x:c>
      <x:c r="Y75" s="28" t="n">
        <x:f>IF(F75="有效",X75/G75,"n.a.")</x:f>
        <x:v>25.345898725441053</x:v>
      </x:c>
    </x:row>
    <x:row r="76" ht="22" customHeight="1">
      <x:c r="A76" s="11" t="str">
        <x:v>lade_0824_10aoi</x:v>
      </x:c>
      <x:c r="B76" s="22" t="n">
        <x:v>10</x:v>
      </x:c>
      <x:c r="C76" s="22" t="n">
        <x:v>3</x:v>
      </x:c>
      <x:c r="D76" s="22" t="n">
        <x:v>5</x:v>
      </x:c>
      <x:c r="E76" s="22" t="n">
        <x:v>43</x:v>
      </x:c>
      <x:c r="F76" s="30" t="str">
        <x:v>有效</x:v>
      </x:c>
      <x:c r="G76" s="22" t="n">
        <x:v>131</x:v>
      </x:c>
      <x:c r="H76" s="22" t="n">
        <x:v>131</x:v>
      </x:c>
      <x:c r="I76" s="24" t="n">
        <x:v>356.40779999999995</x:v>
      </x:c>
      <x:c r="J76" s="24" t="n">
        <x:v>57.11979999999999</x:v>
      </x:c>
      <x:c r="K76" s="24" t="n">
        <x:v>1523.45</x:v>
      </x:c>
      <x:c r="L76" s="24" t="n">
        <x:v>583.9833333333333</x:v>
      </x:c>
      <x:c r="M76" s="10" t="n">
        <x:v>3</x:v>
      </x:c>
      <x:c r="N76" s="10" t="n">
        <x:v>3</x:v>
      </x:c>
      <x:c r="O76" s="28" t="n">
        <x:f>IF(F76="有效",I76*'参数'!$B$10+J76*'参数'!$B$11,"n.a.")</x:f>
        <x:v>373.0225715799999</x:v>
      </x:c>
      <x:c r="P76" s="28" t="n">
        <x:f>IF(F76="有效",K76*'参数'!$B$12+L76*'参数'!$B$13,"n.a.")</x:f>
        <x:v>2064.0742097222223</x:v>
      </x:c>
      <x:c r="Q76" s="28" t="n">
        <x:f>IF(F76="有效",M76*'参数'!$B$14+N76*'参数'!$B$15,"n.a.")</x:f>
        <x:v>480</x:v>
      </x:c>
      <x:c r="R76" s="28" t="n">
        <x:f>IF(F76="有效",IF(D76&lt;=2,G76*('参数'!$B$6+'参数'!$B$18),0),"n.a.")</x:f>
        <x:v>0</x:v>
      </x:c>
      <x:c r="S76" s="28" t="n">
        <x:f>IF(F76="有效",IF(D76&gt;=3,G76*'参数'!$B$16,0),"n.a.")</x:f>
        <x:v>104.80000000000001</x:v>
      </x:c>
      <x:c r="T76" s="28" t="n">
        <x:f>IF(F76="有效",IF(D76&gt;=3,G76*'参数'!$B$17,0),"n.a.")</x:f>
        <x:v>13.100000000000001</x:v>
      </x:c>
      <x:c r="U76" s="28" t="n">
        <x:f>IF(F76="有效",SUM(O76:T76),"n.a.")</x:f>
        <x:v>3034.996781302222</x:v>
      </x:c>
      <x:c r="V76" s="28" t="n">
        <x:f>IF(F76="有效",H76*'参数'!$B$7,"n.a.")</x:f>
        <x:v>4781.5</x:v>
      </x:c>
      <x:c r="W76" s="28" t="n">
        <x:f>IF(F76="有效",IF(D76&gt;=3,G76*'参数'!$B$7/'参数'!$B$8,0),"n.a.")</x:f>
        <x:v>95.63</x:v>
      </x:c>
      <x:c r="X76" s="28" t="n">
        <x:f>IF(F76="有效",U76+W76,"n.a.")</x:f>
        <x:v>3130.6267813022223</x:v>
      </x:c>
      <x:c r="Y76" s="28" t="n">
        <x:f>IF(F76="有效",X76/G76,"n.a.")</x:f>
        <x:v>23.897914361085668</x:v>
      </x:c>
    </x:row>
    <x:row r="77" ht="22" customHeight="1">
      <x:c r="A77" s="11" t="str">
        <x:v>lade_0824_10aoi</x:v>
      </x:c>
      <x:c r="B77" s="22" t="n">
        <x:v>10</x:v>
      </x:c>
      <x:c r="C77" s="22" t="n">
        <x:v>3</x:v>
      </x:c>
      <x:c r="D77" s="22" t="n">
        <x:v>5</x:v>
      </x:c>
      <x:c r="E77" s="22" t="n">
        <x:v>44</x:v>
      </x:c>
      <x:c r="F77" s="30" t="str">
        <x:v>有效</x:v>
      </x:c>
      <x:c r="G77" s="22" t="n">
        <x:v>131</x:v>
      </x:c>
      <x:c r="H77" s="22" t="n">
        <x:v>131</x:v>
      </x:c>
      <x:c r="I77" s="24" t="n">
        <x:v>356.4078</x:v>
      </x:c>
      <x:c r="J77" s="24" t="n">
        <x:v>57.11979999999999</x:v>
      </x:c>
      <x:c r="K77" s="24" t="n">
        <x:v>1368.7666666666667</x:v>
      </x:c>
      <x:c r="L77" s="24" t="n">
        <x:v>671.5666666666667</x:v>
      </x:c>
      <x:c r="M77" s="10" t="n">
        <x:v>3</x:v>
      </x:c>
      <x:c r="N77" s="10" t="n">
        <x:v>3</x:v>
      </x:c>
      <x:c r="O77" s="28" t="n">
        <x:f>IF(F77="有效",I77*'参数'!$B$10+J77*'参数'!$B$11,"n.a.")</x:f>
        <x:v>373.02257158</x:v>
      </x:c>
      <x:c r="P77" s="28" t="n">
        <x:f>IF(F77="有效",K77*'参数'!$B$12+L77*'参数'!$B$13,"n.a.")</x:f>
        <x:v>1962.5243777777778</x:v>
      </x:c>
      <x:c r="Q77" s="28" t="n">
        <x:f>IF(F77="有效",M77*'参数'!$B$14+N77*'参数'!$B$15,"n.a.")</x:f>
        <x:v>480</x:v>
      </x:c>
      <x:c r="R77" s="28" t="n">
        <x:f>IF(F77="有效",IF(D77&lt;=2,G77*('参数'!$B$6+'参数'!$B$18),0),"n.a.")</x:f>
        <x:v>0</x:v>
      </x:c>
      <x:c r="S77" s="28" t="n">
        <x:f>IF(F77="有效",IF(D77&gt;=3,G77*'参数'!$B$16,0),"n.a.")</x:f>
        <x:v>104.80000000000001</x:v>
      </x:c>
      <x:c r="T77" s="28" t="n">
        <x:f>IF(F77="有效",IF(D77&gt;=3,G77*'参数'!$B$17,0),"n.a.")</x:f>
        <x:v>13.100000000000001</x:v>
      </x:c>
      <x:c r="U77" s="28" t="n">
        <x:f>IF(F77="有效",SUM(O77:T77),"n.a.")</x:f>
        <x:v>2933.4469493577776</x:v>
      </x:c>
      <x:c r="V77" s="28" t="n">
        <x:f>IF(F77="有效",H77*'参数'!$B$7,"n.a.")</x:f>
        <x:v>4781.5</x:v>
      </x:c>
      <x:c r="W77" s="28" t="n">
        <x:f>IF(F77="有效",IF(D77&gt;=3,G77*'参数'!$B$7/'参数'!$B$8,0),"n.a.")</x:f>
        <x:v>95.63</x:v>
      </x:c>
      <x:c r="X77" s="28" t="n">
        <x:f>IF(F77="有效",U77+W77,"n.a.")</x:f>
        <x:v>3029.0769493577777</x:v>
      </x:c>
      <x:c r="Y77" s="28" t="n">
        <x:f>IF(F77="有效",X77/G77,"n.a.")</x:f>
        <x:v>23.122724804257846</x:v>
      </x:c>
    </x:row>
    <x:row r="78" ht="22" customHeight="1">
      <x:c r="A78" s="11" t="str">
        <x:v>lade_0824_20aoi</x:v>
      </x:c>
      <x:c r="B78" s="22" t="n">
        <x:v>20</x:v>
      </x:c>
      <x:c r="C78" s="22" t="n">
        <x:v>1</x:v>
      </x:c>
      <x:c r="D78" s="22" t="n">
        <x:v>1</x:v>
      </x:c>
      <x:c r="E78" s="22" t="n">
        <x:v>42</x:v>
      </x:c>
      <x:c r="F78" s="30" t="str">
        <x:v>有效</x:v>
      </x:c>
      <x:c r="G78" s="22" t="n">
        <x:v>194</x:v>
      </x:c>
      <x:c r="H78" s="22" t="n">
        <x:v>0</x:v>
      </x:c>
      <x:c r="I78" s="24" t="n">
        <x:v>59.477500000000006</x:v>
      </x:c>
      <x:c r="J78" s="24" t="n">
        <x:v>51.42039999999999</x:v>
      </x:c>
      <x:c r="K78" s="24" t="n">
        <x:v>60.63333333333333</x:v>
      </x:c>
      <x:c r="L78" s="24" t="n">
        <x:v>1954.6</x:v>
      </x:c>
      <x:c r="M78" s="10" t="n">
        <x:v>1</x:v>
      </x:c>
      <x:c r="N78" s="10" t="n">
        <x:v>5</x:v>
      </x:c>
      <x:c r="O78" s="28" t="n">
        <x:f>IF(F78="有效",I78*'参数'!$B$10+J78*'参数'!$B$11,"n.a.")</x:f>
        <x:v>100.035450695</x:v>
      </x:c>
      <x:c r="P78" s="28" t="n">
        <x:f>IF(F78="有效",K78*'参数'!$B$12+L78*'参数'!$B$13,"n.a.")</x:f>
        <x:v>1502.6233562500001</x:v>
      </x:c>
      <x:c r="Q78" s="28" t="n">
        <x:f>IF(F78="有效",M78*'参数'!$B$14+N78*'参数'!$B$15,"n.a.")</x:f>
        <x:v>400</x:v>
      </x:c>
      <x:c r="R78" s="28" t="n">
        <x:f>IF(F78="有效",IF(D78&lt;=2,G78*('参数'!$B$6+'参数'!$B$18),0),"n.a.")</x:f>
        <x:v>776</x:v>
      </x:c>
      <x:c r="S78" s="28" t="n">
        <x:f>IF(F78="有效",IF(D78&gt;=3,G78*'参数'!$B$16,0),"n.a.")</x:f>
        <x:v>0</x:v>
      </x:c>
      <x:c r="T78" s="28" t="n">
        <x:f>IF(F78="有效",IF(D78&gt;=3,G78*'参数'!$B$17,0),"n.a.")</x:f>
        <x:v>0</x:v>
      </x:c>
      <x:c r="U78" s="28" t="n">
        <x:f>IF(F78="有效",SUM(O78:T78),"n.a.")</x:f>
        <x:v>2778.658806945</x:v>
      </x:c>
      <x:c r="V78" s="28" t="n">
        <x:f>IF(F78="有效",H78*'参数'!$B$7,"n.a.")</x:f>
        <x:v>0</x:v>
      </x:c>
      <x:c r="W78" s="28" t="n">
        <x:f>IF(F78="有效",IF(D78&gt;=3,G78*'参数'!$B$7/'参数'!$B$8,0),"n.a.")</x:f>
        <x:v>0</x:v>
      </x:c>
      <x:c r="X78" s="28" t="n">
        <x:f>IF(F78="有效",U78+W78,"n.a.")</x:f>
        <x:v>2778.658806945</x:v>
      </x:c>
      <x:c r="Y78" s="28" t="n">
        <x:f>IF(F78="有效",X78/G78,"n.a.")</x:f>
        <x:v>14.322983540953608</x:v>
      </x:c>
    </x:row>
    <x:row r="79" ht="22" customHeight="1">
      <x:c r="A79" s="11" t="str">
        <x:v>lade_0824_20aoi</x:v>
      </x:c>
      <x:c r="B79" s="22" t="n">
        <x:v>20</x:v>
      </x:c>
      <x:c r="C79" s="22" t="n">
        <x:v>1</x:v>
      </x:c>
      <x:c r="D79" s="22" t="n">
        <x:v>1</x:v>
      </x:c>
      <x:c r="E79" s="22" t="n">
        <x:v>43</x:v>
      </x:c>
      <x:c r="F79" s="30" t="str">
        <x:v>有效</x:v>
      </x:c>
      <x:c r="G79" s="22" t="n">
        <x:v>194</x:v>
      </x:c>
      <x:c r="H79" s="22" t="n">
        <x:v>0</x:v>
      </x:c>
      <x:c r="I79" s="24" t="n">
        <x:v>59.477500000000006</x:v>
      </x:c>
      <x:c r="J79" s="24" t="n">
        <x:v>51.420399999999994</x:v>
      </x:c>
      <x:c r="K79" s="24" t="n">
        <x:v>60.63333333333333</x:v>
      </x:c>
      <x:c r="L79" s="24" t="n">
        <x:v>2198.15</x:v>
      </x:c>
      <x:c r="M79" s="10" t="n">
        <x:v>1</x:v>
      </x:c>
      <x:c r="N79" s="10" t="n">
        <x:v>6</x:v>
      </x:c>
      <x:c r="O79" s="28" t="n">
        <x:f>IF(F79="有效",I79*'参数'!$B$10+J79*'参数'!$B$11,"n.a.")</x:f>
        <x:v>100.03545069500001</x:v>
      </x:c>
      <x:c r="P79" s="28" t="n">
        <x:f>IF(F79="有效",K79*'参数'!$B$12+L79*'参数'!$B$13,"n.a.")</x:f>
        <x:v>1681.7493072916668</x:v>
      </x:c>
      <x:c r="Q79" s="28" t="n">
        <x:f>IF(F79="有效",M79*'参数'!$B$14+N79*'参数'!$B$15,"n.a.")</x:f>
        <x:v>460</x:v>
      </x:c>
      <x:c r="R79" s="28" t="n">
        <x:f>IF(F79="有效",IF(D79&lt;=2,G79*('参数'!$B$6+'参数'!$B$18),0),"n.a.")</x:f>
        <x:v>776</x:v>
      </x:c>
      <x:c r="S79" s="28" t="n">
        <x:f>IF(F79="有效",IF(D79&gt;=3,G79*'参数'!$B$16,0),"n.a.")</x:f>
        <x:v>0</x:v>
      </x:c>
      <x:c r="T79" s="28" t="n">
        <x:f>IF(F79="有效",IF(D79&gt;=3,G79*'参数'!$B$17,0),"n.a.")</x:f>
        <x:v>0</x:v>
      </x:c>
      <x:c r="U79" s="28" t="n">
        <x:f>IF(F79="有效",SUM(O79:T79),"n.a.")</x:f>
        <x:v>3017.7847579866666</x:v>
      </x:c>
      <x:c r="V79" s="28" t="n">
        <x:f>IF(F79="有效",H79*'参数'!$B$7,"n.a.")</x:f>
        <x:v>0</x:v>
      </x:c>
      <x:c r="W79" s="28" t="n">
        <x:f>IF(F79="有效",IF(D79&gt;=3,G79*'参数'!$B$7/'参数'!$B$8,0),"n.a.")</x:f>
        <x:v>0</x:v>
      </x:c>
      <x:c r="X79" s="28" t="n">
        <x:f>IF(F79="有效",U79+W79,"n.a.")</x:f>
        <x:v>3017.7847579866666</x:v>
      </x:c>
      <x:c r="Y79" s="28" t="n">
        <x:f>IF(F79="有效",X79/G79,"n.a.")</x:f>
        <x:v>15.555591536013745</x:v>
      </x:c>
    </x:row>
    <x:row r="80" ht="22" customHeight="1">
      <x:c r="A80" s="11" t="str">
        <x:v>lade_0824_20aoi</x:v>
      </x:c>
      <x:c r="B80" s="22" t="n">
        <x:v>20</x:v>
      </x:c>
      <x:c r="C80" s="22" t="n">
        <x:v>1</x:v>
      </x:c>
      <x:c r="D80" s="22" t="n">
        <x:v>1</x:v>
      </x:c>
      <x:c r="E80" s="22" t="n">
        <x:v>44</x:v>
      </x:c>
      <x:c r="F80" s="30" t="str">
        <x:v>有效</x:v>
      </x:c>
      <x:c r="G80" s="22" t="n">
        <x:v>194</x:v>
      </x:c>
      <x:c r="H80" s="22" t="n">
        <x:v>0</x:v>
      </x:c>
      <x:c r="I80" s="24" t="n">
        <x:v>59.477500000000006</x:v>
      </x:c>
      <x:c r="J80" s="24" t="n">
        <x:v>51.420399999999994</x:v>
      </x:c>
      <x:c r="K80" s="24" t="n">
        <x:v>60.63333333333333</x:v>
      </x:c>
      <x:c r="L80" s="24" t="n">
        <x:v>2197.15</x:v>
      </x:c>
      <x:c r="M80" s="10" t="n">
        <x:v>1</x:v>
      </x:c>
      <x:c r="N80" s="10" t="n">
        <x:v>6</x:v>
      </x:c>
      <x:c r="O80" s="28" t="n">
        <x:f>IF(F80="有效",I80*'参数'!$B$10+J80*'参数'!$B$11,"n.a.")</x:f>
        <x:v>100.03545069500001</x:v>
      </x:c>
      <x:c r="P80" s="28" t="n">
        <x:f>IF(F80="有效",K80*'参数'!$B$12+L80*'参数'!$B$13,"n.a.")</x:f>
        <x:v>1681.0138281250001</x:v>
      </x:c>
      <x:c r="Q80" s="28" t="n">
        <x:f>IF(F80="有效",M80*'参数'!$B$14+N80*'参数'!$B$15,"n.a.")</x:f>
        <x:v>460</x:v>
      </x:c>
      <x:c r="R80" s="28" t="n">
        <x:f>IF(F80="有效",IF(D80&lt;=2,G80*('参数'!$B$6+'参数'!$B$18),0),"n.a.")</x:f>
        <x:v>776</x:v>
      </x:c>
      <x:c r="S80" s="28" t="n">
        <x:f>IF(F80="有效",IF(D80&gt;=3,G80*'参数'!$B$16,0),"n.a.")</x:f>
        <x:v>0</x:v>
      </x:c>
      <x:c r="T80" s="28" t="n">
        <x:f>IF(F80="有效",IF(D80&gt;=3,G80*'参数'!$B$17,0),"n.a.")</x:f>
        <x:v>0</x:v>
      </x:c>
      <x:c r="U80" s="28" t="n">
        <x:f>IF(F80="有效",SUM(O80:T80),"n.a.")</x:f>
        <x:v>3017.04927882</x:v>
      </x:c>
      <x:c r="V80" s="28" t="n">
        <x:f>IF(F80="有效",H80*'参数'!$B$7,"n.a.")</x:f>
        <x:v>0</x:v>
      </x:c>
      <x:c r="W80" s="28" t="n">
        <x:f>IF(F80="有效",IF(D80&gt;=3,G80*'参数'!$B$7/'参数'!$B$8,0),"n.a.")</x:f>
        <x:v>0</x:v>
      </x:c>
      <x:c r="X80" s="28" t="n">
        <x:f>IF(F80="有效",U80+W80,"n.a.")</x:f>
        <x:v>3017.04927882</x:v>
      </x:c>
      <x:c r="Y80" s="28" t="n">
        <x:f>IF(F80="有效",X80/G80,"n.a.")</x:f>
        <x:v>15.55180040628866</x:v>
      </x:c>
    </x:row>
    <x:row r="81" ht="22" customHeight="1">
      <x:c r="A81" s="11" t="str">
        <x:v>lade_0824_20aoi</x:v>
      </x:c>
      <x:c r="B81" s="22" t="n">
        <x:v>20</x:v>
      </x:c>
      <x:c r="C81" s="22" t="n">
        <x:v>1</x:v>
      </x:c>
      <x:c r="D81" s="22" t="n">
        <x:v>2</x:v>
      </x:c>
      <x:c r="E81" s="22" t="n">
        <x:v>42</x:v>
      </x:c>
      <x:c r="F81" s="30" t="str">
        <x:v>有效</x:v>
      </x:c>
      <x:c r="G81" s="22" t="n">
        <x:v>194</x:v>
      </x:c>
      <x:c r="H81" s="22" t="n">
        <x:v>0</x:v>
      </x:c>
      <x:c r="I81" s="24" t="n">
        <x:v>59.477500000000006</x:v>
      </x:c>
      <x:c r="J81" s="24" t="n">
        <x:v>45.21809999999999</x:v>
      </x:c>
      <x:c r="K81" s="24" t="n">
        <x:v>60.63333333333333</x:v>
      </x:c>
      <x:c r="L81" s="24" t="n">
        <x:v>1493.3</x:v>
      </x:c>
      <x:c r="M81" s="10" t="n">
        <x:v>1</x:v>
      </x:c>
      <x:c r="N81" s="10" t="n">
        <x:v>4</x:v>
      </x:c>
      <x:c r="O81" s="28" t="n">
        <x:f>IF(F81="有效",I81*'参数'!$B$10+J81*'参数'!$B$11,"n.a.")</x:f>
        <x:v>94.44066598</x:v>
      </x:c>
      <x:c r="P81" s="28" t="n">
        <x:f>IF(F81="有效",K81*'参数'!$B$12+L81*'参数'!$B$13,"n.a.")</x:f>
        <x:v>1163.3468166666667</x:v>
      </x:c>
      <x:c r="Q81" s="28" t="n">
        <x:f>IF(F81="有效",M81*'参数'!$B$14+N81*'参数'!$B$15,"n.a.")</x:f>
        <x:v>340</x:v>
      </x:c>
      <x:c r="R81" s="28" t="n">
        <x:f>IF(F81="有效",IF(D81&lt;=2,G81*('参数'!$B$6+'参数'!$B$18),0),"n.a.")</x:f>
        <x:v>776</x:v>
      </x:c>
      <x:c r="S81" s="28" t="n">
        <x:f>IF(F81="有效",IF(D81&gt;=3,G81*'参数'!$B$16,0),"n.a.")</x:f>
        <x:v>0</x:v>
      </x:c>
      <x:c r="T81" s="28" t="n">
        <x:f>IF(F81="有效",IF(D81&gt;=3,G81*'参数'!$B$17,0),"n.a.")</x:f>
        <x:v>0</x:v>
      </x:c>
      <x:c r="U81" s="28" t="n">
        <x:f>IF(F81="有效",SUM(O81:T81),"n.a.")</x:f>
        <x:v>2373.787482646667</x:v>
      </x:c>
      <x:c r="V81" s="28" t="n">
        <x:f>IF(F81="有效",H81*'参数'!$B$7,"n.a.")</x:f>
        <x:v>0</x:v>
      </x:c>
      <x:c r="W81" s="28" t="n">
        <x:f>IF(F81="有效",IF(D81&gt;=3,G81*'参数'!$B$7/'参数'!$B$8,0),"n.a.")</x:f>
        <x:v>0</x:v>
      </x:c>
      <x:c r="X81" s="28" t="n">
        <x:f>IF(F81="有效",U81+W81,"n.a.")</x:f>
        <x:v>2373.787482646667</x:v>
      </x:c>
      <x:c r="Y81" s="28" t="n">
        <x:f>IF(F81="有效",X81/G81,"n.a.")</x:f>
        <x:v>12.236017951786943</x:v>
      </x:c>
    </x:row>
    <x:row r="82" ht="22" customHeight="1">
      <x:c r="A82" s="11" t="str">
        <x:v>lade_0824_20aoi</x:v>
      </x:c>
      <x:c r="B82" s="22" t="n">
        <x:v>20</x:v>
      </x:c>
      <x:c r="C82" s="22" t="n">
        <x:v>1</x:v>
      </x:c>
      <x:c r="D82" s="22" t="n">
        <x:v>2</x:v>
      </x:c>
      <x:c r="E82" s="22" t="n">
        <x:v>43</x:v>
      </x:c>
      <x:c r="F82" s="30" t="str">
        <x:v>有效</x:v>
      </x:c>
      <x:c r="G82" s="22" t="n">
        <x:v>194</x:v>
      </x:c>
      <x:c r="H82" s="22" t="n">
        <x:v>0</x:v>
      </x:c>
      <x:c r="I82" s="24" t="n">
        <x:v>59.477500000000006</x:v>
      </x:c>
      <x:c r="J82" s="24" t="n">
        <x:v>43.826699999999995</x:v>
      </x:c>
      <x:c r="K82" s="24" t="n">
        <x:v>60.63333333333333</x:v>
      </x:c>
      <x:c r="L82" s="24" t="n">
        <x:v>1716.9</x:v>
      </x:c>
      <x:c r="M82" s="10" t="n">
        <x:v>1</x:v>
      </x:c>
      <x:c r="N82" s="10" t="n">
        <x:v>5</x:v>
      </x:c>
      <x:c r="O82" s="28" t="n">
        <x:f>IF(F82="有效",I82*'参数'!$B$10+J82*'参数'!$B$11,"n.a.")</x:f>
        <x:v>93.18555361</x:v>
      </x:c>
      <x:c r="P82" s="28" t="n">
        <x:f>IF(F82="有效",K82*'参数'!$B$12+L82*'参数'!$B$13,"n.a.")</x:f>
        <x:v>1327.7999583333335</x:v>
      </x:c>
      <x:c r="Q82" s="28" t="n">
        <x:f>IF(F82="有效",M82*'参数'!$B$14+N82*'参数'!$B$15,"n.a.")</x:f>
        <x:v>400</x:v>
      </x:c>
      <x:c r="R82" s="28" t="n">
        <x:f>IF(F82="有效",IF(D82&lt;=2,G82*('参数'!$B$6+'参数'!$B$18),0),"n.a.")</x:f>
        <x:v>776</x:v>
      </x:c>
      <x:c r="S82" s="28" t="n">
        <x:f>IF(F82="有效",IF(D82&gt;=3,G82*'参数'!$B$16,0),"n.a.")</x:f>
        <x:v>0</x:v>
      </x:c>
      <x:c r="T82" s="28" t="n">
        <x:f>IF(F82="有效",IF(D82&gt;=3,G82*'参数'!$B$17,0),"n.a.")</x:f>
        <x:v>0</x:v>
      </x:c>
      <x:c r="U82" s="28" t="n">
        <x:f>IF(F82="有效",SUM(O82:T82),"n.a.")</x:f>
        <x:v>2596.985511943333</x:v>
      </x:c>
      <x:c r="V82" s="28" t="n">
        <x:f>IF(F82="有效",H82*'参数'!$B$7,"n.a.")</x:f>
        <x:v>0</x:v>
      </x:c>
      <x:c r="W82" s="28" t="n">
        <x:f>IF(F82="有效",IF(D82&gt;=3,G82*'参数'!$B$7/'参数'!$B$8,0),"n.a.")</x:f>
        <x:v>0</x:v>
      </x:c>
      <x:c r="X82" s="28" t="n">
        <x:f>IF(F82="有效",U82+W82,"n.a.")</x:f>
        <x:v>2596.985511943333</x:v>
      </x:c>
      <x:c r="Y82" s="28" t="n">
        <x:f>IF(F82="有效",X82/G82,"n.a.")</x:f>
        <x:v>13.386523257439862</x:v>
      </x:c>
    </x:row>
    <x:row r="83" ht="22" customHeight="1">
      <x:c r="A83" s="11" t="str">
        <x:v>lade_0824_20aoi</x:v>
      </x:c>
      <x:c r="B83" s="22" t="n">
        <x:v>20</x:v>
      </x:c>
      <x:c r="C83" s="22" t="n">
        <x:v>1</x:v>
      </x:c>
      <x:c r="D83" s="22" t="n">
        <x:v>2</x:v>
      </x:c>
      <x:c r="E83" s="22" t="n">
        <x:v>44</x:v>
      </x:c>
      <x:c r="F83" s="30" t="str">
        <x:v>有效</x:v>
      </x:c>
      <x:c r="G83" s="22" t="n">
        <x:v>194</x:v>
      </x:c>
      <x:c r="H83" s="22" t="n">
        <x:v>0</x:v>
      </x:c>
      <x:c r="I83" s="24" t="n">
        <x:v>59.477500000000006</x:v>
      </x:c>
      <x:c r="J83" s="24" t="n">
        <x:v>42.654399999999995</x:v>
      </x:c>
      <x:c r="K83" s="24" t="n">
        <x:v>60.63333333333333</x:v>
      </x:c>
      <x:c r="L83" s="24" t="n">
        <x:v>1266.7166666666667</x:v>
      </x:c>
      <x:c r="M83" s="10" t="n">
        <x:v>1</x:v>
      </x:c>
      <x:c r="N83" s="10" t="n">
        <x:v>4</x:v>
      </x:c>
      <x:c r="O83" s="28" t="n">
        <x:f>IF(F83="有效",I83*'参数'!$B$10+J83*'参数'!$B$11,"n.a.")</x:f>
        <x:v>92.12808039500001</x:v>
      </x:c>
      <x:c r="P83" s="28" t="n">
        <x:f>IF(F83="有效",K83*'参数'!$B$12+L83*'参数'!$B$13,"n.a.")</x:f>
        <x:v>996.6994954861111</x:v>
      </x:c>
      <x:c r="Q83" s="28" t="n">
        <x:f>IF(F83="有效",M83*'参数'!$B$14+N83*'参数'!$B$15,"n.a.")</x:f>
        <x:v>340</x:v>
      </x:c>
      <x:c r="R83" s="28" t="n">
        <x:f>IF(F83="有效",IF(D83&lt;=2,G83*('参数'!$B$6+'参数'!$B$18),0),"n.a.")</x:f>
        <x:v>776</x:v>
      </x:c>
      <x:c r="S83" s="28" t="n">
        <x:f>IF(F83="有效",IF(D83&gt;=3,G83*'参数'!$B$16,0),"n.a.")</x:f>
        <x:v>0</x:v>
      </x:c>
      <x:c r="T83" s="28" t="n">
        <x:f>IF(F83="有效",IF(D83&gt;=3,G83*'参数'!$B$17,0),"n.a.")</x:f>
        <x:v>0</x:v>
      </x:c>
      <x:c r="U83" s="28" t="n">
        <x:f>IF(F83="有效",SUM(O83:T83),"n.a.")</x:f>
        <x:v>2204.8275758811114</x:v>
      </x:c>
      <x:c r="V83" s="28" t="n">
        <x:f>IF(F83="有效",H83*'参数'!$B$7,"n.a.")</x:f>
        <x:v>0</x:v>
      </x:c>
      <x:c r="W83" s="28" t="n">
        <x:f>IF(F83="有效",IF(D83&gt;=3,G83*'参数'!$B$7/'参数'!$B$8,0),"n.a.")</x:f>
        <x:v>0</x:v>
      </x:c>
      <x:c r="X83" s="28" t="n">
        <x:f>IF(F83="有效",U83+W83,"n.a.")</x:f>
        <x:v>2204.8275758811114</x:v>
      </x:c>
      <x:c r="Y83" s="28" t="n">
        <x:f>IF(F83="有效",X83/G83,"n.a.")</x:f>
        <x:v>11.365090597325317</x:v>
      </x:c>
    </x:row>
    <x:row r="84" ht="22" customHeight="1">
      <x:c r="A84" s="11" t="str">
        <x:v>lade_0824_20aoi</x:v>
      </x:c>
      <x:c r="B84" s="22" t="n">
        <x:v>20</x:v>
      </x:c>
      <x:c r="C84" s="22" t="n">
        <x:v>1</x:v>
      </x:c>
      <x:c r="D84" s="22" t="n">
        <x:v>3</x:v>
      </x:c>
      <x:c r="E84" s="22" t="n">
        <x:v>42</x:v>
      </x:c>
      <x:c r="F84" s="30" t="str">
        <x:v>有效</x:v>
      </x:c>
      <x:c r="G84" s="22" t="n">
        <x:v>194</x:v>
      </x:c>
      <x:c r="H84" s="22" t="n">
        <x:v>194</x:v>
      </x:c>
      <x:c r="I84" s="24" t="n">
        <x:v>63.013999999999996</x:v>
      </x:c>
      <x:c r="J84" s="24" t="n">
        <x:v>57.7299</x:v>
      </x:c>
      <x:c r="K84" s="24" t="n">
        <x:v>738.65</x:v>
      </x:c>
      <x:c r="L84" s="24" t="n">
        <x:v>2502.55</x:v>
      </x:c>
      <x:c r="M84" s="10" t="n">
        <x:v>1</x:v>
      </x:c>
      <x:c r="N84" s="10" t="n">
        <x:v>6</x:v>
      </x:c>
      <x:c r="O84" s="28" t="n">
        <x:f>IF(F84="有效",I84*'参数'!$B$10+J84*'参数'!$B$11,"n.a.")</x:f>
        <x:v>108.917034995</x:v>
      </x:c>
      <x:c r="P84" s="28" t="n">
        <x:f>IF(F84="有效",K84*'参数'!$B$12+L84*'参数'!$B$13,"n.a.")</x:f>
        <x:v>2633.0986729166666</x:v>
      </x:c>
      <x:c r="Q84" s="28" t="n">
        <x:f>IF(F84="有效",M84*'参数'!$B$14+N84*'参数'!$B$15,"n.a.")</x:f>
        <x:v>460</x:v>
      </x:c>
      <x:c r="R84" s="28" t="n">
        <x:f>IF(F84="有效",IF(D84&lt;=2,G84*('参数'!$B$6+'参数'!$B$18),0),"n.a.")</x:f>
        <x:v>0</x:v>
      </x:c>
      <x:c r="S84" s="28" t="n">
        <x:f>IF(F84="有效",IF(D84&gt;=3,G84*'参数'!$B$16,0),"n.a.")</x:f>
        <x:v>155.20000000000002</x:v>
      </x:c>
      <x:c r="T84" s="28" t="n">
        <x:f>IF(F84="有效",IF(D84&gt;=3,G84*'参数'!$B$17,0),"n.a.")</x:f>
        <x:v>19.400000000000002</x:v>
      </x:c>
      <x:c r="U84" s="28" t="n">
        <x:f>IF(F84="有效",SUM(O84:T84),"n.a.")</x:f>
        <x:v>3376.6157079116665</x:v>
      </x:c>
      <x:c r="V84" s="28" t="n">
        <x:f>IF(F84="有效",H84*'参数'!$B$7,"n.a.")</x:f>
        <x:v>7081</x:v>
      </x:c>
      <x:c r="W84" s="28" t="n">
        <x:f>IF(F84="有效",IF(D84&gt;=3,G84*'参数'!$B$7/'参数'!$B$8,0),"n.a.")</x:f>
        <x:v>141.62</x:v>
      </x:c>
      <x:c r="X84" s="28" t="n">
        <x:f>IF(F84="有效",U84+W84,"n.a.")</x:f>
        <x:v>3518.2357079116664</x:v>
      </x:c>
      <x:c r="Y84" s="28" t="n">
        <x:f>IF(F84="有效",X84/G84,"n.a.")</x:f>
        <x:v>18.135235607792094</x:v>
      </x:c>
    </x:row>
    <x:row r="85" ht="22" customHeight="1">
      <x:c r="A85" s="11" t="str">
        <x:v>lade_0824_20aoi</x:v>
      </x:c>
      <x:c r="B85" s="22" t="n">
        <x:v>20</x:v>
      </x:c>
      <x:c r="C85" s="22" t="n">
        <x:v>1</x:v>
      </x:c>
      <x:c r="D85" s="22" t="n">
        <x:v>3</x:v>
      </x:c>
      <x:c r="E85" s="22" t="n">
        <x:v>43</x:v>
      </x:c>
      <x:c r="F85" s="30" t="str">
        <x:v>有效</x:v>
      </x:c>
      <x:c r="G85" s="22" t="n">
        <x:v>194</x:v>
      </x:c>
      <x:c r="H85" s="22" t="n">
        <x:v>194</x:v>
      </x:c>
      <x:c r="I85" s="24" t="n">
        <x:v>63.013999999999996</x:v>
      </x:c>
      <x:c r="J85" s="24" t="n">
        <x:v>57.05399999999998</x:v>
      </x:c>
      <x:c r="K85" s="24" t="n">
        <x:v>738.65</x:v>
      </x:c>
      <x:c r="L85" s="24" t="n">
        <x:v>2755.9666666666667</x:v>
      </x:c>
      <x:c r="M85" s="10" t="n">
        <x:v>1</x:v>
      </x:c>
      <x:c r="N85" s="10" t="n">
        <x:v>6</x:v>
      </x:c>
      <x:c r="O85" s="28" t="n">
        <x:f>IF(F85="有效",I85*'参数'!$B$10+J85*'参数'!$B$11,"n.a.")</x:f>
        <x:v>108.30733939999999</x:v>
      </x:c>
      <x:c r="P85" s="28" t="n">
        <x:f>IF(F85="有效",K85*'参数'!$B$12+L85*'参数'!$B$13,"n.a.")</x:f>
        <x:v>2819.481351736111</x:v>
      </x:c>
      <x:c r="Q85" s="28" t="n">
        <x:f>IF(F85="有效",M85*'参数'!$B$14+N85*'参数'!$B$15,"n.a.")</x:f>
        <x:v>460</x:v>
      </x:c>
      <x:c r="R85" s="28" t="n">
        <x:f>IF(F85="有效",IF(D85&lt;=2,G85*('参数'!$B$6+'参数'!$B$18),0),"n.a.")</x:f>
        <x:v>0</x:v>
      </x:c>
      <x:c r="S85" s="28" t="n">
        <x:f>IF(F85="有效",IF(D85&gt;=3,G85*'参数'!$B$16,0),"n.a.")</x:f>
        <x:v>155.20000000000002</x:v>
      </x:c>
      <x:c r="T85" s="28" t="n">
        <x:f>IF(F85="有效",IF(D85&gt;=3,G85*'参数'!$B$17,0),"n.a.")</x:f>
        <x:v>19.400000000000002</x:v>
      </x:c>
      <x:c r="U85" s="28" t="n">
        <x:f>IF(F85="有效",SUM(O85:T85),"n.a.")</x:f>
        <x:v>3562.3886911361105</x:v>
      </x:c>
      <x:c r="V85" s="28" t="n">
        <x:f>IF(F85="有效",H85*'参数'!$B$7,"n.a.")</x:f>
        <x:v>7081</x:v>
      </x:c>
      <x:c r="W85" s="28" t="n">
        <x:f>IF(F85="有效",IF(D85&gt;=3,G85*'参数'!$B$7/'参数'!$B$8,0),"n.a.")</x:f>
        <x:v>141.62</x:v>
      </x:c>
      <x:c r="X85" s="28" t="n">
        <x:f>IF(F85="有效",U85+W85,"n.a.")</x:f>
        <x:v>3704.0086911361104</x:v>
      </x:c>
      <x:c r="Y85" s="28" t="n">
        <x:f>IF(F85="有效",X85/G85,"n.a.")</x:f>
        <x:v>19.09282830482531</x:v>
      </x:c>
    </x:row>
    <x:row r="86" ht="22" customHeight="1">
      <x:c r="A86" s="11" t="str">
        <x:v>lade_0824_20aoi</x:v>
      </x:c>
      <x:c r="B86" s="22" t="n">
        <x:v>20</x:v>
      </x:c>
      <x:c r="C86" s="22" t="n">
        <x:v>1</x:v>
      </x:c>
      <x:c r="D86" s="22" t="n">
        <x:v>3</x:v>
      </x:c>
      <x:c r="E86" s="22" t="n">
        <x:v>44</x:v>
      </x:c>
      <x:c r="F86" s="30" t="str">
        <x:v>有效</x:v>
      </x:c>
      <x:c r="G86" s="22" t="n">
        <x:v>194</x:v>
      </x:c>
      <x:c r="H86" s="22" t="n">
        <x:v>194</x:v>
      </x:c>
      <x:c r="I86" s="24" t="n">
        <x:v>63.013999999999996</x:v>
      </x:c>
      <x:c r="J86" s="24" t="n">
        <x:v>56.8067</x:v>
      </x:c>
      <x:c r="K86" s="24" t="n">
        <x:v>738.65</x:v>
      </x:c>
      <x:c r="L86" s="24" t="n">
        <x:v>2686.9666666666667</x:v>
      </x:c>
      <x:c r="M86" s="10" t="n">
        <x:v>1</x:v>
      </x:c>
      <x:c r="N86" s="10" t="n">
        <x:v>6</x:v>
      </x:c>
      <x:c r="O86" s="28" t="n">
        <x:f>IF(F86="有效",I86*'参数'!$B$10+J86*'参数'!$B$11,"n.a.")</x:f>
        <x:v>108.084262435</x:v>
      </x:c>
      <x:c r="P86" s="28" t="n">
        <x:f>IF(F86="有效",K86*'参数'!$B$12+L86*'参数'!$B$13,"n.a.")</x:f>
        <x:v>2768.733289236111</x:v>
      </x:c>
      <x:c r="Q86" s="28" t="n">
        <x:f>IF(F86="有效",M86*'参数'!$B$14+N86*'参数'!$B$15,"n.a.")</x:f>
        <x:v>460</x:v>
      </x:c>
      <x:c r="R86" s="28" t="n">
        <x:f>IF(F86="有效",IF(D86&lt;=2,G86*('参数'!$B$6+'参数'!$B$18),0),"n.a.")</x:f>
        <x:v>0</x:v>
      </x:c>
      <x:c r="S86" s="28" t="n">
        <x:f>IF(F86="有效",IF(D86&gt;=3,G86*'参数'!$B$16,0),"n.a.")</x:f>
        <x:v>155.20000000000002</x:v>
      </x:c>
      <x:c r="T86" s="28" t="n">
        <x:f>IF(F86="有效",IF(D86&gt;=3,G86*'参数'!$B$17,0),"n.a.")</x:f>
        <x:v>19.400000000000002</x:v>
      </x:c>
      <x:c r="U86" s="28" t="n">
        <x:f>IF(F86="有效",SUM(O86:T86),"n.a.")</x:f>
        <x:v>3511.4175516711107</x:v>
      </x:c>
      <x:c r="V86" s="28" t="n">
        <x:f>IF(F86="有效",H86*'参数'!$B$7,"n.a.")</x:f>
        <x:v>7081</x:v>
      </x:c>
      <x:c r="W86" s="28" t="n">
        <x:f>IF(F86="有效",IF(D86&gt;=3,G86*'参数'!$B$7/'参数'!$B$8,0),"n.a.")</x:f>
        <x:v>141.62</x:v>
      </x:c>
      <x:c r="X86" s="28" t="n">
        <x:f>IF(F86="有效",U86+W86,"n.a.")</x:f>
        <x:v>3653.0375516711106</x:v>
      </x:c>
      <x:c r="Y86" s="28" t="n">
        <x:f>IF(F86="有效",X86/G86,"n.a.")</x:f>
        <x:v>18.8300904725315</x:v>
      </x:c>
    </x:row>
    <x:row r="87" ht="22" customHeight="1">
      <x:c r="A87" s="11" t="str">
        <x:v>lade_0824_20aoi</x:v>
      </x:c>
      <x:c r="B87" s="22" t="n">
        <x:v>20</x:v>
      </x:c>
      <x:c r="C87" s="22" t="n">
        <x:v>1</x:v>
      </x:c>
      <x:c r="D87" s="22" t="n">
        <x:v>4</x:v>
      </x:c>
      <x:c r="E87" s="22" t="n">
        <x:v>42</x:v>
      </x:c>
      <x:c r="F87" s="30" t="str">
        <x:v>有效</x:v>
      </x:c>
      <x:c r="G87" s="22" t="n">
        <x:v>194</x:v>
      </x:c>
      <x:c r="H87" s="22" t="n">
        <x:v>194</x:v>
      </x:c>
      <x:c r="I87" s="24" t="n">
        <x:v>63.013999999999996</x:v>
      </x:c>
      <x:c r="J87" s="24" t="n">
        <x:v>57.620200000000004</x:v>
      </x:c>
      <x:c r="K87" s="24" t="n">
        <x:v>738.65</x:v>
      </x:c>
      <x:c r="L87" s="24" t="n">
        <x:v>2193.733333333333</x:v>
      </x:c>
      <x:c r="M87" s="10" t="n">
        <x:v>1</x:v>
      </x:c>
      <x:c r="N87" s="10" t="n">
        <x:v>5</x:v>
      </x:c>
      <x:c r="O87" s="28" t="n">
        <x:f>IF(F87="有效",I87*'参数'!$B$10+J87*'参数'!$B$11,"n.a.")</x:f>
        <x:v>108.81808011000001</x:v>
      </x:c>
      <x:c r="P87" s="28" t="n">
        <x:f>IF(F87="有效",K87*'参数'!$B$12+L87*'参数'!$B$13,"n.a.")</x:f>
        <x:v>2405.9704482638886</x:v>
      </x:c>
      <x:c r="Q87" s="28" t="n">
        <x:f>IF(F87="有效",M87*'参数'!$B$14+N87*'参数'!$B$15,"n.a.")</x:f>
        <x:v>400</x:v>
      </x:c>
      <x:c r="R87" s="28" t="n">
        <x:f>IF(F87="有效",IF(D87&lt;=2,G87*('参数'!$B$6+'参数'!$B$18),0),"n.a.")</x:f>
        <x:v>0</x:v>
      </x:c>
      <x:c r="S87" s="28" t="n">
        <x:f>IF(F87="有效",IF(D87&gt;=3,G87*'参数'!$B$16,0),"n.a.")</x:f>
        <x:v>155.20000000000002</x:v>
      </x:c>
      <x:c r="T87" s="28" t="n">
        <x:f>IF(F87="有效",IF(D87&gt;=3,G87*'参数'!$B$17,0),"n.a.")</x:f>
        <x:v>19.400000000000002</x:v>
      </x:c>
      <x:c r="U87" s="28" t="n">
        <x:f>IF(F87="有效",SUM(O87:T87),"n.a.")</x:f>
        <x:v>3089.3885283738887</x:v>
      </x:c>
      <x:c r="V87" s="28" t="n">
        <x:f>IF(F87="有效",H87*'参数'!$B$7,"n.a.")</x:f>
        <x:v>7081</x:v>
      </x:c>
      <x:c r="W87" s="28" t="n">
        <x:f>IF(F87="有效",IF(D87&gt;=3,G87*'参数'!$B$7/'参数'!$B$8,0),"n.a.")</x:f>
        <x:v>141.62</x:v>
      </x:c>
      <x:c r="X87" s="28" t="n">
        <x:f>IF(F87="有效",U87+W87,"n.a.")</x:f>
        <x:v>3231.0085283738886</x:v>
      </x:c>
      <x:c r="Y87" s="28" t="n">
        <x:f>IF(F87="有效",X87/G87,"n.a.")</x:f>
        <x:v>16.65468313594788</x:v>
      </x:c>
    </x:row>
    <x:row r="88" ht="22" customHeight="1">
      <x:c r="A88" s="11" t="str">
        <x:v>lade_0824_20aoi</x:v>
      </x:c>
      <x:c r="B88" s="22" t="n">
        <x:v>20</x:v>
      </x:c>
      <x:c r="C88" s="22" t="n">
        <x:v>1</x:v>
      </x:c>
      <x:c r="D88" s="22" t="n">
        <x:v>4</x:v>
      </x:c>
      <x:c r="E88" s="22" t="n">
        <x:v>43</x:v>
      </x:c>
      <x:c r="F88" s="30" t="str">
        <x:v>有效</x:v>
      </x:c>
      <x:c r="G88" s="22" t="n">
        <x:v>194</x:v>
      </x:c>
      <x:c r="H88" s="22" t="n">
        <x:v>194</x:v>
      </x:c>
      <x:c r="I88" s="24" t="n">
        <x:v>63.013999999999996</x:v>
      </x:c>
      <x:c r="J88" s="24" t="n">
        <x:v>53.834799999999994</x:v>
      </x:c>
      <x:c r="K88" s="24" t="n">
        <x:v>738.65</x:v>
      </x:c>
      <x:c r="L88" s="24" t="n">
        <x:v>2498.766666666667</x:v>
      </x:c>
      <x:c r="M88" s="10" t="n">
        <x:v>1</x:v>
      </x:c>
      <x:c r="N88" s="10" t="n">
        <x:v>6</x:v>
      </x:c>
      <x:c r="O88" s="28" t="n">
        <x:f>IF(F88="有效",I88*'参数'!$B$10+J88*'参数'!$B$11,"n.a.")</x:f>
        <x:v>105.40346004</x:v>
      </x:c>
      <x:c r="P88" s="28" t="n">
        <x:f>IF(F88="有效",K88*'参数'!$B$12+L88*'参数'!$B$13,"n.a.")</x:f>
        <x:v>2630.3161100694447</x:v>
      </x:c>
      <x:c r="Q88" s="28" t="n">
        <x:f>IF(F88="有效",M88*'参数'!$B$14+N88*'参数'!$B$15,"n.a.")</x:f>
        <x:v>460</x:v>
      </x:c>
      <x:c r="R88" s="28" t="n">
        <x:f>IF(F88="有效",IF(D88&lt;=2,G88*('参数'!$B$6+'参数'!$B$18),0),"n.a.")</x:f>
        <x:v>0</x:v>
      </x:c>
      <x:c r="S88" s="28" t="n">
        <x:f>IF(F88="有效",IF(D88&gt;=3,G88*'参数'!$B$16,0),"n.a.")</x:f>
        <x:v>155.20000000000002</x:v>
      </x:c>
      <x:c r="T88" s="28" t="n">
        <x:f>IF(F88="有效",IF(D88&gt;=3,G88*'参数'!$B$17,0),"n.a.")</x:f>
        <x:v>19.400000000000002</x:v>
      </x:c>
      <x:c r="U88" s="28" t="n">
        <x:f>IF(F88="有效",SUM(O88:T88),"n.a.")</x:f>
        <x:v>3370.3195701094446</x:v>
      </x:c>
      <x:c r="V88" s="28" t="n">
        <x:f>IF(F88="有效",H88*'参数'!$B$7,"n.a.")</x:f>
        <x:v>7081</x:v>
      </x:c>
      <x:c r="W88" s="28" t="n">
        <x:f>IF(F88="有效",IF(D88&gt;=3,G88*'参数'!$B$7/'参数'!$B$8,0),"n.a.")</x:f>
        <x:v>141.62</x:v>
      </x:c>
      <x:c r="X88" s="28" t="n">
        <x:f>IF(F88="有效",U88+W88,"n.a.")</x:f>
        <x:v>3511.9395701094445</x:v>
      </x:c>
      <x:c r="Y88" s="28" t="n">
        <x:f>IF(F88="有效",X88/G88,"n.a.")</x:f>
        <x:v>18.10278128922394</x:v>
      </x:c>
    </x:row>
    <x:row r="89" ht="22" customHeight="1">
      <x:c r="A89" s="11" t="str">
        <x:v>lade_0824_20aoi</x:v>
      </x:c>
      <x:c r="B89" s="22" t="n">
        <x:v>20</x:v>
      </x:c>
      <x:c r="C89" s="22" t="n">
        <x:v>1</x:v>
      </x:c>
      <x:c r="D89" s="22" t="n">
        <x:v>4</x:v>
      </x:c>
      <x:c r="E89" s="22" t="n">
        <x:v>44</x:v>
      </x:c>
      <x:c r="F89" s="30" t="str">
        <x:v>有效</x:v>
      </x:c>
      <x:c r="G89" s="22" t="n">
        <x:v>194</x:v>
      </x:c>
      <x:c r="H89" s="22" t="n">
        <x:v>194</x:v>
      </x:c>
      <x:c r="I89" s="24" t="n">
        <x:v>107.9065</x:v>
      </x:c>
      <x:c r="J89" s="24" t="n">
        <x:v>60.203199999999995</x:v>
      </x:c>
      <x:c r="K89" s="24" t="n">
        <x:v>1462.8</x:v>
      </x:c>
      <x:c r="L89" s="24" t="n">
        <x:v>2304.25</x:v>
      </x:c>
      <x:c r="M89" s="10" t="n">
        <x:v>2</x:v>
      </x:c>
      <x:c r="N89" s="10" t="n">
        <x:v>6</x:v>
      </x:c>
      <x:c r="O89" s="28" t="n">
        <x:f>IF(F89="有效",I89*'参数'!$B$10+J89*'参数'!$B$11,"n.a.")</x:f>
        <x:v>151.643354885</x:v>
      </x:c>
      <x:c r="P89" s="28" t="n">
        <x:f>IF(F89="有效",K89*'参数'!$B$12+L89*'参数'!$B$13,"n.a.")</x:f>
        <x:v>3264.2208447916664</x:v>
      </x:c>
      <x:c r="Q89" s="28" t="n">
        <x:f>IF(F89="有效",M89*'参数'!$B$14+N89*'参数'!$B$15,"n.a.")</x:f>
        <x:v>560</x:v>
      </x:c>
      <x:c r="R89" s="28" t="n">
        <x:f>IF(F89="有效",IF(D89&lt;=2,G89*('参数'!$B$6+'参数'!$B$18),0),"n.a.")</x:f>
        <x:v>0</x:v>
      </x:c>
      <x:c r="S89" s="28" t="n">
        <x:f>IF(F89="有效",IF(D89&gt;=3,G89*'参数'!$B$16,0),"n.a.")</x:f>
        <x:v>155.20000000000002</x:v>
      </x:c>
      <x:c r="T89" s="28" t="n">
        <x:f>IF(F89="有效",IF(D89&gt;=3,G89*'参数'!$B$17,0),"n.a.")</x:f>
        <x:v>19.400000000000002</x:v>
      </x:c>
      <x:c r="U89" s="28" t="n">
        <x:f>IF(F89="有效",SUM(O89:T89),"n.a.")</x:f>
        <x:v>4150.464199676666</x:v>
      </x:c>
      <x:c r="V89" s="28" t="n">
        <x:f>IF(F89="有效",H89*'参数'!$B$7,"n.a.")</x:f>
        <x:v>7081</x:v>
      </x:c>
      <x:c r="W89" s="28" t="n">
        <x:f>IF(F89="有效",IF(D89&gt;=3,G89*'参数'!$B$7/'参数'!$B$8,0),"n.a.")</x:f>
        <x:v>141.62</x:v>
      </x:c>
      <x:c r="X89" s="28" t="n">
        <x:f>IF(F89="有效",U89+W89,"n.a.")</x:f>
        <x:v>4292.084199676666</x:v>
      </x:c>
      <x:c r="Y89" s="28" t="n">
        <x:f>IF(F89="有效",X89/G89,"n.a.")</x:f>
        <x:v>22.12414535915807</x:v>
      </x:c>
    </x:row>
    <x:row r="90" ht="22" customHeight="1">
      <x:c r="A90" s="11" t="str">
        <x:v>lade_0824_20aoi</x:v>
      </x:c>
      <x:c r="B90" s="22" t="n">
        <x:v>20</x:v>
      </x:c>
      <x:c r="C90" s="22" t="n">
        <x:v>2</x:v>
      </x:c>
      <x:c r="D90" s="22" t="n">
        <x:v>5</x:v>
      </x:c>
      <x:c r="E90" s="22" t="n">
        <x:v>42</x:v>
      </x:c>
      <x:c r="F90" s="30" t="str">
        <x:v>有效</x:v>
      </x:c>
      <x:c r="G90" s="22" t="n">
        <x:v>194</x:v>
      </x:c>
      <x:c r="H90" s="22" t="n">
        <x:v>194</x:v>
      </x:c>
      <x:c r="I90" s="24" t="n">
        <x:v>215.81300000000002</x:v>
      </x:c>
      <x:c r="J90" s="24" t="n">
        <x:v>70.1088</x:v>
      </x:c>
      <x:c r="K90" s="24" t="n">
        <x:v>1395.6</x:v>
      </x:c>
      <x:c r="L90" s="24" t="n">
        <x:v>1987.1833333333334</x:v>
      </x:c>
      <x:c r="M90" s="10" t="n">
        <x:v>2</x:v>
      </x:c>
      <x:c r="N90" s="10" t="n">
        <x:v>6</x:v>
      </x:c>
      <x:c r="O90" s="28" t="n">
        <x:f>IF(F90="有效",I90*'参数'!$B$10+J90*'参数'!$B$11,"n.a.")</x:f>
        <x:v>257.91575969</x:v>
      </x:c>
      <x:c r="P90" s="28" t="n">
        <x:f>IF(F90="有效",K90*'参数'!$B$12+L90*'参数'!$B$13,"n.a.")</x:f>
        <x:v>2958.9235170138886</x:v>
      </x:c>
      <x:c r="Q90" s="28" t="n">
        <x:f>IF(F90="有效",M90*'参数'!$B$14+N90*'参数'!$B$15,"n.a.")</x:f>
        <x:v>560</x:v>
      </x:c>
      <x:c r="R90" s="28" t="n">
        <x:f>IF(F90="有效",IF(D90&lt;=2,G90*('参数'!$B$6+'参数'!$B$18),0),"n.a.")</x:f>
        <x:v>0</x:v>
      </x:c>
      <x:c r="S90" s="28" t="n">
        <x:f>IF(F90="有效",IF(D90&gt;=3,G90*'参数'!$B$16,0),"n.a.")</x:f>
        <x:v>155.20000000000002</x:v>
      </x:c>
      <x:c r="T90" s="28" t="n">
        <x:f>IF(F90="有效",IF(D90&gt;=3,G90*'参数'!$B$17,0),"n.a.")</x:f>
        <x:v>19.400000000000002</x:v>
      </x:c>
      <x:c r="U90" s="28" t="n">
        <x:f>IF(F90="有效",SUM(O90:T90),"n.a.")</x:f>
        <x:v>3951.4392767038885</x:v>
      </x:c>
      <x:c r="V90" s="28" t="n">
        <x:f>IF(F90="有效",H90*'参数'!$B$7,"n.a.")</x:f>
        <x:v>7081</x:v>
      </x:c>
      <x:c r="W90" s="28" t="n">
        <x:f>IF(F90="有效",IF(D90&gt;=3,G90*'参数'!$B$7/'参数'!$B$8,0),"n.a.")</x:f>
        <x:v>141.62</x:v>
      </x:c>
      <x:c r="X90" s="28" t="n">
        <x:f>IF(F90="有效",U90+W90,"n.a.")</x:f>
        <x:v>4093.0592767038884</x:v>
      </x:c>
      <x:c r="Y90" s="28" t="n">
        <x:f>IF(F90="有效",X90/G90,"n.a.")</x:f>
        <x:v>21.09824369434994</x:v>
      </x:c>
    </x:row>
    <x:row r="91" ht="22" customHeight="1">
      <x:c r="A91" s="11" t="str">
        <x:v>lade_0824_20aoi</x:v>
      </x:c>
      <x:c r="B91" s="22" t="n">
        <x:v>20</x:v>
      </x:c>
      <x:c r="C91" s="22" t="n">
        <x:v>2</x:v>
      </x:c>
      <x:c r="D91" s="22" t="n">
        <x:v>5</x:v>
      </x:c>
      <x:c r="E91" s="22" t="n">
        <x:v>43</x:v>
      </x:c>
      <x:c r="F91" s="30" t="str">
        <x:v>有效</x:v>
      </x:c>
      <x:c r="G91" s="22" t="n">
        <x:v>194</x:v>
      </x:c>
      <x:c r="H91" s="22" t="n">
        <x:v>194</x:v>
      </x:c>
      <x:c r="I91" s="24" t="n">
        <x:v>214.8265</x:v>
      </x:c>
      <x:c r="J91" s="24" t="n">
        <x:v>70.3561</x:v>
      </x:c>
      <x:c r="K91" s="24" t="n">
        <x:v>1393.4166666666667</x:v>
      </x:c>
      <x:c r="L91" s="24" t="n">
        <x:v>2326.766666666667</x:v>
      </x:c>
      <x:c r="M91" s="10" t="n">
        <x:v>2</x:v>
      </x:c>
      <x:c r="N91" s="10" t="n">
        <x:v>6</x:v>
      </x:c>
      <x:c r="O91" s="28" t="n">
        <x:f>IF(F91="有效",I91*'参数'!$B$10+J91*'参数'!$B$11,"n.a.")</x:f>
        <x:v>257.24896433</x:v>
      </x:c>
      <x:c r="P91" s="28" t="n">
        <x:f>IF(F91="有效",K91*'参数'!$B$12+L91*'参数'!$B$13,"n.a.")</x:f>
        <x:v>3206.3374038194443</x:v>
      </x:c>
      <x:c r="Q91" s="28" t="n">
        <x:f>IF(F91="有效",M91*'参数'!$B$14+N91*'参数'!$B$15,"n.a.")</x:f>
        <x:v>560</x:v>
      </x:c>
      <x:c r="R91" s="28" t="n">
        <x:f>IF(F91="有效",IF(D91&lt;=2,G91*('参数'!$B$6+'参数'!$B$18),0),"n.a.")</x:f>
        <x:v>0</x:v>
      </x:c>
      <x:c r="S91" s="28" t="n">
        <x:f>IF(F91="有效",IF(D91&gt;=3,G91*'参数'!$B$16,0),"n.a.")</x:f>
        <x:v>155.20000000000002</x:v>
      </x:c>
      <x:c r="T91" s="28" t="n">
        <x:f>IF(F91="有效",IF(D91&gt;=3,G91*'参数'!$B$17,0),"n.a.")</x:f>
        <x:v>19.400000000000002</x:v>
      </x:c>
      <x:c r="U91" s="28" t="n">
        <x:f>IF(F91="有效",SUM(O91:T91),"n.a.")</x:f>
        <x:v>4198.186368149444</x:v>
      </x:c>
      <x:c r="V91" s="28" t="n">
        <x:f>IF(F91="有效",H91*'参数'!$B$7,"n.a.")</x:f>
        <x:v>7081</x:v>
      </x:c>
      <x:c r="W91" s="28" t="n">
        <x:f>IF(F91="有效",IF(D91&gt;=3,G91*'参数'!$B$7/'参数'!$B$8,0),"n.a.")</x:f>
        <x:v>141.62</x:v>
      </x:c>
      <x:c r="X91" s="28" t="n">
        <x:f>IF(F91="有效",U91+W91,"n.a.")</x:f>
        <x:v>4339.806368149444</x:v>
      </x:c>
      <x:c r="Y91" s="28" t="n">
        <x:f>IF(F91="有效",X91/G91,"n.a.")</x:f>
        <x:v>22.370135918296103</x:v>
      </x:c>
    </x:row>
    <x:row r="92" ht="22" customHeight="1">
      <x:c r="A92" s="11" t="str">
        <x:v>lade_0824_20aoi</x:v>
      </x:c>
      <x:c r="B92" s="22" t="n">
        <x:v>20</x:v>
      </x:c>
      <x:c r="C92" s="22" t="n">
        <x:v>2</x:v>
      </x:c>
      <x:c r="D92" s="22" t="n">
        <x:v>5</x:v>
      </x:c>
      <x:c r="E92" s="22" t="n">
        <x:v>44</x:v>
      </x:c>
      <x:c r="F92" s="30" t="str">
        <x:v>有效</x:v>
      </x:c>
      <x:c r="G92" s="22" t="n">
        <x:v>194</x:v>
      </x:c>
      <x:c r="H92" s="22" t="n">
        <x:v>194</x:v>
      </x:c>
      <x:c r="I92" s="24" t="n">
        <x:v>215.81300000000002</x:v>
      </x:c>
      <x:c r="J92" s="24" t="n">
        <x:v>70.10880000000002</x:v>
      </x:c>
      <x:c r="K92" s="24" t="n">
        <x:v>1395.6</x:v>
      </x:c>
      <x:c r="L92" s="24" t="n">
        <x:v>1861.0666666666666</x:v>
      </x:c>
      <x:c r="M92" s="10" t="n">
        <x:v>2</x:v>
      </x:c>
      <x:c r="N92" s="10" t="n">
        <x:v>6</x:v>
      </x:c>
      <x:c r="O92" s="28" t="n">
        <x:f>IF(F92="有效",I92*'参数'!$B$10+J92*'参数'!$B$11,"n.a.")</x:f>
        <x:v>257.9157596900001</x:v>
      </x:c>
      <x:c r="P92" s="28" t="n">
        <x:f>IF(F92="有效",K92*'参数'!$B$12+L92*'参数'!$B$13,"n.a.")</x:f>
        <x:v>2866.1673361111107</x:v>
      </x:c>
      <x:c r="Q92" s="28" t="n">
        <x:f>IF(F92="有效",M92*'参数'!$B$14+N92*'参数'!$B$15,"n.a.")</x:f>
        <x:v>560</x:v>
      </x:c>
      <x:c r="R92" s="28" t="n">
        <x:f>IF(F92="有效",IF(D92&lt;=2,G92*('参数'!$B$6+'参数'!$B$18),0),"n.a.")</x:f>
        <x:v>0</x:v>
      </x:c>
      <x:c r="S92" s="28" t="n">
        <x:f>IF(F92="有效",IF(D92&gt;=3,G92*'参数'!$B$16,0),"n.a.")</x:f>
        <x:v>155.20000000000002</x:v>
      </x:c>
      <x:c r="T92" s="28" t="n">
        <x:f>IF(F92="有效",IF(D92&gt;=3,G92*'参数'!$B$17,0),"n.a.")</x:f>
        <x:v>19.400000000000002</x:v>
      </x:c>
      <x:c r="U92" s="28" t="n">
        <x:f>IF(F92="有效",SUM(O92:T92),"n.a.")</x:f>
        <x:v>3858.6830958011105</x:v>
      </x:c>
      <x:c r="V92" s="28" t="n">
        <x:f>IF(F92="有效",H92*'参数'!$B$7,"n.a.")</x:f>
        <x:v>7081</x:v>
      </x:c>
      <x:c r="W92" s="28" t="n">
        <x:f>IF(F92="有效",IF(D92&gt;=3,G92*'参数'!$B$7/'参数'!$B$8,0),"n.a.")</x:f>
        <x:v>141.62</x:v>
      </x:c>
      <x:c r="X92" s="28" t="n">
        <x:f>IF(F92="有效",U92+W92,"n.a.")</x:f>
        <x:v>4000.3030958011104</x:v>
      </x:c>
      <x:c r="Y92" s="28" t="n">
        <x:f>IF(F92="有效",X92/G92,"n.a.")</x:f>
        <x:v>20.620119050521186</x:v>
      </x:c>
    </x:row>
    <x:row r="93" ht="22" customHeight="1">
      <x:c r="A93" s="11" t="str">
        <x:v>lade_0824_20aoi</x:v>
      </x:c>
      <x:c r="B93" s="22" t="n">
        <x:v>20</x:v>
      </x:c>
      <x:c r="C93" s="22" t="n">
        <x:v>3</x:v>
      </x:c>
      <x:c r="D93" s="22" t="n">
        <x:v>5</x:v>
      </x:c>
      <x:c r="E93" s="22" t="n">
        <x:v>42</x:v>
      </x:c>
      <x:c r="F93" s="30" t="str">
        <x:v>有效</x:v>
      </x:c>
      <x:c r="G93" s="22" t="n">
        <x:v>194</x:v>
      </x:c>
      <x:c r="H93" s="22" t="n">
        <x:v>194</x:v>
      </x:c>
      <x:c r="I93" s="24" t="n">
        <x:v>273.457</x:v>
      </x:c>
      <x:c r="J93" s="24" t="n">
        <x:v>82.8737</x:v>
      </x:c>
      <x:c r="K93" s="24" t="n">
        <x:v>1160.0166666666667</x:v>
      </x:c>
      <x:c r="L93" s="24" t="n">
        <x:v>1750.5833333333333</x:v>
      </x:c>
      <x:c r="M93" s="10" t="n">
        <x:v>3</x:v>
      </x:c>
      <x:c r="N93" s="10" t="n">
        <x:v>6</x:v>
      </x:c>
      <x:c r="O93" s="28" t="n">
        <x:f>IF(F93="有效",I93*'参数'!$B$10+J93*'参数'!$B$11,"n.a.")</x:f>
        <x:v>321.428107935</x:v>
      </x:c>
      <x:c r="P93" s="28" t="n">
        <x:f>IF(F93="有效",K93*'参数'!$B$12+L93*'参数'!$B$13,"n.a.")</x:f>
        <x:v>2532.142953472222</x:v>
      </x:c>
      <x:c r="Q93" s="28" t="n">
        <x:f>IF(F93="有效",M93*'参数'!$B$14+N93*'参数'!$B$15,"n.a.")</x:f>
        <x:v>660</x:v>
      </x:c>
      <x:c r="R93" s="28" t="n">
        <x:f>IF(F93="有效",IF(D93&lt;=2,G93*('参数'!$B$6+'参数'!$B$18),0),"n.a.")</x:f>
        <x:v>0</x:v>
      </x:c>
      <x:c r="S93" s="28" t="n">
        <x:f>IF(F93="有效",IF(D93&gt;=3,G93*'参数'!$B$16,0),"n.a.")</x:f>
        <x:v>155.20000000000002</x:v>
      </x:c>
      <x:c r="T93" s="28" t="n">
        <x:f>IF(F93="有效",IF(D93&gt;=3,G93*'参数'!$B$17,0),"n.a.")</x:f>
        <x:v>19.400000000000002</x:v>
      </x:c>
      <x:c r="U93" s="28" t="n">
        <x:f>IF(F93="有效",SUM(O93:T93),"n.a.")</x:f>
        <x:v>3688.1710614072217</x:v>
      </x:c>
      <x:c r="V93" s="28" t="n">
        <x:f>IF(F93="有效",H93*'参数'!$B$7,"n.a.")</x:f>
        <x:v>7081</x:v>
      </x:c>
      <x:c r="W93" s="28" t="n">
        <x:f>IF(F93="有效",IF(D93&gt;=3,G93*'参数'!$B$7/'参数'!$B$8,0),"n.a.")</x:f>
        <x:v>141.62</x:v>
      </x:c>
      <x:c r="X93" s="28" t="n">
        <x:f>IF(F93="有效",U93+W93,"n.a.")</x:f>
        <x:v>3829.7910614072216</x:v>
      </x:c>
      <x:c r="Y93" s="28" t="n">
        <x:f>IF(F93="有效",X93/G93,"n.a.")</x:f>
        <x:v>19.741191038181555</x:v>
      </x:c>
    </x:row>
    <x:row r="94" ht="22" customHeight="1">
      <x:c r="A94" s="11" t="str">
        <x:v>lade_0824_20aoi</x:v>
      </x:c>
      <x:c r="B94" s="22" t="n">
        <x:v>20</x:v>
      </x:c>
      <x:c r="C94" s="22" t="n">
        <x:v>3</x:v>
      </x:c>
      <x:c r="D94" s="22" t="n">
        <x:v>5</x:v>
      </x:c>
      <x:c r="E94" s="22" t="n">
        <x:v>43</x:v>
      </x:c>
      <x:c r="F94" s="30" t="str">
        <x:v>有效</x:v>
      </x:c>
      <x:c r="G94" s="22" t="n">
        <x:v>194</x:v>
      </x:c>
      <x:c r="H94" s="22" t="n">
        <x:v>194</x:v>
      </x:c>
      <x:c r="I94" s="24" t="n">
        <x:v>367.108</x:v>
      </x:c>
      <x:c r="J94" s="24" t="n">
        <x:v>83.0817</x:v>
      </x:c>
      <x:c r="K94" s="24" t="n">
        <x:v>1568.2333333333333</x:v>
      </x:c>
      <x:c r="L94" s="24" t="n">
        <x:v>1110.2666666666667</x:v>
      </x:c>
      <x:c r="M94" s="10" t="n">
        <x:v>3</x:v>
      </x:c>
      <x:c r="N94" s="10" t="n">
        <x:v>6</x:v>
      </x:c>
      <x:c r="O94" s="28" t="n">
        <x:f>IF(F94="有效",I94*'参数'!$B$10+J94*'参数'!$B$11,"n.a.")</x:f>
        <x:v>406.093618885</x:v>
      </x:c>
      <x:c r="P94" s="28" t="n">
        <x:f>IF(F94="有效",K94*'参数'!$B$12+L94*'参数'!$B$13,"n.a.")</x:f>
        <x:v>2499.1943548611107</x:v>
      </x:c>
      <x:c r="Q94" s="28" t="n">
        <x:f>IF(F94="有效",M94*'参数'!$B$14+N94*'参数'!$B$15,"n.a.")</x:f>
        <x:v>660</x:v>
      </x:c>
      <x:c r="R94" s="28" t="n">
        <x:f>IF(F94="有效",IF(D94&lt;=2,G94*('参数'!$B$6+'参数'!$B$18),0),"n.a.")</x:f>
        <x:v>0</x:v>
      </x:c>
      <x:c r="S94" s="28" t="n">
        <x:f>IF(F94="有效",IF(D94&gt;=3,G94*'参数'!$B$16,0),"n.a.")</x:f>
        <x:v>155.20000000000002</x:v>
      </x:c>
      <x:c r="T94" s="28" t="n">
        <x:f>IF(F94="有效",IF(D94&gt;=3,G94*'参数'!$B$17,0),"n.a.")</x:f>
        <x:v>19.400000000000002</x:v>
      </x:c>
      <x:c r="U94" s="28" t="n">
        <x:f>IF(F94="有效",SUM(O94:T94),"n.a.")</x:f>
        <x:v>3739.8879737461107</x:v>
      </x:c>
      <x:c r="V94" s="28" t="n">
        <x:f>IF(F94="有效",H94*'参数'!$B$7,"n.a.")</x:f>
        <x:v>7081</x:v>
      </x:c>
      <x:c r="W94" s="28" t="n">
        <x:f>IF(F94="有效",IF(D94&gt;=3,G94*'参数'!$B$7/'参数'!$B$8,0),"n.a.")</x:f>
        <x:v>141.62</x:v>
      </x:c>
      <x:c r="X94" s="28" t="n">
        <x:f>IF(F94="有效",U94+W94,"n.a.")</x:f>
        <x:v>3881.5079737461106</x:v>
      </x:c>
      <x:c r="Y94" s="28" t="n">
        <x:f>IF(F94="有效",X94/G94,"n.a.")</x:f>
        <x:v>20.007773060546963</x:v>
      </x:c>
    </x:row>
    <x:row r="95" ht="22" customHeight="1">
      <x:c r="A95" s="11" t="str">
        <x:v>lade_0824_20aoi</x:v>
      </x:c>
      <x:c r="B95" s="22" t="n">
        <x:v>20</x:v>
      </x:c>
      <x:c r="C95" s="22" t="n">
        <x:v>3</x:v>
      </x:c>
      <x:c r="D95" s="22" t="n">
        <x:v>5</x:v>
      </x:c>
      <x:c r="E95" s="22" t="n">
        <x:v>44</x:v>
      </x:c>
      <x:c r="F95" s="30" t="str">
        <x:v>有效</x:v>
      </x:c>
      <x:c r="G95" s="22" t="n">
        <x:v>194</x:v>
      </x:c>
      <x:c r="H95" s="22" t="n">
        <x:v>194</x:v>
      </x:c>
      <x:c r="I95" s="24" t="n">
        <x:v>367.108</x:v>
      </x:c>
      <x:c r="J95" s="24" t="n">
        <x:v>83.0817</x:v>
      </x:c>
      <x:c r="K95" s="24" t="n">
        <x:v>1568.2333333333333</x:v>
      </x:c>
      <x:c r="L95" s="24" t="n">
        <x:v>1110.2666666666667</x:v>
      </x:c>
      <x:c r="M95" s="10" t="n">
        <x:v>3</x:v>
      </x:c>
      <x:c r="N95" s="10" t="n">
        <x:v>6</x:v>
      </x:c>
      <x:c r="O95" s="28" t="n">
        <x:f>IF(F95="有效",I95*'参数'!$B$10+J95*'参数'!$B$11,"n.a.")</x:f>
        <x:v>406.093618885</x:v>
      </x:c>
      <x:c r="P95" s="28" t="n">
        <x:f>IF(F95="有效",K95*'参数'!$B$12+L95*'参数'!$B$13,"n.a.")</x:f>
        <x:v>2499.1943548611107</x:v>
      </x:c>
      <x:c r="Q95" s="28" t="n">
        <x:f>IF(F95="有效",M95*'参数'!$B$14+N95*'参数'!$B$15,"n.a.")</x:f>
        <x:v>660</x:v>
      </x:c>
      <x:c r="R95" s="28" t="n">
        <x:f>IF(F95="有效",IF(D95&lt;=2,G95*('参数'!$B$6+'参数'!$B$18),0),"n.a.")</x:f>
        <x:v>0</x:v>
      </x:c>
      <x:c r="S95" s="28" t="n">
        <x:f>IF(F95="有效",IF(D95&gt;=3,G95*'参数'!$B$16,0),"n.a.")</x:f>
        <x:v>155.20000000000002</x:v>
      </x:c>
      <x:c r="T95" s="28" t="n">
        <x:f>IF(F95="有效",IF(D95&gt;=3,G95*'参数'!$B$17,0),"n.a.")</x:f>
        <x:v>19.400000000000002</x:v>
      </x:c>
      <x:c r="U95" s="28" t="n">
        <x:f>IF(F95="有效",SUM(O95:T95),"n.a.")</x:f>
        <x:v>3739.8879737461107</x:v>
      </x:c>
      <x:c r="V95" s="28" t="n">
        <x:f>IF(F95="有效",H95*'参数'!$B$7,"n.a.")</x:f>
        <x:v>7081</x:v>
      </x:c>
      <x:c r="W95" s="28" t="n">
        <x:f>IF(F95="有效",IF(D95&gt;=3,G95*'参数'!$B$7/'参数'!$B$8,0),"n.a.")</x:f>
        <x:v>141.62</x:v>
      </x:c>
      <x:c r="X95" s="28" t="n">
        <x:f>IF(F95="有效",U95+W95,"n.a.")</x:f>
        <x:v>3881.5079737461106</x:v>
      </x:c>
      <x:c r="Y95" s="28" t="n">
        <x:f>IF(F95="有效",X95/G95,"n.a.")</x:f>
        <x:v>20.007773060546963</x:v>
      </x:c>
    </x:row>
    <x:row r="96" ht="22" customHeight="1">
      <x:c r="A96" s="11" t="str">
        <x:v>lade_0824_30aoi</x:v>
      </x:c>
      <x:c r="B96" s="22" t="n">
        <x:v>30</x:v>
      </x:c>
      <x:c r="C96" s="22" t="n">
        <x:v>1</x:v>
      </x:c>
      <x:c r="D96" s="22" t="n">
        <x:v>1</x:v>
      </x:c>
      <x:c r="E96" s="22" t="n">
        <x:v>42</x:v>
      </x:c>
      <x:c r="F96" s="30" t="str">
        <x:v>有效</x:v>
      </x:c>
      <x:c r="G96" s="22" t="n">
        <x:v>236</x:v>
      </x:c>
      <x:c r="H96" s="22" t="n">
        <x:v>0</x:v>
      </x:c>
      <x:c r="I96" s="24" t="n">
        <x:v>59.477500000000006</x:v>
      </x:c>
      <x:c r="J96" s="24" t="n">
        <x:v>58.8335</x:v>
      </x:c>
      <x:c r="K96" s="24" t="n">
        <x:v>60.63333333333333</x:v>
      </x:c>
      <x:c r="L96" s="24" t="n">
        <x:v>2030.0666666666666</x:v>
      </x:c>
      <x:c r="M96" s="10" t="n">
        <x:v>1</x:v>
      </x:c>
      <x:c r="N96" s="10" t="n">
        <x:v>6</x:v>
      </x:c>
      <x:c r="O96" s="28" t="n">
        <x:f>IF(F96="有效",I96*'参数'!$B$10+J96*'参数'!$B$11,"n.a.")</x:f>
        <x:v>106.72243755000001</x:v>
      </x:c>
      <x:c r="P96" s="28" t="n">
        <x:f>IF(F96="有效",K96*'参数'!$B$12+L96*'参数'!$B$13,"n.a.")</x:f>
        <x:v>1558.1275173611111</x:v>
      </x:c>
      <x:c r="Q96" s="28" t="n">
        <x:f>IF(F96="有效",M96*'参数'!$B$14+N96*'参数'!$B$15,"n.a.")</x:f>
        <x:v>460</x:v>
      </x:c>
      <x:c r="R96" s="28" t="n">
        <x:f>IF(F96="有效",IF(D96&lt;=2,G96*('参数'!$B$6+'参数'!$B$18),0),"n.a.")</x:f>
        <x:v>944</x:v>
      </x:c>
      <x:c r="S96" s="28" t="n">
        <x:f>IF(F96="有效",IF(D96&gt;=3,G96*'参数'!$B$16,0),"n.a.")</x:f>
        <x:v>0</x:v>
      </x:c>
      <x:c r="T96" s="28" t="n">
        <x:f>IF(F96="有效",IF(D96&gt;=3,G96*'参数'!$B$17,0),"n.a.")</x:f>
        <x:v>0</x:v>
      </x:c>
      <x:c r="U96" s="28" t="n">
        <x:f>IF(F96="有效",SUM(O96:T96),"n.a.")</x:f>
        <x:v>3068.849954911111</x:v>
      </x:c>
      <x:c r="V96" s="28" t="n">
        <x:f>IF(F96="有效",H96*'参数'!$B$7,"n.a.")</x:f>
        <x:v>0</x:v>
      </x:c>
      <x:c r="W96" s="28" t="n">
        <x:f>IF(F96="有效",IF(D96&gt;=3,G96*'参数'!$B$7/'参数'!$B$8,0),"n.a.")</x:f>
        <x:v>0</x:v>
      </x:c>
      <x:c r="X96" s="28" t="n">
        <x:f>IF(F96="有效",U96+W96,"n.a.")</x:f>
        <x:v>3068.849954911111</x:v>
      </x:c>
      <x:c r="Y96" s="28" t="n">
        <x:f>IF(F96="有效",X96/G96,"n.a.")</x:f>
        <x:v>13.00360150386064</x:v>
      </x:c>
    </x:row>
    <x:row r="97" ht="22" customHeight="1">
      <x:c r="A97" s="11" t="str">
        <x:v>lade_0824_30aoi</x:v>
      </x:c>
      <x:c r="B97" s="22" t="n">
        <x:v>30</x:v>
      </x:c>
      <x:c r="C97" s="22" t="n">
        <x:v>1</x:v>
      </x:c>
      <x:c r="D97" s="22" t="n">
        <x:v>1</x:v>
      </x:c>
      <x:c r="E97" s="22" t="n">
        <x:v>43</x:v>
      </x:c>
      <x:c r="F97" s="30" t="str">
        <x:v>有效</x:v>
      </x:c>
      <x:c r="G97" s="22" t="n">
        <x:v>236</x:v>
      </x:c>
      <x:c r="H97" s="22" t="n">
        <x:v>0</x:v>
      </x:c>
      <x:c r="I97" s="24" t="n">
        <x:v>59.477500000000006</x:v>
      </x:c>
      <x:c r="J97" s="24" t="n">
        <x:v>58.833499999999994</x:v>
      </x:c>
      <x:c r="K97" s="24" t="n">
        <x:v>60.63333333333333</x:v>
      </x:c>
      <x:c r="L97" s="24" t="n">
        <x:v>2030.0666666666666</x:v>
      </x:c>
      <x:c r="M97" s="10" t="n">
        <x:v>1</x:v>
      </x:c>
      <x:c r="N97" s="10" t="n">
        <x:v>6</x:v>
      </x:c>
      <x:c r="O97" s="28" t="n">
        <x:f>IF(F97="有效",I97*'参数'!$B$10+J97*'参数'!$B$11,"n.a.")</x:f>
        <x:v>106.72243755</x:v>
      </x:c>
      <x:c r="P97" s="28" t="n">
        <x:f>IF(F97="有效",K97*'参数'!$B$12+L97*'参数'!$B$13,"n.a.")</x:f>
        <x:v>1558.1275173611111</x:v>
      </x:c>
      <x:c r="Q97" s="28" t="n">
        <x:f>IF(F97="有效",M97*'参数'!$B$14+N97*'参数'!$B$15,"n.a.")</x:f>
        <x:v>460</x:v>
      </x:c>
      <x:c r="R97" s="28" t="n">
        <x:f>IF(F97="有效",IF(D97&lt;=2,G97*('参数'!$B$6+'参数'!$B$18),0),"n.a.")</x:f>
        <x:v>944</x:v>
      </x:c>
      <x:c r="S97" s="28" t="n">
        <x:f>IF(F97="有效",IF(D97&gt;=3,G97*'参数'!$B$16,0),"n.a.")</x:f>
        <x:v>0</x:v>
      </x:c>
      <x:c r="T97" s="28" t="n">
        <x:f>IF(F97="有效",IF(D97&gt;=3,G97*'参数'!$B$17,0),"n.a.")</x:f>
        <x:v>0</x:v>
      </x:c>
      <x:c r="U97" s="28" t="n">
        <x:f>IF(F97="有效",SUM(O97:T97),"n.a.")</x:f>
        <x:v>3068.849954911111</x:v>
      </x:c>
      <x:c r="V97" s="28" t="n">
        <x:f>IF(F97="有效",H97*'参数'!$B$7,"n.a.")</x:f>
        <x:v>0</x:v>
      </x:c>
      <x:c r="W97" s="28" t="n">
        <x:f>IF(F97="有效",IF(D97&gt;=3,G97*'参数'!$B$7/'参数'!$B$8,0),"n.a.")</x:f>
        <x:v>0</x:v>
      </x:c>
      <x:c r="X97" s="28" t="n">
        <x:f>IF(F97="有效",U97+W97,"n.a.")</x:f>
        <x:v>3068.849954911111</x:v>
      </x:c>
      <x:c r="Y97" s="28" t="n">
        <x:f>IF(F97="有效",X97/G97,"n.a.")</x:f>
        <x:v>13.00360150386064</x:v>
      </x:c>
    </x:row>
    <x:row r="98" ht="22" customHeight="1">
      <x:c r="A98" s="11" t="str">
        <x:v>lade_0824_30aoi</x:v>
      </x:c>
      <x:c r="B98" s="22" t="n">
        <x:v>30</x:v>
      </x:c>
      <x:c r="C98" s="22" t="n">
        <x:v>1</x:v>
      </x:c>
      <x:c r="D98" s="22" t="n">
        <x:v>1</x:v>
      </x:c>
      <x:c r="E98" s="22" t="n">
        <x:v>44</x:v>
      </x:c>
      <x:c r="F98" s="30" t="str">
        <x:v>有效</x:v>
      </x:c>
      <x:c r="G98" s="22" t="n">
        <x:v>236</x:v>
      </x:c>
      <x:c r="H98" s="22" t="n">
        <x:v>0</x:v>
      </x:c>
      <x:c r="I98" s="24" t="n">
        <x:v>59.477500000000006</x:v>
      </x:c>
      <x:c r="J98" s="24" t="n">
        <x:v>58.833499999999994</x:v>
      </x:c>
      <x:c r="K98" s="24" t="n">
        <x:v>60.63333333333333</x:v>
      </x:c>
      <x:c r="L98" s="24" t="n">
        <x:v>2253.4333333333334</x:v>
      </x:c>
      <x:c r="M98" s="10" t="n">
        <x:v>1</x:v>
      </x:c>
      <x:c r="N98" s="10" t="n">
        <x:v>6</x:v>
      </x:c>
      <x:c r="O98" s="28" t="n">
        <x:f>IF(F98="有效",I98*'参数'!$B$10+J98*'参数'!$B$11,"n.a.")</x:f>
        <x:v>106.72243755</x:v>
      </x:c>
      <x:c r="P98" s="28" t="n">
        <x:f>IF(F98="有效",K98*'参数'!$B$12+L98*'参数'!$B$13,"n.a.")</x:f>
        <x:v>1722.4090472222224</x:v>
      </x:c>
      <x:c r="Q98" s="28" t="n">
        <x:f>IF(F98="有效",M98*'参数'!$B$14+N98*'参数'!$B$15,"n.a.")</x:f>
        <x:v>460</x:v>
      </x:c>
      <x:c r="R98" s="28" t="n">
        <x:f>IF(F98="有效",IF(D98&lt;=2,G98*('参数'!$B$6+'参数'!$B$18),0),"n.a.")</x:f>
        <x:v>944</x:v>
      </x:c>
      <x:c r="S98" s="28" t="n">
        <x:f>IF(F98="有效",IF(D98&gt;=3,G98*'参数'!$B$16,0),"n.a.")</x:f>
        <x:v>0</x:v>
      </x:c>
      <x:c r="T98" s="28" t="n">
        <x:f>IF(F98="有效",IF(D98&gt;=3,G98*'参数'!$B$17,0),"n.a.")</x:f>
        <x:v>0</x:v>
      </x:c>
      <x:c r="U98" s="28" t="n">
        <x:f>IF(F98="有效",SUM(O98:T98),"n.a.")</x:f>
        <x:v>3233.1314847722224</x:v>
      </x:c>
      <x:c r="V98" s="28" t="n">
        <x:f>IF(F98="有效",H98*'参数'!$B$7,"n.a.")</x:f>
        <x:v>0</x:v>
      </x:c>
      <x:c r="W98" s="28" t="n">
        <x:f>IF(F98="有效",IF(D98&gt;=3,G98*'参数'!$B$7/'参数'!$B$8,0),"n.a.")</x:f>
        <x:v>0</x:v>
      </x:c>
      <x:c r="X98" s="28" t="n">
        <x:f>IF(F98="有效",U98+W98,"n.a.")</x:f>
        <x:v>3233.1314847722224</x:v>
      </x:c>
      <x:c r="Y98" s="28" t="n">
        <x:f>IF(F98="有效",X98/G98,"n.a.")</x:f>
        <x:v>13.69970968123823</x:v>
      </x:c>
    </x:row>
    <x:row r="99" ht="22" customHeight="1">
      <x:c r="A99" s="11" t="str">
        <x:v>lade_0824_30aoi</x:v>
      </x:c>
      <x:c r="B99" s="22" t="n">
        <x:v>30</x:v>
      </x:c>
      <x:c r="C99" s="22" t="n">
        <x:v>1</x:v>
      </x:c>
      <x:c r="D99" s="22" t="n">
        <x:v>2</x:v>
      </x:c>
      <x:c r="E99" s="22" t="n">
        <x:v>42</x:v>
      </x:c>
      <x:c r="F99" s="30" t="str">
        <x:v>有效</x:v>
      </x:c>
      <x:c r="G99" s="22" t="n">
        <x:v>236</x:v>
      </x:c>
      <x:c r="H99" s="22" t="n">
        <x:v>0</x:v>
      </x:c>
      <x:c r="I99" s="24" t="n">
        <x:v>60.3057</x:v>
      </x:c>
      <x:c r="J99" s="24" t="n">
        <x:v>58.78190000000001</x:v>
      </x:c>
      <x:c r="K99" s="24" t="n">
        <x:v>61.233333333333334</x:v>
      </x:c>
      <x:c r="L99" s="24" t="n">
        <x:v>2227.9166666666665</x:v>
      </x:c>
      <x:c r="M99" s="10" t="n">
        <x:v>1</x:v>
      </x:c>
      <x:c r="N99" s="10" t="n">
        <x:v>6</x:v>
      </x:c>
      <x:c r="O99" s="28" t="n">
        <x:f>IF(F99="有效",I99*'参数'!$B$10+J99*'参数'!$B$11,"n.a.")</x:f>
        <x:v>107.42296958</x:v>
      </x:c>
      <x:c r="P99" s="28" t="n">
        <x:f>IF(F99="有效",K99*'参数'!$B$12+L99*'参数'!$B$13,"n.a.")</x:f>
        <x:v>1704.285832986111</x:v>
      </x:c>
      <x:c r="Q99" s="28" t="n">
        <x:f>IF(F99="有效",M99*'参数'!$B$14+N99*'参数'!$B$15,"n.a.")</x:f>
        <x:v>460</x:v>
      </x:c>
      <x:c r="R99" s="28" t="n">
        <x:f>IF(F99="有效",IF(D99&lt;=2,G99*('参数'!$B$6+'参数'!$B$18),0),"n.a.")</x:f>
        <x:v>944</x:v>
      </x:c>
      <x:c r="S99" s="28" t="n">
        <x:f>IF(F99="有效",IF(D99&gt;=3,G99*'参数'!$B$16,0),"n.a.")</x:f>
        <x:v>0</x:v>
      </x:c>
      <x:c r="T99" s="28" t="n">
        <x:f>IF(F99="有效",IF(D99&gt;=3,G99*'参数'!$B$17,0),"n.a.")</x:f>
        <x:v>0</x:v>
      </x:c>
      <x:c r="U99" s="28" t="n">
        <x:f>IF(F99="有效",SUM(O99:T99),"n.a.")</x:f>
        <x:v>3215.708802566111</x:v>
      </x:c>
      <x:c r="V99" s="28" t="n">
        <x:f>IF(F99="有效",H99*'参数'!$B$7,"n.a.")</x:f>
        <x:v>0</x:v>
      </x:c>
      <x:c r="W99" s="28" t="n">
        <x:f>IF(F99="有效",IF(D99&gt;=3,G99*'参数'!$B$7/'参数'!$B$8,0),"n.a.")</x:f>
        <x:v>0</x:v>
      </x:c>
      <x:c r="X99" s="28" t="n">
        <x:f>IF(F99="有效",U99+W99,"n.a.")</x:f>
        <x:v>3215.708802566111</x:v>
      </x:c>
      <x:c r="Y99" s="28" t="n">
        <x:f>IF(F99="有效",X99/G99,"n.a.")</x:f>
        <x:v>13.625884756636063</x:v>
      </x:c>
    </x:row>
    <x:row r="100" ht="22" customHeight="1">
      <x:c r="A100" s="11" t="str">
        <x:v>lade_0824_30aoi</x:v>
      </x:c>
      <x:c r="B100" s="22" t="n">
        <x:v>30</x:v>
      </x:c>
      <x:c r="C100" s="22" t="n">
        <x:v>1</x:v>
      </x:c>
      <x:c r="D100" s="22" t="n">
        <x:v>2</x:v>
      </x:c>
      <x:c r="E100" s="22" t="n">
        <x:v>43</x:v>
      </x:c>
      <x:c r="F100" s="30" t="str">
        <x:v>有效</x:v>
      </x:c>
      <x:c r="G100" s="22" t="n">
        <x:v>236</x:v>
      </x:c>
      <x:c r="H100" s="22" t="n">
        <x:v>0</x:v>
      </x:c>
      <x:c r="I100" s="24" t="n">
        <x:v>59.477500000000006</x:v>
      </x:c>
      <x:c r="J100" s="24" t="n">
        <x:v>58.833499999999994</x:v>
      </x:c>
      <x:c r="K100" s="24" t="n">
        <x:v>60.63333333333333</x:v>
      </x:c>
      <x:c r="L100" s="24" t="n">
        <x:v>2030.0666666666666</x:v>
      </x:c>
      <x:c r="M100" s="10" t="n">
        <x:v>1</x:v>
      </x:c>
      <x:c r="N100" s="10" t="n">
        <x:v>6</x:v>
      </x:c>
      <x:c r="O100" s="28" t="n">
        <x:f>IF(F100="有效",I100*'参数'!$B$10+J100*'参数'!$B$11,"n.a.")</x:f>
        <x:v>106.72243755</x:v>
      </x:c>
      <x:c r="P100" s="28" t="n">
        <x:f>IF(F100="有效",K100*'参数'!$B$12+L100*'参数'!$B$13,"n.a.")</x:f>
        <x:v>1558.1275173611111</x:v>
      </x:c>
      <x:c r="Q100" s="28" t="n">
        <x:f>IF(F100="有效",M100*'参数'!$B$14+N100*'参数'!$B$15,"n.a.")</x:f>
        <x:v>460</x:v>
      </x:c>
      <x:c r="R100" s="28" t="n">
        <x:f>IF(F100="有效",IF(D100&lt;=2,G100*('参数'!$B$6+'参数'!$B$18),0),"n.a.")</x:f>
        <x:v>944</x:v>
      </x:c>
      <x:c r="S100" s="28" t="n">
        <x:f>IF(F100="有效",IF(D100&gt;=3,G100*'参数'!$B$16,0),"n.a.")</x:f>
        <x:v>0</x:v>
      </x:c>
      <x:c r="T100" s="28" t="n">
        <x:f>IF(F100="有效",IF(D100&gt;=3,G100*'参数'!$B$17,0),"n.a.")</x:f>
        <x:v>0</x:v>
      </x:c>
      <x:c r="U100" s="28" t="n">
        <x:f>IF(F100="有效",SUM(O100:T100),"n.a.")</x:f>
        <x:v>3068.849954911111</x:v>
      </x:c>
      <x:c r="V100" s="28" t="n">
        <x:f>IF(F100="有效",H100*'参数'!$B$7,"n.a.")</x:f>
        <x:v>0</x:v>
      </x:c>
      <x:c r="W100" s="28" t="n">
        <x:f>IF(F100="有效",IF(D100&gt;=3,G100*'参数'!$B$7/'参数'!$B$8,0),"n.a.")</x:f>
        <x:v>0</x:v>
      </x:c>
      <x:c r="X100" s="28" t="n">
        <x:f>IF(F100="有效",U100+W100,"n.a.")</x:f>
        <x:v>3068.849954911111</x:v>
      </x:c>
      <x:c r="Y100" s="28" t="n">
        <x:f>IF(F100="有效",X100/G100,"n.a.")</x:f>
        <x:v>13.00360150386064</x:v>
      </x:c>
    </x:row>
    <x:row r="101" ht="22" customHeight="1">
      <x:c r="A101" s="11" t="str">
        <x:v>lade_0824_30aoi</x:v>
      </x:c>
      <x:c r="B101" s="22" t="n">
        <x:v>30</x:v>
      </x:c>
      <x:c r="C101" s="22" t="n">
        <x:v>1</x:v>
      </x:c>
      <x:c r="D101" s="22" t="n">
        <x:v>2</x:v>
      </x:c>
      <x:c r="E101" s="22" t="n">
        <x:v>44</x:v>
      </x:c>
      <x:c r="F101" s="30" t="str">
        <x:v>有效</x:v>
      </x:c>
      <x:c r="G101" s="22" t="n">
        <x:v>236</x:v>
      </x:c>
      <x:c r="H101" s="22" t="n">
        <x:v>0</x:v>
      </x:c>
      <x:c r="I101" s="24" t="n">
        <x:v>59.477500000000006</x:v>
      </x:c>
      <x:c r="J101" s="24" t="n">
        <x:v>58.707199999999986</x:v>
      </x:c>
      <x:c r="K101" s="24" t="n">
        <x:v>60.63333333333333</x:v>
      </x:c>
      <x:c r="L101" s="24" t="n">
        <x:v>2023.5333333333333</x:v>
      </x:c>
      <x:c r="M101" s="10" t="n">
        <x:v>1</x:v>
      </x:c>
      <x:c r="N101" s="10" t="n">
        <x:v>6</x:v>
      </x:c>
      <x:c r="O101" s="28" t="n">
        <x:f>IF(F101="有效",I101*'参数'!$B$10+J101*'参数'!$B$11,"n.a.")</x:f>
        <x:v>106.60850863499999</x:v>
      </x:c>
      <x:c r="P101" s="28" t="n">
        <x:f>IF(F101="有效",K101*'参数'!$B$12+L101*'参数'!$B$13,"n.a.")</x:f>
        <x:v>1553.3223868055557</x:v>
      </x:c>
      <x:c r="Q101" s="28" t="n">
        <x:f>IF(F101="有效",M101*'参数'!$B$14+N101*'参数'!$B$15,"n.a.")</x:f>
        <x:v>460</x:v>
      </x:c>
      <x:c r="R101" s="28" t="n">
        <x:f>IF(F101="有效",IF(D101&lt;=2,G101*('参数'!$B$6+'参数'!$B$18),0),"n.a.")</x:f>
        <x:v>944</x:v>
      </x:c>
      <x:c r="S101" s="28" t="n">
        <x:f>IF(F101="有效",IF(D101&gt;=3,G101*'参数'!$B$16,0),"n.a.")</x:f>
        <x:v>0</x:v>
      </x:c>
      <x:c r="T101" s="28" t="n">
        <x:f>IF(F101="有效",IF(D101&gt;=3,G101*'参数'!$B$17,0),"n.a.")</x:f>
        <x:v>0</x:v>
      </x:c>
      <x:c r="U101" s="28" t="n">
        <x:f>IF(F101="有效",SUM(O101:T101),"n.a.")</x:f>
        <x:v>3063.9308954405556</x:v>
      </x:c>
      <x:c r="V101" s="28" t="n">
        <x:f>IF(F101="有效",H101*'参数'!$B$7,"n.a.")</x:f>
        <x:v>0</x:v>
      </x:c>
      <x:c r="W101" s="28" t="n">
        <x:f>IF(F101="有效",IF(D101&gt;=3,G101*'参数'!$B$7/'参数'!$B$8,0),"n.a.")</x:f>
        <x:v>0</x:v>
      </x:c>
      <x:c r="X101" s="28" t="n">
        <x:f>IF(F101="有效",U101+W101,"n.a.")</x:f>
        <x:v>3063.9308954405556</x:v>
      </x:c>
      <x:c r="Y101" s="28" t="n">
        <x:f>IF(F101="有效",X101/G101,"n.a.")</x:f>
        <x:v>12.982758031527778</x:v>
      </x:c>
    </x:row>
    <x:row r="102" ht="22" customHeight="1">
      <x:c r="A102" s="11" t="str">
        <x:v>lade_0824_30aoi</x:v>
      </x:c>
      <x:c r="B102" s="22" t="n">
        <x:v>30</x:v>
      </x:c>
      <x:c r="C102" s="22" t="n">
        <x:v>1</x:v>
      </x:c>
      <x:c r="D102" s="22" t="n">
        <x:v>3</x:v>
      </x:c>
      <x:c r="E102" s="22" t="n">
        <x:v>42</x:v>
      </x:c>
      <x:c r="F102" s="30" t="str">
        <x:v>有效</x:v>
      </x:c>
      <x:c r="G102" s="22" t="n">
        <x:v>236</x:v>
      </x:c>
      <x:c r="H102" s="22" t="n">
        <x:v>236</x:v>
      </x:c>
      <x:c r="I102" s="24" t="n">
        <x:v>107.9065</x:v>
      </x:c>
      <x:c r="J102" s="24" t="n">
        <x:v>80.80189999999997</x:v>
      </x:c>
      <x:c r="K102" s="24" t="n">
        <x:v>1462.8</x:v>
      </x:c>
      <x:c r="L102" s="24" t="n">
        <x:v>3046.0833333333335</x:v>
      </x:c>
      <x:c r="M102" s="10" t="n">
        <x:v>2</x:v>
      </x:c>
      <x:c r="N102" s="10" t="n">
        <x:v>6</x:v>
      </x:c>
      <x:c r="O102" s="28" t="n">
        <x:f>IF(F102="有效",I102*'参数'!$B$10+J102*'参数'!$B$11,"n.a.")</x:f>
        <x:v>170.22441221999998</x:v>
      </x:c>
      <x:c r="P102" s="28" t="n">
        <x:f>IF(F102="有效",K102*'参数'!$B$12+L102*'参数'!$B$13,"n.a.")</x:f>
        <x:v>3809.823806597222</x:v>
      </x:c>
      <x:c r="Q102" s="28" t="n">
        <x:f>IF(F102="有效",M102*'参数'!$B$14+N102*'参数'!$B$15,"n.a.")</x:f>
        <x:v>560</x:v>
      </x:c>
      <x:c r="R102" s="28" t="n">
        <x:f>IF(F102="有效",IF(D102&lt;=2,G102*('参数'!$B$6+'参数'!$B$18),0),"n.a.")</x:f>
        <x:v>0</x:v>
      </x:c>
      <x:c r="S102" s="28" t="n">
        <x:f>IF(F102="有效",IF(D102&gt;=3,G102*'参数'!$B$16,0),"n.a.")</x:f>
        <x:v>188.8</x:v>
      </x:c>
      <x:c r="T102" s="28" t="n">
        <x:f>IF(F102="有效",IF(D102&gt;=3,G102*'参数'!$B$17,0),"n.a.")</x:f>
        <x:v>23.6</x:v>
      </x:c>
      <x:c r="U102" s="28" t="n">
        <x:f>IF(F102="有效",SUM(O102:T102),"n.a.")</x:f>
        <x:v>4752.448218817222</x:v>
      </x:c>
      <x:c r="V102" s="28" t="n">
        <x:f>IF(F102="有效",H102*'参数'!$B$7,"n.a.")</x:f>
        <x:v>8614</x:v>
      </x:c>
      <x:c r="W102" s="28" t="n">
        <x:f>IF(F102="有效",IF(D102&gt;=3,G102*'参数'!$B$7/'参数'!$B$8,0),"n.a.")</x:f>
        <x:v>172.28</x:v>
      </x:c>
      <x:c r="X102" s="28" t="n">
        <x:f>IF(F102="有效",U102+W102,"n.a.")</x:f>
        <x:v>4924.728218817222</x:v>
      </x:c>
      <x:c r="Y102" s="28" t="n">
        <x:f>IF(F102="有效",X102/G102,"n.a.")</x:f>
        <x:v>20.86749245261535</x:v>
      </x:c>
    </x:row>
    <x:row r="103" ht="22" customHeight="1">
      <x:c r="A103" s="11" t="str">
        <x:v>lade_0824_30aoi</x:v>
      </x:c>
      <x:c r="B103" s="22" t="n">
        <x:v>30</x:v>
      </x:c>
      <x:c r="C103" s="22" t="n">
        <x:v>1</x:v>
      </x:c>
      <x:c r="D103" s="22" t="n">
        <x:v>3</x:v>
      </x:c>
      <x:c r="E103" s="22" t="n">
        <x:v>43</x:v>
      </x:c>
      <x:c r="F103" s="30" t="str">
        <x:v>有效</x:v>
      </x:c>
      <x:c r="G103" s="22" t="n">
        <x:v>236</x:v>
      </x:c>
      <x:c r="H103" s="22" t="n">
        <x:v>236</x:v>
      </x:c>
      <x:c r="I103" s="24" t="n">
        <x:v>107.90650000000001</x:v>
      </x:c>
      <x:c r="J103" s="24" t="n">
        <x:v>81.99789999999999</x:v>
      </x:c>
      <x:c r="K103" s="24" t="n">
        <x:v>1462.8</x:v>
      </x:c>
      <x:c r="L103" s="24" t="n">
        <x:v>3045.0833333333335</x:v>
      </x:c>
      <x:c r="M103" s="10" t="n">
        <x:v>2</x:v>
      </x:c>
      <x:c r="N103" s="10" t="n">
        <x:v>6</x:v>
      </x:c>
      <x:c r="O103" s="28" t="n">
        <x:f>IF(F103="有效",I103*'参数'!$B$10+J103*'参数'!$B$11,"n.a.")</x:f>
        <x:v>171.30326402</x:v>
      </x:c>
      <x:c r="P103" s="28" t="n">
        <x:f>IF(F103="有效",K103*'参数'!$B$12+L103*'参数'!$B$13,"n.a.")</x:f>
        <x:v>3809.088327430555</x:v>
      </x:c>
      <x:c r="Q103" s="28" t="n">
        <x:f>IF(F103="有效",M103*'参数'!$B$14+N103*'参数'!$B$15,"n.a.")</x:f>
        <x:v>560</x:v>
      </x:c>
      <x:c r="R103" s="28" t="n">
        <x:f>IF(F103="有效",IF(D103&lt;=2,G103*('参数'!$B$6+'参数'!$B$18),0),"n.a.")</x:f>
        <x:v>0</x:v>
      </x:c>
      <x:c r="S103" s="28" t="n">
        <x:f>IF(F103="有效",IF(D103&gt;=3,G103*'参数'!$B$16,0),"n.a.")</x:f>
        <x:v>188.8</x:v>
      </x:c>
      <x:c r="T103" s="28" t="n">
        <x:f>IF(F103="有效",IF(D103&gt;=3,G103*'参数'!$B$17,0),"n.a.")</x:f>
        <x:v>23.6</x:v>
      </x:c>
      <x:c r="U103" s="28" t="n">
        <x:f>IF(F103="有效",SUM(O103:T103),"n.a.")</x:f>
        <x:v>4752.791591450556</x:v>
      </x:c>
      <x:c r="V103" s="28" t="n">
        <x:f>IF(F103="有效",H103*'参数'!$B$7,"n.a.")</x:f>
        <x:v>8614</x:v>
      </x:c>
      <x:c r="W103" s="28" t="n">
        <x:f>IF(F103="有效",IF(D103&gt;=3,G103*'参数'!$B$7/'参数'!$B$8,0),"n.a.")</x:f>
        <x:v>172.28</x:v>
      </x:c>
      <x:c r="X103" s="28" t="n">
        <x:f>IF(F103="有效",U103+W103,"n.a.")</x:f>
        <x:v>4925.071591450555</x:v>
      </x:c>
      <x:c r="Y103" s="28" t="n">
        <x:f>IF(F103="有效",X103/G103,"n.a.")</x:f>
        <x:v>20.86894742140066</x:v>
      </x:c>
    </x:row>
    <x:row r="104" ht="22" customHeight="1">
      <x:c r="A104" s="11" t="str">
        <x:v>lade_0824_30aoi</x:v>
      </x:c>
      <x:c r="B104" s="22" t="n">
        <x:v>30</x:v>
      </x:c>
      <x:c r="C104" s="22" t="n">
        <x:v>1</x:v>
      </x:c>
      <x:c r="D104" s="22" t="n">
        <x:v>3</x:v>
      </x:c>
      <x:c r="E104" s="22" t="n">
        <x:v>44</x:v>
      </x:c>
      <x:c r="F104" s="30" t="str">
        <x:v>有效</x:v>
      </x:c>
      <x:c r="G104" s="22" t="n">
        <x:v>236</x:v>
      </x:c>
      <x:c r="H104" s="22" t="n">
        <x:v>236</x:v>
      </x:c>
      <x:c r="I104" s="24" t="n">
        <x:v>107.90650000000001</x:v>
      </x:c>
      <x:c r="J104" s="24" t="n">
        <x:v>81.13890000000002</x:v>
      </x:c>
      <x:c r="K104" s="24" t="n">
        <x:v>1462.8</x:v>
      </x:c>
      <x:c r="L104" s="24" t="n">
        <x:v>2734.0333333333333</x:v>
      </x:c>
      <x:c r="M104" s="10" t="n">
        <x:v>2</x:v>
      </x:c>
      <x:c r="N104" s="10" t="n">
        <x:v>5</x:v>
      </x:c>
      <x:c r="O104" s="28" t="n">
        <x:f>IF(F104="有效",I104*'参数'!$B$10+J104*'参数'!$B$11,"n.a.")</x:f>
        <x:v>170.52840307000002</x:v>
      </x:c>
      <x:c r="P104" s="28" t="n">
        <x:f>IF(F104="有效",K104*'参数'!$B$12+L104*'参数'!$B$13,"n.a.")</x:f>
        <x:v>3580.3175326388887</x:v>
      </x:c>
      <x:c r="Q104" s="28" t="n">
        <x:f>IF(F104="有效",M104*'参数'!$B$14+N104*'参数'!$B$15,"n.a.")</x:f>
        <x:v>500</x:v>
      </x:c>
      <x:c r="R104" s="28" t="n">
        <x:f>IF(F104="有效",IF(D104&lt;=2,G104*('参数'!$B$6+'参数'!$B$18),0),"n.a.")</x:f>
        <x:v>0</x:v>
      </x:c>
      <x:c r="S104" s="28" t="n">
        <x:f>IF(F104="有效",IF(D104&gt;=3,G104*'参数'!$B$16,0),"n.a.")</x:f>
        <x:v>188.8</x:v>
      </x:c>
      <x:c r="T104" s="28" t="n">
        <x:f>IF(F104="有效",IF(D104&gt;=3,G104*'参数'!$B$17,0),"n.a.")</x:f>
        <x:v>23.6</x:v>
      </x:c>
      <x:c r="U104" s="28" t="n">
        <x:f>IF(F104="有效",SUM(O104:T104),"n.a.")</x:f>
        <x:v>4463.245935708889</x:v>
      </x:c>
      <x:c r="V104" s="28" t="n">
        <x:f>IF(F104="有效",H104*'参数'!$B$7,"n.a.")</x:f>
        <x:v>8614</x:v>
      </x:c>
      <x:c r="W104" s="28" t="n">
        <x:f>IF(F104="有效",IF(D104&gt;=3,G104*'参数'!$B$7/'参数'!$B$8,0),"n.a.")</x:f>
        <x:v>172.28</x:v>
      </x:c>
      <x:c r="X104" s="28" t="n">
        <x:f>IF(F104="有效",U104+W104,"n.a.")</x:f>
        <x:v>4635.525935708889</x:v>
      </x:c>
      <x:c r="Y104" s="28" t="n">
        <x:f>IF(F104="有效",X104/G104,"n.a.")</x:f>
        <x:v>19.642059049613938</x:v>
      </x:c>
    </x:row>
    <x:row r="105" ht="22" customHeight="1">
      <x:c r="A105" s="11" t="str">
        <x:v>lade_0824_30aoi</x:v>
      </x:c>
      <x:c r="B105" s="22" t="n">
        <x:v>30</x:v>
      </x:c>
      <x:c r="C105" s="22" t="n">
        <x:v>1</x:v>
      </x:c>
      <x:c r="D105" s="22" t="n">
        <x:v>4</x:v>
      </x:c>
      <x:c r="E105" s="22" t="n">
        <x:v>42</x:v>
      </x:c>
      <x:c r="F105" s="30" t="str">
        <x:v>有效</x:v>
      </x:c>
      <x:c r="G105" s="22" t="n">
        <x:v>236</x:v>
      </x:c>
      <x:c r="H105" s="22" t="n">
        <x:v>236</x:v>
      </x:c>
      <x:c r="I105" s="24" t="n">
        <x:v>63.013999999999996</x:v>
      </x:c>
      <x:c r="J105" s="24" t="n">
        <x:v>87.53039999999999</x:v>
      </x:c>
      <x:c r="K105" s="24" t="n">
        <x:v>738.65</x:v>
      </x:c>
      <x:c r="L105" s="24" t="n">
        <x:v>2752.116666666667</x:v>
      </x:c>
      <x:c r="M105" s="10" t="n">
        <x:v>1</x:v>
      </x:c>
      <x:c r="N105" s="10" t="n">
        <x:v>6</x:v>
      </x:c>
      <x:c r="O105" s="28" t="n">
        <x:f>IF(F105="有效",I105*'参数'!$B$10+J105*'参数'!$B$11,"n.a.")</x:f>
        <x:v>135.79857601999998</x:v>
      </x:c>
      <x:c r="P105" s="28" t="n">
        <x:f>IF(F105="有效",K105*'参数'!$B$12+L105*'参数'!$B$13,"n.a.")</x:f>
        <x:v>2816.6497569444446</x:v>
      </x:c>
      <x:c r="Q105" s="28" t="n">
        <x:f>IF(F105="有效",M105*'参数'!$B$14+N105*'参数'!$B$15,"n.a.")</x:f>
        <x:v>460</x:v>
      </x:c>
      <x:c r="R105" s="28" t="n">
        <x:f>IF(F105="有效",IF(D105&lt;=2,G105*('参数'!$B$6+'参数'!$B$18),0),"n.a.")</x:f>
        <x:v>0</x:v>
      </x:c>
      <x:c r="S105" s="28" t="n">
        <x:f>IF(F105="有效",IF(D105&gt;=3,G105*'参数'!$B$16,0),"n.a.")</x:f>
        <x:v>188.8</x:v>
      </x:c>
      <x:c r="T105" s="28" t="n">
        <x:f>IF(F105="有效",IF(D105&gt;=3,G105*'参数'!$B$17,0),"n.a.")</x:f>
        <x:v>23.6</x:v>
      </x:c>
      <x:c r="U105" s="28" t="n">
        <x:f>IF(F105="有效",SUM(O105:T105),"n.a.")</x:f>
        <x:v>3624.8483329644446</x:v>
      </x:c>
      <x:c r="V105" s="28" t="n">
        <x:f>IF(F105="有效",H105*'参数'!$B$7,"n.a.")</x:f>
        <x:v>8614</x:v>
      </x:c>
      <x:c r="W105" s="28" t="n">
        <x:f>IF(F105="有效",IF(D105&gt;=3,G105*'参数'!$B$7/'参数'!$B$8,0),"n.a.")</x:f>
        <x:v>172.28</x:v>
      </x:c>
      <x:c r="X105" s="28" t="n">
        <x:f>IF(F105="有效",U105+W105,"n.a.")</x:f>
        <x:v>3797.128332964445</x:v>
      </x:c>
      <x:c r="Y105" s="28" t="n">
        <x:f>IF(F105="有效",X105/G105,"n.a.")</x:f>
        <x:v>16.089526834595105</x:v>
      </x:c>
    </x:row>
    <x:row r="106" ht="22" customHeight="1">
      <x:c r="A106" s="11" t="str">
        <x:v>lade_0824_30aoi</x:v>
      </x:c>
      <x:c r="B106" s="22" t="n">
        <x:v>30</x:v>
      </x:c>
      <x:c r="C106" s="22" t="n">
        <x:v>1</x:v>
      </x:c>
      <x:c r="D106" s="22" t="n">
        <x:v>4</x:v>
      </x:c>
      <x:c r="E106" s="22" t="n">
        <x:v>43</x:v>
      </x:c>
      <x:c r="F106" s="30" t="str">
        <x:v>有效</x:v>
      </x:c>
      <x:c r="G106" s="22" t="n">
        <x:v>236</x:v>
      </x:c>
      <x:c r="H106" s="22" t="n">
        <x:v>236</x:v>
      </x:c>
      <x:c r="I106" s="24" t="n">
        <x:v>107.9065</x:v>
      </x:c>
      <x:c r="J106" s="24" t="n">
        <x:v>86.05080000000001</x:v>
      </x:c>
      <x:c r="K106" s="24" t="n">
        <x:v>1462.8</x:v>
      </x:c>
      <x:c r="L106" s="24" t="n">
        <x:v>3248.383333333333</x:v>
      </x:c>
      <x:c r="M106" s="10" t="n">
        <x:v>2</x:v>
      </x:c>
      <x:c r="N106" s="10" t="n">
        <x:v>6</x:v>
      </x:c>
      <x:c r="O106" s="28" t="n">
        <x:f>IF(F106="有效",I106*'参数'!$B$10+J106*'参数'!$B$11,"n.a.")</x:f>
        <x:v>174.95918246500003</x:v>
      </x:c>
      <x:c r="P106" s="28" t="n">
        <x:f>IF(F106="有效",K106*'参数'!$B$12+L106*'参数'!$B$13,"n.a.")</x:f>
        <x:v>3958.6112420138884</x:v>
      </x:c>
      <x:c r="Q106" s="28" t="n">
        <x:f>IF(F106="有效",M106*'参数'!$B$14+N106*'参数'!$B$15,"n.a.")</x:f>
        <x:v>560</x:v>
      </x:c>
      <x:c r="R106" s="28" t="n">
        <x:f>IF(F106="有效",IF(D106&lt;=2,G106*('参数'!$B$6+'参数'!$B$18),0),"n.a.")</x:f>
        <x:v>0</x:v>
      </x:c>
      <x:c r="S106" s="28" t="n">
        <x:f>IF(F106="有效",IF(D106&gt;=3,G106*'参数'!$B$16,0),"n.a.")</x:f>
        <x:v>188.8</x:v>
      </x:c>
      <x:c r="T106" s="28" t="n">
        <x:f>IF(F106="有效",IF(D106&gt;=3,G106*'参数'!$B$17,0),"n.a.")</x:f>
        <x:v>23.6</x:v>
      </x:c>
      <x:c r="U106" s="28" t="n">
        <x:f>IF(F106="有效",SUM(O106:T106),"n.a.")</x:f>
        <x:v>4905.970424478889</x:v>
      </x:c>
      <x:c r="V106" s="28" t="n">
        <x:f>IF(F106="有效",H106*'参数'!$B$7,"n.a.")</x:f>
        <x:v>8614</x:v>
      </x:c>
      <x:c r="W106" s="28" t="n">
        <x:f>IF(F106="有效",IF(D106&gt;=3,G106*'参数'!$B$7/'参数'!$B$8,0),"n.a.")</x:f>
        <x:v>172.28</x:v>
      </x:c>
      <x:c r="X106" s="28" t="n">
        <x:f>IF(F106="有效",U106+W106,"n.a.")</x:f>
        <x:v>5078.250424478889</x:v>
      </x:c>
      <x:c r="Y106" s="28" t="n">
        <x:f>IF(F106="有效",X106/G106,"n.a.")</x:f>
        <x:v>21.51801027321563</x:v>
      </x:c>
    </x:row>
    <x:row r="107" ht="22" customHeight="1">
      <x:c r="A107" s="11" t="str">
        <x:v>lade_0824_30aoi</x:v>
      </x:c>
      <x:c r="B107" s="22" t="n">
        <x:v>30</x:v>
      </x:c>
      <x:c r="C107" s="22" t="n">
        <x:v>1</x:v>
      </x:c>
      <x:c r="D107" s="22" t="n">
        <x:v>4</x:v>
      </x:c>
      <x:c r="E107" s="22" t="n">
        <x:v>44</x:v>
      </x:c>
      <x:c r="F107" s="30" t="str">
        <x:v>有效</x:v>
      </x:c>
      <x:c r="G107" s="22" t="n">
        <x:v>236</x:v>
      </x:c>
      <x:c r="H107" s="22" t="n">
        <x:v>236</x:v>
      </x:c>
      <x:c r="I107" s="24" t="n">
        <x:v>107.9065</x:v>
      </x:c>
      <x:c r="J107" s="24" t="n">
        <x:v>80.45910000000002</x:v>
      </x:c>
      <x:c r="K107" s="24" t="n">
        <x:v>1462.8</x:v>
      </x:c>
      <x:c r="L107" s="24" t="n">
        <x:v>3017.616666666667</x:v>
      </x:c>
      <x:c r="M107" s="10" t="n">
        <x:v>2</x:v>
      </x:c>
      <x:c r="N107" s="10" t="n">
        <x:v>6</x:v>
      </x:c>
      <x:c r="O107" s="28" t="n">
        <x:f>IF(F107="有效",I107*'参数'!$B$10+J107*'参数'!$B$11,"n.a.")</x:f>
        <x:v>169.91518948000004</x:v>
      </x:c>
      <x:c r="P107" s="28" t="n">
        <x:f>IF(F107="有效",K107*'参数'!$B$12+L107*'参数'!$B$13,"n.a.")</x:f>
        <x:v>3788.887166319444</x:v>
      </x:c>
      <x:c r="Q107" s="28" t="n">
        <x:f>IF(F107="有效",M107*'参数'!$B$14+N107*'参数'!$B$15,"n.a.")</x:f>
        <x:v>560</x:v>
      </x:c>
      <x:c r="R107" s="28" t="n">
        <x:f>IF(F107="有效",IF(D107&lt;=2,G107*('参数'!$B$6+'参数'!$B$18),0),"n.a.")</x:f>
        <x:v>0</x:v>
      </x:c>
      <x:c r="S107" s="28" t="n">
        <x:f>IF(F107="有效",IF(D107&gt;=3,G107*'参数'!$B$16,0),"n.a.")</x:f>
        <x:v>188.8</x:v>
      </x:c>
      <x:c r="T107" s="28" t="n">
        <x:f>IF(F107="有效",IF(D107&gt;=3,G107*'参数'!$B$17,0),"n.a.")</x:f>
        <x:v>23.6</x:v>
      </x:c>
      <x:c r="U107" s="28" t="n">
        <x:f>IF(F107="有效",SUM(O107:T107),"n.a.")</x:f>
        <x:v>4731.202355799444</x:v>
      </x:c>
      <x:c r="V107" s="28" t="n">
        <x:f>IF(F107="有效",H107*'参数'!$B$7,"n.a.")</x:f>
        <x:v>8614</x:v>
      </x:c>
      <x:c r="W107" s="28" t="n">
        <x:f>IF(F107="有效",IF(D107&gt;=3,G107*'参数'!$B$7/'参数'!$B$8,0),"n.a.")</x:f>
        <x:v>172.28</x:v>
      </x:c>
      <x:c r="X107" s="28" t="n">
        <x:f>IF(F107="有效",U107+W107,"n.a.")</x:f>
        <x:v>4903.482355799444</x:v>
      </x:c>
      <x:c r="Y107" s="28" t="n">
        <x:f>IF(F107="有效",X107/G107,"n.a.")</x:f>
        <x:v>20.77746760931968</x:v>
      </x:c>
    </x:row>
    <x:row r="108" ht="22" customHeight="1">
      <x:c r="A108" s="11" t="str">
        <x:v>lade_0824_30aoi</x:v>
      </x:c>
      <x:c r="B108" s="22" t="n">
        <x:v>30</x:v>
      </x:c>
      <x:c r="C108" s="22" t="n">
        <x:v>2</x:v>
      </x:c>
      <x:c r="D108" s="22" t="n">
        <x:v>5</x:v>
      </x:c>
      <x:c r="E108" s="22" t="n">
        <x:v>42</x:v>
      </x:c>
      <x:c r="F108" s="30" t="str">
        <x:v>有效</x:v>
      </x:c>
      <x:c r="G108" s="22" t="n">
        <x:v>236</x:v>
      </x:c>
      <x:c r="H108" s="22" t="n">
        <x:v>236</x:v>
      </x:c>
      <x:c r="I108" s="24" t="n">
        <x:v>261.03499999999997</x:v>
      </x:c>
      <x:c r="J108" s="24" t="n">
        <x:v>86.4638</x:v>
      </x:c>
      <x:c r="K108" s="24" t="n">
        <x:v>1837.4166666666667</x:v>
      </x:c>
      <x:c r="L108" s="24" t="n">
        <x:v>2148.15</x:v>
      </x:c>
      <x:c r="M108" s="10" t="n">
        <x:v>3</x:v>
      </x:c>
      <x:c r="N108" s="10" t="n">
        <x:v>6</x:v>
      </x:c>
      <x:c r="O108" s="28" t="n">
        <x:f>IF(F108="有效",I108*'参数'!$B$10+J108*'参数'!$B$11,"n.a.")</x:f>
        <x:v>313.46129254</x:v>
      </x:c>
      <x:c r="P108" s="28" t="n">
        <x:f>IF(F108="有效",K108*'参数'!$B$12+L108*'参数'!$B$13,"n.a.")</x:f>
        <x:v>3551.3528166666665</x:v>
      </x:c>
      <x:c r="Q108" s="28" t="n">
        <x:f>IF(F108="有效",M108*'参数'!$B$14+N108*'参数'!$B$15,"n.a.")</x:f>
        <x:v>660</x:v>
      </x:c>
      <x:c r="R108" s="28" t="n">
        <x:f>IF(F108="有效",IF(D108&lt;=2,G108*('参数'!$B$6+'参数'!$B$18),0),"n.a.")</x:f>
        <x:v>0</x:v>
      </x:c>
      <x:c r="S108" s="28" t="n">
        <x:f>IF(F108="有效",IF(D108&gt;=3,G108*'参数'!$B$16,0),"n.a.")</x:f>
        <x:v>188.8</x:v>
      </x:c>
      <x:c r="T108" s="28" t="n">
        <x:f>IF(F108="有效",IF(D108&gt;=3,G108*'参数'!$B$17,0),"n.a.")</x:f>
        <x:v>23.6</x:v>
      </x:c>
      <x:c r="U108" s="28" t="n">
        <x:f>IF(F108="有效",SUM(O108:T108),"n.a.")</x:f>
        <x:v>4737.214109206668</x:v>
      </x:c>
      <x:c r="V108" s="28" t="n">
        <x:f>IF(F108="有效",H108*'参数'!$B$7,"n.a.")</x:f>
        <x:v>8614</x:v>
      </x:c>
      <x:c r="W108" s="28" t="n">
        <x:f>IF(F108="有效",IF(D108&gt;=3,G108*'参数'!$B$7/'参数'!$B$8,0),"n.a.")</x:f>
        <x:v>172.28</x:v>
      </x:c>
      <x:c r="X108" s="28" t="n">
        <x:f>IF(F108="有效",U108+W108,"n.a.")</x:f>
        <x:v>4909.494109206667</x:v>
      </x:c>
      <x:c r="Y108" s="28" t="n">
        <x:f>IF(F108="有效",X108/G108,"n.a.")</x:f>
        <x:v>20.802941140706217</x:v>
      </x:c>
    </x:row>
    <x:row r="109" ht="22" customHeight="1">
      <x:c r="A109" s="11" t="str">
        <x:v>lade_0824_30aoi</x:v>
      </x:c>
      <x:c r="B109" s="22" t="n">
        <x:v>30</x:v>
      </x:c>
      <x:c r="C109" s="22" t="n">
        <x:v>2</x:v>
      </x:c>
      <x:c r="D109" s="22" t="n">
        <x:v>5</x:v>
      </x:c>
      <x:c r="E109" s="22" t="n">
        <x:v>43</x:v>
      </x:c>
      <x:c r="F109" s="30" t="str">
        <x:v>有效</x:v>
      </x:c>
      <x:c r="G109" s="22" t="n">
        <x:v>236</x:v>
      </x:c>
      <x:c r="H109" s="22" t="n">
        <x:v>236</x:v>
      </x:c>
      <x:c r="I109" s="24" t="n">
        <x:v>214.8265</x:v>
      </x:c>
      <x:c r="J109" s="24" t="n">
        <x:v>86.00810000000004</x:v>
      </x:c>
      <x:c r="K109" s="24" t="n">
        <x:v>1393.4166666666667</x:v>
      </x:c>
      <x:c r="L109" s="24" t="n">
        <x:v>2668.3333333333335</x:v>
      </x:c>
      <x:c r="M109" s="10" t="n">
        <x:v>2</x:v>
      </x:c>
      <x:c r="N109" s="10" t="n">
        <x:v>6</x:v>
      </x:c>
      <x:c r="O109" s="28" t="n">
        <x:f>IF(F109="有效",I109*'参数'!$B$10+J109*'参数'!$B$11,"n.a.")</x:f>
        <x:v>271.36785093000003</x:v>
      </x:c>
      <x:c r="P109" s="28" t="n">
        <x:f>IF(F109="有效",K109*'参数'!$B$12+L109*'参数'!$B$13,"n.a.")</x:f>
        <x:v>3457.552571180556</x:v>
      </x:c>
      <x:c r="Q109" s="28" t="n">
        <x:f>IF(F109="有效",M109*'参数'!$B$14+N109*'参数'!$B$15,"n.a.")</x:f>
        <x:v>560</x:v>
      </x:c>
      <x:c r="R109" s="28" t="n">
        <x:f>IF(F109="有效",IF(D109&lt;=2,G109*('参数'!$B$6+'参数'!$B$18),0),"n.a.")</x:f>
        <x:v>0</x:v>
      </x:c>
      <x:c r="S109" s="28" t="n">
        <x:f>IF(F109="有效",IF(D109&gt;=3,G109*'参数'!$B$16,0),"n.a.")</x:f>
        <x:v>188.8</x:v>
      </x:c>
      <x:c r="T109" s="28" t="n">
        <x:f>IF(F109="有效",IF(D109&gt;=3,G109*'参数'!$B$17,0),"n.a.")</x:f>
        <x:v>23.6</x:v>
      </x:c>
      <x:c r="U109" s="28" t="n">
        <x:f>IF(F109="有效",SUM(O109:T109),"n.a.")</x:f>
        <x:v>4501.320422110556</x:v>
      </x:c>
      <x:c r="V109" s="28" t="n">
        <x:f>IF(F109="有效",H109*'参数'!$B$7,"n.a.")</x:f>
        <x:v>8614</x:v>
      </x:c>
      <x:c r="W109" s="28" t="n">
        <x:f>IF(F109="有效",IF(D109&gt;=3,G109*'参数'!$B$7/'参数'!$B$8,0),"n.a.")</x:f>
        <x:v>172.28</x:v>
      </x:c>
      <x:c r="X109" s="28" t="n">
        <x:f>IF(F109="有效",U109+W109,"n.a.")</x:f>
        <x:v>4673.600422110556</x:v>
      </x:c>
      <x:c r="Y109" s="28" t="n">
        <x:f>IF(F109="有效",X109/G109,"n.a.")</x:f>
        <x:v>19.803391619112524</x:v>
      </x:c>
    </x:row>
    <x:row r="110" ht="22" customHeight="1">
      <x:c r="A110" s="11" t="str">
        <x:v>lade_0824_30aoi</x:v>
      </x:c>
      <x:c r="B110" s="22" t="n">
        <x:v>30</x:v>
      </x:c>
      <x:c r="C110" s="22" t="n">
        <x:v>2</x:v>
      </x:c>
      <x:c r="D110" s="22" t="n">
        <x:v>5</x:v>
      </x:c>
      <x:c r="E110" s="22" t="n">
        <x:v>44</x:v>
      </x:c>
      <x:c r="F110" s="30" t="str">
        <x:v>有效</x:v>
      </x:c>
      <x:c r="G110" s="22" t="n">
        <x:v>236</x:v>
      </x:c>
      <x:c r="H110" s="22" t="n">
        <x:v>236</x:v>
      </x:c>
      <x:c r="I110" s="24" t="n">
        <x:v>306.257</x:v>
      </x:c>
      <x:c r="J110" s="24" t="n">
        <x:v>82.59589999999997</x:v>
      </x:c>
      <x:c r="K110" s="24" t="n">
        <x:v>2084.233333333333</x:v>
      </x:c>
      <x:c r="L110" s="24" t="n">
        <x:v>2428.0833333333335</x:v>
      </x:c>
      <x:c r="M110" s="10" t="n">
        <x:v>3</x:v>
      </x:c>
      <x:c r="N110" s="10" t="n">
        <x:v>6</x:v>
      </x:c>
      <x:c r="O110" s="28" t="n">
        <x:f>IF(F110="有效",I110*'参数'!$B$10+J110*'参数'!$B$11,"n.a.")</x:f>
        <x:v>350.764758445</x:v>
      </x:c>
      <x:c r="P110" s="28" t="n">
        <x:f>IF(F110="有效",K110*'参数'!$B$12+L110*'参数'!$B$13,"n.a.")</x:f>
        <x:v>4022.056808680555</x:v>
      </x:c>
      <x:c r="Q110" s="28" t="n">
        <x:f>IF(F110="有效",M110*'参数'!$B$14+N110*'参数'!$B$15,"n.a.")</x:f>
        <x:v>660</x:v>
      </x:c>
      <x:c r="R110" s="28" t="n">
        <x:f>IF(F110="有效",IF(D110&lt;=2,G110*('参数'!$B$6+'参数'!$B$18),0),"n.a.")</x:f>
        <x:v>0</x:v>
      </x:c>
      <x:c r="S110" s="28" t="n">
        <x:f>IF(F110="有效",IF(D110&gt;=3,G110*'参数'!$B$16,0),"n.a.")</x:f>
        <x:v>188.8</x:v>
      </x:c>
      <x:c r="T110" s="28" t="n">
        <x:f>IF(F110="有效",IF(D110&gt;=3,G110*'参数'!$B$17,0),"n.a.")</x:f>
        <x:v>23.6</x:v>
      </x:c>
      <x:c r="U110" s="28" t="n">
        <x:f>IF(F110="有效",SUM(O110:T110),"n.a.")</x:f>
        <x:v>5245.221567125555</x:v>
      </x:c>
      <x:c r="V110" s="28" t="n">
        <x:f>IF(F110="有效",H110*'参数'!$B$7,"n.a.")</x:f>
        <x:v>8614</x:v>
      </x:c>
      <x:c r="W110" s="28" t="n">
        <x:f>IF(F110="有效",IF(D110&gt;=3,G110*'参数'!$B$7/'参数'!$B$8,0),"n.a.")</x:f>
        <x:v>172.28</x:v>
      </x:c>
      <x:c r="X110" s="28" t="n">
        <x:f>IF(F110="有效",U110+W110,"n.a.")</x:f>
        <x:v>5417.501567125555</x:v>
      </x:c>
      <x:c r="Y110" s="28" t="n">
        <x:f>IF(F110="有效",X110/G110,"n.a.")</x:f>
        <x:v>22.95551511493879</x:v>
      </x:c>
    </x:row>
    <x:row r="111" ht="22" customHeight="1">
      <x:c r="A111" s="11" t="str">
        <x:v>lade_0824_30aoi</x:v>
      </x:c>
      <x:c r="B111" s="22" t="n">
        <x:v>30</x:v>
      </x:c>
      <x:c r="C111" s="22" t="n">
        <x:v>3</x:v>
      </x:c>
      <x:c r="D111" s="22" t="n">
        <x:v>5</x:v>
      </x:c>
      <x:c r="E111" s="22" t="n">
        <x:v>42</x:v>
      </x:c>
      <x:c r="F111" s="30" t="str">
        <x:v>有效</x:v>
      </x:c>
      <x:c r="G111" s="22" t="n">
        <x:v>236</x:v>
      </x:c>
      <x:c r="H111" s="22" t="n">
        <x:v>236</x:v>
      </x:c>
      <x:c r="I111" s="24" t="n">
        <x:v>364.5005</x:v>
      </x:c>
      <x:c r="J111" s="24" t="n">
        <x:v>98.0732</x:v>
      </x:c>
      <x:c r="K111" s="24" t="n">
        <x:v>1422.3666666666666</x:v>
      </x:c>
      <x:c r="L111" s="24" t="n">
        <x:v>2106.383333333333</x:v>
      </x:c>
      <x:c r="M111" s="10" t="n">
        <x:v>3</x:v>
      </x:c>
      <x:c r="N111" s="10" t="n">
        <x:v>6</x:v>
      </x:c>
      <x:c r="O111" s="28" t="n">
        <x:f>IF(F111="有效",I111*'参数'!$B$10+J111*'参数'!$B$11,"n.a.")</x:f>
        <x:v>417.26460608499997</x:v>
      </x:c>
      <x:c r="P111" s="28" t="n">
        <x:f>IF(F111="有效",K111*'参数'!$B$12+L111*'参数'!$B$13,"n.a.")</x:f>
        <x:v>3075.311594097222</x:v>
      </x:c>
      <x:c r="Q111" s="28" t="n">
        <x:f>IF(F111="有效",M111*'参数'!$B$14+N111*'参数'!$B$15,"n.a.")</x:f>
        <x:v>660</x:v>
      </x:c>
      <x:c r="R111" s="28" t="n">
        <x:f>IF(F111="有效",IF(D111&lt;=2,G111*('参数'!$B$6+'参数'!$B$18),0),"n.a.")</x:f>
        <x:v>0</x:v>
      </x:c>
      <x:c r="S111" s="28" t="n">
        <x:f>IF(F111="有效",IF(D111&gt;=3,G111*'参数'!$B$16,0),"n.a.")</x:f>
        <x:v>188.8</x:v>
      </x:c>
      <x:c r="T111" s="28" t="n">
        <x:f>IF(F111="有效",IF(D111&gt;=3,G111*'参数'!$B$17,0),"n.a.")</x:f>
        <x:v>23.6</x:v>
      </x:c>
      <x:c r="U111" s="28" t="n">
        <x:f>IF(F111="有效",SUM(O111:T111),"n.a.")</x:f>
        <x:v>4364.976200182223</x:v>
      </x:c>
      <x:c r="V111" s="28" t="n">
        <x:f>IF(F111="有效",H111*'参数'!$B$7,"n.a.")</x:f>
        <x:v>8614</x:v>
      </x:c>
      <x:c r="W111" s="28" t="n">
        <x:f>IF(F111="有效",IF(D111&gt;=3,G111*'参数'!$B$7/'参数'!$B$8,0),"n.a.")</x:f>
        <x:v>172.28</x:v>
      </x:c>
      <x:c r="X111" s="28" t="n">
        <x:f>IF(F111="有效",U111+W111,"n.a.")</x:f>
        <x:v>4537.2562001822225</x:v>
      </x:c>
      <x:c r="Y111" s="28" t="n">
        <x:f>IF(F111="有效",X111/G111,"n.a.")</x:f>
        <x:v>19.22566186517891</x:v>
      </x:c>
    </x:row>
    <x:row r="112" ht="22" customHeight="1">
      <x:c r="A112" s="11" t="str">
        <x:v>lade_0824_30aoi</x:v>
      </x:c>
      <x:c r="B112" s="22" t="n">
        <x:v>30</x:v>
      </x:c>
      <x:c r="C112" s="22" t="n">
        <x:v>3</x:v>
      </x:c>
      <x:c r="D112" s="22" t="n">
        <x:v>5</x:v>
      </x:c>
      <x:c r="E112" s="22" t="n">
        <x:v>43</x:v>
      </x:c>
      <x:c r="F112" s="30" t="str">
        <x:v>有效</x:v>
      </x:c>
      <x:c r="G112" s="22" t="n">
        <x:v>236</x:v>
      </x:c>
      <x:c r="H112" s="22" t="n">
        <x:v>236</x:v>
      </x:c>
      <x:c r="I112" s="24" t="n">
        <x:v>365.7345</x:v>
      </x:c>
      <x:c r="J112" s="24" t="n">
        <x:v>96.45170000000003</x:v>
      </x:c>
      <x:c r="K112" s="24" t="n">
        <x:v>1570.6333333333334</x:v>
      </x:c>
      <x:c r="L112" s="24" t="n">
        <x:v>1710.8666666666666</x:v>
      </x:c>
      <x:c r="M112" s="10" t="n">
        <x:v>3</x:v>
      </x:c>
      <x:c r="N112" s="10" t="n">
        <x:v>6</x:v>
      </x:c>
      <x:c r="O112" s="28" t="n">
        <x:f>IF(F112="有效",I112*'参数'!$B$10+J112*'参数'!$B$11,"n.a.")</x:f>
        <x:v>416.9150617100001</x:v>
      </x:c>
      <x:c r="P112" s="28" t="n">
        <x:f>IF(F112="有效",K112*'参数'!$B$12+L112*'参数'!$B$13,"n.a.")</x:f>
        <x:v>2943.4981923611113</x:v>
      </x:c>
      <x:c r="Q112" s="28" t="n">
        <x:f>IF(F112="有效",M112*'参数'!$B$14+N112*'参数'!$B$15,"n.a.")</x:f>
        <x:v>660</x:v>
      </x:c>
      <x:c r="R112" s="28" t="n">
        <x:f>IF(F112="有效",IF(D112&lt;=2,G112*('参数'!$B$6+'参数'!$B$18),0),"n.a.")</x:f>
        <x:v>0</x:v>
      </x:c>
      <x:c r="S112" s="28" t="n">
        <x:f>IF(F112="有效",IF(D112&gt;=3,G112*'参数'!$B$16,0),"n.a.")</x:f>
        <x:v>188.8</x:v>
      </x:c>
      <x:c r="T112" s="28" t="n">
        <x:f>IF(F112="有效",IF(D112&gt;=3,G112*'参数'!$B$17,0),"n.a.")</x:f>
        <x:v>23.6</x:v>
      </x:c>
      <x:c r="U112" s="28" t="n">
        <x:f>IF(F112="有效",SUM(O112:T112),"n.a.")</x:f>
        <x:v>4232.813254071111</x:v>
      </x:c>
      <x:c r="V112" s="28" t="n">
        <x:f>IF(F112="有效",H112*'参数'!$B$7,"n.a.")</x:f>
        <x:v>8614</x:v>
      </x:c>
      <x:c r="W112" s="28" t="n">
        <x:f>IF(F112="有效",IF(D112&gt;=3,G112*'参数'!$B$7/'参数'!$B$8,0),"n.a.")</x:f>
        <x:v>172.28</x:v>
      </x:c>
      <x:c r="X112" s="28" t="n">
        <x:f>IF(F112="有效",U112+W112,"n.a.")</x:f>
        <x:v>4405.093254071111</x:v>
      </x:c>
      <x:c r="Y112" s="28" t="n">
        <x:f>IF(F112="有效",X112/G112,"n.a.")</x:f>
        <x:v>18.66564938165725</x:v>
      </x:c>
    </x:row>
    <x:row r="113" ht="22" customHeight="1">
      <x:c r="A113" s="11" t="str">
        <x:v>lade_0824_30aoi</x:v>
      </x:c>
      <x:c r="B113" s="22" t="n">
        <x:v>30</x:v>
      </x:c>
      <x:c r="C113" s="22" t="n">
        <x:v>3</x:v>
      </x:c>
      <x:c r="D113" s="22" t="n">
        <x:v>5</x:v>
      </x:c>
      <x:c r="E113" s="22" t="n">
        <x:v>44</x:v>
      </x:c>
      <x:c r="F113" s="30" t="str">
        <x:v>有效</x:v>
      </x:c>
      <x:c r="G113" s="22" t="n">
        <x:v>236</x:v>
      </x:c>
      <x:c r="H113" s="22" t="n">
        <x:v>236</x:v>
      </x:c>
      <x:c r="I113" s="24" t="n">
        <x:v>320.51249999999993</x:v>
      </x:c>
      <x:c r="J113" s="24" t="n">
        <x:v>97.03080000000003</x:v>
      </x:c>
      <x:c r="K113" s="24" t="n">
        <x:v>1223.05</x:v>
      </x:c>
      <x:c r="L113" s="24" t="n">
        <x:v>1446.0666666666666</x:v>
      </x:c>
      <x:c r="M113" s="10" t="n">
        <x:v>3</x:v>
      </x:c>
      <x:c r="N113" s="10" t="n">
        <x:v>6</x:v>
      </x:c>
      <x:c r="O113" s="28" t="n">
        <x:f>IF(F113="有效",I113*'参数'!$B$10+J113*'参数'!$B$11,"n.a.")</x:f>
        <x:v>376.644933765</x:v>
      </x:c>
      <x:c r="P113" s="28" t="n">
        <x:f>IF(F113="有效",K113*'参数'!$B$12+L113*'参数'!$B$13,"n.a.")</x:f>
        <x:v>2375.8081163194443</x:v>
      </x:c>
      <x:c r="Q113" s="28" t="n">
        <x:f>IF(F113="有效",M113*'参数'!$B$14+N113*'参数'!$B$15,"n.a.")</x:f>
        <x:v>660</x:v>
      </x:c>
      <x:c r="R113" s="28" t="n">
        <x:f>IF(F113="有效",IF(D113&lt;=2,G113*('参数'!$B$6+'参数'!$B$18),0),"n.a.")</x:f>
        <x:v>0</x:v>
      </x:c>
      <x:c r="S113" s="28" t="n">
        <x:f>IF(F113="有效",IF(D113&gt;=3,G113*'参数'!$B$16,0),"n.a.")</x:f>
        <x:v>188.8</x:v>
      </x:c>
      <x:c r="T113" s="28" t="n">
        <x:f>IF(F113="有效",IF(D113&gt;=3,G113*'参数'!$B$17,0),"n.a.")</x:f>
        <x:v>23.6</x:v>
      </x:c>
      <x:c r="U113" s="28" t="n">
        <x:f>IF(F113="有效",SUM(O113:T113),"n.a.")</x:f>
        <x:v>3624.8530500844445</x:v>
      </x:c>
      <x:c r="V113" s="28" t="n">
        <x:f>IF(F113="有效",H113*'参数'!$B$7,"n.a.")</x:f>
        <x:v>8614</x:v>
      </x:c>
      <x:c r="W113" s="28" t="n">
        <x:f>IF(F113="有效",IF(D113&gt;=3,G113*'参数'!$B$7/'参数'!$B$8,0),"n.a.")</x:f>
        <x:v>172.28</x:v>
      </x:c>
      <x:c r="X113" s="28" t="n">
        <x:f>IF(F113="有效",U113+W113,"n.a.")</x:f>
        <x:v>3797.1330500844447</x:v>
      </x:c>
      <x:c r="Y113" s="28" t="n">
        <x:f>IF(F113="有效",X113/G113,"n.a.")</x:f>
        <x:v>16.089546822391714</x:v>
      </x:c>
    </x:row>
    <x:row r="114" ht="22" customHeight="1">
      <x:c r="A114" s="11" t="str">
        <x:v>lade_0825_10aoi</x:v>
      </x:c>
      <x:c r="B114" s="22" t="n">
        <x:v>10</x:v>
      </x:c>
      <x:c r="C114" s="22" t="n">
        <x:v>1</x:v>
      </x:c>
      <x:c r="D114" s="22" t="n">
        <x:v>1</x:v>
      </x:c>
      <x:c r="E114" s="22" t="n">
        <x:v>42</x:v>
      </x:c>
      <x:c r="F114" s="30" t="str">
        <x:v>有效</x:v>
      </x:c>
      <x:c r="G114" s="22" t="n">
        <x:v>117</x:v>
      </x:c>
      <x:c r="H114" s="22" t="n">
        <x:v>0</x:v>
      </x:c>
      <x:c r="I114" s="24" t="n">
        <x:v>59.477500000000006</x:v>
      </x:c>
      <x:c r="J114" s="24" t="n">
        <x:v>40.5361</x:v>
      </x:c>
      <x:c r="K114" s="24" t="n">
        <x:v>60.63333333333333</x:v>
      </x:c>
      <x:c r="L114" s="24" t="n">
        <x:v>1199.4333333333334</x:v>
      </x:c>
      <x:c r="M114" s="10" t="n">
        <x:v>1</x:v>
      </x:c>
      <x:c r="N114" s="10" t="n">
        <x:v>3</x:v>
      </x:c>
      <x:c r="O114" s="28" t="n">
        <x:f>IF(F114="有效",I114*'参数'!$B$10+J114*'参数'!$B$11,"n.a.")</x:f>
        <x:v>90.21726788000001</x:v>
      </x:c>
      <x:c r="P114" s="28" t="n">
        <x:f>IF(F114="有效",K114*'参数'!$B$12+L114*'参数'!$B$13,"n.a.")</x:f>
        <x:v>947.2140055555556</x:v>
      </x:c>
      <x:c r="Q114" s="28" t="n">
        <x:f>IF(F114="有效",M114*'参数'!$B$14+N114*'参数'!$B$15,"n.a.")</x:f>
        <x:v>280</x:v>
      </x:c>
      <x:c r="R114" s="28" t="n">
        <x:f>IF(F114="有效",IF(D114&lt;=2,G114*('参数'!$B$6+'参数'!$B$18),0),"n.a.")</x:f>
        <x:v>468</x:v>
      </x:c>
      <x:c r="S114" s="28" t="n">
        <x:f>IF(F114="有效",IF(D114&gt;=3,G114*'参数'!$B$16,0),"n.a.")</x:f>
        <x:v>0</x:v>
      </x:c>
      <x:c r="T114" s="28" t="n">
        <x:f>IF(F114="有效",IF(D114&gt;=3,G114*'参数'!$B$17,0),"n.a.")</x:f>
        <x:v>0</x:v>
      </x:c>
      <x:c r="U114" s="28" t="n">
        <x:f>IF(F114="有效",SUM(O114:T114),"n.a.")</x:f>
        <x:v>1785.4312734355556</x:v>
      </x:c>
      <x:c r="V114" s="28" t="n">
        <x:f>IF(F114="有效",H114*'参数'!$B$7,"n.a.")</x:f>
        <x:v>0</x:v>
      </x:c>
      <x:c r="W114" s="28" t="n">
        <x:f>IF(F114="有效",IF(D114&gt;=3,G114*'参数'!$B$7/'参数'!$B$8,0),"n.a.")</x:f>
        <x:v>0</x:v>
      </x:c>
      <x:c r="X114" s="28" t="n">
        <x:f>IF(F114="有效",U114+W114,"n.a.")</x:f>
        <x:v>1785.4312734355556</x:v>
      </x:c>
      <x:c r="Y114" s="28" t="n">
        <x:f>IF(F114="有效",X114/G114,"n.a.")</x:f>
        <x:v>15.260096354150047</x:v>
      </x:c>
    </x:row>
    <x:row r="115" ht="22" customHeight="1">
      <x:c r="A115" s="11" t="str">
        <x:v>lade_0825_10aoi</x:v>
      </x:c>
      <x:c r="B115" s="22" t="n">
        <x:v>10</x:v>
      </x:c>
      <x:c r="C115" s="22" t="n">
        <x:v>1</x:v>
      </x:c>
      <x:c r="D115" s="22" t="n">
        <x:v>1</x:v>
      </x:c>
      <x:c r="E115" s="22" t="n">
        <x:v>43</x:v>
      </x:c>
      <x:c r="F115" s="30" t="str">
        <x:v>有效</x:v>
      </x:c>
      <x:c r="G115" s="22" t="n">
        <x:v>117</x:v>
      </x:c>
      <x:c r="H115" s="22" t="n">
        <x:v>0</x:v>
      </x:c>
      <x:c r="I115" s="24" t="n">
        <x:v>59.477500000000006</x:v>
      </x:c>
      <x:c r="J115" s="24" t="n">
        <x:v>40.53609999999999</x:v>
      </x:c>
      <x:c r="K115" s="24" t="n">
        <x:v>60.63333333333333</x:v>
      </x:c>
      <x:c r="L115" s="24" t="n">
        <x:v>1199.4333333333334</x:v>
      </x:c>
      <x:c r="M115" s="10" t="n">
        <x:v>1</x:v>
      </x:c>
      <x:c r="N115" s="10" t="n">
        <x:v>3</x:v>
      </x:c>
      <x:c r="O115" s="28" t="n">
        <x:f>IF(F115="有效",I115*'参数'!$B$10+J115*'参数'!$B$11,"n.a.")</x:f>
        <x:v>90.21726788000001</x:v>
      </x:c>
      <x:c r="P115" s="28" t="n">
        <x:f>IF(F115="有效",K115*'参数'!$B$12+L115*'参数'!$B$13,"n.a.")</x:f>
        <x:v>947.2140055555556</x:v>
      </x:c>
      <x:c r="Q115" s="28" t="n">
        <x:f>IF(F115="有效",M115*'参数'!$B$14+N115*'参数'!$B$15,"n.a.")</x:f>
        <x:v>280</x:v>
      </x:c>
      <x:c r="R115" s="28" t="n">
        <x:f>IF(F115="有效",IF(D115&lt;=2,G115*('参数'!$B$6+'参数'!$B$18),0),"n.a.")</x:f>
        <x:v>468</x:v>
      </x:c>
      <x:c r="S115" s="28" t="n">
        <x:f>IF(F115="有效",IF(D115&gt;=3,G115*'参数'!$B$16,0),"n.a.")</x:f>
        <x:v>0</x:v>
      </x:c>
      <x:c r="T115" s="28" t="n">
        <x:f>IF(F115="有效",IF(D115&gt;=3,G115*'参数'!$B$17,0),"n.a.")</x:f>
        <x:v>0</x:v>
      </x:c>
      <x:c r="U115" s="28" t="n">
        <x:f>IF(F115="有效",SUM(O115:T115),"n.a.")</x:f>
        <x:v>1785.4312734355556</x:v>
      </x:c>
      <x:c r="V115" s="28" t="n">
        <x:f>IF(F115="有效",H115*'参数'!$B$7,"n.a.")</x:f>
        <x:v>0</x:v>
      </x:c>
      <x:c r="W115" s="28" t="n">
        <x:f>IF(F115="有效",IF(D115&gt;=3,G115*'参数'!$B$7/'参数'!$B$8,0),"n.a.")</x:f>
        <x:v>0</x:v>
      </x:c>
      <x:c r="X115" s="28" t="n">
        <x:f>IF(F115="有效",U115+W115,"n.a.")</x:f>
        <x:v>1785.4312734355556</x:v>
      </x:c>
      <x:c r="Y115" s="28" t="n">
        <x:f>IF(F115="有效",X115/G115,"n.a.")</x:f>
        <x:v>15.260096354150047</x:v>
      </x:c>
    </x:row>
    <x:row r="116" ht="22" customHeight="1">
      <x:c r="A116" s="11" t="str">
        <x:v>lade_0825_10aoi</x:v>
      </x:c>
      <x:c r="B116" s="22" t="n">
        <x:v>10</x:v>
      </x:c>
      <x:c r="C116" s="22" t="n">
        <x:v>1</x:v>
      </x:c>
      <x:c r="D116" s="22" t="n">
        <x:v>1</x:v>
      </x:c>
      <x:c r="E116" s="22" t="n">
        <x:v>44</x:v>
      </x:c>
      <x:c r="F116" s="30" t="str">
        <x:v>有效</x:v>
      </x:c>
      <x:c r="G116" s="22" t="n">
        <x:v>117</x:v>
      </x:c>
      <x:c r="H116" s="22" t="n">
        <x:v>0</x:v>
      </x:c>
      <x:c r="I116" s="24" t="n">
        <x:v>59.477500000000006</x:v>
      </x:c>
      <x:c r="J116" s="24" t="n">
        <x:v>40.536100000000005</x:v>
      </x:c>
      <x:c r="K116" s="24" t="n">
        <x:v>60.63333333333333</x:v>
      </x:c>
      <x:c r="L116" s="24" t="n">
        <x:v>1199.4333333333334</x:v>
      </x:c>
      <x:c r="M116" s="10" t="n">
        <x:v>1</x:v>
      </x:c>
      <x:c r="N116" s="10" t="n">
        <x:v>3</x:v>
      </x:c>
      <x:c r="O116" s="28" t="n">
        <x:f>IF(F116="有效",I116*'参数'!$B$10+J116*'参数'!$B$11,"n.a.")</x:f>
        <x:v>90.21726788000001</x:v>
      </x:c>
      <x:c r="P116" s="28" t="n">
        <x:f>IF(F116="有效",K116*'参数'!$B$12+L116*'参数'!$B$13,"n.a.")</x:f>
        <x:v>947.2140055555556</x:v>
      </x:c>
      <x:c r="Q116" s="28" t="n">
        <x:f>IF(F116="有效",M116*'参数'!$B$14+N116*'参数'!$B$15,"n.a.")</x:f>
        <x:v>280</x:v>
      </x:c>
      <x:c r="R116" s="28" t="n">
        <x:f>IF(F116="有效",IF(D116&lt;=2,G116*('参数'!$B$6+'参数'!$B$18),0),"n.a.")</x:f>
        <x:v>468</x:v>
      </x:c>
      <x:c r="S116" s="28" t="n">
        <x:f>IF(F116="有效",IF(D116&gt;=3,G116*'参数'!$B$16,0),"n.a.")</x:f>
        <x:v>0</x:v>
      </x:c>
      <x:c r="T116" s="28" t="n">
        <x:f>IF(F116="有效",IF(D116&gt;=3,G116*'参数'!$B$17,0),"n.a.")</x:f>
        <x:v>0</x:v>
      </x:c>
      <x:c r="U116" s="28" t="n">
        <x:f>IF(F116="有效",SUM(O116:T116),"n.a.")</x:f>
        <x:v>1785.4312734355556</x:v>
      </x:c>
      <x:c r="V116" s="28" t="n">
        <x:f>IF(F116="有效",H116*'参数'!$B$7,"n.a.")</x:f>
        <x:v>0</x:v>
      </x:c>
      <x:c r="W116" s="28" t="n">
        <x:f>IF(F116="有效",IF(D116&gt;=3,G116*'参数'!$B$7/'参数'!$B$8,0),"n.a.")</x:f>
        <x:v>0</x:v>
      </x:c>
      <x:c r="X116" s="28" t="n">
        <x:f>IF(F116="有效",U116+W116,"n.a.")</x:f>
        <x:v>1785.4312734355556</x:v>
      </x:c>
      <x:c r="Y116" s="28" t="n">
        <x:f>IF(F116="有效",X116/G116,"n.a.")</x:f>
        <x:v>15.260096354150047</x:v>
      </x:c>
    </x:row>
    <x:row r="117" ht="22" customHeight="1">
      <x:c r="A117" s="11" t="str">
        <x:v>lade_0825_10aoi</x:v>
      </x:c>
      <x:c r="B117" s="22" t="n">
        <x:v>10</x:v>
      </x:c>
      <x:c r="C117" s="22" t="n">
        <x:v>1</x:v>
      </x:c>
      <x:c r="D117" s="22" t="n">
        <x:v>2</x:v>
      </x:c>
      <x:c r="E117" s="22" t="n">
        <x:v>42</x:v>
      </x:c>
      <x:c r="F117" s="30" t="str">
        <x:v>有效</x:v>
      </x:c>
      <x:c r="G117" s="22" t="n">
        <x:v>117</x:v>
      </x:c>
      <x:c r="H117" s="22" t="n">
        <x:v>0</x:v>
      </x:c>
      <x:c r="I117" s="24" t="n">
        <x:v>59.477500000000006</x:v>
      </x:c>
      <x:c r="J117" s="24" t="n">
        <x:v>40.5361</x:v>
      </x:c>
      <x:c r="K117" s="24" t="n">
        <x:v>60.63333333333333</x:v>
      </x:c>
      <x:c r="L117" s="24" t="n">
        <x:v>1199.4333333333334</x:v>
      </x:c>
      <x:c r="M117" s="10" t="n">
        <x:v>1</x:v>
      </x:c>
      <x:c r="N117" s="10" t="n">
        <x:v>3</x:v>
      </x:c>
      <x:c r="O117" s="28" t="n">
        <x:f>IF(F117="有效",I117*'参数'!$B$10+J117*'参数'!$B$11,"n.a.")</x:f>
        <x:v>90.21726788000001</x:v>
      </x:c>
      <x:c r="P117" s="28" t="n">
        <x:f>IF(F117="有效",K117*'参数'!$B$12+L117*'参数'!$B$13,"n.a.")</x:f>
        <x:v>947.2140055555556</x:v>
      </x:c>
      <x:c r="Q117" s="28" t="n">
        <x:f>IF(F117="有效",M117*'参数'!$B$14+N117*'参数'!$B$15,"n.a.")</x:f>
        <x:v>280</x:v>
      </x:c>
      <x:c r="R117" s="28" t="n">
        <x:f>IF(F117="有效",IF(D117&lt;=2,G117*('参数'!$B$6+'参数'!$B$18),0),"n.a.")</x:f>
        <x:v>468</x:v>
      </x:c>
      <x:c r="S117" s="28" t="n">
        <x:f>IF(F117="有效",IF(D117&gt;=3,G117*'参数'!$B$16,0),"n.a.")</x:f>
        <x:v>0</x:v>
      </x:c>
      <x:c r="T117" s="28" t="n">
        <x:f>IF(F117="有效",IF(D117&gt;=3,G117*'参数'!$B$17,0),"n.a.")</x:f>
        <x:v>0</x:v>
      </x:c>
      <x:c r="U117" s="28" t="n">
        <x:f>IF(F117="有效",SUM(O117:T117),"n.a.")</x:f>
        <x:v>1785.4312734355556</x:v>
      </x:c>
      <x:c r="V117" s="28" t="n">
        <x:f>IF(F117="有效",H117*'参数'!$B$7,"n.a.")</x:f>
        <x:v>0</x:v>
      </x:c>
      <x:c r="W117" s="28" t="n">
        <x:f>IF(F117="有效",IF(D117&gt;=3,G117*'参数'!$B$7/'参数'!$B$8,0),"n.a.")</x:f>
        <x:v>0</x:v>
      </x:c>
      <x:c r="X117" s="28" t="n">
        <x:f>IF(F117="有效",U117+W117,"n.a.")</x:f>
        <x:v>1785.4312734355556</x:v>
      </x:c>
      <x:c r="Y117" s="28" t="n">
        <x:f>IF(F117="有效",X117/G117,"n.a.")</x:f>
        <x:v>15.260096354150047</x:v>
      </x:c>
    </x:row>
    <x:row r="118" ht="22" customHeight="1">
      <x:c r="A118" s="11" t="str">
        <x:v>lade_0825_10aoi</x:v>
      </x:c>
      <x:c r="B118" s="22" t="n">
        <x:v>10</x:v>
      </x:c>
      <x:c r="C118" s="22" t="n">
        <x:v>1</x:v>
      </x:c>
      <x:c r="D118" s="22" t="n">
        <x:v>2</x:v>
      </x:c>
      <x:c r="E118" s="22" t="n">
        <x:v>43</x:v>
      </x:c>
      <x:c r="F118" s="30" t="str">
        <x:v>有效</x:v>
      </x:c>
      <x:c r="G118" s="22" t="n">
        <x:v>117</x:v>
      </x:c>
      <x:c r="H118" s="22" t="n">
        <x:v>0</x:v>
      </x:c>
      <x:c r="I118" s="24" t="n">
        <x:v>59.477500000000006</x:v>
      </x:c>
      <x:c r="J118" s="24" t="n">
        <x:v>40.53609999999999</x:v>
      </x:c>
      <x:c r="K118" s="24" t="n">
        <x:v>60.63333333333333</x:v>
      </x:c>
      <x:c r="L118" s="24" t="n">
        <x:v>1199.4333333333334</x:v>
      </x:c>
      <x:c r="M118" s="10" t="n">
        <x:v>1</x:v>
      </x:c>
      <x:c r="N118" s="10" t="n">
        <x:v>3</x:v>
      </x:c>
      <x:c r="O118" s="28" t="n">
        <x:f>IF(F118="有效",I118*'参数'!$B$10+J118*'参数'!$B$11,"n.a.")</x:f>
        <x:v>90.21726788000001</x:v>
      </x:c>
      <x:c r="P118" s="28" t="n">
        <x:f>IF(F118="有效",K118*'参数'!$B$12+L118*'参数'!$B$13,"n.a.")</x:f>
        <x:v>947.2140055555556</x:v>
      </x:c>
      <x:c r="Q118" s="28" t="n">
        <x:f>IF(F118="有效",M118*'参数'!$B$14+N118*'参数'!$B$15,"n.a.")</x:f>
        <x:v>280</x:v>
      </x:c>
      <x:c r="R118" s="28" t="n">
        <x:f>IF(F118="有效",IF(D118&lt;=2,G118*('参数'!$B$6+'参数'!$B$18),0),"n.a.")</x:f>
        <x:v>468</x:v>
      </x:c>
      <x:c r="S118" s="28" t="n">
        <x:f>IF(F118="有效",IF(D118&gt;=3,G118*'参数'!$B$16,0),"n.a.")</x:f>
        <x:v>0</x:v>
      </x:c>
      <x:c r="T118" s="28" t="n">
        <x:f>IF(F118="有效",IF(D118&gt;=3,G118*'参数'!$B$17,0),"n.a.")</x:f>
        <x:v>0</x:v>
      </x:c>
      <x:c r="U118" s="28" t="n">
        <x:f>IF(F118="有效",SUM(O118:T118),"n.a.")</x:f>
        <x:v>1785.4312734355556</x:v>
      </x:c>
      <x:c r="V118" s="28" t="n">
        <x:f>IF(F118="有效",H118*'参数'!$B$7,"n.a.")</x:f>
        <x:v>0</x:v>
      </x:c>
      <x:c r="W118" s="28" t="n">
        <x:f>IF(F118="有效",IF(D118&gt;=3,G118*'参数'!$B$7/'参数'!$B$8,0),"n.a.")</x:f>
        <x:v>0</x:v>
      </x:c>
      <x:c r="X118" s="28" t="n">
        <x:f>IF(F118="有效",U118+W118,"n.a.")</x:f>
        <x:v>1785.4312734355556</x:v>
      </x:c>
      <x:c r="Y118" s="28" t="n">
        <x:f>IF(F118="有效",X118/G118,"n.a.")</x:f>
        <x:v>15.260096354150047</x:v>
      </x:c>
    </x:row>
    <x:row r="119" ht="22" customHeight="1">
      <x:c r="A119" s="11" t="str">
        <x:v>lade_0825_10aoi</x:v>
      </x:c>
      <x:c r="B119" s="22" t="n">
        <x:v>10</x:v>
      </x:c>
      <x:c r="C119" s="22" t="n">
        <x:v>1</x:v>
      </x:c>
      <x:c r="D119" s="22" t="n">
        <x:v>2</x:v>
      </x:c>
      <x:c r="E119" s="22" t="n">
        <x:v>44</x:v>
      </x:c>
      <x:c r="F119" s="30" t="str">
        <x:v>有效</x:v>
      </x:c>
      <x:c r="G119" s="22" t="n">
        <x:v>117</x:v>
      </x:c>
      <x:c r="H119" s="22" t="n">
        <x:v>0</x:v>
      </x:c>
      <x:c r="I119" s="24" t="n">
        <x:v>59.477500000000006</x:v>
      </x:c>
      <x:c r="J119" s="24" t="n">
        <x:v>40.536100000000005</x:v>
      </x:c>
      <x:c r="K119" s="24" t="n">
        <x:v>60.63333333333333</x:v>
      </x:c>
      <x:c r="L119" s="24" t="n">
        <x:v>1199.4333333333334</x:v>
      </x:c>
      <x:c r="M119" s="10" t="n">
        <x:v>1</x:v>
      </x:c>
      <x:c r="N119" s="10" t="n">
        <x:v>3</x:v>
      </x:c>
      <x:c r="O119" s="28" t="n">
        <x:f>IF(F119="有效",I119*'参数'!$B$10+J119*'参数'!$B$11,"n.a.")</x:f>
        <x:v>90.21726788000001</x:v>
      </x:c>
      <x:c r="P119" s="28" t="n">
        <x:f>IF(F119="有效",K119*'参数'!$B$12+L119*'参数'!$B$13,"n.a.")</x:f>
        <x:v>947.2140055555556</x:v>
      </x:c>
      <x:c r="Q119" s="28" t="n">
        <x:f>IF(F119="有效",M119*'参数'!$B$14+N119*'参数'!$B$15,"n.a.")</x:f>
        <x:v>280</x:v>
      </x:c>
      <x:c r="R119" s="28" t="n">
        <x:f>IF(F119="有效",IF(D119&lt;=2,G119*('参数'!$B$6+'参数'!$B$18),0),"n.a.")</x:f>
        <x:v>468</x:v>
      </x:c>
      <x:c r="S119" s="28" t="n">
        <x:f>IF(F119="有效",IF(D119&gt;=3,G119*'参数'!$B$16,0),"n.a.")</x:f>
        <x:v>0</x:v>
      </x:c>
      <x:c r="T119" s="28" t="n">
        <x:f>IF(F119="有效",IF(D119&gt;=3,G119*'参数'!$B$17,0),"n.a.")</x:f>
        <x:v>0</x:v>
      </x:c>
      <x:c r="U119" s="28" t="n">
        <x:f>IF(F119="有效",SUM(O119:T119),"n.a.")</x:f>
        <x:v>1785.4312734355556</x:v>
      </x:c>
      <x:c r="V119" s="28" t="n">
        <x:f>IF(F119="有效",H119*'参数'!$B$7,"n.a.")</x:f>
        <x:v>0</x:v>
      </x:c>
      <x:c r="W119" s="28" t="n">
        <x:f>IF(F119="有效",IF(D119&gt;=3,G119*'参数'!$B$7/'参数'!$B$8,0),"n.a.")</x:f>
        <x:v>0</x:v>
      </x:c>
      <x:c r="X119" s="28" t="n">
        <x:f>IF(F119="有效",U119+W119,"n.a.")</x:f>
        <x:v>1785.4312734355556</x:v>
      </x:c>
      <x:c r="Y119" s="28" t="n">
        <x:f>IF(F119="有效",X119/G119,"n.a.")</x:f>
        <x:v>15.260096354150047</x:v>
      </x:c>
    </x:row>
    <x:row r="120" ht="22" customHeight="1">
      <x:c r="A120" s="11" t="str">
        <x:v>lade_0825_10aoi</x:v>
      </x:c>
      <x:c r="B120" s="22" t="n">
        <x:v>10</x:v>
      </x:c>
      <x:c r="C120" s="22" t="n">
        <x:v>1</x:v>
      </x:c>
      <x:c r="D120" s="22" t="n">
        <x:v>3</x:v>
      </x:c>
      <x:c r="E120" s="22" t="n">
        <x:v>42</x:v>
      </x:c>
      <x:c r="F120" s="30" t="str">
        <x:v>有效</x:v>
      </x:c>
      <x:c r="G120" s="22" t="n">
        <x:v>117</x:v>
      </x:c>
      <x:c r="H120" s="22" t="n">
        <x:v>117</x:v>
      </x:c>
      <x:c r="I120" s="24" t="n">
        <x:v>63.013999999999996</x:v>
      </x:c>
      <x:c r="J120" s="24" t="n">
        <x:v>45.77929999999999</x:v>
      </x:c>
      <x:c r="K120" s="24" t="n">
        <x:v>738.65</x:v>
      </x:c>
      <x:c r="L120" s="24" t="n">
        <x:v>1374.4333333333334</x:v>
      </x:c>
      <x:c r="M120" s="10" t="n">
        <x:v>1</x:v>
      </x:c>
      <x:c r="N120" s="10" t="n">
        <x:v>3</x:v>
      </x:c>
      <x:c r="O120" s="28" t="n">
        <x:f>IF(F120="有效",I120*'参数'!$B$10+J120*'参数'!$B$11,"n.a.")</x:f>
        <x:v>98.136996265</x:v>
      </x:c>
      <x:c r="P120" s="28" t="n">
        <x:f>IF(F120="有效",K120*'参数'!$B$12+L120*'参数'!$B$13,"n.a.")</x:f>
        <x:v>1803.3923670138888</x:v>
      </x:c>
      <x:c r="Q120" s="28" t="n">
        <x:f>IF(F120="有效",M120*'参数'!$B$14+N120*'参数'!$B$15,"n.a.")</x:f>
        <x:v>280</x:v>
      </x:c>
      <x:c r="R120" s="28" t="n">
        <x:f>IF(F120="有效",IF(D120&lt;=2,G120*('参数'!$B$6+'参数'!$B$18),0),"n.a.")</x:f>
        <x:v>0</x:v>
      </x:c>
      <x:c r="S120" s="28" t="n">
        <x:f>IF(F120="有效",IF(D120&gt;=3,G120*'参数'!$B$16,0),"n.a.")</x:f>
        <x:v>93.60000000000001</x:v>
      </x:c>
      <x:c r="T120" s="28" t="n">
        <x:f>IF(F120="有效",IF(D120&gt;=3,G120*'参数'!$B$17,0),"n.a.")</x:f>
        <x:v>11.700000000000001</x:v>
      </x:c>
      <x:c r="U120" s="28" t="n">
        <x:f>IF(F120="有效",SUM(O120:T120),"n.a.")</x:f>
        <x:v>2286.8293632788886</x:v>
      </x:c>
      <x:c r="V120" s="28" t="n">
        <x:f>IF(F120="有效",H120*'参数'!$B$7,"n.a.")</x:f>
        <x:v>4270.5</x:v>
      </x:c>
      <x:c r="W120" s="28" t="n">
        <x:f>IF(F120="有效",IF(D120&gt;=3,G120*'参数'!$B$7/'参数'!$B$8,0),"n.a.")</x:f>
        <x:v>85.41</x:v>
      </x:c>
      <x:c r="X120" s="28" t="n">
        <x:f>IF(F120="有效",U120+W120,"n.a.")</x:f>
        <x:v>2372.2393632788885</x:v>
      </x:c>
      <x:c r="Y120" s="28" t="n">
        <x:f>IF(F120="有效",X120/G120,"n.a.")</x:f>
        <x:v>20.275550113494774</x:v>
      </x:c>
    </x:row>
    <x:row r="121" ht="22" customHeight="1">
      <x:c r="A121" s="11" t="str">
        <x:v>lade_0825_10aoi</x:v>
      </x:c>
      <x:c r="B121" s="22" t="n">
        <x:v>10</x:v>
      </x:c>
      <x:c r="C121" s="22" t="n">
        <x:v>1</x:v>
      </x:c>
      <x:c r="D121" s="22" t="n">
        <x:v>3</x:v>
      </x:c>
      <x:c r="E121" s="22" t="n">
        <x:v>43</x:v>
      </x:c>
      <x:c r="F121" s="30" t="str">
        <x:v>有效</x:v>
      </x:c>
      <x:c r="G121" s="22" t="n">
        <x:v>117</x:v>
      </x:c>
      <x:c r="H121" s="22" t="n">
        <x:v>117</x:v>
      </x:c>
      <x:c r="I121" s="24" t="n">
        <x:v>63.013999999999996</x:v>
      </x:c>
      <x:c r="J121" s="24" t="n">
        <x:v>45.77929999999999</x:v>
      </x:c>
      <x:c r="K121" s="24" t="n">
        <x:v>738.65</x:v>
      </x:c>
      <x:c r="L121" s="24" t="n">
        <x:v>1374.4333333333334</x:v>
      </x:c>
      <x:c r="M121" s="10" t="n">
        <x:v>1</x:v>
      </x:c>
      <x:c r="N121" s="10" t="n">
        <x:v>3</x:v>
      </x:c>
      <x:c r="O121" s="28" t="n">
        <x:f>IF(F121="有效",I121*'参数'!$B$10+J121*'参数'!$B$11,"n.a.")</x:f>
        <x:v>98.136996265</x:v>
      </x:c>
      <x:c r="P121" s="28" t="n">
        <x:f>IF(F121="有效",K121*'参数'!$B$12+L121*'参数'!$B$13,"n.a.")</x:f>
        <x:v>1803.3923670138888</x:v>
      </x:c>
      <x:c r="Q121" s="28" t="n">
        <x:f>IF(F121="有效",M121*'参数'!$B$14+N121*'参数'!$B$15,"n.a.")</x:f>
        <x:v>280</x:v>
      </x:c>
      <x:c r="R121" s="28" t="n">
        <x:f>IF(F121="有效",IF(D121&lt;=2,G121*('参数'!$B$6+'参数'!$B$18),0),"n.a.")</x:f>
        <x:v>0</x:v>
      </x:c>
      <x:c r="S121" s="28" t="n">
        <x:f>IF(F121="有效",IF(D121&gt;=3,G121*'参数'!$B$16,0),"n.a.")</x:f>
        <x:v>93.60000000000001</x:v>
      </x:c>
      <x:c r="T121" s="28" t="n">
        <x:f>IF(F121="有效",IF(D121&gt;=3,G121*'参数'!$B$17,0),"n.a.")</x:f>
        <x:v>11.700000000000001</x:v>
      </x:c>
      <x:c r="U121" s="28" t="n">
        <x:f>IF(F121="有效",SUM(O121:T121),"n.a.")</x:f>
        <x:v>2286.8293632788886</x:v>
      </x:c>
      <x:c r="V121" s="28" t="n">
        <x:f>IF(F121="有效",H121*'参数'!$B$7,"n.a.")</x:f>
        <x:v>4270.5</x:v>
      </x:c>
      <x:c r="W121" s="28" t="n">
        <x:f>IF(F121="有效",IF(D121&gt;=3,G121*'参数'!$B$7/'参数'!$B$8,0),"n.a.")</x:f>
        <x:v>85.41</x:v>
      </x:c>
      <x:c r="X121" s="28" t="n">
        <x:f>IF(F121="有效",U121+W121,"n.a.")</x:f>
        <x:v>2372.2393632788885</x:v>
      </x:c>
      <x:c r="Y121" s="28" t="n">
        <x:f>IF(F121="有效",X121/G121,"n.a.")</x:f>
        <x:v>20.275550113494774</x:v>
      </x:c>
    </x:row>
    <x:row r="122" ht="22" customHeight="1">
      <x:c r="A122" s="11" t="str">
        <x:v>lade_0825_10aoi</x:v>
      </x:c>
      <x:c r="B122" s="22" t="n">
        <x:v>10</x:v>
      </x:c>
      <x:c r="C122" s="22" t="n">
        <x:v>1</x:v>
      </x:c>
      <x:c r="D122" s="22" t="n">
        <x:v>3</x:v>
      </x:c>
      <x:c r="E122" s="22" t="n">
        <x:v>44</x:v>
      </x:c>
      <x:c r="F122" s="30" t="str">
        <x:v>有效</x:v>
      </x:c>
      <x:c r="G122" s="22" t="n">
        <x:v>117</x:v>
      </x:c>
      <x:c r="H122" s="22" t="n">
        <x:v>117</x:v>
      </x:c>
      <x:c r="I122" s="24" t="n">
        <x:v>63.013999999999996</x:v>
      </x:c>
      <x:c r="J122" s="24" t="n">
        <x:v>45.77929999999999</x:v>
      </x:c>
      <x:c r="K122" s="24" t="n">
        <x:v>738.65</x:v>
      </x:c>
      <x:c r="L122" s="24" t="n">
        <x:v>1374.4333333333334</x:v>
      </x:c>
      <x:c r="M122" s="10" t="n">
        <x:v>1</x:v>
      </x:c>
      <x:c r="N122" s="10" t="n">
        <x:v>3</x:v>
      </x:c>
      <x:c r="O122" s="28" t="n">
        <x:f>IF(F122="有效",I122*'参数'!$B$10+J122*'参数'!$B$11,"n.a.")</x:f>
        <x:v>98.136996265</x:v>
      </x:c>
      <x:c r="P122" s="28" t="n">
        <x:f>IF(F122="有效",K122*'参数'!$B$12+L122*'参数'!$B$13,"n.a.")</x:f>
        <x:v>1803.3923670138888</x:v>
      </x:c>
      <x:c r="Q122" s="28" t="n">
        <x:f>IF(F122="有效",M122*'参数'!$B$14+N122*'参数'!$B$15,"n.a.")</x:f>
        <x:v>280</x:v>
      </x:c>
      <x:c r="R122" s="28" t="n">
        <x:f>IF(F122="有效",IF(D122&lt;=2,G122*('参数'!$B$6+'参数'!$B$18),0),"n.a.")</x:f>
        <x:v>0</x:v>
      </x:c>
      <x:c r="S122" s="28" t="n">
        <x:f>IF(F122="有效",IF(D122&gt;=3,G122*'参数'!$B$16,0),"n.a.")</x:f>
        <x:v>93.60000000000001</x:v>
      </x:c>
      <x:c r="T122" s="28" t="n">
        <x:f>IF(F122="有效",IF(D122&gt;=3,G122*'参数'!$B$17,0),"n.a.")</x:f>
        <x:v>11.700000000000001</x:v>
      </x:c>
      <x:c r="U122" s="28" t="n">
        <x:f>IF(F122="有效",SUM(O122:T122),"n.a.")</x:f>
        <x:v>2286.8293632788886</x:v>
      </x:c>
      <x:c r="V122" s="28" t="n">
        <x:f>IF(F122="有效",H122*'参数'!$B$7,"n.a.")</x:f>
        <x:v>4270.5</x:v>
      </x:c>
      <x:c r="W122" s="28" t="n">
        <x:f>IF(F122="有效",IF(D122&gt;=3,G122*'参数'!$B$7/'参数'!$B$8,0),"n.a.")</x:f>
        <x:v>85.41</x:v>
      </x:c>
      <x:c r="X122" s="28" t="n">
        <x:f>IF(F122="有效",U122+W122,"n.a.")</x:f>
        <x:v>2372.2393632788885</x:v>
      </x:c>
      <x:c r="Y122" s="28" t="n">
        <x:f>IF(F122="有效",X122/G122,"n.a.")</x:f>
        <x:v>20.275550113494774</x:v>
      </x:c>
    </x:row>
    <x:row r="123" ht="22" customHeight="1">
      <x:c r="A123" s="11" t="str">
        <x:v>lade_0825_10aoi</x:v>
      </x:c>
      <x:c r="B123" s="22" t="n">
        <x:v>10</x:v>
      </x:c>
      <x:c r="C123" s="22" t="n">
        <x:v>1</x:v>
      </x:c>
      <x:c r="D123" s="22" t="n">
        <x:v>4</x:v>
      </x:c>
      <x:c r="E123" s="22" t="n">
        <x:v>42</x:v>
      </x:c>
      <x:c r="F123" s="30" t="str">
        <x:v>有效</x:v>
      </x:c>
      <x:c r="G123" s="22" t="n">
        <x:v>117</x:v>
      </x:c>
      <x:c r="H123" s="22" t="n">
        <x:v>117</x:v>
      </x:c>
      <x:c r="I123" s="24" t="n">
        <x:v>63.013999999999996</x:v>
      </x:c>
      <x:c r="J123" s="24" t="n">
        <x:v>41.637</x:v>
      </x:c>
      <x:c r="K123" s="24" t="n">
        <x:v>738.65</x:v>
      </x:c>
      <x:c r="L123" s="24" t="n">
        <x:v>1375.4333333333334</x:v>
      </x:c>
      <x:c r="M123" s="10" t="n">
        <x:v>1</x:v>
      </x:c>
      <x:c r="N123" s="10" t="n">
        <x:v>3</x:v>
      </x:c>
      <x:c r="O123" s="28" t="n">
        <x:f>IF(F123="有效",I123*'参数'!$B$10+J123*'参数'!$B$11,"n.a.")</x:f>
        <x:v>94.40043455</x:v>
      </x:c>
      <x:c r="P123" s="28" t="n">
        <x:f>IF(F123="有效",K123*'参数'!$B$12+L123*'参数'!$B$13,"n.a.")</x:f>
        <x:v>1804.1278461805555</x:v>
      </x:c>
      <x:c r="Q123" s="28" t="n">
        <x:f>IF(F123="有效",M123*'参数'!$B$14+N123*'参数'!$B$15,"n.a.")</x:f>
        <x:v>280</x:v>
      </x:c>
      <x:c r="R123" s="28" t="n">
        <x:f>IF(F123="有效",IF(D123&lt;=2,G123*('参数'!$B$6+'参数'!$B$18),0),"n.a.")</x:f>
        <x:v>0</x:v>
      </x:c>
      <x:c r="S123" s="28" t="n">
        <x:f>IF(F123="有效",IF(D123&gt;=3,G123*'参数'!$B$16,0),"n.a.")</x:f>
        <x:v>93.60000000000001</x:v>
      </x:c>
      <x:c r="T123" s="28" t="n">
        <x:f>IF(F123="有效",IF(D123&gt;=3,G123*'参数'!$B$17,0),"n.a.")</x:f>
        <x:v>11.700000000000001</x:v>
      </x:c>
      <x:c r="U123" s="28" t="n">
        <x:f>IF(F123="有效",SUM(O123:T123),"n.a.")</x:f>
        <x:v>2283.8282807305554</x:v>
      </x:c>
      <x:c r="V123" s="28" t="n">
        <x:f>IF(F123="有效",H123*'参数'!$B$7,"n.a.")</x:f>
        <x:v>4270.5</x:v>
      </x:c>
      <x:c r="W123" s="28" t="n">
        <x:f>IF(F123="有效",IF(D123&gt;=3,G123*'参数'!$B$7/'参数'!$B$8,0),"n.a.")</x:f>
        <x:v>85.41</x:v>
      </x:c>
      <x:c r="X123" s="28" t="n">
        <x:f>IF(F123="有效",U123+W123,"n.a.")</x:f>
        <x:v>2369.2382807305553</x:v>
      </x:c>
      <x:c r="Y123" s="28" t="n">
        <x:f>IF(F123="有效",X123/G123,"n.a.")</x:f>
        <x:v>20.249899835303893</x:v>
      </x:c>
    </x:row>
    <x:row r="124" ht="22" customHeight="1">
      <x:c r="A124" s="11" t="str">
        <x:v>lade_0825_10aoi</x:v>
      </x:c>
      <x:c r="B124" s="22" t="n">
        <x:v>10</x:v>
      </x:c>
      <x:c r="C124" s="22" t="n">
        <x:v>1</x:v>
      </x:c>
      <x:c r="D124" s="22" t="n">
        <x:v>4</x:v>
      </x:c>
      <x:c r="E124" s="22" t="n">
        <x:v>43</x:v>
      </x:c>
      <x:c r="F124" s="30" t="str">
        <x:v>有效</x:v>
      </x:c>
      <x:c r="G124" s="22" t="n">
        <x:v>117</x:v>
      </x:c>
      <x:c r="H124" s="22" t="n">
        <x:v>117</x:v>
      </x:c>
      <x:c r="I124" s="24" t="n">
        <x:v>63.013999999999996</x:v>
      </x:c>
      <x:c r="J124" s="24" t="n">
        <x:v>45.352599999999995</x:v>
      </x:c>
      <x:c r="K124" s="24" t="n">
        <x:v>738.65</x:v>
      </x:c>
      <x:c r="L124" s="24" t="n">
        <x:v>1374.4333333333334</x:v>
      </x:c>
      <x:c r="M124" s="10" t="n">
        <x:v>1</x:v>
      </x:c>
      <x:c r="N124" s="10" t="n">
        <x:v>3</x:v>
      </x:c>
      <x:c r="O124" s="28" t="n">
        <x:f>IF(F124="有效",I124*'参数'!$B$10+J124*'参数'!$B$11,"n.a.")</x:f>
        <x:v>97.75209153</x:v>
      </x:c>
      <x:c r="P124" s="28" t="n">
        <x:f>IF(F124="有效",K124*'参数'!$B$12+L124*'参数'!$B$13,"n.a.")</x:f>
        <x:v>1803.3923670138888</x:v>
      </x:c>
      <x:c r="Q124" s="28" t="n">
        <x:f>IF(F124="有效",M124*'参数'!$B$14+N124*'参数'!$B$15,"n.a.")</x:f>
        <x:v>280</x:v>
      </x:c>
      <x:c r="R124" s="28" t="n">
        <x:f>IF(F124="有效",IF(D124&lt;=2,G124*('参数'!$B$6+'参数'!$B$18),0),"n.a.")</x:f>
        <x:v>0</x:v>
      </x:c>
      <x:c r="S124" s="28" t="n">
        <x:f>IF(F124="有效",IF(D124&gt;=3,G124*'参数'!$B$16,0),"n.a.")</x:f>
        <x:v>93.60000000000001</x:v>
      </x:c>
      <x:c r="T124" s="28" t="n">
        <x:f>IF(F124="有效",IF(D124&gt;=3,G124*'参数'!$B$17,0),"n.a.")</x:f>
        <x:v>11.700000000000001</x:v>
      </x:c>
      <x:c r="U124" s="28" t="n">
        <x:f>IF(F124="有效",SUM(O124:T124),"n.a.")</x:f>
        <x:v>2286.4444585438882</x:v>
      </x:c>
      <x:c r="V124" s="28" t="n">
        <x:f>IF(F124="有效",H124*'参数'!$B$7,"n.a.")</x:f>
        <x:v>4270.5</x:v>
      </x:c>
      <x:c r="W124" s="28" t="n">
        <x:f>IF(F124="有效",IF(D124&gt;=3,G124*'参数'!$B$7/'参数'!$B$8,0),"n.a.")</x:f>
        <x:v>85.41</x:v>
      </x:c>
      <x:c r="X124" s="28" t="n">
        <x:f>IF(F124="有效",U124+W124,"n.a.")</x:f>
        <x:v>2371.854458543888</x:v>
      </x:c>
      <x:c r="Y124" s="28" t="n">
        <x:f>IF(F124="有效",X124/G124,"n.a.")</x:f>
        <x:v>20.272260329434943</x:v>
      </x:c>
    </x:row>
    <x:row r="125" ht="22" customHeight="1">
      <x:c r="A125" s="11" t="str">
        <x:v>lade_0825_10aoi</x:v>
      </x:c>
      <x:c r="B125" s="22" t="n">
        <x:v>10</x:v>
      </x:c>
      <x:c r="C125" s="22" t="n">
        <x:v>1</x:v>
      </x:c>
      <x:c r="D125" s="22" t="n">
        <x:v>4</x:v>
      </x:c>
      <x:c r="E125" s="22" t="n">
        <x:v>44</x:v>
      </x:c>
      <x:c r="F125" s="30" t="str">
        <x:v>有效</x:v>
      </x:c>
      <x:c r="G125" s="22" t="n">
        <x:v>117</x:v>
      </x:c>
      <x:c r="H125" s="22" t="n">
        <x:v>117</x:v>
      </x:c>
      <x:c r="I125" s="24" t="n">
        <x:v>63.013999999999996</x:v>
      </x:c>
      <x:c r="J125" s="24" t="n">
        <x:v>37.445100000000004</x:v>
      </x:c>
      <x:c r="K125" s="24" t="n">
        <x:v>738.65</x:v>
      </x:c>
      <x:c r="L125" s="24" t="n">
        <x:v>1375.4333333333334</x:v>
      </x:c>
      <x:c r="M125" s="10" t="n">
        <x:v>1</x:v>
      </x:c>
      <x:c r="N125" s="10" t="n">
        <x:v>3</x:v>
      </x:c>
      <x:c r="O125" s="28" t="n">
        <x:f>IF(F125="有效",I125*'参数'!$B$10+J125*'参数'!$B$11,"n.a.")</x:f>
        <x:v>90.619131155</x:v>
      </x:c>
      <x:c r="P125" s="28" t="n">
        <x:f>IF(F125="有效",K125*'参数'!$B$12+L125*'参数'!$B$13,"n.a.")</x:f>
        <x:v>1804.1278461805555</x:v>
      </x:c>
      <x:c r="Q125" s="28" t="n">
        <x:f>IF(F125="有效",M125*'参数'!$B$14+N125*'参数'!$B$15,"n.a.")</x:f>
        <x:v>280</x:v>
      </x:c>
      <x:c r="R125" s="28" t="n">
        <x:f>IF(F125="有效",IF(D125&lt;=2,G125*('参数'!$B$6+'参数'!$B$18),0),"n.a.")</x:f>
        <x:v>0</x:v>
      </x:c>
      <x:c r="S125" s="28" t="n">
        <x:f>IF(F125="有效",IF(D125&gt;=3,G125*'参数'!$B$16,0),"n.a.")</x:f>
        <x:v>93.60000000000001</x:v>
      </x:c>
      <x:c r="T125" s="28" t="n">
        <x:f>IF(F125="有效",IF(D125&gt;=3,G125*'参数'!$B$17,0),"n.a.")</x:f>
        <x:v>11.700000000000001</x:v>
      </x:c>
      <x:c r="U125" s="28" t="n">
        <x:f>IF(F125="有效",SUM(O125:T125),"n.a.")</x:f>
        <x:v>2280.0469773355553</x:v>
      </x:c>
      <x:c r="V125" s="28" t="n">
        <x:f>IF(F125="有效",H125*'参数'!$B$7,"n.a.")</x:f>
        <x:v>4270.5</x:v>
      </x:c>
      <x:c r="W125" s="28" t="n">
        <x:f>IF(F125="有效",IF(D125&gt;=3,G125*'参数'!$B$7/'参数'!$B$8,0),"n.a.")</x:f>
        <x:v>85.41</x:v>
      </x:c>
      <x:c r="X125" s="28" t="n">
        <x:f>IF(F125="有效",U125+W125,"n.a.")</x:f>
        <x:v>2365.456977335555</x:v>
      </x:c>
      <x:c r="Y125" s="28" t="n">
        <x:f>IF(F125="有效",X125/G125,"n.a.")</x:f>
        <x:v>20.21758100286799</x:v>
      </x:c>
    </x:row>
    <x:row r="126" ht="22" customHeight="1">
      <x:c r="A126" s="11" t="str">
        <x:v>lade_0825_10aoi</x:v>
      </x:c>
      <x:c r="B126" s="22" t="n">
        <x:v>10</x:v>
      </x:c>
      <x:c r="C126" s="22" t="n">
        <x:v>2</x:v>
      </x:c>
      <x:c r="D126" s="22" t="n">
        <x:v>5</x:v>
      </x:c>
      <x:c r="E126" s="22" t="n">
        <x:v>42</x:v>
      </x:c>
      <x:c r="F126" s="30" t="str">
        <x:v>有效</x:v>
      </x:c>
      <x:c r="G126" s="22" t="n">
        <x:v>117</x:v>
      </x:c>
      <x:c r="H126" s="22" t="n">
        <x:v>117</x:v>
      </x:c>
      <x:c r="I126" s="24" t="n">
        <x:v>110.61480000000002</x:v>
      </x:c>
      <x:c r="J126" s="24" t="n">
        <x:v>48.59739999999999</x:v>
      </x:c>
      <x:c r="K126" s="24" t="n">
        <x:v>697.8</x:v>
      </x:c>
      <x:c r="L126" s="24" t="n">
        <x:v>1218.2833333333333</x:v>
      </x:c>
      <x:c r="M126" s="10" t="n">
        <x:v>2</x:v>
      </x:c>
      <x:c r="N126" s="10" t="n">
        <x:v>3</x:v>
      </x:c>
      <x:c r="O126" s="28" t="n">
        <x:f>IF(F126="有效",I126*'参数'!$B$10+J126*'参数'!$B$11,"n.a.")</x:f>
        <x:v>143.61736501000001</x:v>
      </x:c>
      <x:c r="P126" s="28" t="n">
        <x:f>IF(F126="有效",K126*'参数'!$B$12+L126*'参数'!$B$13,"n.a.")</x:f>
        <x:v>1644.7177982638887</x:v>
      </x:c>
      <x:c r="Q126" s="28" t="n">
        <x:f>IF(F126="有效",M126*'参数'!$B$14+N126*'参数'!$B$15,"n.a.")</x:f>
        <x:v>380</x:v>
      </x:c>
      <x:c r="R126" s="28" t="n">
        <x:f>IF(F126="有效",IF(D126&lt;=2,G126*('参数'!$B$6+'参数'!$B$18),0),"n.a.")</x:f>
        <x:v>0</x:v>
      </x:c>
      <x:c r="S126" s="28" t="n">
        <x:f>IF(F126="有效",IF(D126&gt;=3,G126*'参数'!$B$16,0),"n.a.")</x:f>
        <x:v>93.60000000000001</x:v>
      </x:c>
      <x:c r="T126" s="28" t="n">
        <x:f>IF(F126="有效",IF(D126&gt;=3,G126*'参数'!$B$17,0),"n.a.")</x:f>
        <x:v>11.700000000000001</x:v>
      </x:c>
      <x:c r="U126" s="28" t="n">
        <x:f>IF(F126="有效",SUM(O126:T126),"n.a.")</x:f>
        <x:v>2273.6351632738883</x:v>
      </x:c>
      <x:c r="V126" s="28" t="n">
        <x:f>IF(F126="有效",H126*'参数'!$B$7,"n.a.")</x:f>
        <x:v>4270.5</x:v>
      </x:c>
      <x:c r="W126" s="28" t="n">
        <x:f>IF(F126="有效",IF(D126&gt;=3,G126*'参数'!$B$7/'参数'!$B$8,0),"n.a.")</x:f>
        <x:v>85.41</x:v>
      </x:c>
      <x:c r="X126" s="28" t="n">
        <x:f>IF(F126="有效",U126+W126,"n.a.")</x:f>
        <x:v>2359.045163273888</x:v>
      </x:c>
      <x:c r="Y126" s="28" t="n">
        <x:f>IF(F126="有效",X126/G126,"n.a.")</x:f>
        <x:v>20.162779173281095</x:v>
      </x:c>
    </x:row>
    <x:row r="127" ht="22" customHeight="1">
      <x:c r="A127" s="11" t="str">
        <x:v>lade_0825_10aoi</x:v>
      </x:c>
      <x:c r="B127" s="22" t="n">
        <x:v>10</x:v>
      </x:c>
      <x:c r="C127" s="22" t="n">
        <x:v>2</x:v>
      </x:c>
      <x:c r="D127" s="22" t="n">
        <x:v>5</x:v>
      </x:c>
      <x:c r="E127" s="22" t="n">
        <x:v>43</x:v>
      </x:c>
      <x:c r="F127" s="30" t="str">
        <x:v>有效</x:v>
      </x:c>
      <x:c r="G127" s="22" t="n">
        <x:v>117</x:v>
      </x:c>
      <x:c r="H127" s="22" t="n">
        <x:v>117</x:v>
      </x:c>
      <x:c r="I127" s="24" t="n">
        <x:v>158.0573</x:v>
      </x:c>
      <x:c r="J127" s="24" t="n">
        <x:v>48.59739999999999</x:v>
      </x:c>
      <x:c r="K127" s="24" t="n">
        <x:v>1142.0166666666667</x:v>
      </x:c>
      <x:c r="L127" s="24" t="n">
        <x:v>1224.9</x:v>
      </x:c>
      <x:c r="M127" s="10" t="n">
        <x:v>2</x:v>
      </x:c>
      <x:c r="N127" s="10" t="n">
        <x:v>3</x:v>
      </x:c>
      <x:c r="O127" s="28" t="n">
        <x:f>IF(F127="有效",I127*'参数'!$B$10+J127*'参数'!$B$11,"n.a.")</x:f>
        <x:v>186.41287213500001</x:v>
      </x:c>
      <x:c r="P127" s="28" t="n">
        <x:f>IF(F127="有效",K127*'参数'!$B$12+L127*'参数'!$B$13,"n.a.")</x:f>
        <x:v>2126.2009385416663</x:v>
      </x:c>
      <x:c r="Q127" s="28" t="n">
        <x:f>IF(F127="有效",M127*'参数'!$B$14+N127*'参数'!$B$15,"n.a.")</x:f>
        <x:v>380</x:v>
      </x:c>
      <x:c r="R127" s="28" t="n">
        <x:f>IF(F127="有效",IF(D127&lt;=2,G127*('参数'!$B$6+'参数'!$B$18),0),"n.a.")</x:f>
        <x:v>0</x:v>
      </x:c>
      <x:c r="S127" s="28" t="n">
        <x:f>IF(F127="有效",IF(D127&gt;=3,G127*'参数'!$B$16,0),"n.a.")</x:f>
        <x:v>93.60000000000001</x:v>
      </x:c>
      <x:c r="T127" s="28" t="n">
        <x:f>IF(F127="有效",IF(D127&gt;=3,G127*'参数'!$B$17,0),"n.a.")</x:f>
        <x:v>11.700000000000001</x:v>
      </x:c>
      <x:c r="U127" s="28" t="n">
        <x:f>IF(F127="有效",SUM(O127:T127),"n.a.")</x:f>
        <x:v>2797.913810676666</x:v>
      </x:c>
      <x:c r="V127" s="28" t="n">
        <x:f>IF(F127="有效",H127*'参数'!$B$7,"n.a.")</x:f>
        <x:v>4270.5</x:v>
      </x:c>
      <x:c r="W127" s="28" t="n">
        <x:f>IF(F127="有效",IF(D127&gt;=3,G127*'参数'!$B$7/'参数'!$B$8,0),"n.a.")</x:f>
        <x:v>85.41</x:v>
      </x:c>
      <x:c r="X127" s="28" t="n">
        <x:f>IF(F127="有效",U127+W127,"n.a.")</x:f>
        <x:v>2883.3238106766657</x:v>
      </x:c>
      <x:c r="Y127" s="28" t="n">
        <x:f>IF(F127="有效",X127/G127,"n.a.")</x:f>
        <x:v>24.643793253646717</x:v>
      </x:c>
    </x:row>
    <x:row r="128" ht="22" customHeight="1">
      <x:c r="A128" s="11" t="str">
        <x:v>lade_0825_10aoi</x:v>
      </x:c>
      <x:c r="B128" s="22" t="n">
        <x:v>10</x:v>
      </x:c>
      <x:c r="C128" s="22" t="n">
        <x:v>2</x:v>
      </x:c>
      <x:c r="D128" s="22" t="n">
        <x:v>5</x:v>
      </x:c>
      <x:c r="E128" s="22" t="n">
        <x:v>44</x:v>
      </x:c>
      <x:c r="F128" s="30" t="str">
        <x:v>有效</x:v>
      </x:c>
      <x:c r="G128" s="22" t="n">
        <x:v>117</x:v>
      </x:c>
      <x:c r="H128" s="22" t="n">
        <x:v>117</x:v>
      </x:c>
      <x:c r="I128" s="24" t="n">
        <x:v>156.82330000000002</x:v>
      </x:c>
      <x:c r="J128" s="24" t="n">
        <x:v>48.59739999999999</x:v>
      </x:c>
      <x:c r="K128" s="24" t="n">
        <x:v>1141.8</x:v>
      </x:c>
      <x:c r="L128" s="24" t="n">
        <x:v>1168.1333333333334</x:v>
      </x:c>
      <x:c r="M128" s="10" t="n">
        <x:v>2</x:v>
      </x:c>
      <x:c r="N128" s="10" t="n">
        <x:v>3</x:v>
      </x:c>
      <x:c r="O128" s="28" t="n">
        <x:f>IF(F128="有效",I128*'参数'!$B$10+J128*'参数'!$B$11,"n.a.")</x:f>
        <x:v>185.299742435</x:v>
      </x:c>
      <x:c r="P128" s="28" t="n">
        <x:f>IF(F128="有效",K128*'参数'!$B$12+L128*'参数'!$B$13,"n.a.")</x:f>
        <x:v>2084.2177680555556</x:v>
      </x:c>
      <x:c r="Q128" s="28" t="n">
        <x:f>IF(F128="有效",M128*'参数'!$B$14+N128*'参数'!$B$15,"n.a.")</x:f>
        <x:v>380</x:v>
      </x:c>
      <x:c r="R128" s="28" t="n">
        <x:f>IF(F128="有效",IF(D128&lt;=2,G128*('参数'!$B$6+'参数'!$B$18),0),"n.a.")</x:f>
        <x:v>0</x:v>
      </x:c>
      <x:c r="S128" s="28" t="n">
        <x:f>IF(F128="有效",IF(D128&gt;=3,G128*'参数'!$B$16,0),"n.a.")</x:f>
        <x:v>93.60000000000001</x:v>
      </x:c>
      <x:c r="T128" s="28" t="n">
        <x:f>IF(F128="有效",IF(D128&gt;=3,G128*'参数'!$B$17,0),"n.a.")</x:f>
        <x:v>11.700000000000001</x:v>
      </x:c>
      <x:c r="U128" s="28" t="n">
        <x:f>IF(F128="有效",SUM(O128:T128),"n.a.")</x:f>
        <x:v>2754.8175104905554</x:v>
      </x:c>
      <x:c r="V128" s="28" t="n">
        <x:f>IF(F128="有效",H128*'参数'!$B$7,"n.a.")</x:f>
        <x:v>4270.5</x:v>
      </x:c>
      <x:c r="W128" s="28" t="n">
        <x:f>IF(F128="有效",IF(D128&gt;=3,G128*'参数'!$B$7/'参数'!$B$8,0),"n.a.")</x:f>
        <x:v>85.41</x:v>
      </x:c>
      <x:c r="X128" s="28" t="n">
        <x:f>IF(F128="有效",U128+W128,"n.a.")</x:f>
        <x:v>2840.2275104905552</x:v>
      </x:c>
      <x:c r="Y128" s="28" t="n">
        <x:f>IF(F128="有效",X128/G128,"n.a.")</x:f>
        <x:v>24.275448807611582</x:v>
      </x:c>
    </x:row>
    <x:row r="129" ht="22" customHeight="1">
      <x:c r="A129" s="11" t="str">
        <x:v>lade_0825_10aoi</x:v>
      </x:c>
      <x:c r="B129" s="22" t="n">
        <x:v>10</x:v>
      </x:c>
      <x:c r="C129" s="22" t="n">
        <x:v>3</x:v>
      </x:c>
      <x:c r="D129" s="22" t="n">
        <x:v>5</x:v>
      </x:c>
      <x:c r="E129" s="22" t="n">
        <x:v>42</x:v>
      </x:c>
      <x:c r="F129" s="30" t="str">
        <x:v>有效</x:v>
      </x:c>
      <x:c r="G129" s="22" t="n">
        <x:v>117</x:v>
      </x:c>
      <x:c r="H129" s="22" t="n">
        <x:v>117</x:v>
      </x:c>
      <x:c r="I129" s="24" t="n">
        <x:v>311.18580000000003</x:v>
      </x:c>
      <x:c r="J129" s="24" t="n">
        <x:v>60.746099999999984</x:v>
      </x:c>
      <x:c r="K129" s="24" t="n">
        <x:v>1276.6333333333334</x:v>
      </x:c>
      <x:c r="L129" s="24" t="n">
        <x:v>704.8666666666667</x:v>
      </x:c>
      <x:c r="M129" s="10" t="n">
        <x:v>3</x:v>
      </x:c>
      <x:c r="N129" s="10" t="n">
        <x:v>3</x:v>
      </x:c>
      <x:c r="O129" s="28" t="n">
        <x:f>IF(F129="有效",I129*'参数'!$B$10+J129*'参数'!$B$11,"n.a.")</x:f>
        <x:v>335.50117039500003</x:v>
      </x:c>
      <x:c r="P129" s="28" t="n">
        <x:f>IF(F129="有效",K129*'参数'!$B$12+L129*'参数'!$B$13,"n.a.")</x:f>
        <x:v>1888.1625256944444</x:v>
      </x:c>
      <x:c r="Q129" s="28" t="n">
        <x:f>IF(F129="有效",M129*'参数'!$B$14+N129*'参数'!$B$15,"n.a.")</x:f>
        <x:v>480</x:v>
      </x:c>
      <x:c r="R129" s="28" t="n">
        <x:f>IF(F129="有效",IF(D129&lt;=2,G129*('参数'!$B$6+'参数'!$B$18),0),"n.a.")</x:f>
        <x:v>0</x:v>
      </x:c>
      <x:c r="S129" s="28" t="n">
        <x:f>IF(F129="有效",IF(D129&gt;=3,G129*'参数'!$B$16,0),"n.a.")</x:f>
        <x:v>93.60000000000001</x:v>
      </x:c>
      <x:c r="T129" s="28" t="n">
        <x:f>IF(F129="有效",IF(D129&gt;=3,G129*'参数'!$B$17,0),"n.a.")</x:f>
        <x:v>11.700000000000001</x:v>
      </x:c>
      <x:c r="U129" s="28" t="n">
        <x:f>IF(F129="有效",SUM(O129:T129),"n.a.")</x:f>
        <x:v>2808.963696089444</x:v>
      </x:c>
      <x:c r="V129" s="28" t="n">
        <x:f>IF(F129="有效",H129*'参数'!$B$7,"n.a.")</x:f>
        <x:v>4270.5</x:v>
      </x:c>
      <x:c r="W129" s="28" t="n">
        <x:f>IF(F129="有效",IF(D129&gt;=3,G129*'参数'!$B$7/'参数'!$B$8,0),"n.a.")</x:f>
        <x:v>85.41</x:v>
      </x:c>
      <x:c r="X129" s="28" t="n">
        <x:f>IF(F129="有效",U129+W129,"n.a.")</x:f>
        <x:v>2894.373696089444</x:v>
      </x:c>
      <x:c r="Y129" s="28" t="n">
        <x:f>IF(F129="有效",X129/G129,"n.a.")</x:f>
        <x:v>24.738236718713196</x:v>
      </x:c>
    </x:row>
    <x:row r="130" ht="22" customHeight="1">
      <x:c r="A130" s="11" t="str">
        <x:v>lade_0825_10aoi</x:v>
      </x:c>
      <x:c r="B130" s="22" t="n">
        <x:v>10</x:v>
      </x:c>
      <x:c r="C130" s="22" t="n">
        <x:v>3</x:v>
      </x:c>
      <x:c r="D130" s="22" t="n">
        <x:v>5</x:v>
      </x:c>
      <x:c r="E130" s="22" t="n">
        <x:v>43</x:v>
      </x:c>
      <x:c r="F130" s="30" t="str">
        <x:v>有效</x:v>
      </x:c>
      <x:c r="G130" s="22" t="n">
        <x:v>117</x:v>
      </x:c>
      <x:c r="H130" s="22" t="n">
        <x:v>117</x:v>
      </x:c>
      <x:c r="I130" s="24" t="n">
        <x:v>311.18580000000003</x:v>
      </x:c>
      <x:c r="J130" s="24" t="n">
        <x:v>60.74609999999999</x:v>
      </x:c>
      <x:c r="K130" s="24" t="n">
        <x:v>1276.6333333333334</x:v>
      </x:c>
      <x:c r="L130" s="24" t="n">
        <x:v>704.8666666666667</x:v>
      </x:c>
      <x:c r="M130" s="10" t="n">
        <x:v>3</x:v>
      </x:c>
      <x:c r="N130" s="10" t="n">
        <x:v>3</x:v>
      </x:c>
      <x:c r="O130" s="28" t="n">
        <x:f>IF(F130="有效",I130*'参数'!$B$10+J130*'参数'!$B$11,"n.a.")</x:f>
        <x:v>335.50117039500003</x:v>
      </x:c>
      <x:c r="P130" s="28" t="n">
        <x:f>IF(F130="有效",K130*'参数'!$B$12+L130*'参数'!$B$13,"n.a.")</x:f>
        <x:v>1888.1625256944444</x:v>
      </x:c>
      <x:c r="Q130" s="28" t="n">
        <x:f>IF(F130="有效",M130*'参数'!$B$14+N130*'参数'!$B$15,"n.a.")</x:f>
        <x:v>480</x:v>
      </x:c>
      <x:c r="R130" s="28" t="n">
        <x:f>IF(F130="有效",IF(D130&lt;=2,G130*('参数'!$B$6+'参数'!$B$18),0),"n.a.")</x:f>
        <x:v>0</x:v>
      </x:c>
      <x:c r="S130" s="28" t="n">
        <x:f>IF(F130="有效",IF(D130&gt;=3,G130*'参数'!$B$16,0),"n.a.")</x:f>
        <x:v>93.60000000000001</x:v>
      </x:c>
      <x:c r="T130" s="28" t="n">
        <x:f>IF(F130="有效",IF(D130&gt;=3,G130*'参数'!$B$17,0),"n.a.")</x:f>
        <x:v>11.700000000000001</x:v>
      </x:c>
      <x:c r="U130" s="28" t="n">
        <x:f>IF(F130="有效",SUM(O130:T130),"n.a.")</x:f>
        <x:v>2808.963696089444</x:v>
      </x:c>
      <x:c r="V130" s="28" t="n">
        <x:f>IF(F130="有效",H130*'参数'!$B$7,"n.a.")</x:f>
        <x:v>4270.5</x:v>
      </x:c>
      <x:c r="W130" s="28" t="n">
        <x:f>IF(F130="有效",IF(D130&gt;=3,G130*'参数'!$B$7/'参数'!$B$8,0),"n.a.")</x:f>
        <x:v>85.41</x:v>
      </x:c>
      <x:c r="X130" s="28" t="n">
        <x:f>IF(F130="有效",U130+W130,"n.a.")</x:f>
        <x:v>2894.373696089444</x:v>
      </x:c>
      <x:c r="Y130" s="28" t="n">
        <x:f>IF(F130="有效",X130/G130,"n.a.")</x:f>
        <x:v>24.738236718713196</x:v>
      </x:c>
    </x:row>
    <x:row r="131" ht="22" customHeight="1">
      <x:c r="A131" s="11" t="str">
        <x:v>lade_0825_10aoi</x:v>
      </x:c>
      <x:c r="B131" s="22" t="n">
        <x:v>10</x:v>
      </x:c>
      <x:c r="C131" s="22" t="n">
        <x:v>3</x:v>
      </x:c>
      <x:c r="D131" s="22" t="n">
        <x:v>5</x:v>
      </x:c>
      <x:c r="E131" s="22" t="n">
        <x:v>44</x:v>
      </x:c>
      <x:c r="F131" s="30" t="str">
        <x:v>有效</x:v>
      </x:c>
      <x:c r="G131" s="22" t="n">
        <x:v>117</x:v>
      </x:c>
      <x:c r="H131" s="22" t="n">
        <x:v>117</x:v>
      </x:c>
      <x:c r="I131" s="24" t="n">
        <x:v>402.6162999999999</x:v>
      </x:c>
      <x:c r="J131" s="24" t="n">
        <x:v>60.74609999999999</x:v>
      </x:c>
      <x:c r="K131" s="24" t="n">
        <x:v>1727.45</x:v>
      </x:c>
      <x:c r="L131" s="24" t="n">
        <x:v>650.15</x:v>
      </x:c>
      <x:c r="M131" s="10" t="n">
        <x:v>3</x:v>
      </x:c>
      <x:c r="N131" s="10" t="n">
        <x:v>3</x:v>
      </x:c>
      <x:c r="O131" s="28" t="n">
        <x:f>IF(F131="有效",I131*'参数'!$B$10+J131*'参数'!$B$11,"n.a.")</x:f>
        <x:v>417.9760529199999</x:v>
      </x:c>
      <x:c r="P131" s="28" t="n">
        <x:f>IF(F131="有效",K131*'参数'!$B$12+L131*'参数'!$B$13,"n.a.")</x:f>
        <x:v>2331.617664583333</x:v>
      </x:c>
      <x:c r="Q131" s="28" t="n">
        <x:f>IF(F131="有效",M131*'参数'!$B$14+N131*'参数'!$B$15,"n.a.")</x:f>
        <x:v>480</x:v>
      </x:c>
      <x:c r="R131" s="28" t="n">
        <x:f>IF(F131="有效",IF(D131&lt;=2,G131*('参数'!$B$6+'参数'!$B$18),0),"n.a.")</x:f>
        <x:v>0</x:v>
      </x:c>
      <x:c r="S131" s="28" t="n">
        <x:f>IF(F131="有效",IF(D131&gt;=3,G131*'参数'!$B$16,0),"n.a.")</x:f>
        <x:v>93.60000000000001</x:v>
      </x:c>
      <x:c r="T131" s="28" t="n">
        <x:f>IF(F131="有效",IF(D131&gt;=3,G131*'参数'!$B$17,0),"n.a.")</x:f>
        <x:v>11.700000000000001</x:v>
      </x:c>
      <x:c r="U131" s="28" t="n">
        <x:f>IF(F131="有效",SUM(O131:T131),"n.a.")</x:f>
        <x:v>3334.8937175033325</x:v>
      </x:c>
      <x:c r="V131" s="28" t="n">
        <x:f>IF(F131="有效",H131*'参数'!$B$7,"n.a.")</x:f>
        <x:v>4270.5</x:v>
      </x:c>
      <x:c r="W131" s="28" t="n">
        <x:f>IF(F131="有效",IF(D131&gt;=3,G131*'参数'!$B$7/'参数'!$B$8,0),"n.a.")</x:f>
        <x:v>85.41</x:v>
      </x:c>
      <x:c r="X131" s="28" t="n">
        <x:f>IF(F131="有效",U131+W131,"n.a.")</x:f>
        <x:v>3420.3037175033323</x:v>
      </x:c>
      <x:c r="Y131" s="28" t="n">
        <x:f>IF(F131="有效",X131/G131,"n.a.")</x:f>
        <x:v>29.23336510686609</x:v>
      </x:c>
    </x:row>
    <x:row r="132" ht="22" customHeight="1">
      <x:c r="A132" s="11" t="str">
        <x:v>lade_0825_20aoi</x:v>
      </x:c>
      <x:c r="B132" s="22" t="n">
        <x:v>20</x:v>
      </x:c>
      <x:c r="C132" s="22" t="n">
        <x:v>1</x:v>
      </x:c>
      <x:c r="D132" s="22" t="n">
        <x:v>1</x:v>
      </x:c>
      <x:c r="E132" s="22" t="n">
        <x:v>42</x:v>
      </x:c>
      <x:c r="F132" s="30" t="str">
        <x:v>有效</x:v>
      </x:c>
      <x:c r="G132" s="22" t="n">
        <x:v>189</x:v>
      </x:c>
      <x:c r="H132" s="22" t="n">
        <x:v>0</x:v>
      </x:c>
      <x:c r="I132" s="24" t="n">
        <x:v>59.477500000000006</x:v>
      </x:c>
      <x:c r="J132" s="24" t="n">
        <x:v>50.2239</x:v>
      </x:c>
      <x:c r="K132" s="24" t="n">
        <x:v>60.63333333333333</x:v>
      </x:c>
      <x:c r="L132" s="24" t="n">
        <x:v>2457.25</x:v>
      </x:c>
      <x:c r="M132" s="10" t="n">
        <x:v>1</x:v>
      </x:c>
      <x:c r="N132" s="10" t="n">
        <x:v>6</x:v>
      </x:c>
      <x:c r="O132" s="28" t="n">
        <x:f>IF(F132="有效",I132*'参数'!$B$10+J132*'参数'!$B$11,"n.a.")</x:f>
        <x:v>98.95614787000001</x:v>
      </x:c>
      <x:c r="P132" s="28" t="n">
        <x:f>IF(F132="有效",K132*'参数'!$B$12+L132*'参数'!$B$13,"n.a.")</x:f>
        <x:v>1872.311959375</x:v>
      </x:c>
      <x:c r="Q132" s="28" t="n">
        <x:f>IF(F132="有效",M132*'参数'!$B$14+N132*'参数'!$B$15,"n.a.")</x:f>
        <x:v>460</x:v>
      </x:c>
      <x:c r="R132" s="28" t="n">
        <x:f>IF(F132="有效",IF(D132&lt;=2,G132*('参数'!$B$6+'参数'!$B$18),0),"n.a.")</x:f>
        <x:v>756</x:v>
      </x:c>
      <x:c r="S132" s="28" t="n">
        <x:f>IF(F132="有效",IF(D132&gt;=3,G132*'参数'!$B$16,0),"n.a.")</x:f>
        <x:v>0</x:v>
      </x:c>
      <x:c r="T132" s="28" t="n">
        <x:f>IF(F132="有效",IF(D132&gt;=3,G132*'参数'!$B$17,0),"n.a.")</x:f>
        <x:v>0</x:v>
      </x:c>
      <x:c r="U132" s="28" t="n">
        <x:f>IF(F132="有效",SUM(O132:T132),"n.a.")</x:f>
        <x:v>3187.268107245</x:v>
      </x:c>
      <x:c r="V132" s="28" t="n">
        <x:f>IF(F132="有效",H132*'参数'!$B$7,"n.a.")</x:f>
        <x:v>0</x:v>
      </x:c>
      <x:c r="W132" s="28" t="n">
        <x:f>IF(F132="有效",IF(D132&gt;=3,G132*'参数'!$B$7/'参数'!$B$8,0),"n.a.")</x:f>
        <x:v>0</x:v>
      </x:c>
      <x:c r="X132" s="28" t="n">
        <x:f>IF(F132="有效",U132+W132,"n.a.")</x:f>
        <x:v>3187.268107245</x:v>
      </x:c>
      <x:c r="Y132" s="28" t="n">
        <x:f>IF(F132="有效",X132/G132,"n.a.")</x:f>
        <x:v>16.863852419285713</x:v>
      </x:c>
    </x:row>
    <x:row r="133" ht="22" customHeight="1">
      <x:c r="A133" s="11" t="str">
        <x:v>lade_0825_20aoi</x:v>
      </x:c>
      <x:c r="B133" s="22" t="n">
        <x:v>20</x:v>
      </x:c>
      <x:c r="C133" s="22" t="n">
        <x:v>1</x:v>
      </x:c>
      <x:c r="D133" s="22" t="n">
        <x:v>1</x:v>
      </x:c>
      <x:c r="E133" s="22" t="n">
        <x:v>43</x:v>
      </x:c>
      <x:c r="F133" s="30" t="str">
        <x:v>有效</x:v>
      </x:c>
      <x:c r="G133" s="22" t="n">
        <x:v>189</x:v>
      </x:c>
      <x:c r="H133" s="22" t="n">
        <x:v>0</x:v>
      </x:c>
      <x:c r="I133" s="24" t="n">
        <x:v>59.477500000000006</x:v>
      </x:c>
      <x:c r="J133" s="24" t="n">
        <x:v>50.22389999999999</x:v>
      </x:c>
      <x:c r="K133" s="24" t="n">
        <x:v>60.63333333333333</x:v>
      </x:c>
      <x:c r="L133" s="24" t="n">
        <x:v>2457.25</x:v>
      </x:c>
      <x:c r="M133" s="10" t="n">
        <x:v>1</x:v>
      </x:c>
      <x:c r="N133" s="10" t="n">
        <x:v>6</x:v>
      </x:c>
      <x:c r="O133" s="28" t="n">
        <x:f>IF(F133="有效",I133*'参数'!$B$10+J133*'参数'!$B$11,"n.a.")</x:f>
        <x:v>98.95614787</x:v>
      </x:c>
      <x:c r="P133" s="28" t="n">
        <x:f>IF(F133="有效",K133*'参数'!$B$12+L133*'参数'!$B$13,"n.a.")</x:f>
        <x:v>1872.311959375</x:v>
      </x:c>
      <x:c r="Q133" s="28" t="n">
        <x:f>IF(F133="有效",M133*'参数'!$B$14+N133*'参数'!$B$15,"n.a.")</x:f>
        <x:v>460</x:v>
      </x:c>
      <x:c r="R133" s="28" t="n">
        <x:f>IF(F133="有效",IF(D133&lt;=2,G133*('参数'!$B$6+'参数'!$B$18),0),"n.a.")</x:f>
        <x:v>756</x:v>
      </x:c>
      <x:c r="S133" s="28" t="n">
        <x:f>IF(F133="有效",IF(D133&gt;=3,G133*'参数'!$B$16,0),"n.a.")</x:f>
        <x:v>0</x:v>
      </x:c>
      <x:c r="T133" s="28" t="n">
        <x:f>IF(F133="有效",IF(D133&gt;=3,G133*'参数'!$B$17,0),"n.a.")</x:f>
        <x:v>0</x:v>
      </x:c>
      <x:c r="U133" s="28" t="n">
        <x:f>IF(F133="有效",SUM(O133:T133),"n.a.")</x:f>
        <x:v>3187.268107245</x:v>
      </x:c>
      <x:c r="V133" s="28" t="n">
        <x:f>IF(F133="有效",H133*'参数'!$B$7,"n.a.")</x:f>
        <x:v>0</x:v>
      </x:c>
      <x:c r="W133" s="28" t="n">
        <x:f>IF(F133="有效",IF(D133&gt;=3,G133*'参数'!$B$7/'参数'!$B$8,0),"n.a.")</x:f>
        <x:v>0</x:v>
      </x:c>
      <x:c r="X133" s="28" t="n">
        <x:f>IF(F133="有效",U133+W133,"n.a.")</x:f>
        <x:v>3187.268107245</x:v>
      </x:c>
      <x:c r="Y133" s="28" t="n">
        <x:f>IF(F133="有效",X133/G133,"n.a.")</x:f>
        <x:v>16.863852419285713</x:v>
      </x:c>
    </x:row>
    <x:row r="134" ht="22" customHeight="1">
      <x:c r="A134" s="11" t="str">
        <x:v>lade_0825_20aoi</x:v>
      </x:c>
      <x:c r="B134" s="22" t="n">
        <x:v>20</x:v>
      </x:c>
      <x:c r="C134" s="22" t="n">
        <x:v>1</x:v>
      </x:c>
      <x:c r="D134" s="22" t="n">
        <x:v>1</x:v>
      </x:c>
      <x:c r="E134" s="22" t="n">
        <x:v>44</x:v>
      </x:c>
      <x:c r="F134" s="30" t="str">
        <x:v>有效</x:v>
      </x:c>
      <x:c r="G134" s="22" t="n">
        <x:v>189</x:v>
      </x:c>
      <x:c r="H134" s="22" t="n">
        <x:v>0</x:v>
      </x:c>
      <x:c r="I134" s="24" t="n">
        <x:v>59.477500000000006</x:v>
      </x:c>
      <x:c r="J134" s="24" t="n">
        <x:v>50.22389999999999</x:v>
      </x:c>
      <x:c r="K134" s="24" t="n">
        <x:v>60.63333333333333</x:v>
      </x:c>
      <x:c r="L134" s="24" t="n">
        <x:v>2457.25</x:v>
      </x:c>
      <x:c r="M134" s="10" t="n">
        <x:v>1</x:v>
      </x:c>
      <x:c r="N134" s="10" t="n">
        <x:v>6</x:v>
      </x:c>
      <x:c r="O134" s="28" t="n">
        <x:f>IF(F134="有效",I134*'参数'!$B$10+J134*'参数'!$B$11,"n.a.")</x:f>
        <x:v>98.95614787</x:v>
      </x:c>
      <x:c r="P134" s="28" t="n">
        <x:f>IF(F134="有效",K134*'参数'!$B$12+L134*'参数'!$B$13,"n.a.")</x:f>
        <x:v>1872.311959375</x:v>
      </x:c>
      <x:c r="Q134" s="28" t="n">
        <x:f>IF(F134="有效",M134*'参数'!$B$14+N134*'参数'!$B$15,"n.a.")</x:f>
        <x:v>460</x:v>
      </x:c>
      <x:c r="R134" s="28" t="n">
        <x:f>IF(F134="有效",IF(D134&lt;=2,G134*('参数'!$B$6+'参数'!$B$18),0),"n.a.")</x:f>
        <x:v>756</x:v>
      </x:c>
      <x:c r="S134" s="28" t="n">
        <x:f>IF(F134="有效",IF(D134&gt;=3,G134*'参数'!$B$16,0),"n.a.")</x:f>
        <x:v>0</x:v>
      </x:c>
      <x:c r="T134" s="28" t="n">
        <x:f>IF(F134="有效",IF(D134&gt;=3,G134*'参数'!$B$17,0),"n.a.")</x:f>
        <x:v>0</x:v>
      </x:c>
      <x:c r="U134" s="28" t="n">
        <x:f>IF(F134="有效",SUM(O134:T134),"n.a.")</x:f>
        <x:v>3187.268107245</x:v>
      </x:c>
      <x:c r="V134" s="28" t="n">
        <x:f>IF(F134="有效",H134*'参数'!$B$7,"n.a.")</x:f>
        <x:v>0</x:v>
      </x:c>
      <x:c r="W134" s="28" t="n">
        <x:f>IF(F134="有效",IF(D134&gt;=3,G134*'参数'!$B$7/'参数'!$B$8,0),"n.a.")</x:f>
        <x:v>0</x:v>
      </x:c>
      <x:c r="X134" s="28" t="n">
        <x:f>IF(F134="有效",U134+W134,"n.a.")</x:f>
        <x:v>3187.268107245</x:v>
      </x:c>
      <x:c r="Y134" s="28" t="n">
        <x:f>IF(F134="有效",X134/G134,"n.a.")</x:f>
        <x:v>16.863852419285713</x:v>
      </x:c>
    </x:row>
    <x:row r="135" ht="22" customHeight="1">
      <x:c r="A135" s="11" t="str">
        <x:v>lade_0825_20aoi</x:v>
      </x:c>
      <x:c r="B135" s="22" t="n">
        <x:v>20</x:v>
      </x:c>
      <x:c r="C135" s="22" t="n">
        <x:v>1</x:v>
      </x:c>
      <x:c r="D135" s="22" t="n">
        <x:v>2</x:v>
      </x:c>
      <x:c r="E135" s="22" t="n">
        <x:v>42</x:v>
      </x:c>
      <x:c r="F135" s="30" t="str">
        <x:v>有效</x:v>
      </x:c>
      <x:c r="G135" s="22" t="n">
        <x:v>189</x:v>
      </x:c>
      <x:c r="H135" s="22" t="n">
        <x:v>0</x:v>
      </x:c>
      <x:c r="I135" s="24" t="n">
        <x:v>60.5051</x:v>
      </x:c>
      <x:c r="J135" s="24" t="n">
        <x:v>45.817199999999985</x:v>
      </x:c>
      <x:c r="K135" s="24" t="n">
        <x:v>61.53333333333333</x:v>
      </x:c>
      <x:c r="L135" s="24" t="n">
        <x:v>1937.8666666666666</x:v>
      </x:c>
      <x:c r="M135" s="10" t="n">
        <x:v>1</x:v>
      </x:c>
      <x:c r="N135" s="10" t="n">
        <x:v>5</x:v>
      </x:c>
      <x:c r="O135" s="28" t="n">
        <x:f>IF(F135="有效",I135*'参数'!$B$10+J135*'参数'!$B$11,"n.a.")</x:f>
        <x:v>95.908030715</x:v>
      </x:c>
      <x:c r="P135" s="28" t="n">
        <x:f>IF(F135="有效",K135*'参数'!$B$12+L135*'参数'!$B$13,"n.a.")</x:f>
        <x:v>1491.2819819444444</x:v>
      </x:c>
      <x:c r="Q135" s="28" t="n">
        <x:f>IF(F135="有效",M135*'参数'!$B$14+N135*'参数'!$B$15,"n.a.")</x:f>
        <x:v>400</x:v>
      </x:c>
      <x:c r="R135" s="28" t="n">
        <x:f>IF(F135="有效",IF(D135&lt;=2,G135*('参数'!$B$6+'参数'!$B$18),0),"n.a.")</x:f>
        <x:v>756</x:v>
      </x:c>
      <x:c r="S135" s="28" t="n">
        <x:f>IF(F135="有效",IF(D135&gt;=3,G135*'参数'!$B$16,0),"n.a.")</x:f>
        <x:v>0</x:v>
      </x:c>
      <x:c r="T135" s="28" t="n">
        <x:f>IF(F135="有效",IF(D135&gt;=3,G135*'参数'!$B$17,0),"n.a.")</x:f>
        <x:v>0</x:v>
      </x:c>
      <x:c r="U135" s="28" t="n">
        <x:f>IF(F135="有效",SUM(O135:T135),"n.a.")</x:f>
        <x:v>2743.1900126594446</x:v>
      </x:c>
      <x:c r="V135" s="28" t="n">
        <x:f>IF(F135="有效",H135*'参数'!$B$7,"n.a.")</x:f>
        <x:v>0</x:v>
      </x:c>
      <x:c r="W135" s="28" t="n">
        <x:f>IF(F135="有效",IF(D135&gt;=3,G135*'参数'!$B$7/'参数'!$B$8,0),"n.a.")</x:f>
        <x:v>0</x:v>
      </x:c>
      <x:c r="X135" s="28" t="n">
        <x:f>IF(F135="有效",U135+W135,"n.a.")</x:f>
        <x:v>2743.1900126594446</x:v>
      </x:c>
      <x:c r="Y135" s="28" t="n">
        <x:f>IF(F135="有效",X135/G135,"n.a.")</x:f>
        <x:v>14.514232871213993</x:v>
      </x:c>
    </x:row>
    <x:row r="136" ht="22" customHeight="1">
      <x:c r="A136" s="11" t="str">
        <x:v>lade_0825_20aoi</x:v>
      </x:c>
      <x:c r="B136" s="22" t="n">
        <x:v>20</x:v>
      </x:c>
      <x:c r="C136" s="22" t="n">
        <x:v>1</x:v>
      </x:c>
      <x:c r="D136" s="22" t="n">
        <x:v>2</x:v>
      </x:c>
      <x:c r="E136" s="22" t="n">
        <x:v>43</x:v>
      </x:c>
      <x:c r="F136" s="30" t="str">
        <x:v>有效</x:v>
      </x:c>
      <x:c r="G136" s="22" t="n">
        <x:v>189</x:v>
      </x:c>
      <x:c r="H136" s="22" t="n">
        <x:v>0</x:v>
      </x:c>
      <x:c r="I136" s="24" t="n">
        <x:v>59.477500000000006</x:v>
      </x:c>
      <x:c r="J136" s="24" t="n">
        <x:v>47.5363</x:v>
      </x:c>
      <x:c r="K136" s="24" t="n">
        <x:v>60.63333333333333</x:v>
      </x:c>
      <x:c r="L136" s="24" t="n">
        <x:v>1697.2666666666667</x:v>
      </x:c>
      <x:c r="M136" s="10" t="n">
        <x:v>1</x:v>
      </x:c>
      <x:c r="N136" s="10" t="n">
        <x:v>5</x:v>
      </x:c>
      <x:c r="O136" s="28" t="n">
        <x:f>IF(F136="有效",I136*'参数'!$B$10+J136*'参数'!$B$11,"n.a.")</x:f>
        <x:v>96.53179829000001</x:v>
      </x:c>
      <x:c r="P136" s="28" t="n">
        <x:f>IF(F136="有效",K136*'参数'!$B$12+L136*'参数'!$B$13,"n.a.")</x:f>
        <x:v>1313.3600506944445</x:v>
      </x:c>
      <x:c r="Q136" s="28" t="n">
        <x:f>IF(F136="有效",M136*'参数'!$B$14+N136*'参数'!$B$15,"n.a.")</x:f>
        <x:v>400</x:v>
      </x:c>
      <x:c r="R136" s="28" t="n">
        <x:f>IF(F136="有效",IF(D136&lt;=2,G136*('参数'!$B$6+'参数'!$B$18),0),"n.a.")</x:f>
        <x:v>756</x:v>
      </x:c>
      <x:c r="S136" s="28" t="n">
        <x:f>IF(F136="有效",IF(D136&gt;=3,G136*'参数'!$B$16,0),"n.a.")</x:f>
        <x:v>0</x:v>
      </x:c>
      <x:c r="T136" s="28" t="n">
        <x:f>IF(F136="有效",IF(D136&gt;=3,G136*'参数'!$B$17,0),"n.a.")</x:f>
        <x:v>0</x:v>
      </x:c>
      <x:c r="U136" s="28" t="n">
        <x:f>IF(F136="有效",SUM(O136:T136),"n.a.")</x:f>
        <x:v>2565.8918489844446</x:v>
      </x:c>
      <x:c r="V136" s="28" t="n">
        <x:f>IF(F136="有效",H136*'参数'!$B$7,"n.a.")</x:f>
        <x:v>0</x:v>
      </x:c>
      <x:c r="W136" s="28" t="n">
        <x:f>IF(F136="有效",IF(D136&gt;=3,G136*'参数'!$B$7/'参数'!$B$8,0),"n.a.")</x:f>
        <x:v>0</x:v>
      </x:c>
      <x:c r="X136" s="28" t="n">
        <x:f>IF(F136="有效",U136+W136,"n.a.")</x:f>
        <x:v>2565.8918489844446</x:v>
      </x:c>
      <x:c r="Y136" s="28" t="n">
        <x:f>IF(F136="有效",X136/G136,"n.a.")</x:f>
        <x:v>13.576147349124046</x:v>
      </x:c>
    </x:row>
    <x:row r="137" ht="22" customHeight="1">
      <x:c r="A137" s="11" t="str">
        <x:v>lade_0825_20aoi</x:v>
      </x:c>
      <x:c r="B137" s="22" t="n">
        <x:v>20</x:v>
      </x:c>
      <x:c r="C137" s="22" t="n">
        <x:v>1</x:v>
      </x:c>
      <x:c r="D137" s="22" t="n">
        <x:v>2</x:v>
      </x:c>
      <x:c r="E137" s="22" t="n">
        <x:v>44</x:v>
      </x:c>
      <x:c r="F137" s="30" t="str">
        <x:v>有效</x:v>
      </x:c>
      <x:c r="G137" s="22" t="n">
        <x:v>189</x:v>
      </x:c>
      <x:c r="H137" s="22" t="n">
        <x:v>0</x:v>
      </x:c>
      <x:c r="I137" s="24" t="n">
        <x:v>59.477500000000006</x:v>
      </x:c>
      <x:c r="J137" s="24" t="n">
        <x:v>50.22389999999999</x:v>
      </x:c>
      <x:c r="K137" s="24" t="n">
        <x:v>60.63333333333333</x:v>
      </x:c>
      <x:c r="L137" s="24" t="n">
        <x:v>2457.25</x:v>
      </x:c>
      <x:c r="M137" s="10" t="n">
        <x:v>1</x:v>
      </x:c>
      <x:c r="N137" s="10" t="n">
        <x:v>6</x:v>
      </x:c>
      <x:c r="O137" s="28" t="n">
        <x:f>IF(F137="有效",I137*'参数'!$B$10+J137*'参数'!$B$11,"n.a.")</x:f>
        <x:v>98.95614787</x:v>
      </x:c>
      <x:c r="P137" s="28" t="n">
        <x:f>IF(F137="有效",K137*'参数'!$B$12+L137*'参数'!$B$13,"n.a.")</x:f>
        <x:v>1872.311959375</x:v>
      </x:c>
      <x:c r="Q137" s="28" t="n">
        <x:f>IF(F137="有效",M137*'参数'!$B$14+N137*'参数'!$B$15,"n.a.")</x:f>
        <x:v>460</x:v>
      </x:c>
      <x:c r="R137" s="28" t="n">
        <x:f>IF(F137="有效",IF(D137&lt;=2,G137*('参数'!$B$6+'参数'!$B$18),0),"n.a.")</x:f>
        <x:v>756</x:v>
      </x:c>
      <x:c r="S137" s="28" t="n">
        <x:f>IF(F137="有效",IF(D137&gt;=3,G137*'参数'!$B$16,0),"n.a.")</x:f>
        <x:v>0</x:v>
      </x:c>
      <x:c r="T137" s="28" t="n">
        <x:f>IF(F137="有效",IF(D137&gt;=3,G137*'参数'!$B$17,0),"n.a.")</x:f>
        <x:v>0</x:v>
      </x:c>
      <x:c r="U137" s="28" t="n">
        <x:f>IF(F137="有效",SUM(O137:T137),"n.a.")</x:f>
        <x:v>3187.268107245</x:v>
      </x:c>
      <x:c r="V137" s="28" t="n">
        <x:f>IF(F137="有效",H137*'参数'!$B$7,"n.a.")</x:f>
        <x:v>0</x:v>
      </x:c>
      <x:c r="W137" s="28" t="n">
        <x:f>IF(F137="有效",IF(D137&gt;=3,G137*'参数'!$B$7/'参数'!$B$8,0),"n.a.")</x:f>
        <x:v>0</x:v>
      </x:c>
      <x:c r="X137" s="28" t="n">
        <x:f>IF(F137="有效",U137+W137,"n.a.")</x:f>
        <x:v>3187.268107245</x:v>
      </x:c>
      <x:c r="Y137" s="28" t="n">
        <x:f>IF(F137="有效",X137/G137,"n.a.")</x:f>
        <x:v>16.863852419285713</x:v>
      </x:c>
    </x:row>
    <x:row r="138" ht="22" customHeight="1">
      <x:c r="A138" s="11" t="str">
        <x:v>lade_0825_20aoi</x:v>
      </x:c>
      <x:c r="B138" s="22" t="n">
        <x:v>20</x:v>
      </x:c>
      <x:c r="C138" s="22" t="n">
        <x:v>1</x:v>
      </x:c>
      <x:c r="D138" s="22" t="n">
        <x:v>3</x:v>
      </x:c>
      <x:c r="E138" s="22" t="n">
        <x:v>42</x:v>
      </x:c>
      <x:c r="F138" s="30" t="str">
        <x:v>有效</x:v>
      </x:c>
      <x:c r="G138" s="22" t="n">
        <x:v>189</x:v>
      </x:c>
      <x:c r="H138" s="22" t="n">
        <x:v>189</x:v>
      </x:c>
      <x:c r="I138" s="24" t="n">
        <x:v>63.013999999999996</x:v>
      </x:c>
      <x:c r="J138" s="24" t="n">
        <x:v>56.3723</x:v>
      </x:c>
      <x:c r="K138" s="24" t="n">
        <x:v>738.65</x:v>
      </x:c>
      <x:c r="L138" s="24" t="n">
        <x:v>2833.3333333333335</x:v>
      </x:c>
      <x:c r="M138" s="10" t="n">
        <x:v>1</x:v>
      </x:c>
      <x:c r="N138" s="10" t="n">
        <x:v>6</x:v>
      </x:c>
      <x:c r="O138" s="28" t="n">
        <x:f>IF(F138="有效",I138*'参数'!$B$10+J138*'参数'!$B$11,"n.a.")</x:f>
        <x:v>107.69241191500001</x:v>
      </x:c>
      <x:c r="P138" s="28" t="n">
        <x:f>IF(F138="有效",K138*'参数'!$B$12+L138*'参数'!$B$13,"n.a.")</x:f>
        <x:v>2876.382923263889</x:v>
      </x:c>
      <x:c r="Q138" s="28" t="n">
        <x:f>IF(F138="有效",M138*'参数'!$B$14+N138*'参数'!$B$15,"n.a.")</x:f>
        <x:v>460</x:v>
      </x:c>
      <x:c r="R138" s="28" t="n">
        <x:f>IF(F138="有效",IF(D138&lt;=2,G138*('参数'!$B$6+'参数'!$B$18),0),"n.a.")</x:f>
        <x:v>0</x:v>
      </x:c>
      <x:c r="S138" s="28" t="n">
        <x:f>IF(F138="有效",IF(D138&gt;=3,G138*'参数'!$B$16,0),"n.a.")</x:f>
        <x:v>151.20000000000002</x:v>
      </x:c>
      <x:c r="T138" s="28" t="n">
        <x:f>IF(F138="有效",IF(D138&gt;=3,G138*'参数'!$B$17,0),"n.a.")</x:f>
        <x:v>18.900000000000002</x:v>
      </x:c>
      <x:c r="U138" s="28" t="n">
        <x:f>IF(F138="有效",SUM(O138:T138),"n.a.")</x:f>
        <x:v>3614.175335178889</x:v>
      </x:c>
      <x:c r="V138" s="28" t="n">
        <x:f>IF(F138="有效",H138*'参数'!$B$7,"n.a.")</x:f>
        <x:v>6898.5</x:v>
      </x:c>
      <x:c r="W138" s="28" t="n">
        <x:f>IF(F138="有效",IF(D138&gt;=3,G138*'参数'!$B$7/'参数'!$B$8,0),"n.a.")</x:f>
        <x:v>137.97</x:v>
      </x:c>
      <x:c r="X138" s="28" t="n">
        <x:f>IF(F138="有效",U138+W138,"n.a.")</x:f>
        <x:v>3752.1453351788887</x:v>
      </x:c>
      <x:c r="Y138" s="28" t="n">
        <x:f>IF(F138="有效",X138/G138,"n.a.")</x:f>
        <x:v>19.85262082105232</x:v>
      </x:c>
    </x:row>
    <x:row r="139" ht="22" customHeight="1">
      <x:c r="A139" s="11" t="str">
        <x:v>lade_0825_20aoi</x:v>
      </x:c>
      <x:c r="B139" s="22" t="n">
        <x:v>20</x:v>
      </x:c>
      <x:c r="C139" s="22" t="n">
        <x:v>1</x:v>
      </x:c>
      <x:c r="D139" s="22" t="n">
        <x:v>3</x:v>
      </x:c>
      <x:c r="E139" s="22" t="n">
        <x:v>43</x:v>
      </x:c>
      <x:c r="F139" s="30" t="str">
        <x:v>有效</x:v>
      </x:c>
      <x:c r="G139" s="22" t="n">
        <x:v>189</x:v>
      </x:c>
      <x:c r="H139" s="22" t="n">
        <x:v>189</x:v>
      </x:c>
      <x:c r="I139" s="24" t="n">
        <x:v>63.013999999999996</x:v>
      </x:c>
      <x:c r="J139" s="24" t="n">
        <x:v>56.372299999999996</x:v>
      </x:c>
      <x:c r="K139" s="24" t="n">
        <x:v>738.65</x:v>
      </x:c>
      <x:c r="L139" s="24" t="n">
        <x:v>2833.3333333333335</x:v>
      </x:c>
      <x:c r="M139" s="10" t="n">
        <x:v>1</x:v>
      </x:c>
      <x:c r="N139" s="10" t="n">
        <x:v>6</x:v>
      </x:c>
      <x:c r="O139" s="28" t="n">
        <x:f>IF(F139="有效",I139*'参数'!$B$10+J139*'参数'!$B$11,"n.a.")</x:f>
        <x:v>107.692411915</x:v>
      </x:c>
      <x:c r="P139" s="28" t="n">
        <x:f>IF(F139="有效",K139*'参数'!$B$12+L139*'参数'!$B$13,"n.a.")</x:f>
        <x:v>2876.382923263889</x:v>
      </x:c>
      <x:c r="Q139" s="28" t="n">
        <x:f>IF(F139="有效",M139*'参数'!$B$14+N139*'参数'!$B$15,"n.a.")</x:f>
        <x:v>460</x:v>
      </x:c>
      <x:c r="R139" s="28" t="n">
        <x:f>IF(F139="有效",IF(D139&lt;=2,G139*('参数'!$B$6+'参数'!$B$18),0),"n.a.")</x:f>
        <x:v>0</x:v>
      </x:c>
      <x:c r="S139" s="28" t="n">
        <x:f>IF(F139="有效",IF(D139&gt;=3,G139*'参数'!$B$16,0),"n.a.")</x:f>
        <x:v>151.20000000000002</x:v>
      </x:c>
      <x:c r="T139" s="28" t="n">
        <x:f>IF(F139="有效",IF(D139&gt;=3,G139*'参数'!$B$17,0),"n.a.")</x:f>
        <x:v>18.900000000000002</x:v>
      </x:c>
      <x:c r="U139" s="28" t="n">
        <x:f>IF(F139="有效",SUM(O139:T139),"n.a.")</x:f>
        <x:v>3614.175335178889</x:v>
      </x:c>
      <x:c r="V139" s="28" t="n">
        <x:f>IF(F139="有效",H139*'参数'!$B$7,"n.a.")</x:f>
        <x:v>6898.5</x:v>
      </x:c>
      <x:c r="W139" s="28" t="n">
        <x:f>IF(F139="有效",IF(D139&gt;=3,G139*'参数'!$B$7/'参数'!$B$8,0),"n.a.")</x:f>
        <x:v>137.97</x:v>
      </x:c>
      <x:c r="X139" s="28" t="n">
        <x:f>IF(F139="有效",U139+W139,"n.a.")</x:f>
        <x:v>3752.1453351788887</x:v>
      </x:c>
      <x:c r="Y139" s="28" t="n">
        <x:f>IF(F139="有效",X139/G139,"n.a.")</x:f>
        <x:v>19.85262082105232</x:v>
      </x:c>
    </x:row>
    <x:row r="140" ht="22" customHeight="1">
      <x:c r="A140" s="11" t="str">
        <x:v>lade_0825_20aoi</x:v>
      </x:c>
      <x:c r="B140" s="22" t="n">
        <x:v>20</x:v>
      </x:c>
      <x:c r="C140" s="22" t="n">
        <x:v>1</x:v>
      </x:c>
      <x:c r="D140" s="22" t="n">
        <x:v>3</x:v>
      </x:c>
      <x:c r="E140" s="22" t="n">
        <x:v>44</x:v>
      </x:c>
      <x:c r="F140" s="30" t="str">
        <x:v>有效</x:v>
      </x:c>
      <x:c r="G140" s="22" t="n">
        <x:v>189</x:v>
      </x:c>
      <x:c r="H140" s="22" t="n">
        <x:v>189</x:v>
      </x:c>
      <x:c r="I140" s="24" t="n">
        <x:v>63.013999999999996</x:v>
      </x:c>
      <x:c r="J140" s="24" t="n">
        <x:v>57.698499999999996</x:v>
      </x:c>
      <x:c r="K140" s="24" t="n">
        <x:v>738.65</x:v>
      </x:c>
      <x:c r="L140" s="24" t="n">
        <x:v>3056.866666666667</x:v>
      </x:c>
      <x:c r="M140" s="10" t="n">
        <x:v>1</x:v>
      </x:c>
      <x:c r="N140" s="10" t="n">
        <x:v>6</x:v>
      </x:c>
      <x:c r="O140" s="28" t="n">
        <x:f>IF(F140="有效",I140*'参数'!$B$10+J140*'参数'!$B$11,"n.a.")</x:f>
        <x:v>108.88871062499999</x:v>
      </x:c>
      <x:c r="P140" s="28" t="n">
        <x:f>IF(F140="有效",K140*'参数'!$B$12+L140*'参数'!$B$13,"n.a.")</x:f>
        <x:v>3040.787032986111</x:v>
      </x:c>
      <x:c r="Q140" s="28" t="n">
        <x:f>IF(F140="有效",M140*'参数'!$B$14+N140*'参数'!$B$15,"n.a.")</x:f>
        <x:v>460</x:v>
      </x:c>
      <x:c r="R140" s="28" t="n">
        <x:f>IF(F140="有效",IF(D140&lt;=2,G140*('参数'!$B$6+'参数'!$B$18),0),"n.a.")</x:f>
        <x:v>0</x:v>
      </x:c>
      <x:c r="S140" s="28" t="n">
        <x:f>IF(F140="有效",IF(D140&gt;=3,G140*'参数'!$B$16,0),"n.a.")</x:f>
        <x:v>151.20000000000002</x:v>
      </x:c>
      <x:c r="T140" s="28" t="n">
        <x:f>IF(F140="有效",IF(D140&gt;=3,G140*'参数'!$B$17,0),"n.a.")</x:f>
        <x:v>18.900000000000002</x:v>
      </x:c>
      <x:c r="U140" s="28" t="n">
        <x:f>IF(F140="有效",SUM(O140:T140),"n.a.")</x:f>
        <x:v>3779.775743611111</x:v>
      </x:c>
      <x:c r="V140" s="28" t="n">
        <x:f>IF(F140="有效",H140*'参数'!$B$7,"n.a.")</x:f>
        <x:v>6898.5</x:v>
      </x:c>
      <x:c r="W140" s="28" t="n">
        <x:f>IF(F140="有效",IF(D140&gt;=3,G140*'参数'!$B$7/'参数'!$B$8,0),"n.a.")</x:f>
        <x:v>137.97</x:v>
      </x:c>
      <x:c r="X140" s="28" t="n">
        <x:f>IF(F140="有效",U140+W140,"n.a.")</x:f>
        <x:v>3917.745743611111</x:v>
      </x:c>
      <x:c r="Y140" s="28" t="n">
        <x:f>IF(F140="有效",X140/G140,"n.a.")</x:f>
        <x:v>20.728813458259847</x:v>
      </x:c>
    </x:row>
    <x:row r="141" ht="22" customHeight="1">
      <x:c r="A141" s="11" t="str">
        <x:v>lade_0825_20aoi</x:v>
      </x:c>
      <x:c r="B141" s="22" t="n">
        <x:v>20</x:v>
      </x:c>
      <x:c r="C141" s="22" t="n">
        <x:v>1</x:v>
      </x:c>
      <x:c r="D141" s="22" t="n">
        <x:v>4</x:v>
      </x:c>
      <x:c r="E141" s="22" t="n">
        <x:v>42</x:v>
      </x:c>
      <x:c r="F141" s="30" t="str">
        <x:v>有效</x:v>
      </x:c>
      <x:c r="G141" s="22" t="n">
        <x:v>189</x:v>
      </x:c>
      <x:c r="H141" s="22" t="n">
        <x:v>189</x:v>
      </x:c>
      <x:c r="I141" s="24" t="n">
        <x:v>107.9065</x:v>
      </x:c>
      <x:c r="J141" s="24" t="n">
        <x:v>57.96029999999999</x:v>
      </x:c>
      <x:c r="K141" s="24" t="n">
        <x:v>1462.8</x:v>
      </x:c>
      <x:c r="L141" s="24" t="n">
        <x:v>2872.266666666667</x:v>
      </x:c>
      <x:c r="M141" s="10" t="n">
        <x:v>2</x:v>
      </x:c>
      <x:c r="N141" s="10" t="n">
        <x:v>6</x:v>
      </x:c>
      <x:c r="O141" s="28" t="n">
        <x:f>IF(F141="有效",I141*'参数'!$B$10+J141*'参数'!$B$11,"n.a.")</x:f>
        <x:v>149.62014693999998</x:v>
      </x:c>
      <x:c r="P141" s="28" t="n">
        <x:f>IF(F141="有效",K141*'参数'!$B$12+L141*'参数'!$B$13,"n.a.")</x:f>
        <x:v>3681.9852694444444</x:v>
      </x:c>
      <x:c r="Q141" s="28" t="n">
        <x:f>IF(F141="有效",M141*'参数'!$B$14+N141*'参数'!$B$15,"n.a.")</x:f>
        <x:v>560</x:v>
      </x:c>
      <x:c r="R141" s="28" t="n">
        <x:f>IF(F141="有效",IF(D141&lt;=2,G141*('参数'!$B$6+'参数'!$B$18),0),"n.a.")</x:f>
        <x:v>0</x:v>
      </x:c>
      <x:c r="S141" s="28" t="n">
        <x:f>IF(F141="有效",IF(D141&gt;=3,G141*'参数'!$B$16,0),"n.a.")</x:f>
        <x:v>151.20000000000002</x:v>
      </x:c>
      <x:c r="T141" s="28" t="n">
        <x:f>IF(F141="有效",IF(D141&gt;=3,G141*'参数'!$B$17,0),"n.a.")</x:f>
        <x:v>18.900000000000002</x:v>
      </x:c>
      <x:c r="U141" s="28" t="n">
        <x:f>IF(F141="有效",SUM(O141:T141),"n.a.")</x:f>
        <x:v>4561.705416384443</x:v>
      </x:c>
      <x:c r="V141" s="28" t="n">
        <x:f>IF(F141="有效",H141*'参数'!$B$7,"n.a.")</x:f>
        <x:v>6898.5</x:v>
      </x:c>
      <x:c r="W141" s="28" t="n">
        <x:f>IF(F141="有效",IF(D141&gt;=3,G141*'参数'!$B$7/'参数'!$B$8,0),"n.a.")</x:f>
        <x:v>137.97</x:v>
      </x:c>
      <x:c r="X141" s="28" t="n">
        <x:f>IF(F141="有效",U141+W141,"n.a.")</x:f>
        <x:v>4699.675416384443</x:v>
      </x:c>
      <x:c r="Y141" s="28" t="n">
        <x:f>IF(F141="有效",X141/G141,"n.a.")</x:f>
        <x:v>24.866007494097584</x:v>
      </x:c>
    </x:row>
    <x:row r="142" ht="22" customHeight="1">
      <x:c r="A142" s="11" t="str">
        <x:v>lade_0825_20aoi</x:v>
      </x:c>
      <x:c r="B142" s="22" t="n">
        <x:v>20</x:v>
      </x:c>
      <x:c r="C142" s="22" t="n">
        <x:v>1</x:v>
      </x:c>
      <x:c r="D142" s="22" t="n">
        <x:v>4</x:v>
      </x:c>
      <x:c r="E142" s="22" t="n">
        <x:v>43</x:v>
      </x:c>
      <x:c r="F142" s="30" t="str">
        <x:v>有效</x:v>
      </x:c>
      <x:c r="G142" s="22" t="n">
        <x:v>189</x:v>
      </x:c>
      <x:c r="H142" s="22" t="n">
        <x:v>189</x:v>
      </x:c>
      <x:c r="I142" s="24" t="n">
        <x:v>63.013999999999996</x:v>
      </x:c>
      <x:c r="J142" s="24" t="n">
        <x:v>57.36549999999999</x:v>
      </x:c>
      <x:c r="K142" s="24" t="n">
        <x:v>738.65</x:v>
      </x:c>
      <x:c r="L142" s="24" t="n">
        <x:v>3074.8333333333335</x:v>
      </x:c>
      <x:c r="M142" s="10" t="n">
        <x:v>1</x:v>
      </x:c>
      <x:c r="N142" s="10" t="n">
        <x:v>6</x:v>
      </x:c>
      <x:c r="O142" s="28" t="n">
        <x:f>IF(F142="有效",I142*'参数'!$B$10+J142*'参数'!$B$11,"n.a.")</x:f>
        <x:v>108.588327975</x:v>
      </x:c>
      <x:c r="P142" s="28" t="n">
        <x:f>IF(F142="有效",K142*'参数'!$B$12+L142*'参数'!$B$13,"n.a.")</x:f>
        <x:v>3054.001142013889</x:v>
      </x:c>
      <x:c r="Q142" s="28" t="n">
        <x:f>IF(F142="有效",M142*'参数'!$B$14+N142*'参数'!$B$15,"n.a.")</x:f>
        <x:v>460</x:v>
      </x:c>
      <x:c r="R142" s="28" t="n">
        <x:f>IF(F142="有效",IF(D142&lt;=2,G142*('参数'!$B$6+'参数'!$B$18),0),"n.a.")</x:f>
        <x:v>0</x:v>
      </x:c>
      <x:c r="S142" s="28" t="n">
        <x:f>IF(F142="有效",IF(D142&gt;=3,G142*'参数'!$B$16,0),"n.a.")</x:f>
        <x:v>151.20000000000002</x:v>
      </x:c>
      <x:c r="T142" s="28" t="n">
        <x:f>IF(F142="有效",IF(D142&gt;=3,G142*'参数'!$B$17,0),"n.a.")</x:f>
        <x:v>18.900000000000002</x:v>
      </x:c>
      <x:c r="U142" s="28" t="n">
        <x:f>IF(F142="有效",SUM(O142:T142),"n.a.")</x:f>
        <x:v>3792.689469988889</x:v>
      </x:c>
      <x:c r="V142" s="28" t="n">
        <x:f>IF(F142="有效",H142*'参数'!$B$7,"n.a.")</x:f>
        <x:v>6898.5</x:v>
      </x:c>
      <x:c r="W142" s="28" t="n">
        <x:f>IF(F142="有效",IF(D142&gt;=3,G142*'参数'!$B$7/'参数'!$B$8,0),"n.a.")</x:f>
        <x:v>137.97</x:v>
      </x:c>
      <x:c r="X142" s="28" t="n">
        <x:f>IF(F142="有效",U142+W142,"n.a.")</x:f>
        <x:v>3930.6594699888888</x:v>
      </x:c>
      <x:c r="Y142" s="28" t="n">
        <x:f>IF(F142="有效",X142/G142,"n.a.")</x:f>
        <x:v>20.79714005285126</x:v>
      </x:c>
    </x:row>
    <x:row r="143" ht="22" customHeight="1">
      <x:c r="A143" s="11" t="str">
        <x:v>lade_0825_20aoi</x:v>
      </x:c>
      <x:c r="B143" s="22" t="n">
        <x:v>20</x:v>
      </x:c>
      <x:c r="C143" s="22" t="n">
        <x:v>1</x:v>
      </x:c>
      <x:c r="D143" s="22" t="n">
        <x:v>4</x:v>
      </x:c>
      <x:c r="E143" s="22" t="n">
        <x:v>44</x:v>
      </x:c>
      <x:c r="F143" s="30" t="str">
        <x:v>有效</x:v>
      </x:c>
      <x:c r="G143" s="22" t="n">
        <x:v>189</x:v>
      </x:c>
      <x:c r="H143" s="22" t="n">
        <x:v>189</x:v>
      </x:c>
      <x:c r="I143" s="24" t="n">
        <x:v>63.013999999999996</x:v>
      </x:c>
      <x:c r="J143" s="24" t="n">
        <x:v>59.65699999999999</x:v>
      </x:c>
      <x:c r="K143" s="24" t="n">
        <x:v>738.65</x:v>
      </x:c>
      <x:c r="L143" s="24" t="n">
        <x:v>3073.75</x:v>
      </x:c>
      <x:c r="M143" s="10" t="n">
        <x:v>1</x:v>
      </x:c>
      <x:c r="N143" s="10" t="n">
        <x:v>6</x:v>
      </x:c>
      <x:c r="O143" s="28" t="n">
        <x:f>IF(F143="有效",I143*'参数'!$B$10+J143*'参数'!$B$11,"n.a.")</x:f>
        <x:v>110.65537554999999</x:v>
      </x:c>
      <x:c r="P143" s="28" t="n">
        <x:f>IF(F143="有效",K143*'参数'!$B$12+L143*'参数'!$B$13,"n.a.")</x:f>
        <x:v>3053.2043729166667</x:v>
      </x:c>
      <x:c r="Q143" s="28" t="n">
        <x:f>IF(F143="有效",M143*'参数'!$B$14+N143*'参数'!$B$15,"n.a.")</x:f>
        <x:v>460</x:v>
      </x:c>
      <x:c r="R143" s="28" t="n">
        <x:f>IF(F143="有效",IF(D143&lt;=2,G143*('参数'!$B$6+'参数'!$B$18),0),"n.a.")</x:f>
        <x:v>0</x:v>
      </x:c>
      <x:c r="S143" s="28" t="n">
        <x:f>IF(F143="有效",IF(D143&gt;=3,G143*'参数'!$B$16,0),"n.a.")</x:f>
        <x:v>151.20000000000002</x:v>
      </x:c>
      <x:c r="T143" s="28" t="n">
        <x:f>IF(F143="有效",IF(D143&gt;=3,G143*'参数'!$B$17,0),"n.a.")</x:f>
        <x:v>18.900000000000002</x:v>
      </x:c>
      <x:c r="U143" s="28" t="n">
        <x:f>IF(F143="有效",SUM(O143:T143),"n.a.")</x:f>
        <x:v>3793.9597484666665</x:v>
      </x:c>
      <x:c r="V143" s="28" t="n">
        <x:f>IF(F143="有效",H143*'参数'!$B$7,"n.a.")</x:f>
        <x:v>6898.5</x:v>
      </x:c>
      <x:c r="W143" s="28" t="n">
        <x:f>IF(F143="有效",IF(D143&gt;=3,G143*'参数'!$B$7/'参数'!$B$8,0),"n.a.")</x:f>
        <x:v>137.97</x:v>
      </x:c>
      <x:c r="X143" s="28" t="n">
        <x:f>IF(F143="有效",U143+W143,"n.a.")</x:f>
        <x:v>3931.9297484666663</x:v>
      </x:c>
      <x:c r="Y143" s="28" t="n">
        <x:f>IF(F143="有效",X143/G143,"n.a.")</x:f>
        <x:v>20.803861102998233</x:v>
      </x:c>
    </x:row>
    <x:row r="144" ht="22" customHeight="1">
      <x:c r="A144" s="11" t="str">
        <x:v>lade_0825_20aoi</x:v>
      </x:c>
      <x:c r="B144" s="22" t="n">
        <x:v>20</x:v>
      </x:c>
      <x:c r="C144" s="22" t="n">
        <x:v>2</x:v>
      </x:c>
      <x:c r="D144" s="22" t="n">
        <x:v>5</x:v>
      </x:c>
      <x:c r="E144" s="22" t="n">
        <x:v>42</x:v>
      </x:c>
      <x:c r="F144" s="30" t="str">
        <x:v>有效</x:v>
      </x:c>
      <x:c r="G144" s="22" t="n">
        <x:v>189</x:v>
      </x:c>
      <x:c r="H144" s="22" t="n">
        <x:v>189</x:v>
      </x:c>
      <x:c r="I144" s="24" t="n">
        <x:v>258.8145</x:v>
      </x:c>
      <x:c r="J144" s="24" t="n">
        <x:v>72.15509999999998</x:v>
      </x:c>
      <x:c r="K144" s="24" t="n">
        <x:v>1640.0166666666667</x:v>
      </x:c>
      <x:c r="L144" s="24" t="n">
        <x:v>2811.8166666666666</x:v>
      </x:c>
      <x:c r="M144" s="10" t="n">
        <x:v>3</x:v>
      </x:c>
      <x:c r="N144" s="10" t="n">
        <x:v>6</x:v>
      </x:c>
      <x:c r="O144" s="28" t="n">
        <x:f>IF(F144="有效",I144*'参数'!$B$10+J144*'参数'!$B$11,"n.a.")</x:f>
        <x:v>298.55112768</x:v>
      </x:c>
      <x:c r="P144" s="28" t="n">
        <x:f>IF(F144="有效",K144*'参数'!$B$12+L144*'参数'!$B$13,"n.a.")</x:f>
        <x:v>3827.6679611111113</x:v>
      </x:c>
      <x:c r="Q144" s="28" t="n">
        <x:f>IF(F144="有效",M144*'参数'!$B$14+N144*'参数'!$B$15,"n.a.")</x:f>
        <x:v>660</x:v>
      </x:c>
      <x:c r="R144" s="28" t="n">
        <x:f>IF(F144="有效",IF(D144&lt;=2,G144*('参数'!$B$6+'参数'!$B$18),0),"n.a.")</x:f>
        <x:v>0</x:v>
      </x:c>
      <x:c r="S144" s="28" t="n">
        <x:f>IF(F144="有效",IF(D144&gt;=3,G144*'参数'!$B$16,0),"n.a.")</x:f>
        <x:v>151.20000000000002</x:v>
      </x:c>
      <x:c r="T144" s="28" t="n">
        <x:f>IF(F144="有效",IF(D144&gt;=3,G144*'参数'!$B$17,0),"n.a.")</x:f>
        <x:v>18.900000000000002</x:v>
      </x:c>
      <x:c r="U144" s="28" t="n">
        <x:f>IF(F144="有效",SUM(O144:T144),"n.a.")</x:f>
        <x:v>4956.3190887911105</x:v>
      </x:c>
      <x:c r="V144" s="28" t="n">
        <x:f>IF(F144="有效",H144*'参数'!$B$7,"n.a.")</x:f>
        <x:v>6898.5</x:v>
      </x:c>
      <x:c r="W144" s="28" t="n">
        <x:f>IF(F144="有效",IF(D144&gt;=3,G144*'参数'!$B$7/'参数'!$B$8,0),"n.a.")</x:f>
        <x:v>137.97</x:v>
      </x:c>
      <x:c r="X144" s="28" t="n">
        <x:f>IF(F144="有效",U144+W144,"n.a.")</x:f>
        <x:v>5094.289088791111</x:v>
      </x:c>
      <x:c r="Y144" s="28" t="n">
        <x:f>IF(F144="有效",X144/G144,"n.a.")</x:f>
        <x:v>26.95391052270429</x:v>
      </x:c>
    </x:row>
    <x:row r="145" ht="22" customHeight="1">
      <x:c r="A145" s="11" t="str">
        <x:v>lade_0825_20aoi</x:v>
      </x:c>
      <x:c r="B145" s="22" t="n">
        <x:v>20</x:v>
      </x:c>
      <x:c r="C145" s="22" t="n">
        <x:v>2</x:v>
      </x:c>
      <x:c r="D145" s="22" t="n">
        <x:v>5</x:v>
      </x:c>
      <x:c r="E145" s="22" t="n">
        <x:v>43</x:v>
      </x:c>
      <x:c r="F145" s="30" t="str">
        <x:v>有效</x:v>
      </x:c>
      <x:c r="G145" s="22" t="n">
        <x:v>189</x:v>
      </x:c>
      <x:c r="H145" s="22" t="n">
        <x:v>189</x:v>
      </x:c>
      <x:c r="I145" s="24" t="n">
        <x:v>214.6317</x:v>
      </x:c>
      <x:c r="J145" s="24" t="n">
        <x:v>70.49629999999999</x:v>
      </x:c>
      <x:c r="K145" s="24" t="n">
        <x:v>1196.0166666666667</x:v>
      </x:c>
      <x:c r="L145" s="24" t="n">
        <x:v>3060.3333333333335</x:v>
      </x:c>
      <x:c r="M145" s="10" t="n">
        <x:v>3</x:v>
      </x:c>
      <x:c r="N145" s="10" t="n">
        <x:v>6</x:v>
      </x:c>
      <x:c r="O145" s="28" t="n">
        <x:f>IF(F145="有效",I145*'参数'!$B$10+J145*'参数'!$B$11,"n.a.")</x:f>
        <x:v>257.1997124</x:v>
      </x:c>
      <x:c r="P145" s="28" t="n">
        <x:f>IF(F145="有效",K145*'参数'!$B$12+L145*'参数'!$B$13,"n.a.")</x:f>
        <x:v>3534.0625420138886</x:v>
      </x:c>
      <x:c r="Q145" s="28" t="n">
        <x:f>IF(F145="有效",M145*'参数'!$B$14+N145*'参数'!$B$15,"n.a.")</x:f>
        <x:v>660</x:v>
      </x:c>
      <x:c r="R145" s="28" t="n">
        <x:f>IF(F145="有效",IF(D145&lt;=2,G145*('参数'!$B$6+'参数'!$B$18),0),"n.a.")</x:f>
        <x:v>0</x:v>
      </x:c>
      <x:c r="S145" s="28" t="n">
        <x:f>IF(F145="有效",IF(D145&gt;=3,G145*'参数'!$B$16,0),"n.a.")</x:f>
        <x:v>151.20000000000002</x:v>
      </x:c>
      <x:c r="T145" s="28" t="n">
        <x:f>IF(F145="有效",IF(D145&gt;=3,G145*'参数'!$B$17,0),"n.a.")</x:f>
        <x:v>18.900000000000002</x:v>
      </x:c>
      <x:c r="U145" s="28" t="n">
        <x:f>IF(F145="有效",SUM(O145:T145),"n.a.")</x:f>
        <x:v>4621.362254413888</x:v>
      </x:c>
      <x:c r="V145" s="28" t="n">
        <x:f>IF(F145="有效",H145*'参数'!$B$7,"n.a.")</x:f>
        <x:v>6898.5</x:v>
      </x:c>
      <x:c r="W145" s="28" t="n">
        <x:f>IF(F145="有效",IF(D145&gt;=3,G145*'参数'!$B$7/'参数'!$B$8,0),"n.a.")</x:f>
        <x:v>137.97</x:v>
      </x:c>
      <x:c r="X145" s="28" t="n">
        <x:f>IF(F145="有效",U145+W145,"n.a.")</x:f>
        <x:v>4759.332254413888</x:v>
      </x:c>
      <x:c r="Y145" s="28" t="n">
        <x:f>IF(F145="有效",X145/G145,"n.a.")</x:f>
        <x:v>25.18165213975602</x:v>
      </x:c>
    </x:row>
    <x:row r="146" ht="22" customHeight="1">
      <x:c r="A146" s="11" t="str">
        <x:v>lade_0825_20aoi</x:v>
      </x:c>
      <x:c r="B146" s="22" t="n">
        <x:v>20</x:v>
      </x:c>
      <x:c r="C146" s="22" t="n">
        <x:v>2</x:v>
      </x:c>
      <x:c r="D146" s="22" t="n">
        <x:v>5</x:v>
      </x:c>
      <x:c r="E146" s="22" t="n">
        <x:v>44</x:v>
      </x:c>
      <x:c r="F146" s="30" t="str">
        <x:v>有效</x:v>
      </x:c>
      <x:c r="G146" s="22" t="n">
        <x:v>189</x:v>
      </x:c>
      <x:c r="H146" s="22" t="n">
        <x:v>189</x:v>
      </x:c>
      <x:c r="I146" s="24" t="n">
        <x:v>168.54170000000002</x:v>
      </x:c>
      <x:c r="J146" s="24" t="n">
        <x:v>70.49629999999999</x:v>
      </x:c>
      <x:c r="K146" s="24" t="n">
        <x:v>566.7</x:v>
      </x:c>
      <x:c r="L146" s="24" t="n">
        <x:v>3047.3166666666666</x:v>
      </x:c>
      <x:c r="M146" s="10" t="n">
        <x:v>2</x:v>
      </x:c>
      <x:c r="N146" s="10" t="n">
        <x:v>6</x:v>
      </x:c>
      <x:c r="O146" s="28" t="n">
        <x:f>IF(F146="有效",I146*'参数'!$B$10+J146*'参数'!$B$11,"n.a.")</x:f>
        <x:v>215.6242279</x:v>
      </x:c>
      <x:c r="P146" s="28" t="n">
        <x:f>IF(F146="有效",K146*'参数'!$B$12+L146*'参数'!$B$13,"n.a.")</x:f>
        <x:v>2849.2716038194444</x:v>
      </x:c>
      <x:c r="Q146" s="28" t="n">
        <x:f>IF(F146="有效",M146*'参数'!$B$14+N146*'参数'!$B$15,"n.a.")</x:f>
        <x:v>560</x:v>
      </x:c>
      <x:c r="R146" s="28" t="n">
        <x:f>IF(F146="有效",IF(D146&lt;=2,G146*('参数'!$B$6+'参数'!$B$18),0),"n.a.")</x:f>
        <x:v>0</x:v>
      </x:c>
      <x:c r="S146" s="28" t="n">
        <x:f>IF(F146="有效",IF(D146&gt;=3,G146*'参数'!$B$16,0),"n.a.")</x:f>
        <x:v>151.20000000000002</x:v>
      </x:c>
      <x:c r="T146" s="28" t="n">
        <x:f>IF(F146="有效",IF(D146&gt;=3,G146*'参数'!$B$17,0),"n.a.")</x:f>
        <x:v>18.900000000000002</x:v>
      </x:c>
      <x:c r="U146" s="28" t="n">
        <x:f>IF(F146="有效",SUM(O146:T146),"n.a.")</x:f>
        <x:v>3794.995831719444</x:v>
      </x:c>
      <x:c r="V146" s="28" t="n">
        <x:f>IF(F146="有效",H146*'参数'!$B$7,"n.a.")</x:f>
        <x:v>6898.5</x:v>
      </x:c>
      <x:c r="W146" s="28" t="n">
        <x:f>IF(F146="有效",IF(D146&gt;=3,G146*'参数'!$B$7/'参数'!$B$8,0),"n.a.")</x:f>
        <x:v>137.97</x:v>
      </x:c>
      <x:c r="X146" s="28" t="n">
        <x:f>IF(F146="有效",U146+W146,"n.a.")</x:f>
        <x:v>3932.965831719444</x:v>
      </x:c>
      <x:c r="Y146" s="28" t="n">
        <x:f>IF(F146="有效",X146/G146,"n.a.")</x:f>
        <x:v>20.8093430249706</x:v>
      </x:c>
    </x:row>
    <x:row r="147" ht="22" customHeight="1">
      <x:c r="A147" s="11" t="str">
        <x:v>lade_0825_20aoi</x:v>
      </x:c>
      <x:c r="B147" s="22" t="n">
        <x:v>20</x:v>
      </x:c>
      <x:c r="C147" s="22" t="n">
        <x:v>3</x:v>
      </x:c>
      <x:c r="D147" s="22" t="n">
        <x:v>5</x:v>
      </x:c>
      <x:c r="E147" s="22" t="n">
        <x:v>42</x:v>
      </x:c>
      <x:c r="F147" s="30" t="str">
        <x:v>有效</x:v>
      </x:c>
      <x:c r="G147" s="22" t="n">
        <x:v>189</x:v>
      </x:c>
      <x:c r="H147" s="22" t="n">
        <x:v>189</x:v>
      </x:c>
      <x:c r="I147" s="24" t="n">
        <x:v>319.12019999999995</x:v>
      </x:c>
      <x:c r="J147" s="24" t="n">
        <x:v>88.84689999999999</x:v>
      </x:c>
      <x:c r="K147" s="24" t="n">
        <x:v>1221.25</x:v>
      </x:c>
      <x:c r="L147" s="24" t="n">
        <x:v>2373.95</x:v>
      </x:c>
      <x:c r="M147" s="10" t="n">
        <x:v>3</x:v>
      </x:c>
      <x:c r="N147" s="10" t="n">
        <x:v>6</x:v>
      </x:c>
      <x:c r="O147" s="28" t="n">
        <x:f>IF(F147="有效",I147*'参数'!$B$10+J147*'参数'!$B$11,"n.a.")</x:f>
        <x:v>368.00672255499995</x:v>
      </x:c>
      <x:c r="P147" s="28" t="n">
        <x:f>IF(F147="有效",K147*'参数'!$B$12+L147*'参数'!$B$13,"n.a.")</x:f>
        <x:v>3056.315689583333</x:v>
      </x:c>
      <x:c r="Q147" s="28" t="n">
        <x:f>IF(F147="有效",M147*'参数'!$B$14+N147*'参数'!$B$15,"n.a.")</x:f>
        <x:v>660</x:v>
      </x:c>
      <x:c r="R147" s="28" t="n">
        <x:f>IF(F147="有效",IF(D147&lt;=2,G147*('参数'!$B$6+'参数'!$B$18),0),"n.a.")</x:f>
        <x:v>0</x:v>
      </x:c>
      <x:c r="S147" s="28" t="n">
        <x:f>IF(F147="有效",IF(D147&gt;=3,G147*'参数'!$B$16,0),"n.a.")</x:f>
        <x:v>151.20000000000002</x:v>
      </x:c>
      <x:c r="T147" s="28" t="n">
        <x:f>IF(F147="有效",IF(D147&gt;=3,G147*'参数'!$B$17,0),"n.a.")</x:f>
        <x:v>18.900000000000002</x:v>
      </x:c>
      <x:c r="U147" s="28" t="n">
        <x:f>IF(F147="有效",SUM(O147:T147),"n.a.")</x:f>
        <x:v>4254.422412138333</x:v>
      </x:c>
      <x:c r="V147" s="28" t="n">
        <x:f>IF(F147="有效",H147*'参数'!$B$7,"n.a.")</x:f>
        <x:v>6898.5</x:v>
      </x:c>
      <x:c r="W147" s="28" t="n">
        <x:f>IF(F147="有效",IF(D147&gt;=3,G147*'参数'!$B$7/'参数'!$B$8,0),"n.a.")</x:f>
        <x:v>137.97</x:v>
      </x:c>
      <x:c r="X147" s="28" t="n">
        <x:f>IF(F147="有效",U147+W147,"n.a.")</x:f>
        <x:v>4392.392412138333</x:v>
      </x:c>
      <x:c r="Y147" s="28" t="n">
        <x:f>IF(F147="有效",X147/G147,"n.a.")</x:f>
        <x:v>23.240171492795415</x:v>
      </x:c>
    </x:row>
    <x:row r="148" ht="22" customHeight="1">
      <x:c r="A148" s="11" t="str">
        <x:v>lade_0825_20aoi</x:v>
      </x:c>
      <x:c r="B148" s="22" t="n">
        <x:v>20</x:v>
      </x:c>
      <x:c r="C148" s="22" t="n">
        <x:v>3</x:v>
      </x:c>
      <x:c r="D148" s="22" t="n">
        <x:v>5</x:v>
      </x:c>
      <x:c r="E148" s="22" t="n">
        <x:v>43</x:v>
      </x:c>
      <x:c r="F148" s="30" t="str">
        <x:v>有效</x:v>
      </x:c>
      <x:c r="G148" s="22" t="n">
        <x:v>189</x:v>
      </x:c>
      <x:c r="H148" s="22" t="n">
        <x:v>189</x:v>
      </x:c>
      <x:c r="I148" s="24" t="n">
        <x:v>319.1202</x:v>
      </x:c>
      <x:c r="J148" s="24" t="n">
        <x:v>89.28379999999999</x:v>
      </x:c>
      <x:c r="K148" s="24" t="n">
        <x:v>1221.25</x:v>
      </x:c>
      <x:c r="L148" s="24" t="n">
        <x:v>1981.8833333333334</x:v>
      </x:c>
      <x:c r="M148" s="10" t="n">
        <x:v>3</x:v>
      </x:c>
      <x:c r="N148" s="10" t="n">
        <x:v>6</x:v>
      </x:c>
      <x:c r="O148" s="28" t="n">
        <x:f>IF(F148="有效",I148*'参数'!$B$10+J148*'参数'!$B$11,"n.a.")</x:f>
        <x:v>368.4008282</x:v>
      </x:c>
      <x:c r="P148" s="28" t="n">
        <x:f>IF(F148="有效",K148*'参数'!$B$12+L148*'参数'!$B$13,"n.a.")</x:f>
        <x:v>2767.9588243055555</x:v>
      </x:c>
      <x:c r="Q148" s="28" t="n">
        <x:f>IF(F148="有效",M148*'参数'!$B$14+N148*'参数'!$B$15,"n.a.")</x:f>
        <x:v>660</x:v>
      </x:c>
      <x:c r="R148" s="28" t="n">
        <x:f>IF(F148="有效",IF(D148&lt;=2,G148*('参数'!$B$6+'参数'!$B$18),0),"n.a.")</x:f>
        <x:v>0</x:v>
      </x:c>
      <x:c r="S148" s="28" t="n">
        <x:f>IF(F148="有效",IF(D148&gt;=3,G148*'参数'!$B$16,0),"n.a.")</x:f>
        <x:v>151.20000000000002</x:v>
      </x:c>
      <x:c r="T148" s="28" t="n">
        <x:f>IF(F148="有效",IF(D148&gt;=3,G148*'参数'!$B$17,0),"n.a.")</x:f>
        <x:v>18.900000000000002</x:v>
      </x:c>
      <x:c r="U148" s="28" t="n">
        <x:f>IF(F148="有效",SUM(O148:T148),"n.a.")</x:f>
        <x:v>3966.4596525055554</x:v>
      </x:c>
      <x:c r="V148" s="28" t="n">
        <x:f>IF(F148="有效",H148*'参数'!$B$7,"n.a.")</x:f>
        <x:v>6898.5</x:v>
      </x:c>
      <x:c r="W148" s="28" t="n">
        <x:f>IF(F148="有效",IF(D148&gt;=3,G148*'参数'!$B$7/'参数'!$B$8,0),"n.a.")</x:f>
        <x:v>137.97</x:v>
      </x:c>
      <x:c r="X148" s="28" t="n">
        <x:f>IF(F148="有效",U148+W148,"n.a.")</x:f>
        <x:v>4104.429652505555</x:v>
      </x:c>
      <x:c r="Y148" s="28" t="n">
        <x:f>IF(F148="有效",X148/G148,"n.a.")</x:f>
        <x:v>21.716559007965902</x:v>
      </x:c>
    </x:row>
    <x:row r="149" ht="22" customHeight="1">
      <x:c r="A149" s="11" t="str">
        <x:v>lade_0825_20aoi</x:v>
      </x:c>
      <x:c r="B149" s="22" t="n">
        <x:v>20</x:v>
      </x:c>
      <x:c r="C149" s="22" t="n">
        <x:v>3</x:v>
      </x:c>
      <x:c r="D149" s="22" t="n">
        <x:v>5</x:v>
      </x:c>
      <x:c r="E149" s="22" t="n">
        <x:v>44</x:v>
      </x:c>
      <x:c r="F149" s="30" t="str">
        <x:v>有效</x:v>
      </x:c>
      <x:c r="G149" s="22" t="n">
        <x:v>189</x:v>
      </x:c>
      <x:c r="H149" s="22" t="n">
        <x:v>189</x:v>
      </x:c>
      <x:c r="I149" s="24" t="n">
        <x:v>319.1202</x:v>
      </x:c>
      <x:c r="J149" s="24" t="n">
        <x:v>88.84689999999998</x:v>
      </x:c>
      <x:c r="K149" s="24" t="n">
        <x:v>1221.25</x:v>
      </x:c>
      <x:c r="L149" s="24" t="n">
        <x:v>2128.633333333333</x:v>
      </x:c>
      <x:c r="M149" s="10" t="n">
        <x:v>3</x:v>
      </x:c>
      <x:c r="N149" s="10" t="n">
        <x:v>6</x:v>
      </x:c>
      <x:c r="O149" s="28" t="n">
        <x:f>IF(F149="有效",I149*'参数'!$B$10+J149*'参数'!$B$11,"n.a.")</x:f>
        <x:v>368.006722555</x:v>
      </x:c>
      <x:c r="P149" s="28" t="n">
        <x:f>IF(F149="有效",K149*'参数'!$B$12+L149*'参数'!$B$13,"n.a.")</x:f>
        <x:v>2875.8903920138887</x:v>
      </x:c>
      <x:c r="Q149" s="28" t="n">
        <x:f>IF(F149="有效",M149*'参数'!$B$14+N149*'参数'!$B$15,"n.a.")</x:f>
        <x:v>660</x:v>
      </x:c>
      <x:c r="R149" s="28" t="n">
        <x:f>IF(F149="有效",IF(D149&lt;=2,G149*('参数'!$B$6+'参数'!$B$18),0),"n.a.")</x:f>
        <x:v>0</x:v>
      </x:c>
      <x:c r="S149" s="28" t="n">
        <x:f>IF(F149="有效",IF(D149&gt;=3,G149*'参数'!$B$16,0),"n.a.")</x:f>
        <x:v>151.20000000000002</x:v>
      </x:c>
      <x:c r="T149" s="28" t="n">
        <x:f>IF(F149="有效",IF(D149&gt;=3,G149*'参数'!$B$17,0),"n.a.")</x:f>
        <x:v>18.900000000000002</x:v>
      </x:c>
      <x:c r="U149" s="28" t="n">
        <x:f>IF(F149="有效",SUM(O149:T149),"n.a.")</x:f>
        <x:v>4073.9971145688887</x:v>
      </x:c>
      <x:c r="V149" s="28" t="n">
        <x:f>IF(F149="有效",H149*'参数'!$B$7,"n.a.")</x:f>
        <x:v>6898.5</x:v>
      </x:c>
      <x:c r="W149" s="28" t="n">
        <x:f>IF(F149="有效",IF(D149&gt;=3,G149*'参数'!$B$7/'参数'!$B$8,0),"n.a.")</x:f>
        <x:v>137.97</x:v>
      </x:c>
      <x:c r="X149" s="28" t="n">
        <x:f>IF(F149="有效",U149+W149,"n.a.")</x:f>
        <x:v>4211.967114568889</x:v>
      </x:c>
      <x:c r="Y149" s="28" t="n">
        <x:f>IF(F149="有效",X149/G149,"n.a.")</x:f>
        <x:v>22.28554028872428</x:v>
      </x:c>
    </x:row>
    <x:row r="150" ht="22" customHeight="1">
      <x:c r="A150" s="11" t="str">
        <x:v>lade_0825_30aoi</x:v>
      </x:c>
      <x:c r="B150" s="22" t="n">
        <x:v>30</x:v>
      </x:c>
      <x:c r="C150" s="22" t="n">
        <x:v>1</x:v>
      </x:c>
      <x:c r="D150" s="22" t="n">
        <x:v>1</x:v>
      </x:c>
      <x:c r="E150" s="22" t="n">
        <x:v>42</x:v>
      </x:c>
      <x:c r="F150" s="30" t="str">
        <x:v>有效</x:v>
      </x:c>
      <x:c r="G150" s="22" t="n">
        <x:v>227</x:v>
      </x:c>
      <x:c r="H150" s="22" t="n">
        <x:v>0</x:v>
      </x:c>
      <x:c r="I150" s="24" t="n">
        <x:v>59.477500000000006</x:v>
      </x:c>
      <x:c r="J150" s="24" t="n">
        <x:v>63.466100000000004</x:v>
      </x:c>
      <x:c r="K150" s="24" t="n">
        <x:v>60.63333333333333</x:v>
      </x:c>
      <x:c r="L150" s="24" t="n">
        <x:v>2695.55</x:v>
      </x:c>
      <x:c r="M150" s="10" t="n">
        <x:v>1</x:v>
      </x:c>
      <x:c r="N150" s="10" t="n">
        <x:v>6</x:v>
      </x:c>
      <x:c r="O150" s="28" t="n">
        <x:f>IF(F150="有效",I150*'参数'!$B$10+J150*'参数'!$B$11,"n.a.")</x:f>
        <x:v>110.90127438000002</x:v>
      </x:c>
      <x:c r="P150" s="28" t="n">
        <x:f>IF(F150="有效",K150*'参数'!$B$12+L150*'参数'!$B$13,"n.a.")</x:f>
        <x:v>2047.576644791667</x:v>
      </x:c>
      <x:c r="Q150" s="28" t="n">
        <x:f>IF(F150="有效",M150*'参数'!$B$14+N150*'参数'!$B$15,"n.a.")</x:f>
        <x:v>460</x:v>
      </x:c>
      <x:c r="R150" s="28" t="n">
        <x:f>IF(F150="有效",IF(D150&lt;=2,G150*('参数'!$B$6+'参数'!$B$18),0),"n.a.")</x:f>
        <x:v>908</x:v>
      </x:c>
      <x:c r="S150" s="28" t="n">
        <x:f>IF(F150="有效",IF(D150&gt;=3,G150*'参数'!$B$16,0),"n.a.")</x:f>
        <x:v>0</x:v>
      </x:c>
      <x:c r="T150" s="28" t="n">
        <x:f>IF(F150="有效",IF(D150&gt;=3,G150*'参数'!$B$17,0),"n.a.")</x:f>
        <x:v>0</x:v>
      </x:c>
      <x:c r="U150" s="28" t="n">
        <x:f>IF(F150="有效",SUM(O150:T150),"n.a.")</x:f>
        <x:v>3526.477919171667</x:v>
      </x:c>
      <x:c r="V150" s="28" t="n">
        <x:f>IF(F150="有效",H150*'参数'!$B$7,"n.a.")</x:f>
        <x:v>0</x:v>
      </x:c>
      <x:c r="W150" s="28" t="n">
        <x:f>IF(F150="有效",IF(D150&gt;=3,G150*'参数'!$B$7/'参数'!$B$8,0),"n.a.")</x:f>
        <x:v>0</x:v>
      </x:c>
      <x:c r="X150" s="28" t="n">
        <x:f>IF(F150="有效",U150+W150,"n.a.")</x:f>
        <x:v>3526.477919171667</x:v>
      </x:c>
      <x:c r="Y150" s="28" t="n">
        <x:f>IF(F150="有效",X150/G150,"n.a.")</x:f>
        <x:v>15.535145018377388</x:v>
      </x:c>
    </x:row>
    <x:row r="151" ht="22" customHeight="1">
      <x:c r="A151" s="11" t="str">
        <x:v>lade_0825_30aoi</x:v>
      </x:c>
      <x:c r="B151" s="22" t="n">
        <x:v>30</x:v>
      </x:c>
      <x:c r="C151" s="22" t="n">
        <x:v>1</x:v>
      </x:c>
      <x:c r="D151" s="22" t="n">
        <x:v>1</x:v>
      </x:c>
      <x:c r="E151" s="22" t="n">
        <x:v>43</x:v>
      </x:c>
      <x:c r="F151" s="30" t="str">
        <x:v>有效</x:v>
      </x:c>
      <x:c r="G151" s="22" t="n">
        <x:v>227</x:v>
      </x:c>
      <x:c r="H151" s="22" t="n">
        <x:v>0</x:v>
      </x:c>
      <x:c r="I151" s="24" t="n">
        <x:v>59.477500000000006</x:v>
      </x:c>
      <x:c r="J151" s="24" t="n">
        <x:v>63.57130000000001</x:v>
      </x:c>
      <x:c r="K151" s="24" t="n">
        <x:v>60.63333333333333</x:v>
      </x:c>
      <x:c r="L151" s="24" t="n">
        <x:v>2258.366666666667</x:v>
      </x:c>
      <x:c r="M151" s="10" t="n">
        <x:v>1</x:v>
      </x:c>
      <x:c r="N151" s="10" t="n">
        <x:v>6</x:v>
      </x:c>
      <x:c r="O151" s="28" t="n">
        <x:f>IF(F151="有效",I151*'参数'!$B$10+J151*'参数'!$B$11,"n.a.")</x:f>
        <x:v>110.99617004000001</x:v>
      </x:c>
      <x:c r="P151" s="28" t="n">
        <x:f>IF(F151="有效",K151*'参数'!$B$12+L151*'参数'!$B$13,"n.a.")</x:f>
        <x:v>1726.0374111111114</x:v>
      </x:c>
      <x:c r="Q151" s="28" t="n">
        <x:f>IF(F151="有效",M151*'参数'!$B$14+N151*'参数'!$B$15,"n.a.")</x:f>
        <x:v>460</x:v>
      </x:c>
      <x:c r="R151" s="28" t="n">
        <x:f>IF(F151="有效",IF(D151&lt;=2,G151*('参数'!$B$6+'参数'!$B$18),0),"n.a.")</x:f>
        <x:v>908</x:v>
      </x:c>
      <x:c r="S151" s="28" t="n">
        <x:f>IF(F151="有效",IF(D151&gt;=3,G151*'参数'!$B$16,0),"n.a.")</x:f>
        <x:v>0</x:v>
      </x:c>
      <x:c r="T151" s="28" t="n">
        <x:f>IF(F151="有效",IF(D151&gt;=3,G151*'参数'!$B$17,0),"n.a.")</x:f>
        <x:v>0</x:v>
      </x:c>
      <x:c r="U151" s="28" t="n">
        <x:f>IF(F151="有效",SUM(O151:T151),"n.a.")</x:f>
        <x:v>3205.0335811511113</x:v>
      </x:c>
      <x:c r="V151" s="28" t="n">
        <x:f>IF(F151="有效",H151*'参数'!$B$7,"n.a.")</x:f>
        <x:v>0</x:v>
      </x:c>
      <x:c r="W151" s="28" t="n">
        <x:f>IF(F151="有效",IF(D151&gt;=3,G151*'参数'!$B$7/'参数'!$B$8,0),"n.a.")</x:f>
        <x:v>0</x:v>
      </x:c>
      <x:c r="X151" s="28" t="n">
        <x:f>IF(F151="有效",U151+W151,"n.a.")</x:f>
        <x:v>3205.0335811511113</x:v>
      </x:c>
      <x:c r="Y151" s="28" t="n">
        <x:f>IF(F151="有效",X151/G151,"n.a.")</x:f>
        <x:v>14.119090665863926</x:v>
      </x:c>
    </x:row>
    <x:row r="152" ht="22" customHeight="1">
      <x:c r="A152" s="11" t="str">
        <x:v>lade_0825_30aoi</x:v>
      </x:c>
      <x:c r="B152" s="22" t="n">
        <x:v>30</x:v>
      </x:c>
      <x:c r="C152" s="22" t="n">
        <x:v>1</x:v>
      </x:c>
      <x:c r="D152" s="22" t="n">
        <x:v>1</x:v>
      </x:c>
      <x:c r="E152" s="22" t="n">
        <x:v>44</x:v>
      </x:c>
      <x:c r="F152" s="30" t="str">
        <x:v>有效</x:v>
      </x:c>
      <x:c r="G152" s="22" t="n">
        <x:v>227</x:v>
      </x:c>
      <x:c r="H152" s="22" t="n">
        <x:v>0</x:v>
      </x:c>
      <x:c r="I152" s="24" t="n">
        <x:v>59.477500000000006</x:v>
      </x:c>
      <x:c r="J152" s="24" t="n">
        <x:v>63.4661</x:v>
      </x:c>
      <x:c r="K152" s="24" t="n">
        <x:v>60.63333333333333</x:v>
      </x:c>
      <x:c r="L152" s="24" t="n">
        <x:v>2475.116666666667</x:v>
      </x:c>
      <x:c r="M152" s="10" t="n">
        <x:v>1</x:v>
      </x:c>
      <x:c r="N152" s="10" t="n">
        <x:v>6</x:v>
      </x:c>
      <x:c r="O152" s="28" t="n">
        <x:f>IF(F152="有效",I152*'参数'!$B$10+J152*'参数'!$B$11,"n.a.")</x:f>
        <x:v>110.90127438000002</x:v>
      </x:c>
      <x:c r="P152" s="28" t="n">
        <x:f>IF(F152="有效",K152*'参数'!$B$12+L152*'参数'!$B$13,"n.a.")</x:f>
        <x:v>1885.4525204861113</x:v>
      </x:c>
      <x:c r="Q152" s="28" t="n">
        <x:f>IF(F152="有效",M152*'参数'!$B$14+N152*'参数'!$B$15,"n.a.")</x:f>
        <x:v>460</x:v>
      </x:c>
      <x:c r="R152" s="28" t="n">
        <x:f>IF(F152="有效",IF(D152&lt;=2,G152*('参数'!$B$6+'参数'!$B$18),0),"n.a.")</x:f>
        <x:v>908</x:v>
      </x:c>
      <x:c r="S152" s="28" t="n">
        <x:f>IF(F152="有效",IF(D152&gt;=3,G152*'参数'!$B$16,0),"n.a.")</x:f>
        <x:v>0</x:v>
      </x:c>
      <x:c r="T152" s="28" t="n">
        <x:f>IF(F152="有效",IF(D152&gt;=3,G152*'参数'!$B$17,0),"n.a.")</x:f>
        <x:v>0</x:v>
      </x:c>
      <x:c r="U152" s="28" t="n">
        <x:f>IF(F152="有效",SUM(O152:T152),"n.a.")</x:f>
        <x:v>3364.3537948661115</x:v>
      </x:c>
      <x:c r="V152" s="28" t="n">
        <x:f>IF(F152="有效",H152*'参数'!$B$7,"n.a.")</x:f>
        <x:v>0</x:v>
      </x:c>
      <x:c r="W152" s="28" t="n">
        <x:f>IF(F152="有效",IF(D152&gt;=3,G152*'参数'!$B$7/'参数'!$B$8,0),"n.a.")</x:f>
        <x:v>0</x:v>
      </x:c>
      <x:c r="X152" s="28" t="n">
        <x:f>IF(F152="有效",U152+W152,"n.a.")</x:f>
        <x:v>3364.3537948661115</x:v>
      </x:c>
      <x:c r="Y152" s="28" t="n">
        <x:f>IF(F152="有效",X152/G152,"n.a.")</x:f>
        <x:v>14.820941827604015</x:v>
      </x:c>
    </x:row>
    <x:row r="153" ht="22" customHeight="1">
      <x:c r="A153" s="11" t="str">
        <x:v>lade_0825_30aoi</x:v>
      </x:c>
      <x:c r="B153" s="22" t="n">
        <x:v>30</x:v>
      </x:c>
      <x:c r="C153" s="22" t="n">
        <x:v>1</x:v>
      </x:c>
      <x:c r="D153" s="22" t="n">
        <x:v>2</x:v>
      </x:c>
      <x:c r="E153" s="22" t="n">
        <x:v>42</x:v>
      </x:c>
      <x:c r="F153" s="30" t="str">
        <x:v>有效</x:v>
      </x:c>
      <x:c r="G153" s="22" t="n">
        <x:v>227</x:v>
      </x:c>
      <x:c r="H153" s="22" t="n">
        <x:v>0</x:v>
      </x:c>
      <x:c r="I153" s="24" t="n">
        <x:v>59.477500000000006</x:v>
      </x:c>
      <x:c r="J153" s="24" t="n">
        <x:v>63.571300000000015</x:v>
      </x:c>
      <x:c r="K153" s="24" t="n">
        <x:v>60.63333333333333</x:v>
      </x:c>
      <x:c r="L153" s="24" t="n">
        <x:v>2478.2833333333333</x:v>
      </x:c>
      <x:c r="M153" s="10" t="n">
        <x:v>1</x:v>
      </x:c>
      <x:c r="N153" s="10" t="n">
        <x:v>6</x:v>
      </x:c>
      <x:c r="O153" s="28" t="n">
        <x:f>IF(F153="有效",I153*'参数'!$B$10+J153*'参数'!$B$11,"n.a.")</x:f>
        <x:v>110.99617004000002</x:v>
      </x:c>
      <x:c r="P153" s="28" t="n">
        <x:f>IF(F153="有效",K153*'参数'!$B$12+L153*'参数'!$B$13,"n.a.")</x:f>
        <x:v>1887.7815378472224</x:v>
      </x:c>
      <x:c r="Q153" s="28" t="n">
        <x:f>IF(F153="有效",M153*'参数'!$B$14+N153*'参数'!$B$15,"n.a.")</x:f>
        <x:v>460</x:v>
      </x:c>
      <x:c r="R153" s="28" t="n">
        <x:f>IF(F153="有效",IF(D153&lt;=2,G153*('参数'!$B$6+'参数'!$B$18),0),"n.a.")</x:f>
        <x:v>908</x:v>
      </x:c>
      <x:c r="S153" s="28" t="n">
        <x:f>IF(F153="有效",IF(D153&gt;=3,G153*'参数'!$B$16,0),"n.a.")</x:f>
        <x:v>0</x:v>
      </x:c>
      <x:c r="T153" s="28" t="n">
        <x:f>IF(F153="有效",IF(D153&gt;=3,G153*'参数'!$B$17,0),"n.a.")</x:f>
        <x:v>0</x:v>
      </x:c>
      <x:c r="U153" s="28" t="n">
        <x:f>IF(F153="有效",SUM(O153:T153),"n.a.")</x:f>
        <x:v>3366.7777078872223</x:v>
      </x:c>
      <x:c r="V153" s="28" t="n">
        <x:f>IF(F153="有效",H153*'参数'!$B$7,"n.a.")</x:f>
        <x:v>0</x:v>
      </x:c>
      <x:c r="W153" s="28" t="n">
        <x:f>IF(F153="有效",IF(D153&gt;=3,G153*'参数'!$B$7/'参数'!$B$8,0),"n.a.")</x:f>
        <x:v>0</x:v>
      </x:c>
      <x:c r="X153" s="28" t="n">
        <x:f>IF(F153="有效",U153+W153,"n.a.")</x:f>
        <x:v>3366.7777078872223</x:v>
      </x:c>
      <x:c r="Y153" s="28" t="n">
        <x:f>IF(F153="有效",X153/G153,"n.a.")</x:f>
        <x:v>14.831619858534019</x:v>
      </x:c>
    </x:row>
    <x:row r="154" ht="22" customHeight="1">
      <x:c r="A154" s="11" t="str">
        <x:v>lade_0825_30aoi</x:v>
      </x:c>
      <x:c r="B154" s="22" t="n">
        <x:v>30</x:v>
      </x:c>
      <x:c r="C154" s="22" t="n">
        <x:v>1</x:v>
      </x:c>
      <x:c r="D154" s="22" t="n">
        <x:v>2</x:v>
      </x:c>
      <x:c r="E154" s="22" t="n">
        <x:v>43</x:v>
      </x:c>
      <x:c r="F154" s="30" t="str">
        <x:v>有效</x:v>
      </x:c>
      <x:c r="G154" s="22" t="n">
        <x:v>227</x:v>
      </x:c>
      <x:c r="H154" s="22" t="n">
        <x:v>0</x:v>
      </x:c>
      <x:c r="I154" s="24" t="n">
        <x:v>59.477500000000006</x:v>
      </x:c>
      <x:c r="J154" s="24" t="n">
        <x:v>62.2916</x:v>
      </x:c>
      <x:c r="K154" s="24" t="n">
        <x:v>60.63333333333333</x:v>
      </x:c>
      <x:c r="L154" s="24" t="n">
        <x:v>2472.5</x:v>
      </x:c>
      <x:c r="M154" s="10" t="n">
        <x:v>1</x:v>
      </x:c>
      <x:c r="N154" s="10" t="n">
        <x:v>6</x:v>
      </x:c>
      <x:c r="O154" s="28" t="n">
        <x:f>IF(F154="有效",I154*'参数'!$B$10+J154*'参数'!$B$11,"n.a.")</x:f>
        <x:v>109.841816655</x:v>
      </x:c>
      <x:c r="P154" s="28" t="n">
        <x:f>IF(F154="有效",K154*'参数'!$B$12+L154*'参数'!$B$13,"n.a.")</x:f>
        <x:v>1883.5280166666669</x:v>
      </x:c>
      <x:c r="Q154" s="28" t="n">
        <x:f>IF(F154="有效",M154*'参数'!$B$14+N154*'参数'!$B$15,"n.a.")</x:f>
        <x:v>460</x:v>
      </x:c>
      <x:c r="R154" s="28" t="n">
        <x:f>IF(F154="有效",IF(D154&lt;=2,G154*('参数'!$B$6+'参数'!$B$18),0),"n.a.")</x:f>
        <x:v>908</x:v>
      </x:c>
      <x:c r="S154" s="28" t="n">
        <x:f>IF(F154="有效",IF(D154&gt;=3,G154*'参数'!$B$16,0),"n.a.")</x:f>
        <x:v>0</x:v>
      </x:c>
      <x:c r="T154" s="28" t="n">
        <x:f>IF(F154="有效",IF(D154&gt;=3,G154*'参数'!$B$17,0),"n.a.")</x:f>
        <x:v>0</x:v>
      </x:c>
      <x:c r="U154" s="28" t="n">
        <x:f>IF(F154="有效",SUM(O154:T154),"n.a.")</x:f>
        <x:v>3361.369833321667</x:v>
      </x:c>
      <x:c r="V154" s="28" t="n">
        <x:f>IF(F154="有效",H154*'参数'!$B$7,"n.a.")</x:f>
        <x:v>0</x:v>
      </x:c>
      <x:c r="W154" s="28" t="n">
        <x:f>IF(F154="有效",IF(D154&gt;=3,G154*'参数'!$B$7/'参数'!$B$8,0),"n.a.")</x:f>
        <x:v>0</x:v>
      </x:c>
      <x:c r="X154" s="28" t="n">
        <x:f>IF(F154="有效",U154+W154,"n.a.")</x:f>
        <x:v>3361.369833321667</x:v>
      </x:c>
      <x:c r="Y154" s="28" t="n">
        <x:f>IF(F154="有效",X154/G154,"n.a.")</x:f>
        <x:v>14.80779662256241</x:v>
      </x:c>
    </x:row>
    <x:row r="155" ht="22" customHeight="1">
      <x:c r="A155" s="11" t="str">
        <x:v>lade_0825_30aoi</x:v>
      </x:c>
      <x:c r="B155" s="22" t="n">
        <x:v>30</x:v>
      </x:c>
      <x:c r="C155" s="22" t="n">
        <x:v>1</x:v>
      </x:c>
      <x:c r="D155" s="22" t="n">
        <x:v>2</x:v>
      </x:c>
      <x:c r="E155" s="22" t="n">
        <x:v>44</x:v>
      </x:c>
      <x:c r="F155" s="30" t="str">
        <x:v>有效</x:v>
      </x:c>
      <x:c r="G155" s="22" t="n">
        <x:v>227</x:v>
      </x:c>
      <x:c r="H155" s="22" t="n">
        <x:v>0</x:v>
      </x:c>
      <x:c r="I155" s="24" t="n">
        <x:v>59.477500000000006</x:v>
      </x:c>
      <x:c r="J155" s="24" t="n">
        <x:v>59.9966</x:v>
      </x:c>
      <x:c r="K155" s="24" t="n">
        <x:v>60.63333333333333</x:v>
      </x:c>
      <x:c r="L155" s="24" t="n">
        <x:v>1773.0166666666667</x:v>
      </x:c>
      <x:c r="M155" s="10" t="n">
        <x:v>1</x:v>
      </x:c>
      <x:c r="N155" s="10" t="n">
        <x:v>5</x:v>
      </x:c>
      <x:c r="O155" s="28" t="n">
        <x:f>IF(F155="有效",I155*'参数'!$B$10+J155*'参数'!$B$11,"n.a.")</x:f>
        <x:v>107.77161190500001</x:v>
      </x:c>
      <x:c r="P155" s="28" t="n">
        <x:f>IF(F155="有效",K155*'参数'!$B$12+L155*'参数'!$B$13,"n.a.")</x:f>
        <x:v>1369.0725975694445</x:v>
      </x:c>
      <x:c r="Q155" s="28" t="n">
        <x:f>IF(F155="有效",M155*'参数'!$B$14+N155*'参数'!$B$15,"n.a.")</x:f>
        <x:v>400</x:v>
      </x:c>
      <x:c r="R155" s="28" t="n">
        <x:f>IF(F155="有效",IF(D155&lt;=2,G155*('参数'!$B$6+'参数'!$B$18),0),"n.a.")</x:f>
        <x:v>908</x:v>
      </x:c>
      <x:c r="S155" s="28" t="n">
        <x:f>IF(F155="有效",IF(D155&gt;=3,G155*'参数'!$B$16,0),"n.a.")</x:f>
        <x:v>0</x:v>
      </x:c>
      <x:c r="T155" s="28" t="n">
        <x:f>IF(F155="有效",IF(D155&gt;=3,G155*'参数'!$B$17,0),"n.a.")</x:f>
        <x:v>0</x:v>
      </x:c>
      <x:c r="U155" s="28" t="n">
        <x:f>IF(F155="有效",SUM(O155:T155),"n.a.")</x:f>
        <x:v>2784.8442094744446</x:v>
      </x:c>
      <x:c r="V155" s="28" t="n">
        <x:f>IF(F155="有效",H155*'参数'!$B$7,"n.a.")</x:f>
        <x:v>0</x:v>
      </x:c>
      <x:c r="W155" s="28" t="n">
        <x:f>IF(F155="有效",IF(D155&gt;=3,G155*'参数'!$B$7/'参数'!$B$8,0),"n.a.")</x:f>
        <x:v>0</x:v>
      </x:c>
      <x:c r="X155" s="28" t="n">
        <x:f>IF(F155="有效",U155+W155,"n.a.")</x:f>
        <x:v>2784.8442094744446</x:v>
      </x:c>
      <x:c r="Y155" s="28" t="n">
        <x:f>IF(F155="有效",X155/G155,"n.a.")</x:f>
        <x:v>12.26803616508566</x:v>
      </x:c>
    </x:row>
    <x:row r="156" ht="22" customHeight="1">
      <x:c r="A156" s="11" t="str">
        <x:v>lade_0825_30aoi</x:v>
      </x:c>
      <x:c r="B156" s="22" t="n">
        <x:v>30</x:v>
      </x:c>
      <x:c r="C156" s="22" t="n">
        <x:v>1</x:v>
      </x:c>
      <x:c r="D156" s="22" t="n">
        <x:v>3</x:v>
      </x:c>
      <x:c r="E156" s="22" t="n">
        <x:v>42</x:v>
      </x:c>
      <x:c r="F156" s="30" t="str">
        <x:v>有效</x:v>
      </x:c>
      <x:c r="G156" s="22" t="n">
        <x:v>227</x:v>
      </x:c>
      <x:c r="H156" s="22" t="n">
        <x:v>227</x:v>
      </x:c>
      <x:c r="I156" s="24" t="n">
        <x:v>63.013999999999996</x:v>
      </x:c>
      <x:c r="J156" s="24" t="n">
        <x:v>77.01639999999999</x:v>
      </x:c>
      <x:c r="K156" s="24" t="n">
        <x:v>738.65</x:v>
      </x:c>
      <x:c r="L156" s="24" t="n">
        <x:v>3351.633333333333</x:v>
      </x:c>
      <x:c r="M156" s="10" t="n">
        <x:v>1</x:v>
      </x:c>
      <x:c r="N156" s="10" t="n">
        <x:v>6</x:v>
      </x:c>
      <x:c r="O156" s="28" t="n">
        <x:f>IF(F156="有效",I156*'参数'!$B$10+J156*'参数'!$B$11,"n.a.")</x:f>
        <x:v>126.31442232</x:v>
      </x:c>
      <x:c r="P156" s="28" t="n">
        <x:f>IF(F156="有效",K156*'参数'!$B$12+L156*'参数'!$B$13,"n.a.")</x:f>
        <x:v>3257.581775347222</x:v>
      </x:c>
      <x:c r="Q156" s="28" t="n">
        <x:f>IF(F156="有效",M156*'参数'!$B$14+N156*'参数'!$B$15,"n.a.")</x:f>
        <x:v>460</x:v>
      </x:c>
      <x:c r="R156" s="28" t="n">
        <x:f>IF(F156="有效",IF(D156&lt;=2,G156*('参数'!$B$6+'参数'!$B$18),0),"n.a.")</x:f>
        <x:v>0</x:v>
      </x:c>
      <x:c r="S156" s="28" t="n">
        <x:f>IF(F156="有效",IF(D156&gt;=3,G156*'参数'!$B$16,0),"n.a.")</x:f>
        <x:v>181.60000000000002</x:v>
      </x:c>
      <x:c r="T156" s="28" t="n">
        <x:f>IF(F156="有效",IF(D156&gt;=3,G156*'参数'!$B$17,0),"n.a.")</x:f>
        <x:v>22.700000000000003</x:v>
      </x:c>
      <x:c r="U156" s="28" t="n">
        <x:f>IF(F156="有效",SUM(O156:T156),"n.a.")</x:f>
        <x:v>4048.196197667222</x:v>
      </x:c>
      <x:c r="V156" s="28" t="n">
        <x:f>IF(F156="有效",H156*'参数'!$B$7,"n.a.")</x:f>
        <x:v>8285.5</x:v>
      </x:c>
      <x:c r="W156" s="28" t="n">
        <x:f>IF(F156="有效",IF(D156&gt;=3,G156*'参数'!$B$7/'参数'!$B$8,0),"n.a.")</x:f>
        <x:v>165.71</x:v>
      </x:c>
      <x:c r="X156" s="28" t="n">
        <x:f>IF(F156="有效",U156+W156,"n.a.")</x:f>
        <x:v>4213.906197667222</x:v>
      </x:c>
      <x:c r="Y156" s="28" t="n">
        <x:f>IF(F156="有效",X156/G156,"n.a.")</x:f>
        <x:v>18.56346342584679</x:v>
      </x:c>
    </x:row>
    <x:row r="157" ht="22" customHeight="1">
      <x:c r="A157" s="11" t="str">
        <x:v>lade_0825_30aoi</x:v>
      </x:c>
      <x:c r="B157" s="22" t="n">
        <x:v>30</x:v>
      </x:c>
      <x:c r="C157" s="22" t="n">
        <x:v>1</x:v>
      </x:c>
      <x:c r="D157" s="22" t="n">
        <x:v>3</x:v>
      </x:c>
      <x:c r="E157" s="22" t="n">
        <x:v>43</x:v>
      </x:c>
      <x:c r="F157" s="30" t="str">
        <x:v>有效</x:v>
      </x:c>
      <x:c r="G157" s="22" t="n">
        <x:v>227</x:v>
      </x:c>
      <x:c r="H157" s="22" t="n">
        <x:v>227</x:v>
      </x:c>
      <x:c r="I157" s="24" t="n">
        <x:v>63.013999999999996</x:v>
      </x:c>
      <x:c r="J157" s="24" t="n">
        <x:v>77.86869999999999</x:v>
      </x:c>
      <x:c r="K157" s="24" t="n">
        <x:v>738.65</x:v>
      </x:c>
      <x:c r="L157" s="24" t="n">
        <x:v>3351.633333333333</x:v>
      </x:c>
      <x:c r="M157" s="10" t="n">
        <x:v>1</x:v>
      </x:c>
      <x:c r="N157" s="10" t="n">
        <x:v>6</x:v>
      </x:c>
      <x:c r="O157" s="28" t="n">
        <x:f>IF(F157="有效",I157*'参数'!$B$10+J157*'参数'!$B$11,"n.a.")</x:f>
        <x:v>127.08323953499999</x:v>
      </x:c>
      <x:c r="P157" s="28" t="n">
        <x:f>IF(F157="有效",K157*'参数'!$B$12+L157*'参数'!$B$13,"n.a.")</x:f>
        <x:v>3257.581775347222</x:v>
      </x:c>
      <x:c r="Q157" s="28" t="n">
        <x:f>IF(F157="有效",M157*'参数'!$B$14+N157*'参数'!$B$15,"n.a.")</x:f>
        <x:v>460</x:v>
      </x:c>
      <x:c r="R157" s="28" t="n">
        <x:f>IF(F157="有效",IF(D157&lt;=2,G157*('参数'!$B$6+'参数'!$B$18),0),"n.a.")</x:f>
        <x:v>0</x:v>
      </x:c>
      <x:c r="S157" s="28" t="n">
        <x:f>IF(F157="有效",IF(D157&gt;=3,G157*'参数'!$B$16,0),"n.a.")</x:f>
        <x:v>181.60000000000002</x:v>
      </x:c>
      <x:c r="T157" s="28" t="n">
        <x:f>IF(F157="有效",IF(D157&gt;=3,G157*'参数'!$B$17,0),"n.a.")</x:f>
        <x:v>22.700000000000003</x:v>
      </x:c>
      <x:c r="U157" s="28" t="n">
        <x:f>IF(F157="有效",SUM(O157:T157),"n.a.")</x:f>
        <x:v>4048.9650148822216</x:v>
      </x:c>
      <x:c r="V157" s="28" t="n">
        <x:f>IF(F157="有效",H157*'参数'!$B$7,"n.a.")</x:f>
        <x:v>8285.5</x:v>
      </x:c>
      <x:c r="W157" s="28" t="n">
        <x:f>IF(F157="有效",IF(D157&gt;=3,G157*'参数'!$B$7/'参数'!$B$8,0),"n.a.")</x:f>
        <x:v>165.71</x:v>
      </x:c>
      <x:c r="X157" s="28" t="n">
        <x:f>IF(F157="有效",U157+W157,"n.a.")</x:f>
        <x:v>4214.675014882221</x:v>
      </x:c>
      <x:c r="Y157" s="28" t="n">
        <x:f>IF(F157="有效",X157/G157,"n.a.")</x:f>
        <x:v>18.566850285824763</x:v>
      </x:c>
    </x:row>
    <x:row r="158" ht="22" customHeight="1">
      <x:c r="A158" s="11" t="str">
        <x:v>lade_0825_30aoi</x:v>
      </x:c>
      <x:c r="B158" s="22" t="n">
        <x:v>30</x:v>
      </x:c>
      <x:c r="C158" s="22" t="n">
        <x:v>1</x:v>
      </x:c>
      <x:c r="D158" s="22" t="n">
        <x:v>3</x:v>
      </x:c>
      <x:c r="E158" s="22" t="n">
        <x:v>44</x:v>
      </x:c>
      <x:c r="F158" s="30" t="str">
        <x:v>有效</x:v>
      </x:c>
      <x:c r="G158" s="22" t="n">
        <x:v>227</x:v>
      </x:c>
      <x:c r="H158" s="22" t="n">
        <x:v>227</x:v>
      </x:c>
      <x:c r="I158" s="24" t="n">
        <x:v>63.013999999999996</x:v>
      </x:c>
      <x:c r="J158" s="24" t="n">
        <x:v>78.87619999999998</x:v>
      </x:c>
      <x:c r="K158" s="24" t="n">
        <x:v>738.65</x:v>
      </x:c>
      <x:c r="L158" s="24" t="n">
        <x:v>3321.5666666666666</x:v>
      </x:c>
      <x:c r="M158" s="10" t="n">
        <x:v>1</x:v>
      </x:c>
      <x:c r="N158" s="10" t="n">
        <x:v>6</x:v>
      </x:c>
      <x:c r="O158" s="28" t="n">
        <x:f>IF(F158="有效",I158*'参数'!$B$10+J158*'参数'!$B$11,"n.a.")</x:f>
        <x:v>127.99205490999998</x:v>
      </x:c>
      <x:c r="P158" s="28" t="n">
        <x:f>IF(F158="有效",K158*'参数'!$B$12+L158*'参数'!$B$13,"n.a.")</x:f>
        <x:v>3235.4683684027777</x:v>
      </x:c>
      <x:c r="Q158" s="28" t="n">
        <x:f>IF(F158="有效",M158*'参数'!$B$14+N158*'参数'!$B$15,"n.a.")</x:f>
        <x:v>460</x:v>
      </x:c>
      <x:c r="R158" s="28" t="n">
        <x:f>IF(F158="有效",IF(D158&lt;=2,G158*('参数'!$B$6+'参数'!$B$18),0),"n.a.")</x:f>
        <x:v>0</x:v>
      </x:c>
      <x:c r="S158" s="28" t="n">
        <x:f>IF(F158="有效",IF(D158&gt;=3,G158*'参数'!$B$16,0),"n.a.")</x:f>
        <x:v>181.60000000000002</x:v>
      </x:c>
      <x:c r="T158" s="28" t="n">
        <x:f>IF(F158="有效",IF(D158&gt;=3,G158*'参数'!$B$17,0),"n.a.")</x:f>
        <x:v>22.700000000000003</x:v>
      </x:c>
      <x:c r="U158" s="28" t="n">
        <x:f>IF(F158="有效",SUM(O158:T158),"n.a.")</x:f>
        <x:v>4027.760423312777</x:v>
      </x:c>
      <x:c r="V158" s="28" t="n">
        <x:f>IF(F158="有效",H158*'参数'!$B$7,"n.a.")</x:f>
        <x:v>8285.5</x:v>
      </x:c>
      <x:c r="W158" s="28" t="n">
        <x:f>IF(F158="有效",IF(D158&gt;=3,G158*'参数'!$B$7/'参数'!$B$8,0),"n.a.")</x:f>
        <x:v>165.71</x:v>
      </x:c>
      <x:c r="X158" s="28" t="n">
        <x:f>IF(F158="有效",U158+W158,"n.a.")</x:f>
        <x:v>4193.470423312777</x:v>
      </x:c>
      <x:c r="Y158" s="28" t="n">
        <x:f>IF(F158="有效",X158/G158,"n.a.")</x:f>
        <x:v>18.47343798816201</x:v>
      </x:c>
    </x:row>
    <x:row r="159" ht="22" customHeight="1">
      <x:c r="A159" s="11" t="str">
        <x:v>lade_0825_30aoi</x:v>
      </x:c>
      <x:c r="B159" s="22" t="n">
        <x:v>30</x:v>
      </x:c>
      <x:c r="C159" s="22" t="n">
        <x:v>1</x:v>
      </x:c>
      <x:c r="D159" s="22" t="n">
        <x:v>4</x:v>
      </x:c>
      <x:c r="E159" s="22" t="n">
        <x:v>42</x:v>
      </x:c>
      <x:c r="F159" s="30" t="str">
        <x:v>有效</x:v>
      </x:c>
      <x:c r="G159" s="22" t="n">
        <x:v>227</x:v>
      </x:c>
      <x:c r="H159" s="22" t="n">
        <x:v>227</x:v>
      </x:c>
      <x:c r="I159" s="24" t="n">
        <x:v>107.90650000000001</x:v>
      </x:c>
      <x:c r="J159" s="24" t="n">
        <x:v>79.27600000000001</x:v>
      </x:c>
      <x:c r="K159" s="24" t="n">
        <x:v>1462.8</x:v>
      </x:c>
      <x:c r="L159" s="24" t="n">
        <x:v>3368.0666666666666</x:v>
      </x:c>
      <x:c r="M159" s="10" t="n">
        <x:v>2</x:v>
      </x:c>
      <x:c r="N159" s="10" t="n">
        <x:v>6</x:v>
      </x:c>
      <x:c r="O159" s="28" t="n">
        <x:f>IF(F159="有效",I159*'参数'!$B$10+J159*'参数'!$B$11,"n.a.")</x:f>
        <x:v>168.847974125</x:v>
      </x:c>
      <x:c r="P159" s="28" t="n">
        <x:f>IF(F159="有效",K159*'参数'!$B$12+L159*'参数'!$B$13,"n.a.")</x:f>
        <x:v>4046.6358402777773</x:v>
      </x:c>
      <x:c r="Q159" s="28" t="n">
        <x:f>IF(F159="有效",M159*'参数'!$B$14+N159*'参数'!$B$15,"n.a.")</x:f>
        <x:v>560</x:v>
      </x:c>
      <x:c r="R159" s="28" t="n">
        <x:f>IF(F159="有效",IF(D159&lt;=2,G159*('参数'!$B$6+'参数'!$B$18),0),"n.a.")</x:f>
        <x:v>0</x:v>
      </x:c>
      <x:c r="S159" s="28" t="n">
        <x:f>IF(F159="有效",IF(D159&gt;=3,G159*'参数'!$B$16,0),"n.a.")</x:f>
        <x:v>181.60000000000002</x:v>
      </x:c>
      <x:c r="T159" s="28" t="n">
        <x:f>IF(F159="有效",IF(D159&gt;=3,G159*'参数'!$B$17,0),"n.a.")</x:f>
        <x:v>22.700000000000003</x:v>
      </x:c>
      <x:c r="U159" s="28" t="n">
        <x:f>IF(F159="有效",SUM(O159:T159),"n.a.")</x:f>
        <x:v>4979.783814402777</x:v>
      </x:c>
      <x:c r="V159" s="28" t="n">
        <x:f>IF(F159="有效",H159*'参数'!$B$7,"n.a.")</x:f>
        <x:v>8285.5</x:v>
      </x:c>
      <x:c r="W159" s="28" t="n">
        <x:f>IF(F159="有效",IF(D159&gt;=3,G159*'参数'!$B$7/'参数'!$B$8,0),"n.a.")</x:f>
        <x:v>165.71</x:v>
      </x:c>
      <x:c r="X159" s="28" t="n">
        <x:f>IF(F159="有效",U159+W159,"n.a.")</x:f>
        <x:v>5145.493814402777</x:v>
      </x:c>
      <x:c r="Y159" s="28" t="n">
        <x:f>IF(F159="有效",X159/G159,"n.a.")</x:f>
        <x:v>22.667373631730296</x:v>
      </x:c>
    </x:row>
    <x:row r="160" ht="22" customHeight="1">
      <x:c r="A160" s="11" t="str">
        <x:v>lade_0825_30aoi</x:v>
      </x:c>
      <x:c r="B160" s="22" t="n">
        <x:v>30</x:v>
      </x:c>
      <x:c r="C160" s="22" t="n">
        <x:v>1</x:v>
      </x:c>
      <x:c r="D160" s="22" t="n">
        <x:v>4</x:v>
      </x:c>
      <x:c r="E160" s="22" t="n">
        <x:v>43</x:v>
      </x:c>
      <x:c r="F160" s="30" t="str">
        <x:v>有效</x:v>
      </x:c>
      <x:c r="G160" s="22" t="n">
        <x:v>227</x:v>
      </x:c>
      <x:c r="H160" s="22" t="n">
        <x:v>227</x:v>
      </x:c>
      <x:c r="I160" s="24" t="n">
        <x:v>63.013999999999996</x:v>
      </x:c>
      <x:c r="J160" s="24" t="n">
        <x:v>80.6918</x:v>
      </x:c>
      <x:c r="K160" s="24" t="n">
        <x:v>738.65</x:v>
      </x:c>
      <x:c r="L160" s="24" t="n">
        <x:v>3364.85</x:v>
      </x:c>
      <x:c r="M160" s="10" t="n">
        <x:v>1</x:v>
      </x:c>
      <x:c r="N160" s="10" t="n">
        <x:v>6</x:v>
      </x:c>
      <x:c r="O160" s="28" t="n">
        <x:f>IF(F160="有效",I160*'参数'!$B$10+J160*'参数'!$B$11,"n.a.")</x:f>
        <x:v>129.62981689</x:v>
      </x:c>
      <x:c r="P160" s="28" t="n">
        <x:f>IF(F160="有效",K160*'参数'!$B$12+L160*'参数'!$B$13,"n.a.")</x:f>
        <x:v>3267.3023583333334</x:v>
      </x:c>
      <x:c r="Q160" s="28" t="n">
        <x:f>IF(F160="有效",M160*'参数'!$B$14+N160*'参数'!$B$15,"n.a.")</x:f>
        <x:v>460</x:v>
      </x:c>
      <x:c r="R160" s="28" t="n">
        <x:f>IF(F160="有效",IF(D160&lt;=2,G160*('参数'!$B$6+'参数'!$B$18),0),"n.a.")</x:f>
        <x:v>0</x:v>
      </x:c>
      <x:c r="S160" s="28" t="n">
        <x:f>IF(F160="有效",IF(D160&gt;=3,G160*'参数'!$B$16,0),"n.a.")</x:f>
        <x:v>181.60000000000002</x:v>
      </x:c>
      <x:c r="T160" s="28" t="n">
        <x:f>IF(F160="有效",IF(D160&gt;=3,G160*'参数'!$B$17,0),"n.a.")</x:f>
        <x:v>22.700000000000003</x:v>
      </x:c>
      <x:c r="U160" s="28" t="n">
        <x:f>IF(F160="有效",SUM(O160:T160),"n.a.")</x:f>
        <x:v>4061.232175223333</x:v>
      </x:c>
      <x:c r="V160" s="28" t="n">
        <x:f>IF(F160="有效",H160*'参数'!$B$7,"n.a.")</x:f>
        <x:v>8285.5</x:v>
      </x:c>
      <x:c r="W160" s="28" t="n">
        <x:f>IF(F160="有效",IF(D160&gt;=3,G160*'参数'!$B$7/'参数'!$B$8,0),"n.a.")</x:f>
        <x:v>165.71</x:v>
      </x:c>
      <x:c r="X160" s="28" t="n">
        <x:f>IF(F160="有效",U160+W160,"n.a.")</x:f>
        <x:v>4226.942175223333</x:v>
      </x:c>
      <x:c r="Y160" s="28" t="n">
        <x:f>IF(F160="有效",X160/G160,"n.a.")</x:f>
        <x:v>18.620890639750364</x:v>
      </x:c>
    </x:row>
    <x:row r="161" ht="22" customHeight="1">
      <x:c r="A161" s="11" t="str">
        <x:v>lade_0825_30aoi</x:v>
      </x:c>
      <x:c r="B161" s="22" t="n">
        <x:v>30</x:v>
      </x:c>
      <x:c r="C161" s="22" t="n">
        <x:v>1</x:v>
      </x:c>
      <x:c r="D161" s="22" t="n">
        <x:v>4</x:v>
      </x:c>
      <x:c r="E161" s="22" t="n">
        <x:v>44</x:v>
      </x:c>
      <x:c r="F161" s="30" t="str">
        <x:v>有效</x:v>
      </x:c>
      <x:c r="G161" s="22" t="n">
        <x:v>227</x:v>
      </x:c>
      <x:c r="H161" s="22" t="n">
        <x:v>227</x:v>
      </x:c>
      <x:c r="I161" s="24" t="n">
        <x:v>63.013999999999996</x:v>
      </x:c>
      <x:c r="J161" s="24" t="n">
        <x:v>77.0844</x:v>
      </x:c>
      <x:c r="K161" s="24" t="n">
        <x:v>738.65</x:v>
      </x:c>
      <x:c r="L161" s="24" t="n">
        <x:v>3145.25</x:v>
      </x:c>
      <x:c r="M161" s="10" t="n">
        <x:v>1</x:v>
      </x:c>
      <x:c r="N161" s="10" t="n">
        <x:v>6</x:v>
      </x:c>
      <x:c r="O161" s="28" t="n">
        <x:f>IF(F161="有效",I161*'参数'!$B$10+J161*'参数'!$B$11,"n.a.")</x:f>
        <x:v>126.37576172000001</x:v>
      </x:c>
      <x:c r="P161" s="28" t="n">
        <x:f>IF(F161="有效",K161*'参数'!$B$12+L161*'参数'!$B$13,"n.a.")</x:f>
        <x:v>3105.791133333333</x:v>
      </x:c>
      <x:c r="Q161" s="28" t="n">
        <x:f>IF(F161="有效",M161*'参数'!$B$14+N161*'参数'!$B$15,"n.a.")</x:f>
        <x:v>460</x:v>
      </x:c>
      <x:c r="R161" s="28" t="n">
        <x:f>IF(F161="有效",IF(D161&lt;=2,G161*('参数'!$B$6+'参数'!$B$18),0),"n.a.")</x:f>
        <x:v>0</x:v>
      </x:c>
      <x:c r="S161" s="28" t="n">
        <x:f>IF(F161="有效",IF(D161&gt;=3,G161*'参数'!$B$16,0),"n.a.")</x:f>
        <x:v>181.60000000000002</x:v>
      </x:c>
      <x:c r="T161" s="28" t="n">
        <x:f>IF(F161="有效",IF(D161&gt;=3,G161*'参数'!$B$17,0),"n.a.")</x:f>
        <x:v>22.700000000000003</x:v>
      </x:c>
      <x:c r="U161" s="28" t="n">
        <x:f>IF(F161="有效",SUM(O161:T161),"n.a.")</x:f>
        <x:v>3896.466895053333</x:v>
      </x:c>
      <x:c r="V161" s="28" t="n">
        <x:f>IF(F161="有效",H161*'参数'!$B$7,"n.a.")</x:f>
        <x:v>8285.5</x:v>
      </x:c>
      <x:c r="W161" s="28" t="n">
        <x:f>IF(F161="有效",IF(D161&gt;=3,G161*'参数'!$B$7/'参数'!$B$8,0),"n.a.")</x:f>
        <x:v>165.71</x:v>
      </x:c>
      <x:c r="X161" s="28" t="n">
        <x:f>IF(F161="有效",U161+W161,"n.a.")</x:f>
        <x:v>4062.176895053333</x:v>
      </x:c>
      <x:c r="Y161" s="28" t="n">
        <x:f>IF(F161="有效",X161/G161,"n.a.")</x:f>
        <x:v>17.895052401116004</x:v>
      </x:c>
    </x:row>
    <x:row r="162" ht="22" customHeight="1">
      <x:c r="A162" s="11" t="str">
        <x:v>lade_0825_30aoi</x:v>
      </x:c>
      <x:c r="B162" s="22" t="n">
        <x:v>30</x:v>
      </x:c>
      <x:c r="C162" s="22" t="n">
        <x:v>2</x:v>
      </x:c>
      <x:c r="D162" s="22" t="n">
        <x:v>5</x:v>
      </x:c>
      <x:c r="E162" s="22" t="n">
        <x:v>42</x:v>
      </x:c>
      <x:c r="F162" s="30" t="str">
        <x:v>有效</x:v>
      </x:c>
      <x:c r="G162" s="22" t="n">
        <x:v>227</x:v>
      </x:c>
      <x:c r="H162" s="22" t="n">
        <x:v>227</x:v>
      </x:c>
      <x:c r="I162" s="24" t="n">
        <x:v>169.9527</x:v>
      </x:c>
      <x:c r="J162" s="24" t="n">
        <x:v>83.25699999999999</x:v>
      </x:c>
      <x:c r="K162" s="24" t="n">
        <x:v>954.5</x:v>
      </x:c>
      <x:c r="L162" s="24" t="n">
        <x:v>2366.25</x:v>
      </x:c>
      <x:c r="M162" s="10" t="n">
        <x:v>2</x:v>
      </x:c>
      <x:c r="N162" s="10" t="n">
        <x:v>6</x:v>
      </x:c>
      <x:c r="O162" s="28" t="n">
        <x:f>IF(F162="有效",I162*'参数'!$B$10+J162*'参数'!$B$11,"n.a.")</x:f>
        <x:v>228.407809885</x:v>
      </x:c>
      <x:c r="P162" s="28" t="n">
        <x:f>IF(F162="有效",K162*'参数'!$B$12+L162*'参数'!$B$13,"n.a.")</x:f>
        <x:v>2764.446421875</x:v>
      </x:c>
      <x:c r="Q162" s="28" t="n">
        <x:f>IF(F162="有效",M162*'参数'!$B$14+N162*'参数'!$B$15,"n.a.")</x:f>
        <x:v>560</x:v>
      </x:c>
      <x:c r="R162" s="28" t="n">
        <x:f>IF(F162="有效",IF(D162&lt;=2,G162*('参数'!$B$6+'参数'!$B$18),0),"n.a.")</x:f>
        <x:v>0</x:v>
      </x:c>
      <x:c r="S162" s="28" t="n">
        <x:f>IF(F162="有效",IF(D162&gt;=3,G162*'参数'!$B$16,0),"n.a.")</x:f>
        <x:v>181.60000000000002</x:v>
      </x:c>
      <x:c r="T162" s="28" t="n">
        <x:f>IF(F162="有效",IF(D162&gt;=3,G162*'参数'!$B$17,0),"n.a.")</x:f>
        <x:v>22.700000000000003</x:v>
      </x:c>
      <x:c r="U162" s="28" t="n">
        <x:f>IF(F162="有效",SUM(O162:T162),"n.a.")</x:f>
        <x:v>3757.1542317599997</x:v>
      </x:c>
      <x:c r="V162" s="28" t="n">
        <x:f>IF(F162="有效",H162*'参数'!$B$7,"n.a.")</x:f>
        <x:v>8285.5</x:v>
      </x:c>
      <x:c r="W162" s="28" t="n">
        <x:f>IF(F162="有效",IF(D162&gt;=3,G162*'参数'!$B$7/'参数'!$B$8,0),"n.a.")</x:f>
        <x:v>165.71</x:v>
      </x:c>
      <x:c r="X162" s="28" t="n">
        <x:f>IF(F162="有效",U162+W162,"n.a.")</x:f>
        <x:v>3922.8642317599997</x:v>
      </x:c>
      <x:c r="Y162" s="28" t="n">
        <x:f>IF(F162="有效",X162/G162,"n.a.")</x:f>
        <x:v>17.28134022801762</x:v>
      </x:c>
    </x:row>
    <x:row r="163" ht="22" customHeight="1">
      <x:c r="A163" s="11" t="str">
        <x:v>lade_0825_30aoi</x:v>
      </x:c>
      <x:c r="B163" s="22" t="n">
        <x:v>30</x:v>
      </x:c>
      <x:c r="C163" s="22" t="n">
        <x:v>2</x:v>
      </x:c>
      <x:c r="D163" s="22" t="n">
        <x:v>5</x:v>
      </x:c>
      <x:c r="E163" s="22" t="n">
        <x:v>43</x:v>
      </x:c>
      <x:c r="F163" s="30" t="str">
        <x:v>有效</x:v>
      </x:c>
      <x:c r="G163" s="22" t="n">
        <x:v>227</x:v>
      </x:c>
      <x:c r="H163" s="22" t="n">
        <x:v>227</x:v>
      </x:c>
      <x:c r="I163" s="24" t="n">
        <x:v>170.9205</x:v>
      </x:c>
      <x:c r="J163" s="24" t="n">
        <x:v>90.57050000000002</x:v>
      </x:c>
      <x:c r="K163" s="24" t="n">
        <x:v>956.45</x:v>
      </x:c>
      <x:c r="L163" s="24" t="n">
        <x:v>1999.7333333333333</x:v>
      </x:c>
      <x:c r="M163" s="10" t="n">
        <x:v>2</x:v>
      </x:c>
      <x:c r="N163" s="10" t="n">
        <x:v>6</x:v>
      </x:c>
      <x:c r="O163" s="28" t="n">
        <x:f>IF(F163="有效",I163*'参数'!$B$10+J163*'参数'!$B$11,"n.a.")</x:f>
        <x:v>235.87795655000002</x:v>
      </x:c>
      <x:c r="P163" s="28" t="n">
        <x:f>IF(F163="有效",K163*'参数'!$B$12+L163*'参数'!$B$13,"n.a.")</x:f>
        <x:v>2496.9732774305558</x:v>
      </x:c>
      <x:c r="Q163" s="28" t="n">
        <x:f>IF(F163="有效",M163*'参数'!$B$14+N163*'参数'!$B$15,"n.a.")</x:f>
        <x:v>560</x:v>
      </x:c>
      <x:c r="R163" s="28" t="n">
        <x:f>IF(F163="有效",IF(D163&lt;=2,G163*('参数'!$B$6+'参数'!$B$18),0),"n.a.")</x:f>
        <x:v>0</x:v>
      </x:c>
      <x:c r="S163" s="28" t="n">
        <x:f>IF(F163="有效",IF(D163&gt;=3,G163*'参数'!$B$16,0),"n.a.")</x:f>
        <x:v>181.60000000000002</x:v>
      </x:c>
      <x:c r="T163" s="28" t="n">
        <x:f>IF(F163="有效",IF(D163&gt;=3,G163*'参数'!$B$17,0),"n.a.")</x:f>
        <x:v>22.700000000000003</x:v>
      </x:c>
      <x:c r="U163" s="28" t="n">
        <x:f>IF(F163="有效",SUM(O163:T163),"n.a.")</x:f>
        <x:v>3497.1512339805554</x:v>
      </x:c>
      <x:c r="V163" s="28" t="n">
        <x:f>IF(F163="有效",H163*'参数'!$B$7,"n.a.")</x:f>
        <x:v>8285.5</x:v>
      </x:c>
      <x:c r="W163" s="28" t="n">
        <x:f>IF(F163="有效",IF(D163&gt;=3,G163*'参数'!$B$7/'参数'!$B$8,0),"n.a.")</x:f>
        <x:v>165.71</x:v>
      </x:c>
      <x:c r="X163" s="28" t="n">
        <x:f>IF(F163="有效",U163+W163,"n.a.")</x:f>
        <x:v>3662.8612339805554</x:v>
      </x:c>
      <x:c r="Y163" s="28" t="n">
        <x:f>IF(F163="有效",X163/G163,"n.a.")</x:f>
        <x:v>16.135952572601564</x:v>
      </x:c>
    </x:row>
    <x:row r="164" ht="22" customHeight="1">
      <x:c r="A164" s="11" t="str">
        <x:v>lade_0825_30aoi</x:v>
      </x:c>
      <x:c r="B164" s="22" t="n">
        <x:v>30</x:v>
      </x:c>
      <x:c r="C164" s="22" t="n">
        <x:v>2</x:v>
      </x:c>
      <x:c r="D164" s="22" t="n">
        <x:v>5</x:v>
      </x:c>
      <x:c r="E164" s="22" t="n">
        <x:v>44</x:v>
      </x:c>
      <x:c r="F164" s="30" t="str">
        <x:v>有效</x:v>
      </x:c>
      <x:c r="G164" s="22" t="n">
        <x:v>227</x:v>
      </x:c>
      <x:c r="H164" s="22" t="n">
        <x:v>227</x:v>
      </x:c>
      <x:c r="I164" s="24" t="n">
        <x:v>169.9527</x:v>
      </x:c>
      <x:c r="J164" s="24" t="n">
        <x:v>81.3644</x:v>
      </x:c>
      <x:c r="K164" s="24" t="n">
        <x:v>954.5</x:v>
      </x:c>
      <x:c r="L164" s="24" t="n">
        <x:v>2811.266666666667</x:v>
      </x:c>
      <x:c r="M164" s="10" t="n">
        <x:v>2</x:v>
      </x:c>
      <x:c r="N164" s="10" t="n">
        <x:v>6</x:v>
      </x:c>
      <x:c r="O164" s="28" t="n">
        <x:f>IF(F164="有效",I164*'参数'!$B$10+J164*'参数'!$B$11,"n.a.")</x:f>
        <x:v>226.70059005500002</x:v>
      </x:c>
      <x:c r="P164" s="28" t="n">
        <x:f>IF(F164="有效",K164*'参数'!$B$12+L164*'参数'!$B$13,"n.a.")</x:f>
        <x:v>3091.746909027778</x:v>
      </x:c>
      <x:c r="Q164" s="28" t="n">
        <x:f>IF(F164="有效",M164*'参数'!$B$14+N164*'参数'!$B$15,"n.a.")</x:f>
        <x:v>560</x:v>
      </x:c>
      <x:c r="R164" s="28" t="n">
        <x:f>IF(F164="有效",IF(D164&lt;=2,G164*('参数'!$B$6+'参数'!$B$18),0),"n.a.")</x:f>
        <x:v>0</x:v>
      </x:c>
      <x:c r="S164" s="28" t="n">
        <x:f>IF(F164="有效",IF(D164&gt;=3,G164*'参数'!$B$16,0),"n.a.")</x:f>
        <x:v>181.60000000000002</x:v>
      </x:c>
      <x:c r="T164" s="28" t="n">
        <x:f>IF(F164="有效",IF(D164&gt;=3,G164*'参数'!$B$17,0),"n.a.")</x:f>
        <x:v>22.700000000000003</x:v>
      </x:c>
      <x:c r="U164" s="28" t="n">
        <x:f>IF(F164="有效",SUM(O164:T164),"n.a.")</x:f>
        <x:v>4082.747499082778</x:v>
      </x:c>
      <x:c r="V164" s="28" t="n">
        <x:f>IF(F164="有效",H164*'参数'!$B$7,"n.a.")</x:f>
        <x:v>8285.5</x:v>
      </x:c>
      <x:c r="W164" s="28" t="n">
        <x:f>IF(F164="有效",IF(D164&gt;=3,G164*'参数'!$B$7/'参数'!$B$8,0),"n.a.")</x:f>
        <x:v>165.71</x:v>
      </x:c>
      <x:c r="X164" s="28" t="n">
        <x:f>IF(F164="有效",U164+W164,"n.a.")</x:f>
        <x:v>4248.457499082778</x:v>
      </x:c>
      <x:c r="Y164" s="28" t="n">
        <x:f>IF(F164="有效",X164/G164,"n.a.")</x:f>
        <x:v>18.715671802126774</x:v>
      </x:c>
    </x:row>
    <x:row r="165" ht="22" customHeight="1">
      <x:c r="A165" s="11" t="str">
        <x:v>lade_0825_30aoi</x:v>
      </x:c>
      <x:c r="B165" s="22" t="n">
        <x:v>30</x:v>
      </x:c>
      <x:c r="C165" s="22" t="n">
        <x:v>3</x:v>
      </x:c>
      <x:c r="D165" s="22" t="n">
        <x:v>5</x:v>
      </x:c>
      <x:c r="E165" s="22" t="n">
        <x:v>42</x:v>
      </x:c>
      <x:c r="F165" s="30" t="str">
        <x:v>有效</x:v>
      </x:c>
      <x:c r="G165" s="22" t="n">
        <x:v>227</x:v>
      </x:c>
      <x:c r="H165" s="22" t="n">
        <x:v>227</x:v>
      </x:c>
      <x:c r="I165" s="24" t="n">
        <x:v>320.5125</x:v>
      </x:c>
      <x:c r="J165" s="24" t="n">
        <x:v>102.1373</x:v>
      </x:c>
      <x:c r="K165" s="24" t="n">
        <x:v>1175.7666666666667</x:v>
      </x:c>
      <x:c r="L165" s="24" t="n">
        <x:v>1422.2666666666667</x:v>
      </x:c>
      <x:c r="M165" s="10" t="n">
        <x:v>3</x:v>
      </x:c>
      <x:c r="N165" s="10" t="n">
        <x:v>6</x:v>
      </x:c>
      <x:c r="O165" s="28" t="n">
        <x:f>IF(F165="有效",I165*'参数'!$B$10+J165*'参数'!$B$11,"n.a.")</x:f>
        <x:v>381.25125209000004</x:v>
      </x:c>
      <x:c r="P165" s="28" t="n">
        <x:f>IF(F165="有效",K165*'参数'!$B$12+L165*'参数'!$B$13,"n.a.")</x:f>
        <x:v>2307.5716506944445</x:v>
      </x:c>
      <x:c r="Q165" s="28" t="n">
        <x:f>IF(F165="有效",M165*'参数'!$B$14+N165*'参数'!$B$15,"n.a.")</x:f>
        <x:v>660</x:v>
      </x:c>
      <x:c r="R165" s="28" t="n">
        <x:f>IF(F165="有效",IF(D165&lt;=2,G165*('参数'!$B$6+'参数'!$B$18),0),"n.a.")</x:f>
        <x:v>0</x:v>
      </x:c>
      <x:c r="S165" s="28" t="n">
        <x:f>IF(F165="有效",IF(D165&gt;=3,G165*'参数'!$B$16,0),"n.a.")</x:f>
        <x:v>181.60000000000002</x:v>
      </x:c>
      <x:c r="T165" s="28" t="n">
        <x:f>IF(F165="有效",IF(D165&gt;=3,G165*'参数'!$B$17,0),"n.a.")</x:f>
        <x:v>22.700000000000003</x:v>
      </x:c>
      <x:c r="U165" s="28" t="n">
        <x:f>IF(F165="有效",SUM(O165:T165),"n.a.")</x:f>
        <x:v>3553.1229027844442</x:v>
      </x:c>
      <x:c r="V165" s="28" t="n">
        <x:f>IF(F165="有效",H165*'参数'!$B$7,"n.a.")</x:f>
        <x:v>8285.5</x:v>
      </x:c>
      <x:c r="W165" s="28" t="n">
        <x:f>IF(F165="有效",IF(D165&gt;=3,G165*'参数'!$B$7/'参数'!$B$8,0),"n.a.")</x:f>
        <x:v>165.71</x:v>
      </x:c>
      <x:c r="X165" s="28" t="n">
        <x:f>IF(F165="有效",U165+W165,"n.a.")</x:f>
        <x:v>3718.8329027844443</x:v>
      </x:c>
      <x:c r="Y165" s="28" t="n">
        <x:f>IF(F165="有效",X165/G165,"n.a.")</x:f>
        <x:v>16.38252380081253</x:v>
      </x:c>
    </x:row>
    <x:row r="166" ht="22" customHeight="1">
      <x:c r="A166" s="11" t="str">
        <x:v>lade_0825_30aoi</x:v>
      </x:c>
      <x:c r="B166" s="22" t="n">
        <x:v>30</x:v>
      </x:c>
      <x:c r="C166" s="22" t="n">
        <x:v>3</x:v>
      </x:c>
      <x:c r="D166" s="22" t="n">
        <x:v>5</x:v>
      </x:c>
      <x:c r="E166" s="22" t="n">
        <x:v>43</x:v>
      </x:c>
      <x:c r="F166" s="30" t="str">
        <x:v>有效</x:v>
      </x:c>
      <x:c r="G166" s="22" t="n">
        <x:v>227</x:v>
      </x:c>
      <x:c r="H166" s="22" t="n">
        <x:v>227</x:v>
      </x:c>
      <x:c r="I166" s="24" t="n">
        <x:v>320.5125</x:v>
      </x:c>
      <x:c r="J166" s="24" t="n">
        <x:v>104.779</x:v>
      </x:c>
      <x:c r="K166" s="24" t="n">
        <x:v>1168.2833333333333</x:v>
      </x:c>
      <x:c r="L166" s="24" t="n">
        <x:v>1958.9833333333333</x:v>
      </x:c>
      <x:c r="M166" s="10" t="n">
        <x:v>3</x:v>
      </x:c>
      <x:c r="N166" s="10" t="n">
        <x:v>6</x:v>
      </x:c>
      <x:c r="O166" s="28" t="n">
        <x:f>IF(F166="有效",I166*'参数'!$B$10+J166*'参数'!$B$11,"n.a.")</x:f>
        <x:v>383.63419757500003</x:v>
      </x:c>
      <x:c r="P166" s="28" t="n">
        <x:f>IF(F166="有效",K166*'参数'!$B$12+L166*'参数'!$B$13,"n.a.")</x:f>
        <x:v>2694.286428472222</x:v>
      </x:c>
      <x:c r="Q166" s="28" t="n">
        <x:f>IF(F166="有效",M166*'参数'!$B$14+N166*'参数'!$B$15,"n.a.")</x:f>
        <x:v>660</x:v>
      </x:c>
      <x:c r="R166" s="28" t="n">
        <x:f>IF(F166="有效",IF(D166&lt;=2,G166*('参数'!$B$6+'参数'!$B$18),0),"n.a.")</x:f>
        <x:v>0</x:v>
      </x:c>
      <x:c r="S166" s="28" t="n">
        <x:f>IF(F166="有效",IF(D166&gt;=3,G166*'参数'!$B$16,0),"n.a.")</x:f>
        <x:v>181.60000000000002</x:v>
      </x:c>
      <x:c r="T166" s="28" t="n">
        <x:f>IF(F166="有效",IF(D166&gt;=3,G166*'参数'!$B$17,0),"n.a.")</x:f>
        <x:v>22.700000000000003</x:v>
      </x:c>
      <x:c r="U166" s="28" t="n">
        <x:f>IF(F166="有效",SUM(O166:T166),"n.a.")</x:f>
        <x:v>3942.2206260472217</x:v>
      </x:c>
      <x:c r="V166" s="28" t="n">
        <x:f>IF(F166="有效",H166*'参数'!$B$7,"n.a.")</x:f>
        <x:v>8285.5</x:v>
      </x:c>
      <x:c r="W166" s="28" t="n">
        <x:f>IF(F166="有效",IF(D166&gt;=3,G166*'参数'!$B$7/'参数'!$B$8,0),"n.a.")</x:f>
        <x:v>165.71</x:v>
      </x:c>
      <x:c r="X166" s="28" t="n">
        <x:f>IF(F166="有效",U166+W166,"n.a.")</x:f>
        <x:v>4107.930626047221</x:v>
      </x:c>
      <x:c r="Y166" s="28" t="n">
        <x:f>IF(F166="有效",X166/G166,"n.a.")</x:f>
        <x:v>18.096610687432694</x:v>
      </x:c>
    </x:row>
    <x:row r="167" ht="22" customHeight="1">
      <x:c r="A167" s="11" t="str">
        <x:v>lade_0825_30aoi</x:v>
      </x:c>
      <x:c r="B167" s="22" t="n">
        <x:v>30</x:v>
      </x:c>
      <x:c r="C167" s="22" t="n">
        <x:v>3</x:v>
      </x:c>
      <x:c r="D167" s="22" t="n">
        <x:v>5</x:v>
      </x:c>
      <x:c r="E167" s="22" t="n">
        <x:v>44</x:v>
      </x:c>
      <x:c r="F167" s="30" t="str">
        <x:v>有效</x:v>
      </x:c>
      <x:c r="G167" s="22" t="n">
        <x:v>227</x:v>
      </x:c>
      <x:c r="H167" s="22" t="n">
        <x:v>227</x:v>
      </x:c>
      <x:c r="I167" s="24" t="n">
        <x:v>321.3407</x:v>
      </x:c>
      <x:c r="J167" s="24" t="n">
        <x:v>106.80890000000004</x:v>
      </x:c>
      <x:c r="K167" s="24" t="n">
        <x:v>1165.8833333333334</x:v>
      </x:c>
      <x:c r="L167" s="24" t="n">
        <x:v>1666.85</x:v>
      </x:c>
      <x:c r="M167" s="10" t="n">
        <x:v>3</x:v>
      </x:c>
      <x:c r="N167" s="10" t="n">
        <x:v>6</x:v>
      </x:c>
      <x:c r="O167" s="28" t="n">
        <x:f>IF(F167="有效",I167*'参数'!$B$10+J167*'参数'!$B$11,"n.a.")</x:f>
        <x:v>386.21234668000005</x:v>
      </x:c>
      <x:c r="P167" s="28" t="n">
        <x:f>IF(F167="有效",K167*'参数'!$B$12+L167*'参数'!$B$13,"n.a.")</x:f>
        <x:v>2476.853397916667</x:v>
      </x:c>
      <x:c r="Q167" s="28" t="n">
        <x:f>IF(F167="有效",M167*'参数'!$B$14+N167*'参数'!$B$15,"n.a.")</x:f>
        <x:v>660</x:v>
      </x:c>
      <x:c r="R167" s="28" t="n">
        <x:f>IF(F167="有效",IF(D167&lt;=2,G167*('参数'!$B$6+'参数'!$B$18),0),"n.a.")</x:f>
        <x:v>0</x:v>
      </x:c>
      <x:c r="S167" s="28" t="n">
        <x:f>IF(F167="有效",IF(D167&gt;=3,G167*'参数'!$B$16,0),"n.a.")</x:f>
        <x:v>181.60000000000002</x:v>
      </x:c>
      <x:c r="T167" s="28" t="n">
        <x:f>IF(F167="有效",IF(D167&gt;=3,G167*'参数'!$B$17,0),"n.a.")</x:f>
        <x:v>22.700000000000003</x:v>
      </x:c>
      <x:c r="U167" s="28" t="n">
        <x:f>IF(F167="有效",SUM(O167:T167),"n.a.")</x:f>
        <x:v>3727.3657445966664</x:v>
      </x:c>
      <x:c r="V167" s="28" t="n">
        <x:f>IF(F167="有效",H167*'参数'!$B$7,"n.a.")</x:f>
        <x:v>8285.5</x:v>
      </x:c>
      <x:c r="W167" s="28" t="n">
        <x:f>IF(F167="有效",IF(D167&gt;=3,G167*'参数'!$B$7/'参数'!$B$8,0),"n.a.")</x:f>
        <x:v>165.71</x:v>
      </x:c>
      <x:c r="X167" s="28" t="n">
        <x:f>IF(F167="有效",U167+W167,"n.a.")</x:f>
        <x:v>3893.0757445966665</x:v>
      </x:c>
      <x:c r="Y167" s="28" t="n">
        <x:f>IF(F167="有效",X167/G167,"n.a.")</x:f>
        <x:v>17.150113412320117</x:v>
      </x:c>
    </x:row>
    <x:row r="168" ht="22" customHeight="1">
      <x:c r="A168" s="11" t="str">
        <x:v>lade_0826_10aoi</x:v>
      </x:c>
      <x:c r="B168" s="22" t="n">
        <x:v>10</x:v>
      </x:c>
      <x:c r="C168" s="22" t="n">
        <x:v>1</x:v>
      </x:c>
      <x:c r="D168" s="22" t="n">
        <x:v>1</x:v>
      </x:c>
      <x:c r="E168" s="22" t="n">
        <x:v>42</x:v>
      </x:c>
      <x:c r="F168" s="30" t="str">
        <x:v>有效</x:v>
      </x:c>
      <x:c r="G168" s="22" t="n">
        <x:v>117</x:v>
      </x:c>
      <x:c r="H168" s="22" t="n">
        <x:v>0</x:v>
      </x:c>
      <x:c r="I168" s="24" t="n">
        <x:v>59.477500000000006</x:v>
      </x:c>
      <x:c r="J168" s="24" t="n">
        <x:v>39.507799999999996</x:v>
      </x:c>
      <x:c r="K168" s="24" t="n">
        <x:v>60.63333333333333</x:v>
      </x:c>
      <x:c r="L168" s="24" t="n">
        <x:v>1205.5666666666666</x:v>
      </x:c>
      <x:c r="M168" s="10" t="n">
        <x:v>1</x:v>
      </x:c>
      <x:c r="N168" s="10" t="n">
        <x:v>3</x:v>
      </x:c>
      <x:c r="O168" s="28" t="n">
        <x:f>IF(F168="有效",I168*'参数'!$B$10+J168*'参数'!$B$11,"n.a.")</x:f>
        <x:v>89.28968986500001</x:v>
      </x:c>
      <x:c r="P168" s="28" t="n">
        <x:f>IF(F168="有效",K168*'参数'!$B$12+L168*'参数'!$B$13,"n.a.")</x:f>
        <x:v>951.7249444444444</x:v>
      </x:c>
      <x:c r="Q168" s="28" t="n">
        <x:f>IF(F168="有效",M168*'参数'!$B$14+N168*'参数'!$B$15,"n.a.")</x:f>
        <x:v>280</x:v>
      </x:c>
      <x:c r="R168" s="28" t="n">
        <x:f>IF(F168="有效",IF(D168&lt;=2,G168*('参数'!$B$6+'参数'!$B$18),0),"n.a.")</x:f>
        <x:v>468</x:v>
      </x:c>
      <x:c r="S168" s="28" t="n">
        <x:f>IF(F168="有效",IF(D168&gt;=3,G168*'参数'!$B$16,0),"n.a.")</x:f>
        <x:v>0</x:v>
      </x:c>
      <x:c r="T168" s="28" t="n">
        <x:f>IF(F168="有效",IF(D168&gt;=3,G168*'参数'!$B$17,0),"n.a.")</x:f>
        <x:v>0</x:v>
      </x:c>
      <x:c r="U168" s="28" t="n">
        <x:f>IF(F168="有效",SUM(O168:T168),"n.a.")</x:f>
        <x:v>1789.0146343094443</x:v>
      </x:c>
      <x:c r="V168" s="28" t="n">
        <x:f>IF(F168="有效",H168*'参数'!$B$7,"n.a.")</x:f>
        <x:v>0</x:v>
      </x:c>
      <x:c r="W168" s="28" t="n">
        <x:f>IF(F168="有效",IF(D168&gt;=3,G168*'参数'!$B$7/'参数'!$B$8,0),"n.a.")</x:f>
        <x:v>0</x:v>
      </x:c>
      <x:c r="X168" s="28" t="n">
        <x:f>IF(F168="有效",U168+W168,"n.a.")</x:f>
        <x:v>1789.0146343094443</x:v>
      </x:c>
      <x:c r="Y168" s="28" t="n">
        <x:f>IF(F168="有效",X168/G168,"n.a.")</x:f>
        <x:v>15.29072337016619</x:v>
      </x:c>
    </x:row>
    <x:row r="169" ht="22" customHeight="1">
      <x:c r="A169" s="11" t="str">
        <x:v>lade_0826_10aoi</x:v>
      </x:c>
      <x:c r="B169" s="22" t="n">
        <x:v>10</x:v>
      </x:c>
      <x:c r="C169" s="22" t="n">
        <x:v>1</x:v>
      </x:c>
      <x:c r="D169" s="22" t="n">
        <x:v>1</x:v>
      </x:c>
      <x:c r="E169" s="22" t="n">
        <x:v>43</x:v>
      </x:c>
      <x:c r="F169" s="30" t="str">
        <x:v>有效</x:v>
      </x:c>
      <x:c r="G169" s="22" t="n">
        <x:v>117</x:v>
      </x:c>
      <x:c r="H169" s="22" t="n">
        <x:v>0</x:v>
      </x:c>
      <x:c r="I169" s="24" t="n">
        <x:v>59.477500000000006</x:v>
      </x:c>
      <x:c r="J169" s="24" t="n">
        <x:v>39.507799999999996</x:v>
      </x:c>
      <x:c r="K169" s="24" t="n">
        <x:v>60.63333333333333</x:v>
      </x:c>
      <x:c r="L169" s="24" t="n">
        <x:v>1205.5666666666666</x:v>
      </x:c>
      <x:c r="M169" s="10" t="n">
        <x:v>1</x:v>
      </x:c>
      <x:c r="N169" s="10" t="n">
        <x:v>3</x:v>
      </x:c>
      <x:c r="O169" s="28" t="n">
        <x:f>IF(F169="有效",I169*'参数'!$B$10+J169*'参数'!$B$11,"n.a.")</x:f>
        <x:v>89.28968986500001</x:v>
      </x:c>
      <x:c r="P169" s="28" t="n">
        <x:f>IF(F169="有效",K169*'参数'!$B$12+L169*'参数'!$B$13,"n.a.")</x:f>
        <x:v>951.7249444444444</x:v>
      </x:c>
      <x:c r="Q169" s="28" t="n">
        <x:f>IF(F169="有效",M169*'参数'!$B$14+N169*'参数'!$B$15,"n.a.")</x:f>
        <x:v>280</x:v>
      </x:c>
      <x:c r="R169" s="28" t="n">
        <x:f>IF(F169="有效",IF(D169&lt;=2,G169*('参数'!$B$6+'参数'!$B$18),0),"n.a.")</x:f>
        <x:v>468</x:v>
      </x:c>
      <x:c r="S169" s="28" t="n">
        <x:f>IF(F169="有效",IF(D169&gt;=3,G169*'参数'!$B$16,0),"n.a.")</x:f>
        <x:v>0</x:v>
      </x:c>
      <x:c r="T169" s="28" t="n">
        <x:f>IF(F169="有效",IF(D169&gt;=3,G169*'参数'!$B$17,0),"n.a.")</x:f>
        <x:v>0</x:v>
      </x:c>
      <x:c r="U169" s="28" t="n">
        <x:f>IF(F169="有效",SUM(O169:T169),"n.a.")</x:f>
        <x:v>1789.0146343094443</x:v>
      </x:c>
      <x:c r="V169" s="28" t="n">
        <x:f>IF(F169="有效",H169*'参数'!$B$7,"n.a.")</x:f>
        <x:v>0</x:v>
      </x:c>
      <x:c r="W169" s="28" t="n">
        <x:f>IF(F169="有效",IF(D169&gt;=3,G169*'参数'!$B$7/'参数'!$B$8,0),"n.a.")</x:f>
        <x:v>0</x:v>
      </x:c>
      <x:c r="X169" s="28" t="n">
        <x:f>IF(F169="有效",U169+W169,"n.a.")</x:f>
        <x:v>1789.0146343094443</x:v>
      </x:c>
      <x:c r="Y169" s="28" t="n">
        <x:f>IF(F169="有效",X169/G169,"n.a.")</x:f>
        <x:v>15.29072337016619</x:v>
      </x:c>
    </x:row>
    <x:row r="170" ht="22" customHeight="1">
      <x:c r="A170" s="11" t="str">
        <x:v>lade_0826_10aoi</x:v>
      </x:c>
      <x:c r="B170" s="22" t="n">
        <x:v>10</x:v>
      </x:c>
      <x:c r="C170" s="22" t="n">
        <x:v>1</x:v>
      </x:c>
      <x:c r="D170" s="22" t="n">
        <x:v>1</x:v>
      </x:c>
      <x:c r="E170" s="22" t="n">
        <x:v>44</x:v>
      </x:c>
      <x:c r="F170" s="30" t="str">
        <x:v>有效</x:v>
      </x:c>
      <x:c r="G170" s="22" t="n">
        <x:v>117</x:v>
      </x:c>
      <x:c r="H170" s="22" t="n">
        <x:v>0</x:v>
      </x:c>
      <x:c r="I170" s="24" t="n">
        <x:v>59.477500000000006</x:v>
      </x:c>
      <x:c r="J170" s="24" t="n">
        <x:v>39.507799999999996</x:v>
      </x:c>
      <x:c r="K170" s="24" t="n">
        <x:v>60.63333333333333</x:v>
      </x:c>
      <x:c r="L170" s="24" t="n">
        <x:v>1205.5666666666666</x:v>
      </x:c>
      <x:c r="M170" s="10" t="n">
        <x:v>1</x:v>
      </x:c>
      <x:c r="N170" s="10" t="n">
        <x:v>3</x:v>
      </x:c>
      <x:c r="O170" s="28" t="n">
        <x:f>IF(F170="有效",I170*'参数'!$B$10+J170*'参数'!$B$11,"n.a.")</x:f>
        <x:v>89.28968986500001</x:v>
      </x:c>
      <x:c r="P170" s="28" t="n">
        <x:f>IF(F170="有效",K170*'参数'!$B$12+L170*'参数'!$B$13,"n.a.")</x:f>
        <x:v>951.7249444444444</x:v>
      </x:c>
      <x:c r="Q170" s="28" t="n">
        <x:f>IF(F170="有效",M170*'参数'!$B$14+N170*'参数'!$B$15,"n.a.")</x:f>
        <x:v>280</x:v>
      </x:c>
      <x:c r="R170" s="28" t="n">
        <x:f>IF(F170="有效",IF(D170&lt;=2,G170*('参数'!$B$6+'参数'!$B$18),0),"n.a.")</x:f>
        <x:v>468</x:v>
      </x:c>
      <x:c r="S170" s="28" t="n">
        <x:f>IF(F170="有效",IF(D170&gt;=3,G170*'参数'!$B$16,0),"n.a.")</x:f>
        <x:v>0</x:v>
      </x:c>
      <x:c r="T170" s="28" t="n">
        <x:f>IF(F170="有效",IF(D170&gt;=3,G170*'参数'!$B$17,0),"n.a.")</x:f>
        <x:v>0</x:v>
      </x:c>
      <x:c r="U170" s="28" t="n">
        <x:f>IF(F170="有效",SUM(O170:T170),"n.a.")</x:f>
        <x:v>1789.0146343094443</x:v>
      </x:c>
      <x:c r="V170" s="28" t="n">
        <x:f>IF(F170="有效",H170*'参数'!$B$7,"n.a.")</x:f>
        <x:v>0</x:v>
      </x:c>
      <x:c r="W170" s="28" t="n">
        <x:f>IF(F170="有效",IF(D170&gt;=3,G170*'参数'!$B$7/'参数'!$B$8,0),"n.a.")</x:f>
        <x:v>0</x:v>
      </x:c>
      <x:c r="X170" s="28" t="n">
        <x:f>IF(F170="有效",U170+W170,"n.a.")</x:f>
        <x:v>1789.0146343094443</x:v>
      </x:c>
      <x:c r="Y170" s="28" t="n">
        <x:f>IF(F170="有效",X170/G170,"n.a.")</x:f>
        <x:v>15.29072337016619</x:v>
      </x:c>
    </x:row>
    <x:row r="171" ht="22" customHeight="1">
      <x:c r="A171" s="11" t="str">
        <x:v>lade_0826_10aoi</x:v>
      </x:c>
      <x:c r="B171" s="22" t="n">
        <x:v>10</x:v>
      </x:c>
      <x:c r="C171" s="22" t="n">
        <x:v>1</x:v>
      </x:c>
      <x:c r="D171" s="22" t="n">
        <x:v>2</x:v>
      </x:c>
      <x:c r="E171" s="22" t="n">
        <x:v>42</x:v>
      </x:c>
      <x:c r="F171" s="30" t="str">
        <x:v>有效</x:v>
      </x:c>
      <x:c r="G171" s="22" t="n">
        <x:v>117</x:v>
      </x:c>
      <x:c r="H171" s="22" t="n">
        <x:v>0</x:v>
      </x:c>
      <x:c r="I171" s="24" t="n">
        <x:v>59.477500000000006</x:v>
      </x:c>
      <x:c r="J171" s="24" t="n">
        <x:v>35.4425</x:v>
      </x:c>
      <x:c r="K171" s="24" t="n">
        <x:v>60.63333333333333</x:v>
      </x:c>
      <x:c r="L171" s="24" t="n">
        <x:v>744.55</x:v>
      </x:c>
      <x:c r="M171" s="10" t="n">
        <x:v>1</x:v>
      </x:c>
      <x:c r="N171" s="10" t="n">
        <x:v>3</x:v>
      </x:c>
      <x:c r="O171" s="28" t="n">
        <x:f>IF(F171="有效",I171*'参数'!$B$10+J171*'参数'!$B$11,"n.a.")</x:f>
        <x:v>85.62258600000001</x:v>
      </x:c>
      <x:c r="P171" s="28" t="n">
        <x:f>IF(F171="有效",K171*'参数'!$B$12+L171*'参数'!$B$13,"n.a.")</x:f>
        <x:v>612.656790625</x:v>
      </x:c>
      <x:c r="Q171" s="28" t="n">
        <x:f>IF(F171="有效",M171*'参数'!$B$14+N171*'参数'!$B$15,"n.a.")</x:f>
        <x:v>280</x:v>
      </x:c>
      <x:c r="R171" s="28" t="n">
        <x:f>IF(F171="有效",IF(D171&lt;=2,G171*('参数'!$B$6+'参数'!$B$18),0),"n.a.")</x:f>
        <x:v>468</x:v>
      </x:c>
      <x:c r="S171" s="28" t="n">
        <x:f>IF(F171="有效",IF(D171&gt;=3,G171*'参数'!$B$16,0),"n.a.")</x:f>
        <x:v>0</x:v>
      </x:c>
      <x:c r="T171" s="28" t="n">
        <x:f>IF(F171="有效",IF(D171&gt;=3,G171*'参数'!$B$17,0),"n.a.")</x:f>
        <x:v>0</x:v>
      </x:c>
      <x:c r="U171" s="28" t="n">
        <x:f>IF(F171="有效",SUM(O171:T171),"n.a.")</x:f>
        <x:v>1446.279376625</x:v>
      </x:c>
      <x:c r="V171" s="28" t="n">
        <x:f>IF(F171="有效",H171*'参数'!$B$7,"n.a.")</x:f>
        <x:v>0</x:v>
      </x:c>
      <x:c r="W171" s="28" t="n">
        <x:f>IF(F171="有效",IF(D171&gt;=3,G171*'参数'!$B$7/'参数'!$B$8,0),"n.a.")</x:f>
        <x:v>0</x:v>
      </x:c>
      <x:c r="X171" s="28" t="n">
        <x:f>IF(F171="有效",U171+W171,"n.a.")</x:f>
        <x:v>1446.279376625</x:v>
      </x:c>
      <x:c r="Y171" s="28" t="n">
        <x:f>IF(F171="有效",X171/G171,"n.a.")</x:f>
        <x:v>12.361362193376069</x:v>
      </x:c>
    </x:row>
    <x:row r="172" ht="22" customHeight="1">
      <x:c r="A172" s="11" t="str">
        <x:v>lade_0826_10aoi</x:v>
      </x:c>
      <x:c r="B172" s="22" t="n">
        <x:v>10</x:v>
      </x:c>
      <x:c r="C172" s="22" t="n">
        <x:v>1</x:v>
      </x:c>
      <x:c r="D172" s="22" t="n">
        <x:v>2</x:v>
      </x:c>
      <x:c r="E172" s="22" t="n">
        <x:v>43</x:v>
      </x:c>
      <x:c r="F172" s="30" t="str">
        <x:v>有效</x:v>
      </x:c>
      <x:c r="G172" s="22" t="n">
        <x:v>117</x:v>
      </x:c>
      <x:c r="H172" s="22" t="n">
        <x:v>0</x:v>
      </x:c>
      <x:c r="I172" s="24" t="n">
        <x:v>49.942099999999996</x:v>
      </x:c>
      <x:c r="J172" s="24" t="n">
        <x:v>34.4888</x:v>
      </x:c>
      <x:c r="K172" s="24" t="n">
        <x:v>51.71666666666667</x:v>
      </x:c>
      <x:c r="L172" s="24" t="n">
        <x:v>739.9333333333333</x:v>
      </x:c>
      <x:c r="M172" s="10" t="n">
        <x:v>1</x:v>
      </x:c>
      <x:c r="N172" s="10" t="n">
        <x:v>2</x:v>
      </x:c>
      <x:c r="O172" s="28" t="n">
        <x:f>IF(F172="有效",I172*'参数'!$B$10+J172*'参数'!$B$11,"n.a.")</x:f>
        <x:v>76.16089334499999</x:v>
      </x:c>
      <x:c r="P172" s="28" t="n">
        <x:f>IF(F172="有效",K172*'参数'!$B$12+L172*'参数'!$B$13,"n.a.")</x:f>
        <x:v>599.6943024305555</x:v>
      </x:c>
      <x:c r="Q172" s="28" t="n">
        <x:f>IF(F172="有效",M172*'参数'!$B$14+N172*'参数'!$B$15,"n.a.")</x:f>
        <x:v>220</x:v>
      </x:c>
      <x:c r="R172" s="28" t="n">
        <x:f>IF(F172="有效",IF(D172&lt;=2,G172*('参数'!$B$6+'参数'!$B$18),0),"n.a.")</x:f>
        <x:v>468</x:v>
      </x:c>
      <x:c r="S172" s="28" t="n">
        <x:f>IF(F172="有效",IF(D172&gt;=3,G172*'参数'!$B$16,0),"n.a.")</x:f>
        <x:v>0</x:v>
      </x:c>
      <x:c r="T172" s="28" t="n">
        <x:f>IF(F172="有效",IF(D172&gt;=3,G172*'参数'!$B$17,0),"n.a.")</x:f>
        <x:v>0</x:v>
      </x:c>
      <x:c r="U172" s="28" t="n">
        <x:f>IF(F172="有效",SUM(O172:T172),"n.a.")</x:f>
        <x:v>1363.8551957755553</x:v>
      </x:c>
      <x:c r="V172" s="28" t="n">
        <x:f>IF(F172="有效",H172*'参数'!$B$7,"n.a.")</x:f>
        <x:v>0</x:v>
      </x:c>
      <x:c r="W172" s="28" t="n">
        <x:f>IF(F172="有效",IF(D172&gt;=3,G172*'参数'!$B$7/'参数'!$B$8,0),"n.a.")</x:f>
        <x:v>0</x:v>
      </x:c>
      <x:c r="X172" s="28" t="n">
        <x:f>IF(F172="有效",U172+W172,"n.a.")</x:f>
        <x:v>1363.8551957755553</x:v>
      </x:c>
      <x:c r="Y172" s="28" t="n">
        <x:f>IF(F172="有效",X172/G172,"n.a.")</x:f>
        <x:v>11.656882015175686</x:v>
      </x:c>
    </x:row>
    <x:row r="173" ht="22" customHeight="1">
      <x:c r="A173" s="11" t="str">
        <x:v>lade_0826_10aoi</x:v>
      </x:c>
      <x:c r="B173" s="22" t="n">
        <x:v>10</x:v>
      </x:c>
      <x:c r="C173" s="22" t="n">
        <x:v>1</x:v>
      </x:c>
      <x:c r="D173" s="22" t="n">
        <x:v>2</x:v>
      </x:c>
      <x:c r="E173" s="22" t="n">
        <x:v>44</x:v>
      </x:c>
      <x:c r="F173" s="30" t="str">
        <x:v>有效</x:v>
      </x:c>
      <x:c r="G173" s="22" t="n">
        <x:v>117</x:v>
      </x:c>
      <x:c r="H173" s="22" t="n">
        <x:v>0</x:v>
      </x:c>
      <x:c r="I173" s="24" t="n">
        <x:v>59.477500000000006</x:v>
      </x:c>
      <x:c r="J173" s="24" t="n">
        <x:v>35.4425</x:v>
      </x:c>
      <x:c r="K173" s="24" t="n">
        <x:v>60.63333333333333</x:v>
      </x:c>
      <x:c r="L173" s="24" t="n">
        <x:v>744.55</x:v>
      </x:c>
      <x:c r="M173" s="10" t="n">
        <x:v>1</x:v>
      </x:c>
      <x:c r="N173" s="10" t="n">
        <x:v>3</x:v>
      </x:c>
      <x:c r="O173" s="28" t="n">
        <x:f>IF(F173="有效",I173*'参数'!$B$10+J173*'参数'!$B$11,"n.a.")</x:f>
        <x:v>85.62258600000001</x:v>
      </x:c>
      <x:c r="P173" s="28" t="n">
        <x:f>IF(F173="有效",K173*'参数'!$B$12+L173*'参数'!$B$13,"n.a.")</x:f>
        <x:v>612.656790625</x:v>
      </x:c>
      <x:c r="Q173" s="28" t="n">
        <x:f>IF(F173="有效",M173*'参数'!$B$14+N173*'参数'!$B$15,"n.a.")</x:f>
        <x:v>280</x:v>
      </x:c>
      <x:c r="R173" s="28" t="n">
        <x:f>IF(F173="有效",IF(D173&lt;=2,G173*('参数'!$B$6+'参数'!$B$18),0),"n.a.")</x:f>
        <x:v>468</x:v>
      </x:c>
      <x:c r="S173" s="28" t="n">
        <x:f>IF(F173="有效",IF(D173&gt;=3,G173*'参数'!$B$16,0),"n.a.")</x:f>
        <x:v>0</x:v>
      </x:c>
      <x:c r="T173" s="28" t="n">
        <x:f>IF(F173="有效",IF(D173&gt;=3,G173*'参数'!$B$17,0),"n.a.")</x:f>
        <x:v>0</x:v>
      </x:c>
      <x:c r="U173" s="28" t="n">
        <x:f>IF(F173="有效",SUM(O173:T173),"n.a.")</x:f>
        <x:v>1446.279376625</x:v>
      </x:c>
      <x:c r="V173" s="28" t="n">
        <x:f>IF(F173="有效",H173*'参数'!$B$7,"n.a.")</x:f>
        <x:v>0</x:v>
      </x:c>
      <x:c r="W173" s="28" t="n">
        <x:f>IF(F173="有效",IF(D173&gt;=3,G173*'参数'!$B$7/'参数'!$B$8,0),"n.a.")</x:f>
        <x:v>0</x:v>
      </x:c>
      <x:c r="X173" s="28" t="n">
        <x:f>IF(F173="有效",U173+W173,"n.a.")</x:f>
        <x:v>1446.279376625</x:v>
      </x:c>
      <x:c r="Y173" s="28" t="n">
        <x:f>IF(F173="有效",X173/G173,"n.a.")</x:f>
        <x:v>12.361362193376069</x:v>
      </x:c>
    </x:row>
    <x:row r="174" ht="22" customHeight="1">
      <x:c r="A174" s="11" t="str">
        <x:v>lade_0826_10aoi</x:v>
      </x:c>
      <x:c r="B174" s="22" t="n">
        <x:v>10</x:v>
      </x:c>
      <x:c r="C174" s="22" t="n">
        <x:v>1</x:v>
      </x:c>
      <x:c r="D174" s="22" t="n">
        <x:v>3</x:v>
      </x:c>
      <x:c r="E174" s="22" t="n">
        <x:v>42</x:v>
      </x:c>
      <x:c r="F174" s="30" t="str">
        <x:v>有效</x:v>
      </x:c>
      <x:c r="G174" s="22" t="n">
        <x:v>117</x:v>
      </x:c>
      <x:c r="H174" s="22" t="n">
        <x:v>117</x:v>
      </x:c>
      <x:c r="I174" s="24" t="n">
        <x:v>63.013999999999996</x:v>
      </x:c>
      <x:c r="J174" s="24" t="n">
        <x:v>41.8107</x:v>
      </x:c>
      <x:c r="K174" s="24" t="n">
        <x:v>738.65</x:v>
      </x:c>
      <x:c r="L174" s="24" t="n">
        <x:v>1331.5666666666666</x:v>
      </x:c>
      <x:c r="M174" s="10" t="n">
        <x:v>1</x:v>
      </x:c>
      <x:c r="N174" s="10" t="n">
        <x:v>3</x:v>
      </x:c>
      <x:c r="O174" s="28" t="n">
        <x:f>IF(F174="有效",I174*'参数'!$B$10+J174*'参数'!$B$11,"n.a.")</x:f>
        <x:v>94.55712063499999</x:v>
      </x:c>
      <x:c r="P174" s="28" t="n">
        <x:f>IF(F174="有效",K174*'参数'!$B$12+L174*'参数'!$B$13,"n.a.")</x:f>
        <x:v>1771.864826736111</x:v>
      </x:c>
      <x:c r="Q174" s="28" t="n">
        <x:f>IF(F174="有效",M174*'参数'!$B$14+N174*'参数'!$B$15,"n.a.")</x:f>
        <x:v>280</x:v>
      </x:c>
      <x:c r="R174" s="28" t="n">
        <x:f>IF(F174="有效",IF(D174&lt;=2,G174*('参数'!$B$6+'参数'!$B$18),0),"n.a.")</x:f>
        <x:v>0</x:v>
      </x:c>
      <x:c r="S174" s="28" t="n">
        <x:f>IF(F174="有效",IF(D174&gt;=3,G174*'参数'!$B$16,0),"n.a.")</x:f>
        <x:v>93.60000000000001</x:v>
      </x:c>
      <x:c r="T174" s="28" t="n">
        <x:f>IF(F174="有效",IF(D174&gt;=3,G174*'参数'!$B$17,0),"n.a.")</x:f>
        <x:v>11.700000000000001</x:v>
      </x:c>
      <x:c r="U174" s="28" t="n">
        <x:f>IF(F174="有效",SUM(O174:T174),"n.a.")</x:f>
        <x:v>2251.7219473711107</x:v>
      </x:c>
      <x:c r="V174" s="28" t="n">
        <x:f>IF(F174="有效",H174*'参数'!$B$7,"n.a.")</x:f>
        <x:v>4270.5</x:v>
      </x:c>
      <x:c r="W174" s="28" t="n">
        <x:f>IF(F174="有效",IF(D174&gt;=3,G174*'参数'!$B$7/'参数'!$B$8,0),"n.a.")</x:f>
        <x:v>85.41</x:v>
      </x:c>
      <x:c r="X174" s="28" t="n">
        <x:f>IF(F174="有效",U174+W174,"n.a.")</x:f>
        <x:v>2337.1319473711105</x:v>
      </x:c>
      <x:c r="Y174" s="28" t="n">
        <x:f>IF(F174="有效",X174/G174,"n.a.")</x:f>
        <x:v>19.97548672966761</x:v>
      </x:c>
    </x:row>
    <x:row r="175" ht="22" customHeight="1">
      <x:c r="A175" s="11" t="str">
        <x:v>lade_0826_10aoi</x:v>
      </x:c>
      <x:c r="B175" s="22" t="n">
        <x:v>10</x:v>
      </x:c>
      <x:c r="C175" s="22" t="n">
        <x:v>1</x:v>
      </x:c>
      <x:c r="D175" s="22" t="n">
        <x:v>3</x:v>
      </x:c>
      <x:c r="E175" s="22" t="n">
        <x:v>43</x:v>
      </x:c>
      <x:c r="F175" s="30" t="str">
        <x:v>有效</x:v>
      </x:c>
      <x:c r="G175" s="22" t="n">
        <x:v>117</x:v>
      </x:c>
      <x:c r="H175" s="22" t="n">
        <x:v>117</x:v>
      </x:c>
      <x:c r="I175" s="24" t="n">
        <x:v>63.013999999999996</x:v>
      </x:c>
      <x:c r="J175" s="24" t="n">
        <x:v>41.810700000000004</x:v>
      </x:c>
      <x:c r="K175" s="24" t="n">
        <x:v>738.65</x:v>
      </x:c>
      <x:c r="L175" s="24" t="n">
        <x:v>1331.5666666666666</x:v>
      </x:c>
      <x:c r="M175" s="10" t="n">
        <x:v>1</x:v>
      </x:c>
      <x:c r="N175" s="10" t="n">
        <x:v>3</x:v>
      </x:c>
      <x:c r="O175" s="28" t="n">
        <x:f>IF(F175="有效",I175*'参数'!$B$10+J175*'参数'!$B$11,"n.a.")</x:f>
        <x:v>94.557120635</x:v>
      </x:c>
      <x:c r="P175" s="28" t="n">
        <x:f>IF(F175="有效",K175*'参数'!$B$12+L175*'参数'!$B$13,"n.a.")</x:f>
        <x:v>1771.864826736111</x:v>
      </x:c>
      <x:c r="Q175" s="28" t="n">
        <x:f>IF(F175="有效",M175*'参数'!$B$14+N175*'参数'!$B$15,"n.a.")</x:f>
        <x:v>280</x:v>
      </x:c>
      <x:c r="R175" s="28" t="n">
        <x:f>IF(F175="有效",IF(D175&lt;=2,G175*('参数'!$B$6+'参数'!$B$18),0),"n.a.")</x:f>
        <x:v>0</x:v>
      </x:c>
      <x:c r="S175" s="28" t="n">
        <x:f>IF(F175="有效",IF(D175&gt;=3,G175*'参数'!$B$16,0),"n.a.")</x:f>
        <x:v>93.60000000000001</x:v>
      </x:c>
      <x:c r="T175" s="28" t="n">
        <x:f>IF(F175="有效",IF(D175&gt;=3,G175*'参数'!$B$17,0),"n.a.")</x:f>
        <x:v>11.700000000000001</x:v>
      </x:c>
      <x:c r="U175" s="28" t="n">
        <x:f>IF(F175="有效",SUM(O175:T175),"n.a.")</x:f>
        <x:v>2251.7219473711107</x:v>
      </x:c>
      <x:c r="V175" s="28" t="n">
        <x:f>IF(F175="有效",H175*'参数'!$B$7,"n.a.")</x:f>
        <x:v>4270.5</x:v>
      </x:c>
      <x:c r="W175" s="28" t="n">
        <x:f>IF(F175="有效",IF(D175&gt;=3,G175*'参数'!$B$7/'参数'!$B$8,0),"n.a.")</x:f>
        <x:v>85.41</x:v>
      </x:c>
      <x:c r="X175" s="28" t="n">
        <x:f>IF(F175="有效",U175+W175,"n.a.")</x:f>
        <x:v>2337.1319473711105</x:v>
      </x:c>
      <x:c r="Y175" s="28" t="n">
        <x:f>IF(F175="有效",X175/G175,"n.a.")</x:f>
        <x:v>19.97548672966761</x:v>
      </x:c>
    </x:row>
    <x:row r="176" ht="22" customHeight="1">
      <x:c r="A176" s="11" t="str">
        <x:v>lade_0826_10aoi</x:v>
      </x:c>
      <x:c r="B176" s="22" t="n">
        <x:v>10</x:v>
      </x:c>
      <x:c r="C176" s="22" t="n">
        <x:v>1</x:v>
      </x:c>
      <x:c r="D176" s="22" t="n">
        <x:v>3</x:v>
      </x:c>
      <x:c r="E176" s="22" t="n">
        <x:v>44</x:v>
      </x:c>
      <x:c r="F176" s="30" t="str">
        <x:v>有效</x:v>
      </x:c>
      <x:c r="G176" s="22" t="n">
        <x:v>117</x:v>
      </x:c>
      <x:c r="H176" s="22" t="n">
        <x:v>117</x:v>
      </x:c>
      <x:c r="I176" s="24" t="n">
        <x:v>63.013999999999996</x:v>
      </x:c>
      <x:c r="J176" s="24" t="n">
        <x:v>41.8107</x:v>
      </x:c>
      <x:c r="K176" s="24" t="n">
        <x:v>738.65</x:v>
      </x:c>
      <x:c r="L176" s="24" t="n">
        <x:v>1331.5666666666666</x:v>
      </x:c>
      <x:c r="M176" s="10" t="n">
        <x:v>1</x:v>
      </x:c>
      <x:c r="N176" s="10" t="n">
        <x:v>3</x:v>
      </x:c>
      <x:c r="O176" s="28" t="n">
        <x:f>IF(F176="有效",I176*'参数'!$B$10+J176*'参数'!$B$11,"n.a.")</x:f>
        <x:v>94.55712063499999</x:v>
      </x:c>
      <x:c r="P176" s="28" t="n">
        <x:f>IF(F176="有效",K176*'参数'!$B$12+L176*'参数'!$B$13,"n.a.")</x:f>
        <x:v>1771.864826736111</x:v>
      </x:c>
      <x:c r="Q176" s="28" t="n">
        <x:f>IF(F176="有效",M176*'参数'!$B$14+N176*'参数'!$B$15,"n.a.")</x:f>
        <x:v>280</x:v>
      </x:c>
      <x:c r="R176" s="28" t="n">
        <x:f>IF(F176="有效",IF(D176&lt;=2,G176*('参数'!$B$6+'参数'!$B$18),0),"n.a.")</x:f>
        <x:v>0</x:v>
      </x:c>
      <x:c r="S176" s="28" t="n">
        <x:f>IF(F176="有效",IF(D176&gt;=3,G176*'参数'!$B$16,0),"n.a.")</x:f>
        <x:v>93.60000000000001</x:v>
      </x:c>
      <x:c r="T176" s="28" t="n">
        <x:f>IF(F176="有效",IF(D176&gt;=3,G176*'参数'!$B$17,0),"n.a.")</x:f>
        <x:v>11.700000000000001</x:v>
      </x:c>
      <x:c r="U176" s="28" t="n">
        <x:f>IF(F176="有效",SUM(O176:T176),"n.a.")</x:f>
        <x:v>2251.7219473711107</x:v>
      </x:c>
      <x:c r="V176" s="28" t="n">
        <x:f>IF(F176="有效",H176*'参数'!$B$7,"n.a.")</x:f>
        <x:v>4270.5</x:v>
      </x:c>
      <x:c r="W176" s="28" t="n">
        <x:f>IF(F176="有效",IF(D176&gt;=3,G176*'参数'!$B$7/'参数'!$B$8,0),"n.a.")</x:f>
        <x:v>85.41</x:v>
      </x:c>
      <x:c r="X176" s="28" t="n">
        <x:f>IF(F176="有效",U176+W176,"n.a.")</x:f>
        <x:v>2337.1319473711105</x:v>
      </x:c>
      <x:c r="Y176" s="28" t="n">
        <x:f>IF(F176="有效",X176/G176,"n.a.")</x:f>
        <x:v>19.97548672966761</x:v>
      </x:c>
    </x:row>
    <x:row r="177" ht="22" customHeight="1">
      <x:c r="A177" s="11" t="str">
        <x:v>lade_0826_10aoi</x:v>
      </x:c>
      <x:c r="B177" s="22" t="n">
        <x:v>10</x:v>
      </x:c>
      <x:c r="C177" s="22" t="n">
        <x:v>1</x:v>
      </x:c>
      <x:c r="D177" s="22" t="n">
        <x:v>4</x:v>
      </x:c>
      <x:c r="E177" s="22" t="n">
        <x:v>42</x:v>
      </x:c>
      <x:c r="F177" s="30" t="str">
        <x:v>有效</x:v>
      </x:c>
      <x:c r="G177" s="22" t="n">
        <x:v>117</x:v>
      </x:c>
      <x:c r="H177" s="22" t="n">
        <x:v>117</x:v>
      </x:c>
      <x:c r="I177" s="24" t="n">
        <x:v>63.013999999999996</x:v>
      </x:c>
      <x:c r="J177" s="24" t="n">
        <x:v>38.4297</x:v>
      </x:c>
      <x:c r="K177" s="24" t="n">
        <x:v>738.65</x:v>
      </x:c>
      <x:c r="L177" s="24" t="n">
        <x:v>1329.65</x:v>
      </x:c>
      <x:c r="M177" s="10" t="n">
        <x:v>1</x:v>
      </x:c>
      <x:c r="N177" s="10" t="n">
        <x:v>3</x:v>
      </x:c>
      <x:c r="O177" s="28" t="n">
        <x:f>IF(F177="有效",I177*'参数'!$B$10+J177*'参数'!$B$11,"n.a.")</x:f>
        <x:v>91.507289585</x:v>
      </x:c>
      <x:c r="P177" s="28" t="n">
        <x:f>IF(F177="有效",K177*'参数'!$B$12+L177*'参数'!$B$13,"n.a.")</x:f>
        <x:v>1770.4551583333332</x:v>
      </x:c>
      <x:c r="Q177" s="28" t="n">
        <x:f>IF(F177="有效",M177*'参数'!$B$14+N177*'参数'!$B$15,"n.a.")</x:f>
        <x:v>280</x:v>
      </x:c>
      <x:c r="R177" s="28" t="n">
        <x:f>IF(F177="有效",IF(D177&lt;=2,G177*('参数'!$B$6+'参数'!$B$18),0),"n.a.")</x:f>
        <x:v>0</x:v>
      </x:c>
      <x:c r="S177" s="28" t="n">
        <x:f>IF(F177="有效",IF(D177&gt;=3,G177*'参数'!$B$16,0),"n.a.")</x:f>
        <x:v>93.60000000000001</x:v>
      </x:c>
      <x:c r="T177" s="28" t="n">
        <x:f>IF(F177="有效",IF(D177&gt;=3,G177*'参数'!$B$17,0),"n.a.")</x:f>
        <x:v>11.700000000000001</x:v>
      </x:c>
      <x:c r="U177" s="28" t="n">
        <x:f>IF(F177="有效",SUM(O177:T177),"n.a.")</x:f>
        <x:v>2247.262447918333</x:v>
      </x:c>
      <x:c r="V177" s="28" t="n">
        <x:f>IF(F177="有效",H177*'参数'!$B$7,"n.a.")</x:f>
        <x:v>4270.5</x:v>
      </x:c>
      <x:c r="W177" s="28" t="n">
        <x:f>IF(F177="有效",IF(D177&gt;=3,G177*'参数'!$B$7/'参数'!$B$8,0),"n.a.")</x:f>
        <x:v>85.41</x:v>
      </x:c>
      <x:c r="X177" s="28" t="n">
        <x:f>IF(F177="有效",U177+W177,"n.a.")</x:f>
        <x:v>2332.6724479183326</x:v>
      </x:c>
      <x:c r="Y177" s="28" t="n">
        <x:f>IF(F177="有效",X177/G177,"n.a.")</x:f>
        <x:v>19.93737134972934</x:v>
      </x:c>
    </x:row>
    <x:row r="178" ht="22" customHeight="1">
      <x:c r="A178" s="11" t="str">
        <x:v>lade_0826_10aoi</x:v>
      </x:c>
      <x:c r="B178" s="22" t="n">
        <x:v>10</x:v>
      </x:c>
      <x:c r="C178" s="22" t="n">
        <x:v>1</x:v>
      </x:c>
      <x:c r="D178" s="22" t="n">
        <x:v>4</x:v>
      </x:c>
      <x:c r="E178" s="22" t="n">
        <x:v>43</x:v>
      </x:c>
      <x:c r="F178" s="30" t="str">
        <x:v>有效</x:v>
      </x:c>
      <x:c r="G178" s="22" t="n">
        <x:v>117</x:v>
      </x:c>
      <x:c r="H178" s="22" t="n">
        <x:v>117</x:v>
      </x:c>
      <x:c r="I178" s="24" t="n">
        <x:v>63.013999999999996</x:v>
      </x:c>
      <x:c r="J178" s="24" t="n">
        <x:v>34.2715</x:v>
      </x:c>
      <x:c r="K178" s="24" t="n">
        <x:v>738.65</x:v>
      </x:c>
      <x:c r="L178" s="24" t="n">
        <x:v>1331.5666666666666</x:v>
      </x:c>
      <x:c r="M178" s="10" t="n">
        <x:v>1</x:v>
      </x:c>
      <x:c r="N178" s="10" t="n">
        <x:v>3</x:v>
      </x:c>
      <x:c r="O178" s="28" t="n">
        <x:f>IF(F178="有效",I178*'参数'!$B$10+J178*'参数'!$B$11,"n.a.")</x:f>
        <x:v>87.756385275</x:v>
      </x:c>
      <x:c r="P178" s="28" t="n">
        <x:f>IF(F178="有效",K178*'参数'!$B$12+L178*'参数'!$B$13,"n.a.")</x:f>
        <x:v>1771.864826736111</x:v>
      </x:c>
      <x:c r="Q178" s="28" t="n">
        <x:f>IF(F178="有效",M178*'参数'!$B$14+N178*'参数'!$B$15,"n.a.")</x:f>
        <x:v>280</x:v>
      </x:c>
      <x:c r="R178" s="28" t="n">
        <x:f>IF(F178="有效",IF(D178&lt;=2,G178*('参数'!$B$6+'参数'!$B$18),0),"n.a.")</x:f>
        <x:v>0</x:v>
      </x:c>
      <x:c r="S178" s="28" t="n">
        <x:f>IF(F178="有效",IF(D178&gt;=3,G178*'参数'!$B$16,0),"n.a.")</x:f>
        <x:v>93.60000000000001</x:v>
      </x:c>
      <x:c r="T178" s="28" t="n">
        <x:f>IF(F178="有效",IF(D178&gt;=3,G178*'参数'!$B$17,0),"n.a.")</x:f>
        <x:v>11.700000000000001</x:v>
      </x:c>
      <x:c r="U178" s="28" t="n">
        <x:f>IF(F178="有效",SUM(O178:T178),"n.a.")</x:f>
        <x:v>2244.9212120111106</x:v>
      </x:c>
      <x:c r="V178" s="28" t="n">
        <x:f>IF(F178="有效",H178*'参数'!$B$7,"n.a.")</x:f>
        <x:v>4270.5</x:v>
      </x:c>
      <x:c r="W178" s="28" t="n">
        <x:f>IF(F178="有效",IF(D178&gt;=3,G178*'参数'!$B$7/'参数'!$B$8,0),"n.a.")</x:f>
        <x:v>85.41</x:v>
      </x:c>
      <x:c r="X178" s="28" t="n">
        <x:f>IF(F178="有效",U178+W178,"n.a.")</x:f>
        <x:v>2330.3312120111104</x:v>
      </x:c>
      <x:c r="Y178" s="28" t="n">
        <x:f>IF(F178="有效",X178/G178,"n.a.")</x:f>
        <x:v>19.917360786419746</x:v>
      </x:c>
    </x:row>
    <x:row r="179" ht="22" customHeight="1">
      <x:c r="A179" s="11" t="str">
        <x:v>lade_0826_10aoi</x:v>
      </x:c>
      <x:c r="B179" s="22" t="n">
        <x:v>10</x:v>
      </x:c>
      <x:c r="C179" s="22" t="n">
        <x:v>1</x:v>
      </x:c>
      <x:c r="D179" s="22" t="n">
        <x:v>4</x:v>
      </x:c>
      <x:c r="E179" s="22" t="n">
        <x:v>44</x:v>
      </x:c>
      <x:c r="F179" s="30" t="str">
        <x:v>有效</x:v>
      </x:c>
      <x:c r="G179" s="22" t="n">
        <x:v>117</x:v>
      </x:c>
      <x:c r="H179" s="22" t="n">
        <x:v>117</x:v>
      </x:c>
      <x:c r="I179" s="24" t="n">
        <x:v>51.137299999999996</x:v>
      </x:c>
      <x:c r="J179" s="24" t="n">
        <x:v>41.452000000000005</x:v>
      </x:c>
      <x:c r="K179" s="24" t="n">
        <x:v>731.4</x:v>
      </x:c>
      <x:c r="L179" s="24" t="n">
        <x:v>1055.9166666666667</x:v>
      </x:c>
      <x:c r="M179" s="10" t="n">
        <x:v>1</x:v>
      </x:c>
      <x:c r="N179" s="10" t="n">
        <x:v>2</x:v>
      </x:c>
      <x:c r="O179" s="28" t="n">
        <x:f>IF(F179="有效",I179*'参数'!$B$10+J179*'参数'!$B$11,"n.a.")</x:f>
        <x:v>83.52017806500001</x:v>
      </x:c>
      <x:c r="P179" s="28" t="n">
        <x:f>IF(F179="有效",K179*'参数'!$B$12+L179*'参数'!$B$13,"n.a.")</x:f>
        <x:v>1561.3511975694444</x:v>
      </x:c>
      <x:c r="Q179" s="28" t="n">
        <x:f>IF(F179="有效",M179*'参数'!$B$14+N179*'参数'!$B$15,"n.a.")</x:f>
        <x:v>220</x:v>
      </x:c>
      <x:c r="R179" s="28" t="n">
        <x:f>IF(F179="有效",IF(D179&lt;=2,G179*('参数'!$B$6+'参数'!$B$18),0),"n.a.")</x:f>
        <x:v>0</x:v>
      </x:c>
      <x:c r="S179" s="28" t="n">
        <x:f>IF(F179="有效",IF(D179&gt;=3,G179*'参数'!$B$16,0),"n.a.")</x:f>
        <x:v>93.60000000000001</x:v>
      </x:c>
      <x:c r="T179" s="28" t="n">
        <x:f>IF(F179="有效",IF(D179&gt;=3,G179*'参数'!$B$17,0),"n.a.")</x:f>
        <x:v>11.700000000000001</x:v>
      </x:c>
      <x:c r="U179" s="28" t="n">
        <x:f>IF(F179="有效",SUM(O179:T179),"n.a.")</x:f>
        <x:v>1970.1713756344443</x:v>
      </x:c>
      <x:c r="V179" s="28" t="n">
        <x:f>IF(F179="有效",H179*'参数'!$B$7,"n.a.")</x:f>
        <x:v>4270.5</x:v>
      </x:c>
      <x:c r="W179" s="28" t="n">
        <x:f>IF(F179="有效",IF(D179&gt;=3,G179*'参数'!$B$7/'参数'!$B$8,0),"n.a.")</x:f>
        <x:v>85.41</x:v>
      </x:c>
      <x:c r="X179" s="28" t="n">
        <x:f>IF(F179="有效",U179+W179,"n.a.")</x:f>
        <x:v>2055.581375634444</x:v>
      </x:c>
      <x:c r="Y179" s="28" t="n">
        <x:f>IF(F179="有效",X179/G179,"n.a.")</x:f>
        <x:v>17.56907158661918</x:v>
      </x:c>
    </x:row>
    <x:row r="180" ht="22" customHeight="1">
      <x:c r="A180" s="11" t="str">
        <x:v>lade_0826_10aoi</x:v>
      </x:c>
      <x:c r="B180" s="22" t="n">
        <x:v>10</x:v>
      </x:c>
      <x:c r="C180" s="22" t="n">
        <x:v>2</x:v>
      </x:c>
      <x:c r="D180" s="22" t="n">
        <x:v>5</x:v>
      </x:c>
      <x:c r="E180" s="22" t="n">
        <x:v>42</x:v>
      </x:c>
      <x:c r="F180" s="30" t="str">
        <x:v>有效</x:v>
      </x:c>
      <x:c r="G180" s="22" t="n">
        <x:v>117</x:v>
      </x:c>
      <x:c r="H180" s="22" t="n">
        <x:v>117</x:v>
      </x:c>
      <x:c r="I180" s="24" t="n">
        <x:v>110.61480000000002</x:v>
      </x:c>
      <x:c r="J180" s="24" t="n">
        <x:v>42.5911</x:v>
      </x:c>
      <x:c r="K180" s="24" t="n">
        <x:v>697.8</x:v>
      </x:c>
      <x:c r="L180" s="24" t="n">
        <x:v>1273.25</x:v>
      </x:c>
      <x:c r="M180" s="10" t="n">
        <x:v>2</x:v>
      </x:c>
      <x:c r="N180" s="10" t="n">
        <x:v>3</x:v>
      </x:c>
      <x:c r="O180" s="28" t="n">
        <x:f>IF(F180="有效",I180*'参数'!$B$10+J180*'参数'!$B$11,"n.a.")</x:f>
        <x:v>138.199382095</x:v>
      </x:c>
      <x:c r="P180" s="28" t="n">
        <x:f>IF(F180="有效",K180*'参数'!$B$12+L180*'参数'!$B$13,"n.a.")</x:f>
        <x:v>1685.144636458333</x:v>
      </x:c>
      <x:c r="Q180" s="28" t="n">
        <x:f>IF(F180="有效",M180*'参数'!$B$14+N180*'参数'!$B$15,"n.a.")</x:f>
        <x:v>380</x:v>
      </x:c>
      <x:c r="R180" s="28" t="n">
        <x:f>IF(F180="有效",IF(D180&lt;=2,G180*('参数'!$B$6+'参数'!$B$18),0),"n.a.")</x:f>
        <x:v>0</x:v>
      </x:c>
      <x:c r="S180" s="28" t="n">
        <x:f>IF(F180="有效",IF(D180&gt;=3,G180*'参数'!$B$16,0),"n.a.")</x:f>
        <x:v>93.60000000000001</x:v>
      </x:c>
      <x:c r="T180" s="28" t="n">
        <x:f>IF(F180="有效",IF(D180&gt;=3,G180*'参数'!$B$17,0),"n.a.")</x:f>
        <x:v>11.700000000000001</x:v>
      </x:c>
      <x:c r="U180" s="28" t="n">
        <x:f>IF(F180="有效",SUM(O180:T180),"n.a.")</x:f>
        <x:v>2308.6440185533324</x:v>
      </x:c>
      <x:c r="V180" s="28" t="n">
        <x:f>IF(F180="有效",H180*'参数'!$B$7,"n.a.")</x:f>
        <x:v>4270.5</x:v>
      </x:c>
      <x:c r="W180" s="28" t="n">
        <x:f>IF(F180="有效",IF(D180&gt;=3,G180*'参数'!$B$7/'参数'!$B$8,0),"n.a.")</x:f>
        <x:v>85.41</x:v>
      </x:c>
      <x:c r="X180" s="28" t="n">
        <x:f>IF(F180="有效",U180+W180,"n.a.")</x:f>
        <x:v>2394.0540185533323</x:v>
      </x:c>
      <x:c r="Y180" s="28" t="n">
        <x:f>IF(F180="有效",X180/G180,"n.a.")</x:f>
        <x:v>20.46200015857549</x:v>
      </x:c>
    </x:row>
    <x:row r="181" ht="22" customHeight="1">
      <x:c r="A181" s="11" t="str">
        <x:v>lade_0826_10aoi</x:v>
      </x:c>
      <x:c r="B181" s="22" t="n">
        <x:v>10</x:v>
      </x:c>
      <x:c r="C181" s="22" t="n">
        <x:v>2</x:v>
      </x:c>
      <x:c r="D181" s="22" t="n">
        <x:v>5</x:v>
      </x:c>
      <x:c r="E181" s="22" t="n">
        <x:v>43</x:v>
      </x:c>
      <x:c r="F181" s="30" t="str">
        <x:v>有效</x:v>
      </x:c>
      <x:c r="G181" s="22" t="n">
        <x:v>117</x:v>
      </x:c>
      <x:c r="H181" s="22" t="n">
        <x:v>117</x:v>
      </x:c>
      <x:c r="I181" s="24" t="n">
        <x:v>110.61480000000002</x:v>
      </x:c>
      <x:c r="J181" s="24" t="n">
        <x:v>42.5911</x:v>
      </x:c>
      <x:c r="K181" s="24" t="n">
        <x:v>697.8</x:v>
      </x:c>
      <x:c r="L181" s="24" t="n">
        <x:v>1161.2166666666667</x:v>
      </x:c>
      <x:c r="M181" s="10" t="n">
        <x:v>1</x:v>
      </x:c>
      <x:c r="N181" s="10" t="n">
        <x:v>3</x:v>
      </x:c>
      <x:c r="O181" s="28" t="n">
        <x:f>IF(F181="有效",I181*'参数'!$B$10+J181*'参数'!$B$11,"n.a.")</x:f>
        <x:v>138.199382095</x:v>
      </x:c>
      <x:c r="P181" s="28" t="n">
        <x:f>IF(F181="有效",K181*'参数'!$B$12+L181*'参数'!$B$13,"n.a.")</x:f>
        <x:v>1602.7464538194445</x:v>
      </x:c>
      <x:c r="Q181" s="28" t="n">
        <x:f>IF(F181="有效",M181*'参数'!$B$14+N181*'参数'!$B$15,"n.a.")</x:f>
        <x:v>280</x:v>
      </x:c>
      <x:c r="R181" s="28" t="n">
        <x:f>IF(F181="有效",IF(D181&lt;=2,G181*('参数'!$B$6+'参数'!$B$18),0),"n.a.")</x:f>
        <x:v>0</x:v>
      </x:c>
      <x:c r="S181" s="28" t="n">
        <x:f>IF(F181="有效",IF(D181&gt;=3,G181*'参数'!$B$16,0),"n.a.")</x:f>
        <x:v>93.60000000000001</x:v>
      </x:c>
      <x:c r="T181" s="28" t="n">
        <x:f>IF(F181="有效",IF(D181&gt;=3,G181*'参数'!$B$17,0),"n.a.")</x:f>
        <x:v>11.700000000000001</x:v>
      </x:c>
      <x:c r="U181" s="28" t="n">
        <x:f>IF(F181="有效",SUM(O181:T181),"n.a.")</x:f>
        <x:v>2126.2458359144443</x:v>
      </x:c>
      <x:c r="V181" s="28" t="n">
        <x:f>IF(F181="有效",H181*'参数'!$B$7,"n.a.")</x:f>
        <x:v>4270.5</x:v>
      </x:c>
      <x:c r="W181" s="28" t="n">
        <x:f>IF(F181="有效",IF(D181&gt;=3,G181*'参数'!$B$7/'参数'!$B$8,0),"n.a.")</x:f>
        <x:v>85.41</x:v>
      </x:c>
      <x:c r="X181" s="28" t="n">
        <x:f>IF(F181="有效",U181+W181,"n.a.")</x:f>
        <x:v>2211.655835914444</x:v>
      </x:c>
      <x:c r="Y181" s="28" t="n">
        <x:f>IF(F181="有效",X181/G181,"n.a.")</x:f>
        <x:v>18.903041332602086</x:v>
      </x:c>
    </x:row>
    <x:row r="182" ht="22" customHeight="1">
      <x:c r="A182" s="11" t="str">
        <x:v>lade_0826_10aoi</x:v>
      </x:c>
      <x:c r="B182" s="22" t="n">
        <x:v>10</x:v>
      </x:c>
      <x:c r="C182" s="22" t="n">
        <x:v>2</x:v>
      </x:c>
      <x:c r="D182" s="22" t="n">
        <x:v>5</x:v>
      </x:c>
      <x:c r="E182" s="22" t="n">
        <x:v>44</x:v>
      </x:c>
      <x:c r="F182" s="30" t="str">
        <x:v>有效</x:v>
      </x:c>
      <x:c r="G182" s="22" t="n">
        <x:v>117</x:v>
      </x:c>
      <x:c r="H182" s="22" t="n">
        <x:v>117</x:v>
      </x:c>
      <x:c r="I182" s="24" t="n">
        <x:v>110.61480000000002</x:v>
      </x:c>
      <x:c r="J182" s="24" t="n">
        <x:v>42.5911</x:v>
      </x:c>
      <x:c r="K182" s="24" t="n">
        <x:v>697.8</x:v>
      </x:c>
      <x:c r="L182" s="24" t="n">
        <x:v>1161.2166666666667</x:v>
      </x:c>
      <x:c r="M182" s="10" t="n">
        <x:v>2</x:v>
      </x:c>
      <x:c r="N182" s="10" t="n">
        <x:v>3</x:v>
      </x:c>
      <x:c r="O182" s="28" t="n">
        <x:f>IF(F182="有效",I182*'参数'!$B$10+J182*'参数'!$B$11,"n.a.")</x:f>
        <x:v>138.199382095</x:v>
      </x:c>
      <x:c r="P182" s="28" t="n">
        <x:f>IF(F182="有效",K182*'参数'!$B$12+L182*'参数'!$B$13,"n.a.")</x:f>
        <x:v>1602.7464538194445</x:v>
      </x:c>
      <x:c r="Q182" s="28" t="n">
        <x:f>IF(F182="有效",M182*'参数'!$B$14+N182*'参数'!$B$15,"n.a.")</x:f>
        <x:v>380</x:v>
      </x:c>
      <x:c r="R182" s="28" t="n">
        <x:f>IF(F182="有效",IF(D182&lt;=2,G182*('参数'!$B$6+'参数'!$B$18),0),"n.a.")</x:f>
        <x:v>0</x:v>
      </x:c>
      <x:c r="S182" s="28" t="n">
        <x:f>IF(F182="有效",IF(D182&gt;=3,G182*'参数'!$B$16,0),"n.a.")</x:f>
        <x:v>93.60000000000001</x:v>
      </x:c>
      <x:c r="T182" s="28" t="n">
        <x:f>IF(F182="有效",IF(D182&gt;=3,G182*'参数'!$B$17,0),"n.a.")</x:f>
        <x:v>11.700000000000001</x:v>
      </x:c>
      <x:c r="U182" s="28" t="n">
        <x:f>IF(F182="有效",SUM(O182:T182),"n.a.")</x:f>
        <x:v>2226.2458359144443</x:v>
      </x:c>
      <x:c r="V182" s="28" t="n">
        <x:f>IF(F182="有效",H182*'参数'!$B$7,"n.a.")</x:f>
        <x:v>4270.5</x:v>
      </x:c>
      <x:c r="W182" s="28" t="n">
        <x:f>IF(F182="有效",IF(D182&gt;=3,G182*'参数'!$B$7/'参数'!$B$8,0),"n.a.")</x:f>
        <x:v>85.41</x:v>
      </x:c>
      <x:c r="X182" s="28" t="n">
        <x:f>IF(F182="有效",U182+W182,"n.a.")</x:f>
        <x:v>2311.655835914444</x:v>
      </x:c>
      <x:c r="Y182" s="28" t="n">
        <x:f>IF(F182="有效",X182/G182,"n.a.")</x:f>
        <x:v>19.75774218730294</x:v>
      </x:c>
    </x:row>
    <x:row r="183" ht="22" customHeight="1">
      <x:c r="A183" s="11" t="str">
        <x:v>lade_0826_10aoi</x:v>
      </x:c>
      <x:c r="B183" s="22" t="n">
        <x:v>10</x:v>
      </x:c>
      <x:c r="C183" s="22" t="n">
        <x:v>3</x:v>
      </x:c>
      <x:c r="D183" s="22" t="n">
        <x:v>5</x:v>
      </x:c>
      <x:c r="E183" s="22" t="n">
        <x:v>42</x:v>
      </x:c>
      <x:c r="F183" s="30" t="str">
        <x:v>有效</x:v>
      </x:c>
      <x:c r="G183" s="22" t="n">
        <x:v>117</x:v>
      </x:c>
      <x:c r="H183" s="22" t="n">
        <x:v>117</x:v>
      </x:c>
      <x:c r="I183" s="24" t="n">
        <x:v>311.1858</x:v>
      </x:c>
      <x:c r="J183" s="24" t="n">
        <x:v>54.29719999999999</x:v>
      </x:c>
      <x:c r="K183" s="24" t="n">
        <x:v>1321.6333333333334</x:v>
      </x:c>
      <x:c r="L183" s="24" t="n">
        <x:v>502.98333333333335</x:v>
      </x:c>
      <x:c r="M183" s="10" t="n">
        <x:v>2</x:v>
      </x:c>
      <x:c r="N183" s="10" t="n">
        <x:v>3</x:v>
      </x:c>
      <x:c r="O183" s="28" t="n">
        <x:f>IF(F183="有效",I183*'参数'!$B$10+J183*'参数'!$B$11,"n.a.")</x:f>
        <x:v>329.68394014999996</x:v>
      </x:c>
      <x:c r="P183" s="28" t="n">
        <x:f>IF(F183="有效",K183*'参数'!$B$12+L183*'参数'!$B$13,"n.a.")</x:f>
        <x:v>1787.9637274305555</x:v>
      </x:c>
      <x:c r="Q183" s="28" t="n">
        <x:f>IF(F183="有效",M183*'参数'!$B$14+N183*'参数'!$B$15,"n.a.")</x:f>
        <x:v>380</x:v>
      </x:c>
      <x:c r="R183" s="28" t="n">
        <x:f>IF(F183="有效",IF(D183&lt;=2,G183*('参数'!$B$6+'参数'!$B$18),0),"n.a.")</x:f>
        <x:v>0</x:v>
      </x:c>
      <x:c r="S183" s="28" t="n">
        <x:f>IF(F183="有效",IF(D183&gt;=3,G183*'参数'!$B$16,0),"n.a.")</x:f>
        <x:v>93.60000000000001</x:v>
      </x:c>
      <x:c r="T183" s="28" t="n">
        <x:f>IF(F183="有效",IF(D183&gt;=3,G183*'参数'!$B$17,0),"n.a.")</x:f>
        <x:v>11.700000000000001</x:v>
      </x:c>
      <x:c r="U183" s="28" t="n">
        <x:f>IF(F183="有效",SUM(O183:T183),"n.a.")</x:f>
        <x:v>2602.9476675805554</x:v>
      </x:c>
      <x:c r="V183" s="28" t="n">
        <x:f>IF(F183="有效",H183*'参数'!$B$7,"n.a.")</x:f>
        <x:v>4270.5</x:v>
      </x:c>
      <x:c r="W183" s="28" t="n">
        <x:f>IF(F183="有效",IF(D183&gt;=3,G183*'参数'!$B$7/'参数'!$B$8,0),"n.a.")</x:f>
        <x:v>85.41</x:v>
      </x:c>
      <x:c r="X183" s="28" t="n">
        <x:f>IF(F183="有效",U183+W183,"n.a.")</x:f>
        <x:v>2688.3576675805552</x:v>
      </x:c>
      <x:c r="Y183" s="28" t="n">
        <x:f>IF(F183="有效",X183/G183,"n.a.")</x:f>
        <x:v>22.977415962226967</x:v>
      </x:c>
    </x:row>
    <x:row r="184" ht="22" customHeight="1">
      <x:c r="A184" s="11" t="str">
        <x:v>lade_0826_10aoi</x:v>
      </x:c>
      <x:c r="B184" s="22" t="n">
        <x:v>10</x:v>
      </x:c>
      <x:c r="C184" s="22" t="n">
        <x:v>3</x:v>
      </x:c>
      <x:c r="D184" s="22" t="n">
        <x:v>5</x:v>
      </x:c>
      <x:c r="E184" s="22" t="n">
        <x:v>43</x:v>
      </x:c>
      <x:c r="F184" s="30" t="str">
        <x:v>有效</x:v>
      </x:c>
      <x:c r="G184" s="22" t="n">
        <x:v>117</x:v>
      </x:c>
      <x:c r="H184" s="22" t="n">
        <x:v>117</x:v>
      </x:c>
      <x:c r="I184" s="24" t="n">
        <x:v>311.1858</x:v>
      </x:c>
      <x:c r="J184" s="24" t="n">
        <x:v>54.29719999999998</x:v>
      </x:c>
      <x:c r="K184" s="24" t="n">
        <x:v>1321.6333333333334</x:v>
      </x:c>
      <x:c r="L184" s="24" t="n">
        <x:v>536.75</x:v>
      </x:c>
      <x:c r="M184" s="10" t="n">
        <x:v>2</x:v>
      </x:c>
      <x:c r="N184" s="10" t="n">
        <x:v>3</x:v>
      </x:c>
      <x:c r="O184" s="28" t="n">
        <x:f>IF(F184="有效",I184*'参数'!$B$10+J184*'参数'!$B$11,"n.a.")</x:f>
        <x:v>329.68394014999996</x:v>
      </x:c>
      <x:c r="P184" s="28" t="n">
        <x:f>IF(F184="有效",K184*'参数'!$B$12+L184*'参数'!$B$13,"n.a.")</x:f>
        <x:v>1812.7984072916668</x:v>
      </x:c>
      <x:c r="Q184" s="28" t="n">
        <x:f>IF(F184="有效",M184*'参数'!$B$14+N184*'参数'!$B$15,"n.a.")</x:f>
        <x:v>380</x:v>
      </x:c>
      <x:c r="R184" s="28" t="n">
        <x:f>IF(F184="有效",IF(D184&lt;=2,G184*('参数'!$B$6+'参数'!$B$18),0),"n.a.")</x:f>
        <x:v>0</x:v>
      </x:c>
      <x:c r="S184" s="28" t="n">
        <x:f>IF(F184="有效",IF(D184&gt;=3,G184*'参数'!$B$16,0),"n.a.")</x:f>
        <x:v>93.60000000000001</x:v>
      </x:c>
      <x:c r="T184" s="28" t="n">
        <x:f>IF(F184="有效",IF(D184&gt;=3,G184*'参数'!$B$17,0),"n.a.")</x:f>
        <x:v>11.700000000000001</x:v>
      </x:c>
      <x:c r="U184" s="28" t="n">
        <x:f>IF(F184="有效",SUM(O184:T184),"n.a.")</x:f>
        <x:v>2627.7823474416664</x:v>
      </x:c>
      <x:c r="V184" s="28" t="n">
        <x:f>IF(F184="有效",H184*'参数'!$B$7,"n.a.")</x:f>
        <x:v>4270.5</x:v>
      </x:c>
      <x:c r="W184" s="28" t="n">
        <x:f>IF(F184="有效",IF(D184&gt;=3,G184*'参数'!$B$7/'参数'!$B$8,0),"n.a.")</x:f>
        <x:v>85.41</x:v>
      </x:c>
      <x:c r="X184" s="28" t="n">
        <x:f>IF(F184="有效",U184+W184,"n.a.")</x:f>
        <x:v>2713.1923474416662</x:v>
      </x:c>
      <x:c r="Y184" s="28" t="n">
        <x:f>IF(F184="有效",X184/G184,"n.a.")</x:f>
        <x:v>23.189678183262103</x:v>
      </x:c>
    </x:row>
    <x:row r="185" ht="22" customHeight="1">
      <x:c r="A185" s="11" t="str">
        <x:v>lade_0826_10aoi</x:v>
      </x:c>
      <x:c r="B185" s="22" t="n">
        <x:v>10</x:v>
      </x:c>
      <x:c r="C185" s="22" t="n">
        <x:v>3</x:v>
      </x:c>
      <x:c r="D185" s="22" t="n">
        <x:v>5</x:v>
      </x:c>
      <x:c r="E185" s="22" t="n">
        <x:v>44</x:v>
      </x:c>
      <x:c r="F185" s="30" t="str">
        <x:v>有效</x:v>
      </x:c>
      <x:c r="G185" s="22" t="n">
        <x:v>117</x:v>
      </x:c>
      <x:c r="H185" s="22" t="n">
        <x:v>117</x:v>
      </x:c>
      <x:c r="I185" s="24" t="n">
        <x:v>220.547</x:v>
      </x:c>
      <x:c r="J185" s="24" t="n">
        <x:v>54.29719999999999</x:v>
      </x:c>
      <x:c r="K185" s="24" t="n">
        <x:v>870.6</x:v>
      </x:c>
      <x:c r="L185" s="24" t="n">
        <x:v>523.1666666666666</x:v>
      </x:c>
      <x:c r="M185" s="10" t="n">
        <x:v>2</x:v>
      </x:c>
      <x:c r="N185" s="10" t="n">
        <x:v>3</x:v>
      </x:c>
      <x:c r="O185" s="28" t="n">
        <x:f>IF(F185="有效",I185*'参数'!$B$10+J185*'参数'!$B$11,"n.a.")</x:f>
        <x:v>247.92321060999998</x:v>
      </x:c>
      <x:c r="P185" s="28" t="n">
        <x:f>IF(F185="有效",K185*'参数'!$B$12+L185*'参数'!$B$13,"n.a.")</x:f>
        <x:v>1318.8775715277777</x:v>
      </x:c>
      <x:c r="Q185" s="28" t="n">
        <x:f>IF(F185="有效",M185*'参数'!$B$14+N185*'参数'!$B$15,"n.a.")</x:f>
        <x:v>380</x:v>
      </x:c>
      <x:c r="R185" s="28" t="n">
        <x:f>IF(F185="有效",IF(D185&lt;=2,G185*('参数'!$B$6+'参数'!$B$18),0),"n.a.")</x:f>
        <x:v>0</x:v>
      </x:c>
      <x:c r="S185" s="28" t="n">
        <x:f>IF(F185="有效",IF(D185&gt;=3,G185*'参数'!$B$16,0),"n.a.")</x:f>
        <x:v>93.60000000000001</x:v>
      </x:c>
      <x:c r="T185" s="28" t="n">
        <x:f>IF(F185="有效",IF(D185&gt;=3,G185*'参数'!$B$17,0),"n.a.")</x:f>
        <x:v>11.700000000000001</x:v>
      </x:c>
      <x:c r="U185" s="28" t="n">
        <x:f>IF(F185="有效",SUM(O185:T185),"n.a.")</x:f>
        <x:v>2052.1007821377775</x:v>
      </x:c>
      <x:c r="V185" s="28" t="n">
        <x:f>IF(F185="有效",H185*'参数'!$B$7,"n.a.")</x:f>
        <x:v>4270.5</x:v>
      </x:c>
      <x:c r="W185" s="28" t="n">
        <x:f>IF(F185="有效",IF(D185&gt;=3,G185*'参数'!$B$7/'参数'!$B$8,0),"n.a.")</x:f>
        <x:v>85.41</x:v>
      </x:c>
      <x:c r="X185" s="28" t="n">
        <x:f>IF(F185="有效",U185+W185,"n.a.")</x:f>
        <x:v>2137.5107821377774</x:v>
      </x:c>
      <x:c r="Y185" s="28" t="n">
        <x:f>IF(F185="有效",X185/G185,"n.a.")</x:f>
        <x:v>18.269322924254507</x:v>
      </x:c>
    </x:row>
    <x:row r="186" ht="22" customHeight="1">
      <x:c r="A186" s="11" t="str">
        <x:v>lade_0826_20aoi</x:v>
      </x:c>
      <x:c r="B186" s="22" t="n">
        <x:v>20</x:v>
      </x:c>
      <x:c r="C186" s="22" t="n">
        <x:v>1</x:v>
      </x:c>
      <x:c r="D186" s="22" t="n">
        <x:v>1</x:v>
      </x:c>
      <x:c r="E186" s="22" t="n">
        <x:v>42</x:v>
      </x:c>
      <x:c r="F186" s="30" t="str">
        <x:v>有效</x:v>
      </x:c>
      <x:c r="G186" s="22" t="n">
        <x:v>181</x:v>
      </x:c>
      <x:c r="H186" s="22" t="n">
        <x:v>0</x:v>
      </x:c>
      <x:c r="I186" s="24" t="n">
        <x:v>59.477500000000006</x:v>
      </x:c>
      <x:c r="J186" s="24" t="n">
        <x:v>50.62249999999999</x:v>
      </x:c>
      <x:c r="K186" s="24" t="n">
        <x:v>60.63333333333333</x:v>
      </x:c>
      <x:c r="L186" s="24" t="n">
        <x:v>2442.5666666666666</x:v>
      </x:c>
      <x:c r="M186" s="10" t="n">
        <x:v>1</x:v>
      </x:c>
      <x:c r="N186" s="10" t="n">
        <x:v>6</x:v>
      </x:c>
      <x:c r="O186" s="28" t="n">
        <x:f>IF(F186="有效",I186*'参数'!$B$10+J186*'参数'!$B$11,"n.a.")</x:f>
        <x:v>99.31570500000001</x:v>
      </x:c>
      <x:c r="P186" s="28" t="n">
        <x:f>IF(F186="有效",K186*'参数'!$B$12+L186*'参数'!$B$13,"n.a.")</x:f>
        <x:v>1861.5126736111113</x:v>
      </x:c>
      <x:c r="Q186" s="28" t="n">
        <x:f>IF(F186="有效",M186*'参数'!$B$14+N186*'参数'!$B$15,"n.a.")</x:f>
        <x:v>460</x:v>
      </x:c>
      <x:c r="R186" s="28" t="n">
        <x:f>IF(F186="有效",IF(D186&lt;=2,G186*('参数'!$B$6+'参数'!$B$18),0),"n.a.")</x:f>
        <x:v>724</x:v>
      </x:c>
      <x:c r="S186" s="28" t="n">
        <x:f>IF(F186="有效",IF(D186&gt;=3,G186*'参数'!$B$16,0),"n.a.")</x:f>
        <x:v>0</x:v>
      </x:c>
      <x:c r="T186" s="28" t="n">
        <x:f>IF(F186="有效",IF(D186&gt;=3,G186*'参数'!$B$17,0),"n.a.")</x:f>
        <x:v>0</x:v>
      </x:c>
      <x:c r="U186" s="28" t="n">
        <x:f>IF(F186="有效",SUM(O186:T186),"n.a.")</x:f>
        <x:v>3144.8283786111115</x:v>
      </x:c>
      <x:c r="V186" s="28" t="n">
        <x:f>IF(F186="有效",H186*'参数'!$B$7,"n.a.")</x:f>
        <x:v>0</x:v>
      </x:c>
      <x:c r="W186" s="28" t="n">
        <x:f>IF(F186="有效",IF(D186&gt;=3,G186*'参数'!$B$7/'参数'!$B$8,0),"n.a.")</x:f>
        <x:v>0</x:v>
      </x:c>
      <x:c r="X186" s="28" t="n">
        <x:f>IF(F186="有效",U186+W186,"n.a.")</x:f>
        <x:v>3144.8283786111115</x:v>
      </x:c>
      <x:c r="Y186" s="28" t="n">
        <x:f>IF(F186="有效",X186/G186,"n.a.")</x:f>
        <x:v>17.374742423265808</x:v>
      </x:c>
    </x:row>
    <x:row r="187" ht="22" customHeight="1">
      <x:c r="A187" s="11" t="str">
        <x:v>lade_0826_20aoi</x:v>
      </x:c>
      <x:c r="B187" s="22" t="n">
        <x:v>20</x:v>
      </x:c>
      <x:c r="C187" s="22" t="n">
        <x:v>1</x:v>
      </x:c>
      <x:c r="D187" s="22" t="n">
        <x:v>1</x:v>
      </x:c>
      <x:c r="E187" s="22" t="n">
        <x:v>43</x:v>
      </x:c>
      <x:c r="F187" s="30" t="str">
        <x:v>有效</x:v>
      </x:c>
      <x:c r="G187" s="22" t="n">
        <x:v>181</x:v>
      </x:c>
      <x:c r="H187" s="22" t="n">
        <x:v>0</x:v>
      </x:c>
      <x:c r="I187" s="24" t="n">
        <x:v>59.477500000000006</x:v>
      </x:c>
      <x:c r="J187" s="24" t="n">
        <x:v>50.62249999999999</x:v>
      </x:c>
      <x:c r="K187" s="24" t="n">
        <x:v>60.63333333333333</x:v>
      </x:c>
      <x:c r="L187" s="24" t="n">
        <x:v>2442.5666666666666</x:v>
      </x:c>
      <x:c r="M187" s="10" t="n">
        <x:v>1</x:v>
      </x:c>
      <x:c r="N187" s="10" t="n">
        <x:v>6</x:v>
      </x:c>
      <x:c r="O187" s="28" t="n">
        <x:f>IF(F187="有效",I187*'参数'!$B$10+J187*'参数'!$B$11,"n.a.")</x:f>
        <x:v>99.31570500000001</x:v>
      </x:c>
      <x:c r="P187" s="28" t="n">
        <x:f>IF(F187="有效",K187*'参数'!$B$12+L187*'参数'!$B$13,"n.a.")</x:f>
        <x:v>1861.5126736111113</x:v>
      </x:c>
      <x:c r="Q187" s="28" t="n">
        <x:f>IF(F187="有效",M187*'参数'!$B$14+N187*'参数'!$B$15,"n.a.")</x:f>
        <x:v>460</x:v>
      </x:c>
      <x:c r="R187" s="28" t="n">
        <x:f>IF(F187="有效",IF(D187&lt;=2,G187*('参数'!$B$6+'参数'!$B$18),0),"n.a.")</x:f>
        <x:v>724</x:v>
      </x:c>
      <x:c r="S187" s="28" t="n">
        <x:f>IF(F187="有效",IF(D187&gt;=3,G187*'参数'!$B$16,0),"n.a.")</x:f>
        <x:v>0</x:v>
      </x:c>
      <x:c r="T187" s="28" t="n">
        <x:f>IF(F187="有效",IF(D187&gt;=3,G187*'参数'!$B$17,0),"n.a.")</x:f>
        <x:v>0</x:v>
      </x:c>
      <x:c r="U187" s="28" t="n">
        <x:f>IF(F187="有效",SUM(O187:T187),"n.a.")</x:f>
        <x:v>3144.8283786111115</x:v>
      </x:c>
      <x:c r="V187" s="28" t="n">
        <x:f>IF(F187="有效",H187*'参数'!$B$7,"n.a.")</x:f>
        <x:v>0</x:v>
      </x:c>
      <x:c r="W187" s="28" t="n">
        <x:f>IF(F187="有效",IF(D187&gt;=3,G187*'参数'!$B$7/'参数'!$B$8,0),"n.a.")</x:f>
        <x:v>0</x:v>
      </x:c>
      <x:c r="X187" s="28" t="n">
        <x:f>IF(F187="有效",U187+W187,"n.a.")</x:f>
        <x:v>3144.8283786111115</x:v>
      </x:c>
      <x:c r="Y187" s="28" t="n">
        <x:f>IF(F187="有效",X187/G187,"n.a.")</x:f>
        <x:v>17.374742423265808</x:v>
      </x:c>
    </x:row>
    <x:row r="188" ht="22" customHeight="1">
      <x:c r="A188" s="11" t="str">
        <x:v>lade_0826_20aoi</x:v>
      </x:c>
      <x:c r="B188" s="22" t="n">
        <x:v>20</x:v>
      </x:c>
      <x:c r="C188" s="22" t="n">
        <x:v>1</x:v>
      </x:c>
      <x:c r="D188" s="22" t="n">
        <x:v>1</x:v>
      </x:c>
      <x:c r="E188" s="22" t="n">
        <x:v>44</x:v>
      </x:c>
      <x:c r="F188" s="30" t="str">
        <x:v>有效</x:v>
      </x:c>
      <x:c r="G188" s="22" t="n">
        <x:v>181</x:v>
      </x:c>
      <x:c r="H188" s="22" t="n">
        <x:v>0</x:v>
      </x:c>
      <x:c r="I188" s="24" t="n">
        <x:v>59.477500000000006</x:v>
      </x:c>
      <x:c r="J188" s="24" t="n">
        <x:v>50.622499999999995</x:v>
      </x:c>
      <x:c r="K188" s="24" t="n">
        <x:v>60.63333333333333</x:v>
      </x:c>
      <x:c r="L188" s="24" t="n">
        <x:v>2442.5666666666666</x:v>
      </x:c>
      <x:c r="M188" s="10" t="n">
        <x:v>1</x:v>
      </x:c>
      <x:c r="N188" s="10" t="n">
        <x:v>6</x:v>
      </x:c>
      <x:c r="O188" s="28" t="n">
        <x:f>IF(F188="有效",I188*'参数'!$B$10+J188*'参数'!$B$11,"n.a.")</x:f>
        <x:v>99.31570500000001</x:v>
      </x:c>
      <x:c r="P188" s="28" t="n">
        <x:f>IF(F188="有效",K188*'参数'!$B$12+L188*'参数'!$B$13,"n.a.")</x:f>
        <x:v>1861.5126736111113</x:v>
      </x:c>
      <x:c r="Q188" s="28" t="n">
        <x:f>IF(F188="有效",M188*'参数'!$B$14+N188*'参数'!$B$15,"n.a.")</x:f>
        <x:v>460</x:v>
      </x:c>
      <x:c r="R188" s="28" t="n">
        <x:f>IF(F188="有效",IF(D188&lt;=2,G188*('参数'!$B$6+'参数'!$B$18),0),"n.a.")</x:f>
        <x:v>724</x:v>
      </x:c>
      <x:c r="S188" s="28" t="n">
        <x:f>IF(F188="有效",IF(D188&gt;=3,G188*'参数'!$B$16,0),"n.a.")</x:f>
        <x:v>0</x:v>
      </x:c>
      <x:c r="T188" s="28" t="n">
        <x:f>IF(F188="有效",IF(D188&gt;=3,G188*'参数'!$B$17,0),"n.a.")</x:f>
        <x:v>0</x:v>
      </x:c>
      <x:c r="U188" s="28" t="n">
        <x:f>IF(F188="有效",SUM(O188:T188),"n.a.")</x:f>
        <x:v>3144.8283786111115</x:v>
      </x:c>
      <x:c r="V188" s="28" t="n">
        <x:f>IF(F188="有效",H188*'参数'!$B$7,"n.a.")</x:f>
        <x:v>0</x:v>
      </x:c>
      <x:c r="W188" s="28" t="n">
        <x:f>IF(F188="有效",IF(D188&gt;=3,G188*'参数'!$B$7/'参数'!$B$8,0),"n.a.")</x:f>
        <x:v>0</x:v>
      </x:c>
      <x:c r="X188" s="28" t="n">
        <x:f>IF(F188="有效",U188+W188,"n.a.")</x:f>
        <x:v>3144.8283786111115</x:v>
      </x:c>
      <x:c r="Y188" s="28" t="n">
        <x:f>IF(F188="有效",X188/G188,"n.a.")</x:f>
        <x:v>17.374742423265808</x:v>
      </x:c>
    </x:row>
    <x:row r="189" ht="22" customHeight="1">
      <x:c r="A189" s="11" t="str">
        <x:v>lade_0826_20aoi</x:v>
      </x:c>
      <x:c r="B189" s="22" t="n">
        <x:v>20</x:v>
      </x:c>
      <x:c r="C189" s="22" t="n">
        <x:v>1</x:v>
      </x:c>
      <x:c r="D189" s="22" t="n">
        <x:v>2</x:v>
      </x:c>
      <x:c r="E189" s="22" t="n">
        <x:v>42</x:v>
      </x:c>
      <x:c r="F189" s="30" t="str">
        <x:v>有效</x:v>
      </x:c>
      <x:c r="G189" s="22" t="n">
        <x:v>181</x:v>
      </x:c>
      <x:c r="H189" s="22" t="n">
        <x:v>0</x:v>
      </x:c>
      <x:c r="I189" s="24" t="n">
        <x:v>59.477500000000006</x:v>
      </x:c>
      <x:c r="J189" s="24" t="n">
        <x:v>44.5667</x:v>
      </x:c>
      <x:c r="K189" s="24" t="n">
        <x:v>60.63333333333333</x:v>
      </x:c>
      <x:c r="L189" s="24" t="n">
        <x:v>2192</x:v>
      </x:c>
      <x:c r="M189" s="10" t="n">
        <x:v>1</x:v>
      </x:c>
      <x:c r="N189" s="10" t="n">
        <x:v>5</x:v>
      </x:c>
      <x:c r="O189" s="28" t="n">
        <x:f>IF(F189="有效",I189*'参数'!$B$10+J189*'参数'!$B$11,"n.a.")</x:f>
        <x:v>93.85307061</x:v>
      </x:c>
      <x:c r="P189" s="28" t="n">
        <x:f>IF(F189="有效",K189*'参数'!$B$12+L189*'参数'!$B$13,"n.a.")</x:f>
        <x:v>1677.2261104166669</x:v>
      </x:c>
      <x:c r="Q189" s="28" t="n">
        <x:f>IF(F189="有效",M189*'参数'!$B$14+N189*'参数'!$B$15,"n.a.")</x:f>
        <x:v>400</x:v>
      </x:c>
      <x:c r="R189" s="28" t="n">
        <x:f>IF(F189="有效",IF(D189&lt;=2,G189*('参数'!$B$6+'参数'!$B$18),0),"n.a.")</x:f>
        <x:v>724</x:v>
      </x:c>
      <x:c r="S189" s="28" t="n">
        <x:f>IF(F189="有效",IF(D189&gt;=3,G189*'参数'!$B$16,0),"n.a.")</x:f>
        <x:v>0</x:v>
      </x:c>
      <x:c r="T189" s="28" t="n">
        <x:f>IF(F189="有效",IF(D189&gt;=3,G189*'参数'!$B$17,0),"n.a.")</x:f>
        <x:v>0</x:v>
      </x:c>
      <x:c r="U189" s="28" t="n">
        <x:f>IF(F189="有效",SUM(O189:T189),"n.a.")</x:f>
        <x:v>2895.079181026667</x:v>
      </x:c>
      <x:c r="V189" s="28" t="n">
        <x:f>IF(F189="有效",H189*'参数'!$B$7,"n.a.")</x:f>
        <x:v>0</x:v>
      </x:c>
      <x:c r="W189" s="28" t="n">
        <x:f>IF(F189="有效",IF(D189&gt;=3,G189*'参数'!$B$7/'参数'!$B$8,0),"n.a.")</x:f>
        <x:v>0</x:v>
      </x:c>
      <x:c r="X189" s="28" t="n">
        <x:f>IF(F189="有效",U189+W189,"n.a.")</x:f>
        <x:v>2895.079181026667</x:v>
      </x:c>
      <x:c r="Y189" s="28" t="n">
        <x:f>IF(F189="有效",X189/G189,"n.a.")</x:f>
        <x:v>15.994912602357276</x:v>
      </x:c>
    </x:row>
    <x:row r="190" ht="22" customHeight="1">
      <x:c r="A190" s="11" t="str">
        <x:v>lade_0826_20aoi</x:v>
      </x:c>
      <x:c r="B190" s="22" t="n">
        <x:v>20</x:v>
      </x:c>
      <x:c r="C190" s="22" t="n">
        <x:v>1</x:v>
      </x:c>
      <x:c r="D190" s="22" t="n">
        <x:v>2</x:v>
      </x:c>
      <x:c r="E190" s="22" t="n">
        <x:v>43</x:v>
      </x:c>
      <x:c r="F190" s="30" t="str">
        <x:v>有效</x:v>
      </x:c>
      <x:c r="G190" s="22" t="n">
        <x:v>181</x:v>
      </x:c>
      <x:c r="H190" s="22" t="n">
        <x:v>0</x:v>
      </x:c>
      <x:c r="I190" s="24" t="n">
        <x:v>59.477500000000006</x:v>
      </x:c>
      <x:c r="J190" s="24" t="n">
        <x:v>44.6331</x:v>
      </x:c>
      <x:c r="K190" s="24" t="n">
        <x:v>60.63333333333333</x:v>
      </x:c>
      <x:c r="L190" s="24" t="n">
        <x:v>2192.116666666667</x:v>
      </x:c>
      <x:c r="M190" s="10" t="n">
        <x:v>1</x:v>
      </x:c>
      <x:c r="N190" s="10" t="n">
        <x:v>5</x:v>
      </x:c>
      <x:c r="O190" s="28" t="n">
        <x:f>IF(F190="有效",I190*'参数'!$B$10+J190*'参数'!$B$11,"n.a.")</x:f>
        <x:v>93.91296673000001</x:v>
      </x:c>
      <x:c r="P190" s="28" t="n">
        <x:f>IF(F190="有效",K190*'参数'!$B$12+L190*'参数'!$B$13,"n.a.")</x:f>
        <x:v>1677.3119163194447</x:v>
      </x:c>
      <x:c r="Q190" s="28" t="n">
        <x:f>IF(F190="有效",M190*'参数'!$B$14+N190*'参数'!$B$15,"n.a.")</x:f>
        <x:v>400</x:v>
      </x:c>
      <x:c r="R190" s="28" t="n">
        <x:f>IF(F190="有效",IF(D190&lt;=2,G190*('参数'!$B$6+'参数'!$B$18),0),"n.a.")</x:f>
        <x:v>724</x:v>
      </x:c>
      <x:c r="S190" s="28" t="n">
        <x:f>IF(F190="有效",IF(D190&gt;=3,G190*'参数'!$B$16,0),"n.a.")</x:f>
        <x:v>0</x:v>
      </x:c>
      <x:c r="T190" s="28" t="n">
        <x:f>IF(F190="有效",IF(D190&gt;=3,G190*'参数'!$B$17,0),"n.a.")</x:f>
        <x:v>0</x:v>
      </x:c>
      <x:c r="U190" s="28" t="n">
        <x:f>IF(F190="有效",SUM(O190:T190),"n.a.")</x:f>
        <x:v>2895.2248830494445</x:v>
      </x:c>
      <x:c r="V190" s="28" t="n">
        <x:f>IF(F190="有效",H190*'参数'!$B$7,"n.a.")</x:f>
        <x:v>0</x:v>
      </x:c>
      <x:c r="W190" s="28" t="n">
        <x:f>IF(F190="有效",IF(D190&gt;=3,G190*'参数'!$B$7/'参数'!$B$8,0),"n.a.")</x:f>
        <x:v>0</x:v>
      </x:c>
      <x:c r="X190" s="28" t="n">
        <x:f>IF(F190="有效",U190+W190,"n.a.")</x:f>
        <x:v>2895.2248830494445</x:v>
      </x:c>
      <x:c r="Y190" s="28" t="n">
        <x:f>IF(F190="有效",X190/G190,"n.a.")</x:f>
        <x:v>15.995717585908533</x:v>
      </x:c>
    </x:row>
    <x:row r="191" ht="22" customHeight="1">
      <x:c r="A191" s="11" t="str">
        <x:v>lade_0826_20aoi</x:v>
      </x:c>
      <x:c r="B191" s="22" t="n">
        <x:v>20</x:v>
      </x:c>
      <x:c r="C191" s="22" t="n">
        <x:v>1</x:v>
      </x:c>
      <x:c r="D191" s="22" t="n">
        <x:v>2</x:v>
      </x:c>
      <x:c r="E191" s="22" t="n">
        <x:v>44</x:v>
      </x:c>
      <x:c r="F191" s="30" t="str">
        <x:v>有效</x:v>
      </x:c>
      <x:c r="G191" s="22" t="n">
        <x:v>181</x:v>
      </x:c>
      <x:c r="H191" s="22" t="n">
        <x:v>0</x:v>
      </x:c>
      <x:c r="I191" s="24" t="n">
        <x:v>59.477500000000006</x:v>
      </x:c>
      <x:c r="J191" s="24" t="n">
        <x:v>45.30099999999999</x:v>
      </x:c>
      <x:c r="K191" s="24" t="n">
        <x:v>60.63333333333333</x:v>
      </x:c>
      <x:c r="L191" s="24" t="n">
        <x:v>2200.983333333333</x:v>
      </x:c>
      <x:c r="M191" s="10" t="n">
        <x:v>1</x:v>
      </x:c>
      <x:c r="N191" s="10" t="n">
        <x:v>5</x:v>
      </x:c>
      <x:c r="O191" s="28" t="n">
        <x:f>IF(F191="有效",I191*'参数'!$B$10+J191*'参数'!$B$11,"n.a.")</x:f>
        <x:v>94.515445925</x:v>
      </x:c>
      <x:c r="P191" s="28" t="n">
        <x:f>IF(F191="有效",K191*'参数'!$B$12+L191*'参数'!$B$13,"n.a.")</x:f>
        <x:v>1683.8331649305555</x:v>
      </x:c>
      <x:c r="Q191" s="28" t="n">
        <x:f>IF(F191="有效",M191*'参数'!$B$14+N191*'参数'!$B$15,"n.a.")</x:f>
        <x:v>400</x:v>
      </x:c>
      <x:c r="R191" s="28" t="n">
        <x:f>IF(F191="有效",IF(D191&lt;=2,G191*('参数'!$B$6+'参数'!$B$18),0),"n.a.")</x:f>
        <x:v>724</x:v>
      </x:c>
      <x:c r="S191" s="28" t="n">
        <x:f>IF(F191="有效",IF(D191&gt;=3,G191*'参数'!$B$16,0),"n.a.")</x:f>
        <x:v>0</x:v>
      </x:c>
      <x:c r="T191" s="28" t="n">
        <x:f>IF(F191="有效",IF(D191&gt;=3,G191*'参数'!$B$17,0),"n.a.")</x:f>
        <x:v>0</x:v>
      </x:c>
      <x:c r="U191" s="28" t="n">
        <x:f>IF(F191="有效",SUM(O191:T191),"n.a.")</x:f>
        <x:v>2902.3486108555553</x:v>
      </x:c>
      <x:c r="V191" s="28" t="n">
        <x:f>IF(F191="有效",H191*'参数'!$B$7,"n.a.")</x:f>
        <x:v>0</x:v>
      </x:c>
      <x:c r="W191" s="28" t="n">
        <x:f>IF(F191="有效",IF(D191&gt;=3,G191*'参数'!$B$7/'参数'!$B$8,0),"n.a.")</x:f>
        <x:v>0</x:v>
      </x:c>
      <x:c r="X191" s="28" t="n">
        <x:f>IF(F191="有效",U191+W191,"n.a.")</x:f>
        <x:v>2902.3486108555553</x:v>
      </x:c>
      <x:c r="Y191" s="28" t="n">
        <x:f>IF(F191="有效",X191/G191,"n.a.")</x:f>
        <x:v>16.03507519809699</x:v>
      </x:c>
    </x:row>
    <x:row r="192" ht="22" customHeight="1">
      <x:c r="A192" s="11" t="str">
        <x:v>lade_0826_20aoi</x:v>
      </x:c>
      <x:c r="B192" s="22" t="n">
        <x:v>20</x:v>
      </x:c>
      <x:c r="C192" s="22" t="n">
        <x:v>1</x:v>
      </x:c>
      <x:c r="D192" s="22" t="n">
        <x:v>3</x:v>
      </x:c>
      <x:c r="E192" s="22" t="n">
        <x:v>42</x:v>
      </x:c>
      <x:c r="F192" s="30" t="str">
        <x:v>有效</x:v>
      </x:c>
      <x:c r="G192" s="22" t="n">
        <x:v>181</x:v>
      </x:c>
      <x:c r="H192" s="22" t="n">
        <x:v>181</x:v>
      </x:c>
      <x:c r="I192" s="24" t="n">
        <x:v>63.013999999999996</x:v>
      </x:c>
      <x:c r="J192" s="24" t="n">
        <x:v>61.7202</x:v>
      </x:c>
      <x:c r="K192" s="24" t="n">
        <x:v>738.65</x:v>
      </x:c>
      <x:c r="L192" s="24" t="n">
        <x:v>3001.7166666666667</x:v>
      </x:c>
      <x:c r="M192" s="10" t="n">
        <x:v>1</x:v>
      </x:c>
      <x:c r="N192" s="10" t="n">
        <x:v>6</x:v>
      </x:c>
      <x:c r="O192" s="28" t="n">
        <x:f>IF(F192="有效",I192*'参数'!$B$10+J192*'参数'!$B$11,"n.a.")</x:f>
        <x:v>112.51648510999999</x:v>
      </x:c>
      <x:c r="P192" s="28" t="n">
        <x:f>IF(F192="有效",K192*'参数'!$B$12+L192*'参数'!$B$13,"n.a.")</x:f>
        <x:v>3000.2253569444447</x:v>
      </x:c>
      <x:c r="Q192" s="28" t="n">
        <x:f>IF(F192="有效",M192*'参数'!$B$14+N192*'参数'!$B$15,"n.a.")</x:f>
        <x:v>460</x:v>
      </x:c>
      <x:c r="R192" s="28" t="n">
        <x:f>IF(F192="有效",IF(D192&lt;=2,G192*('参数'!$B$6+'参数'!$B$18),0),"n.a.")</x:f>
        <x:v>0</x:v>
      </x:c>
      <x:c r="S192" s="28" t="n">
        <x:f>IF(F192="有效",IF(D192&gt;=3,G192*'参数'!$B$16,0),"n.a.")</x:f>
        <x:v>144.8</x:v>
      </x:c>
      <x:c r="T192" s="28" t="n">
        <x:f>IF(F192="有效",IF(D192&gt;=3,G192*'参数'!$B$17,0),"n.a.")</x:f>
        <x:v>18.1</x:v>
      </x:c>
      <x:c r="U192" s="28" t="n">
        <x:f>IF(F192="有效",SUM(O192:T192),"n.a.")</x:f>
        <x:v>3735.6418420544446</x:v>
      </x:c>
      <x:c r="V192" s="28" t="n">
        <x:f>IF(F192="有效",H192*'参数'!$B$7,"n.a.")</x:f>
        <x:v>6606.5</x:v>
      </x:c>
      <x:c r="W192" s="28" t="n">
        <x:f>IF(F192="有效",IF(D192&gt;=3,G192*'参数'!$B$7/'参数'!$B$8,0),"n.a.")</x:f>
        <x:v>132.13</x:v>
      </x:c>
      <x:c r="X192" s="28" t="n">
        <x:f>IF(F192="有效",U192+W192,"n.a.")</x:f>
        <x:v>3867.7718420544447</x:v>
      </x:c>
      <x:c r="Y192" s="28" t="n">
        <x:f>IF(F192="有效",X192/G192,"n.a.")</x:f>
        <x:v>21.36890520472069</x:v>
      </x:c>
    </x:row>
    <x:row r="193" ht="22" customHeight="1">
      <x:c r="A193" s="11" t="str">
        <x:v>lade_0826_20aoi</x:v>
      </x:c>
      <x:c r="B193" s="22" t="n">
        <x:v>20</x:v>
      </x:c>
      <x:c r="C193" s="22" t="n">
        <x:v>1</x:v>
      </x:c>
      <x:c r="D193" s="22" t="n">
        <x:v>3</x:v>
      </x:c>
      <x:c r="E193" s="22" t="n">
        <x:v>43</x:v>
      </x:c>
      <x:c r="F193" s="30" t="str">
        <x:v>有效</x:v>
      </x:c>
      <x:c r="G193" s="22" t="n">
        <x:v>181</x:v>
      </x:c>
      <x:c r="H193" s="22" t="n">
        <x:v>181</x:v>
      </x:c>
      <x:c r="I193" s="24" t="n">
        <x:v>63.013999999999996</x:v>
      </x:c>
      <x:c r="J193" s="24" t="n">
        <x:v>61.72019999999999</x:v>
      </x:c>
      <x:c r="K193" s="24" t="n">
        <x:v>738.65</x:v>
      </x:c>
      <x:c r="L193" s="24" t="n">
        <x:v>3001.7166666666667</x:v>
      </x:c>
      <x:c r="M193" s="10" t="n">
        <x:v>1</x:v>
      </x:c>
      <x:c r="N193" s="10" t="n">
        <x:v>6</x:v>
      </x:c>
      <x:c r="O193" s="28" t="n">
        <x:f>IF(F193="有效",I193*'参数'!$B$10+J193*'参数'!$B$11,"n.a.")</x:f>
        <x:v>112.51648510999999</x:v>
      </x:c>
      <x:c r="P193" s="28" t="n">
        <x:f>IF(F193="有效",K193*'参数'!$B$12+L193*'参数'!$B$13,"n.a.")</x:f>
        <x:v>3000.2253569444447</x:v>
      </x:c>
      <x:c r="Q193" s="28" t="n">
        <x:f>IF(F193="有效",M193*'参数'!$B$14+N193*'参数'!$B$15,"n.a.")</x:f>
        <x:v>460</x:v>
      </x:c>
      <x:c r="R193" s="28" t="n">
        <x:f>IF(F193="有效",IF(D193&lt;=2,G193*('参数'!$B$6+'参数'!$B$18),0),"n.a.")</x:f>
        <x:v>0</x:v>
      </x:c>
      <x:c r="S193" s="28" t="n">
        <x:f>IF(F193="有效",IF(D193&gt;=3,G193*'参数'!$B$16,0),"n.a.")</x:f>
        <x:v>144.8</x:v>
      </x:c>
      <x:c r="T193" s="28" t="n">
        <x:f>IF(F193="有效",IF(D193&gt;=3,G193*'参数'!$B$17,0),"n.a.")</x:f>
        <x:v>18.1</x:v>
      </x:c>
      <x:c r="U193" s="28" t="n">
        <x:f>IF(F193="有效",SUM(O193:T193),"n.a.")</x:f>
        <x:v>3735.6418420544446</x:v>
      </x:c>
      <x:c r="V193" s="28" t="n">
        <x:f>IF(F193="有效",H193*'参数'!$B$7,"n.a.")</x:f>
        <x:v>6606.5</x:v>
      </x:c>
      <x:c r="W193" s="28" t="n">
        <x:f>IF(F193="有效",IF(D193&gt;=3,G193*'参数'!$B$7/'参数'!$B$8,0),"n.a.")</x:f>
        <x:v>132.13</x:v>
      </x:c>
      <x:c r="X193" s="28" t="n">
        <x:f>IF(F193="有效",U193+W193,"n.a.")</x:f>
        <x:v>3867.7718420544447</x:v>
      </x:c>
      <x:c r="Y193" s="28" t="n">
        <x:f>IF(F193="有效",X193/G193,"n.a.")</x:f>
        <x:v>21.36890520472069</x:v>
      </x:c>
    </x:row>
    <x:row r="194" ht="22" customHeight="1">
      <x:c r="A194" s="11" t="str">
        <x:v>lade_0826_20aoi</x:v>
      </x:c>
      <x:c r="B194" s="22" t="n">
        <x:v>20</x:v>
      </x:c>
      <x:c r="C194" s="22" t="n">
        <x:v>1</x:v>
      </x:c>
      <x:c r="D194" s="22" t="n">
        <x:v>3</x:v>
      </x:c>
      <x:c r="E194" s="22" t="n">
        <x:v>44</x:v>
      </x:c>
      <x:c r="F194" s="30" t="str">
        <x:v>有效</x:v>
      </x:c>
      <x:c r="G194" s="22" t="n">
        <x:v>181</x:v>
      </x:c>
      <x:c r="H194" s="22" t="n">
        <x:v>181</x:v>
      </x:c>
      <x:c r="I194" s="24" t="n">
        <x:v>63.013999999999996</x:v>
      </x:c>
      <x:c r="J194" s="24" t="n">
        <x:v>59.656099999999995</x:v>
      </x:c>
      <x:c r="K194" s="24" t="n">
        <x:v>738.65</x:v>
      </x:c>
      <x:c r="L194" s="24" t="n">
        <x:v>3001.7166666666667</x:v>
      </x:c>
      <x:c r="M194" s="10" t="n">
        <x:v>1</x:v>
      </x:c>
      <x:c r="N194" s="10" t="n">
        <x:v>6</x:v>
      </x:c>
      <x:c r="O194" s="28" t="n">
        <x:f>IF(F194="有效",I194*'参数'!$B$10+J194*'参数'!$B$11,"n.a.")</x:f>
        <x:v>110.65456370499999</x:v>
      </x:c>
      <x:c r="P194" s="28" t="n">
        <x:f>IF(F194="有效",K194*'参数'!$B$12+L194*'参数'!$B$13,"n.a.")</x:f>
        <x:v>3000.2253569444447</x:v>
      </x:c>
      <x:c r="Q194" s="28" t="n">
        <x:f>IF(F194="有效",M194*'参数'!$B$14+N194*'参数'!$B$15,"n.a.")</x:f>
        <x:v>460</x:v>
      </x:c>
      <x:c r="R194" s="28" t="n">
        <x:f>IF(F194="有效",IF(D194&lt;=2,G194*('参数'!$B$6+'参数'!$B$18),0),"n.a.")</x:f>
        <x:v>0</x:v>
      </x:c>
      <x:c r="S194" s="28" t="n">
        <x:f>IF(F194="有效",IF(D194&gt;=3,G194*'参数'!$B$16,0),"n.a.")</x:f>
        <x:v>144.8</x:v>
      </x:c>
      <x:c r="T194" s="28" t="n">
        <x:f>IF(F194="有效",IF(D194&gt;=3,G194*'参数'!$B$17,0),"n.a.")</x:f>
        <x:v>18.1</x:v>
      </x:c>
      <x:c r="U194" s="28" t="n">
        <x:f>IF(F194="有效",SUM(O194:T194),"n.a.")</x:f>
        <x:v>3733.7799206494446</x:v>
      </x:c>
      <x:c r="V194" s="28" t="n">
        <x:f>IF(F194="有效",H194*'参数'!$B$7,"n.a.")</x:f>
        <x:v>6606.5</x:v>
      </x:c>
      <x:c r="W194" s="28" t="n">
        <x:f>IF(F194="有效",IF(D194&gt;=3,G194*'参数'!$B$7/'参数'!$B$8,0),"n.a.")</x:f>
        <x:v>132.13</x:v>
      </x:c>
      <x:c r="X194" s="28" t="n">
        <x:f>IF(F194="有效",U194+W194,"n.a.")</x:f>
        <x:v>3865.9099206494448</x:v>
      </x:c>
      <x:c r="Y194" s="28" t="n">
        <x:f>IF(F194="有效",X194/G194,"n.a.")</x:f>
        <x:v>21.35861834612953</x:v>
      </x:c>
    </x:row>
    <x:row r="195" ht="22" customHeight="1">
      <x:c r="A195" s="11" t="str">
        <x:v>lade_0826_20aoi</x:v>
      </x:c>
      <x:c r="B195" s="22" t="n">
        <x:v>20</x:v>
      </x:c>
      <x:c r="C195" s="22" t="n">
        <x:v>1</x:v>
      </x:c>
      <x:c r="D195" s="22" t="n">
        <x:v>4</x:v>
      </x:c>
      <x:c r="E195" s="22" t="n">
        <x:v>42</x:v>
      </x:c>
      <x:c r="F195" s="30" t="str">
        <x:v>有效</x:v>
      </x:c>
      <x:c r="G195" s="22" t="n">
        <x:v>181</x:v>
      </x:c>
      <x:c r="H195" s="22" t="n">
        <x:v>181</x:v>
      </x:c>
      <x:c r="I195" s="24" t="n">
        <x:v>107.90650000000001</x:v>
      </x:c>
      <x:c r="J195" s="24" t="n">
        <x:v>53.4458</x:v>
      </x:c>
      <x:c r="K195" s="24" t="n">
        <x:v>1462.8</x:v>
      </x:c>
      <x:c r="L195" s="24" t="n">
        <x:v>2694.4166666666665</x:v>
      </x:c>
      <x:c r="M195" s="10" t="n">
        <x:v>2</x:v>
      </x:c>
      <x:c r="N195" s="10" t="n">
        <x:v>5</x:v>
      </x:c>
      <x:c r="O195" s="28" t="n">
        <x:f>IF(F195="有效",I195*'参数'!$B$10+J195*'参数'!$B$11,"n.a.")</x:f>
        <x:v>145.547842215</x:v>
      </x:c>
      <x:c r="P195" s="28" t="n">
        <x:f>IF(F195="有效",K195*'参数'!$B$12+L195*'参数'!$B$13,"n.a.")</x:f>
        <x:v>3551.1802996527776</x:v>
      </x:c>
      <x:c r="Q195" s="28" t="n">
        <x:f>IF(F195="有效",M195*'参数'!$B$14+N195*'参数'!$B$15,"n.a.")</x:f>
        <x:v>500</x:v>
      </x:c>
      <x:c r="R195" s="28" t="n">
        <x:f>IF(F195="有效",IF(D195&lt;=2,G195*('参数'!$B$6+'参数'!$B$18),0),"n.a.")</x:f>
        <x:v>0</x:v>
      </x:c>
      <x:c r="S195" s="28" t="n">
        <x:f>IF(F195="有效",IF(D195&gt;=3,G195*'参数'!$B$16,0),"n.a.")</x:f>
        <x:v>144.8</x:v>
      </x:c>
      <x:c r="T195" s="28" t="n">
        <x:f>IF(F195="有效",IF(D195&gt;=3,G195*'参数'!$B$17,0),"n.a.")</x:f>
        <x:v>18.1</x:v>
      </x:c>
      <x:c r="U195" s="28" t="n">
        <x:f>IF(F195="有效",SUM(O195:T195),"n.a.")</x:f>
        <x:v>4359.628141867778</x:v>
      </x:c>
      <x:c r="V195" s="28" t="n">
        <x:f>IF(F195="有效",H195*'参数'!$B$7,"n.a.")</x:f>
        <x:v>6606.5</x:v>
      </x:c>
      <x:c r="W195" s="28" t="n">
        <x:f>IF(F195="有效",IF(D195&gt;=3,G195*'参数'!$B$7/'参数'!$B$8,0),"n.a.")</x:f>
        <x:v>132.13</x:v>
      </x:c>
      <x:c r="X195" s="28" t="n">
        <x:f>IF(F195="有效",U195+W195,"n.a.")</x:f>
        <x:v>4491.758141867778</x:v>
      </x:c>
      <x:c r="Y195" s="28" t="n">
        <x:f>IF(F195="有效",X195/G195,"n.a.")</x:f>
        <x:v>24.816343325236343</x:v>
      </x:c>
    </x:row>
    <x:row r="196" ht="22" customHeight="1">
      <x:c r="A196" s="11" t="str">
        <x:v>lade_0826_20aoi</x:v>
      </x:c>
      <x:c r="B196" s="22" t="n">
        <x:v>20</x:v>
      </x:c>
      <x:c r="C196" s="22" t="n">
        <x:v>1</x:v>
      </x:c>
      <x:c r="D196" s="22" t="n">
        <x:v>4</x:v>
      </x:c>
      <x:c r="E196" s="22" t="n">
        <x:v>43</x:v>
      </x:c>
      <x:c r="F196" s="30" t="str">
        <x:v>有效</x:v>
      </x:c>
      <x:c r="G196" s="22" t="n">
        <x:v>181</x:v>
      </x:c>
      <x:c r="H196" s="22" t="n">
        <x:v>181</x:v>
      </x:c>
      <x:c r="I196" s="24" t="n">
        <x:v>63.013999999999996</x:v>
      </x:c>
      <x:c r="J196" s="24" t="n">
        <x:v>52.83039999999999</x:v>
      </x:c>
      <x:c r="K196" s="24" t="n">
        <x:v>738.65</x:v>
      </x:c>
      <x:c r="L196" s="24" t="n">
        <x:v>2483.25</x:v>
      </x:c>
      <x:c r="M196" s="10" t="n">
        <x:v>1</x:v>
      </x:c>
      <x:c r="N196" s="10" t="n">
        <x:v>5</x:v>
      </x:c>
      <x:c r="O196" s="28" t="n">
        <x:f>IF(F196="有效",I196*'参数'!$B$10+J196*'参数'!$B$11,"n.a.")</x:f>
        <x:v>104.49744102</x:v>
      </x:c>
      <x:c r="P196" s="28" t="n">
        <x:f>IF(F196="有效",K196*'参数'!$B$12+L196*'参数'!$B$13,"n.a.")</x:f>
        <x:v>2618.903925</x:v>
      </x:c>
      <x:c r="Q196" s="28" t="n">
        <x:f>IF(F196="有效",M196*'参数'!$B$14+N196*'参数'!$B$15,"n.a.")</x:f>
        <x:v>400</x:v>
      </x:c>
      <x:c r="R196" s="28" t="n">
        <x:f>IF(F196="有效",IF(D196&lt;=2,G196*('参数'!$B$6+'参数'!$B$18),0),"n.a.")</x:f>
        <x:v>0</x:v>
      </x:c>
      <x:c r="S196" s="28" t="n">
        <x:f>IF(F196="有效",IF(D196&gt;=3,G196*'参数'!$B$16,0),"n.a.")</x:f>
        <x:v>144.8</x:v>
      </x:c>
      <x:c r="T196" s="28" t="n">
        <x:f>IF(F196="有效",IF(D196&gt;=3,G196*'参数'!$B$17,0),"n.a.")</x:f>
        <x:v>18.1</x:v>
      </x:c>
      <x:c r="U196" s="28" t="n">
        <x:f>IF(F196="有效",SUM(O196:T196),"n.a.")</x:f>
        <x:v>3286.30136602</x:v>
      </x:c>
      <x:c r="V196" s="28" t="n">
        <x:f>IF(F196="有效",H196*'参数'!$B$7,"n.a.")</x:f>
        <x:v>6606.5</x:v>
      </x:c>
      <x:c r="W196" s="28" t="n">
        <x:f>IF(F196="有效",IF(D196&gt;=3,G196*'参数'!$B$7/'参数'!$B$8,0),"n.a.")</x:f>
        <x:v>132.13</x:v>
      </x:c>
      <x:c r="X196" s="28" t="n">
        <x:f>IF(F196="有效",U196+W196,"n.a.")</x:f>
        <x:v>3418.43136602</x:v>
      </x:c>
      <x:c r="Y196" s="28" t="n">
        <x:f>IF(F196="有效",X196/G196,"n.a.")</x:f>
        <x:v>18.886361138232044</x:v>
      </x:c>
    </x:row>
    <x:row r="197" ht="22" customHeight="1">
      <x:c r="A197" s="11" t="str">
        <x:v>lade_0826_20aoi</x:v>
      </x:c>
      <x:c r="B197" s="22" t="n">
        <x:v>20</x:v>
      </x:c>
      <x:c r="C197" s="22" t="n">
        <x:v>1</x:v>
      </x:c>
      <x:c r="D197" s="22" t="n">
        <x:v>4</x:v>
      </x:c>
      <x:c r="E197" s="22" t="n">
        <x:v>44</x:v>
      </x:c>
      <x:c r="F197" s="30" t="str">
        <x:v>有效</x:v>
      </x:c>
      <x:c r="G197" s="22" t="n">
        <x:v>181</x:v>
      </x:c>
      <x:c r="H197" s="22" t="n">
        <x:v>181</x:v>
      </x:c>
      <x:c r="I197" s="24" t="n">
        <x:v>108.236</x:v>
      </x:c>
      <x:c r="J197" s="24" t="n">
        <x:v>52.93029999999998</x:v>
      </x:c>
      <x:c r="K197" s="24" t="n">
        <x:v>1465.4666666666667</x:v>
      </x:c>
      <x:c r="L197" s="24" t="n">
        <x:v>2469.233333333333</x:v>
      </x:c>
      <x:c r="M197" s="10" t="n">
        <x:v>2</x:v>
      </x:c>
      <x:c r="N197" s="10" t="n">
        <x:v>5</x:v>
      </x:c>
      <x:c r="O197" s="28" t="n">
        <x:f>IF(F197="有效",I197*'参数'!$B$10+J197*'参数'!$B$11,"n.a.")</x:f>
        <x:v>145.380060915</x:v>
      </x:c>
      <x:c r="P197" s="28" t="n">
        <x:f>IF(F197="有效",K197*'参数'!$B$12+L197*'参数'!$B$13,"n.a.")</x:f>
        <x:v>3388.4238159722217</x:v>
      </x:c>
      <x:c r="Q197" s="28" t="n">
        <x:f>IF(F197="有效",M197*'参数'!$B$14+N197*'参数'!$B$15,"n.a.")</x:f>
        <x:v>500</x:v>
      </x:c>
      <x:c r="R197" s="28" t="n">
        <x:f>IF(F197="有效",IF(D197&lt;=2,G197*('参数'!$B$6+'参数'!$B$18),0),"n.a.")</x:f>
        <x:v>0</x:v>
      </x:c>
      <x:c r="S197" s="28" t="n">
        <x:f>IF(F197="有效",IF(D197&gt;=3,G197*'参数'!$B$16,0),"n.a.")</x:f>
        <x:v>144.8</x:v>
      </x:c>
      <x:c r="T197" s="28" t="n">
        <x:f>IF(F197="有效",IF(D197&gt;=3,G197*'参数'!$B$17,0),"n.a.")</x:f>
        <x:v>18.1</x:v>
      </x:c>
      <x:c r="U197" s="28" t="n">
        <x:f>IF(F197="有效",SUM(O197:T197),"n.a.")</x:f>
        <x:v>4196.703876887222</x:v>
      </x:c>
      <x:c r="V197" s="28" t="n">
        <x:f>IF(F197="有效",H197*'参数'!$B$7,"n.a.")</x:f>
        <x:v>6606.5</x:v>
      </x:c>
      <x:c r="W197" s="28" t="n">
        <x:f>IF(F197="有效",IF(D197&gt;=3,G197*'参数'!$B$7/'参数'!$B$8,0),"n.a.")</x:f>
        <x:v>132.13</x:v>
      </x:c>
      <x:c r="X197" s="28" t="n">
        <x:f>IF(F197="有效",U197+W197,"n.a.")</x:f>
        <x:v>4328.833876887222</x:v>
      </x:c>
      <x:c r="Y197" s="28" t="n">
        <x:f>IF(F197="有效",X197/G197,"n.a.")</x:f>
        <x:v>23.916209264570288</x:v>
      </x:c>
    </x:row>
    <x:row r="198" ht="22" customHeight="1">
      <x:c r="A198" s="11" t="str">
        <x:v>lade_0826_20aoi</x:v>
      </x:c>
      <x:c r="B198" s="22" t="n">
        <x:v>20</x:v>
      </x:c>
      <x:c r="C198" s="22" t="n">
        <x:v>2</x:v>
      </x:c>
      <x:c r="D198" s="22" t="n">
        <x:v>5</x:v>
      </x:c>
      <x:c r="E198" s="22" t="n">
        <x:v>42</x:v>
      </x:c>
      <x:c r="F198" s="30" t="str">
        <x:v>有效</x:v>
      </x:c>
      <x:c r="G198" s="22" t="n">
        <x:v>181</x:v>
      </x:c>
      <x:c r="H198" s="22" t="n">
        <x:v>181</x:v>
      </x:c>
      <x:c r="I198" s="24" t="n">
        <x:v>261.03499999999997</x:v>
      </x:c>
      <x:c r="J198" s="24" t="n">
        <x:v>71.73530000000001</x:v>
      </x:c>
      <x:c r="K198" s="24" t="n">
        <x:v>1837.4166666666667</x:v>
      </x:c>
      <x:c r="L198" s="24" t="n">
        <x:v>1792.8666666666666</x:v>
      </x:c>
      <x:c r="M198" s="10" t="n">
        <x:v>3</x:v>
      </x:c>
      <x:c r="N198" s="10" t="n">
        <x:v>5</x:v>
      </x:c>
      <x:c r="O198" s="28" t="n">
        <x:f>IF(F198="有效",I198*'参数'!$B$10+J198*'参数'!$B$11,"n.a.")</x:f>
        <x:v>300.175449115</x:v>
      </x:c>
      <x:c r="P198" s="28" t="n">
        <x:f>IF(F198="有效",K198*'参数'!$B$12+L198*'参数'!$B$13,"n.a.")</x:f>
        <x:v>3290.0493267361107</x:v>
      </x:c>
      <x:c r="Q198" s="28" t="n">
        <x:f>IF(F198="有效",M198*'参数'!$B$14+N198*'参数'!$B$15,"n.a.")</x:f>
        <x:v>600</x:v>
      </x:c>
      <x:c r="R198" s="28" t="n">
        <x:f>IF(F198="有效",IF(D198&lt;=2,G198*('参数'!$B$6+'参数'!$B$18),0),"n.a.")</x:f>
        <x:v>0</x:v>
      </x:c>
      <x:c r="S198" s="28" t="n">
        <x:f>IF(F198="有效",IF(D198&gt;=3,G198*'参数'!$B$16,0),"n.a.")</x:f>
        <x:v>144.8</x:v>
      </x:c>
      <x:c r="T198" s="28" t="n">
        <x:f>IF(F198="有效",IF(D198&gt;=3,G198*'参数'!$B$17,0),"n.a.")</x:f>
        <x:v>18.1</x:v>
      </x:c>
      <x:c r="U198" s="28" t="n">
        <x:f>IF(F198="有效",SUM(O198:T198),"n.a.")</x:f>
        <x:v>4353.124775851112</x:v>
      </x:c>
      <x:c r="V198" s="28" t="n">
        <x:f>IF(F198="有效",H198*'参数'!$B$7,"n.a.")</x:f>
        <x:v>6606.5</x:v>
      </x:c>
      <x:c r="W198" s="28" t="n">
        <x:f>IF(F198="有效",IF(D198&gt;=3,G198*'参数'!$B$7/'参数'!$B$8,0),"n.a.")</x:f>
        <x:v>132.13</x:v>
      </x:c>
      <x:c r="X198" s="28" t="n">
        <x:f>IF(F198="有效",U198+W198,"n.a.")</x:f>
        <x:v>4485.254775851112</x:v>
      </x:c>
      <x:c r="Y198" s="28" t="n">
        <x:f>IF(F198="有效",X198/G198,"n.a.")</x:f>
        <x:v>24.780413126249236</x:v>
      </x:c>
    </x:row>
    <x:row r="199" ht="22" customHeight="1">
      <x:c r="A199" s="11" t="str">
        <x:v>lade_0826_20aoi</x:v>
      </x:c>
      <x:c r="B199" s="22" t="n">
        <x:v>20</x:v>
      </x:c>
      <x:c r="C199" s="22" t="n">
        <x:v>2</x:v>
      </x:c>
      <x:c r="D199" s="22" t="n">
        <x:v>5</x:v>
      </x:c>
      <x:c r="E199" s="22" t="n">
        <x:v>43</x:v>
      </x:c>
      <x:c r="F199" s="30" t="str">
        <x:v>有效</x:v>
      </x:c>
      <x:c r="G199" s="22" t="n">
        <x:v>181</x:v>
      </x:c>
      <x:c r="H199" s="22" t="n">
        <x:v>181</x:v>
      </x:c>
      <x:c r="I199" s="24" t="n">
        <x:v>261.03499999999997</x:v>
      </x:c>
      <x:c r="J199" s="24" t="n">
        <x:v>71.73530000000001</x:v>
      </x:c>
      <x:c r="K199" s="24" t="n">
        <x:v>1837.4166666666667</x:v>
      </x:c>
      <x:c r="L199" s="24" t="n">
        <x:v>1794.8833333333334</x:v>
      </x:c>
      <x:c r="M199" s="10" t="n">
        <x:v>3</x:v>
      </x:c>
      <x:c r="N199" s="10" t="n">
        <x:v>5</x:v>
      </x:c>
      <x:c r="O199" s="28" t="n">
        <x:f>IF(F199="有效",I199*'参数'!$B$10+J199*'参数'!$B$11,"n.a.")</x:f>
        <x:v>300.175449115</x:v>
      </x:c>
      <x:c r="P199" s="28" t="n">
        <x:f>IF(F199="有效",K199*'参数'!$B$12+L199*'参数'!$B$13,"n.a.")</x:f>
        <x:v>3291.532543055556</x:v>
      </x:c>
      <x:c r="Q199" s="28" t="n">
        <x:f>IF(F199="有效",M199*'参数'!$B$14+N199*'参数'!$B$15,"n.a.")</x:f>
        <x:v>600</x:v>
      </x:c>
      <x:c r="R199" s="28" t="n">
        <x:f>IF(F199="有效",IF(D199&lt;=2,G199*('参数'!$B$6+'参数'!$B$18),0),"n.a.")</x:f>
        <x:v>0</x:v>
      </x:c>
      <x:c r="S199" s="28" t="n">
        <x:f>IF(F199="有效",IF(D199&gt;=3,G199*'参数'!$B$16,0),"n.a.")</x:f>
        <x:v>144.8</x:v>
      </x:c>
      <x:c r="T199" s="28" t="n">
        <x:f>IF(F199="有效",IF(D199&gt;=3,G199*'参数'!$B$17,0),"n.a.")</x:f>
        <x:v>18.1</x:v>
      </x:c>
      <x:c r="U199" s="28" t="n">
        <x:f>IF(F199="有效",SUM(O199:T199),"n.a.")</x:f>
        <x:v>4354.607992170556</x:v>
      </x:c>
      <x:c r="V199" s="28" t="n">
        <x:f>IF(F199="有效",H199*'参数'!$B$7,"n.a.")</x:f>
        <x:v>6606.5</x:v>
      </x:c>
      <x:c r="W199" s="28" t="n">
        <x:f>IF(F199="有效",IF(D199&gt;=3,G199*'参数'!$B$7/'参数'!$B$8,0),"n.a.")</x:f>
        <x:v>132.13</x:v>
      </x:c>
      <x:c r="X199" s="28" t="n">
        <x:f>IF(F199="有效",U199+W199,"n.a.")</x:f>
        <x:v>4486.737992170556</x:v>
      </x:c>
      <x:c r="Y199" s="28" t="n">
        <x:f>IF(F199="有效",X199/G199,"n.a.")</x:f>
        <x:v>24.788607691550034</x:v>
      </x:c>
    </x:row>
    <x:row r="200" ht="22" customHeight="1">
      <x:c r="A200" s="11" t="str">
        <x:v>lade_0826_20aoi</x:v>
      </x:c>
      <x:c r="B200" s="22" t="n">
        <x:v>20</x:v>
      </x:c>
      <x:c r="C200" s="22" t="n">
        <x:v>2</x:v>
      </x:c>
      <x:c r="D200" s="22" t="n">
        <x:v>5</x:v>
      </x:c>
      <x:c r="E200" s="22" t="n">
        <x:v>44</x:v>
      </x:c>
      <x:c r="F200" s="30" t="str">
        <x:v>有效</x:v>
      </x:c>
      <x:c r="G200" s="22" t="n">
        <x:v>181</x:v>
      </x:c>
      <x:c r="H200" s="22" t="n">
        <x:v>181</x:v>
      </x:c>
      <x:c r="I200" s="24" t="n">
        <x:v>261.3645</x:v>
      </x:c>
      <x:c r="J200" s="24" t="n">
        <x:v>71.8964</x:v>
      </x:c>
      <x:c r="K200" s="24" t="n">
        <x:v>1645.0833333333333</x:v>
      </x:c>
      <x:c r="L200" s="24" t="n">
        <x:v>2375.233333333333</x:v>
      </x:c>
      <x:c r="M200" s="10" t="n">
        <x:v>3</x:v>
      </x:c>
      <x:c r="N200" s="10" t="n">
        <x:v>6</x:v>
      </x:c>
      <x:c r="O200" s="28" t="n">
        <x:f>IF(F200="有效",I200*'参数'!$B$10+J200*'参数'!$B$11,"n.a.")</x:f>
        <x:v>300.61799484500006</x:v>
      </x:c>
      <x:c r="P200" s="28" t="n">
        <x:f>IF(F200="有效",K200*'参数'!$B$12+L200*'参数'!$B$13,"n.a.")</x:f>
        <x:v>3512.006231597222</x:v>
      </x:c>
      <x:c r="Q200" s="28" t="n">
        <x:f>IF(F200="有效",M200*'参数'!$B$14+N200*'参数'!$B$15,"n.a.")</x:f>
        <x:v>660</x:v>
      </x:c>
      <x:c r="R200" s="28" t="n">
        <x:f>IF(F200="有效",IF(D200&lt;=2,G200*('参数'!$B$6+'参数'!$B$18),0),"n.a.")</x:f>
        <x:v>0</x:v>
      </x:c>
      <x:c r="S200" s="28" t="n">
        <x:f>IF(F200="有效",IF(D200&gt;=3,G200*'参数'!$B$16,0),"n.a.")</x:f>
        <x:v>144.8</x:v>
      </x:c>
      <x:c r="T200" s="28" t="n">
        <x:f>IF(F200="有效",IF(D200&gt;=3,G200*'参数'!$B$17,0),"n.a.")</x:f>
        <x:v>18.1</x:v>
      </x:c>
      <x:c r="U200" s="28" t="n">
        <x:f>IF(F200="有效",SUM(O200:T200),"n.a.")</x:f>
        <x:v>4635.524226442222</x:v>
      </x:c>
      <x:c r="V200" s="28" t="n">
        <x:f>IF(F200="有效",H200*'参数'!$B$7,"n.a.")</x:f>
        <x:v>6606.5</x:v>
      </x:c>
      <x:c r="W200" s="28" t="n">
        <x:f>IF(F200="有效",IF(D200&gt;=3,G200*'参数'!$B$7/'参数'!$B$8,0),"n.a.")</x:f>
        <x:v>132.13</x:v>
      </x:c>
      <x:c r="X200" s="28" t="n">
        <x:f>IF(F200="有效",U200+W200,"n.a.")</x:f>
        <x:v>4767.654226442222</x:v>
      </x:c>
      <x:c r="Y200" s="28" t="n">
        <x:f>IF(F200="有效",X200/G200,"n.a.")</x:f>
        <x:v>26.340631085316147</x:v>
      </x:c>
    </x:row>
    <x:row r="201" ht="22" customHeight="1">
      <x:c r="A201" s="11" t="str">
        <x:v>lade_0826_20aoi</x:v>
      </x:c>
      <x:c r="B201" s="22" t="n">
        <x:v>20</x:v>
      </x:c>
      <x:c r="C201" s="22" t="n">
        <x:v>3</x:v>
      </x:c>
      <x:c r="D201" s="22" t="n">
        <x:v>5</x:v>
      </x:c>
      <x:c r="E201" s="22" t="n">
        <x:v>42</x:v>
      </x:c>
      <x:c r="F201" s="30" t="str">
        <x:v>有效</x:v>
      </x:c>
      <x:c r="G201" s="22" t="n">
        <x:v>181</x:v>
      </x:c>
      <x:c r="H201" s="22" t="n">
        <x:v>181</x:v>
      </x:c>
      <x:c r="I201" s="24" t="n">
        <x:v>319.1202</x:v>
      </x:c>
      <x:c r="J201" s="24" t="n">
        <x:v>77.00289999999998</x:v>
      </x:c>
      <x:c r="K201" s="24" t="n">
        <x:v>1364.0166666666667</x:v>
      </x:c>
      <x:c r="L201" s="24" t="n">
        <x:v>1765.6833333333334</x:v>
      </x:c>
      <x:c r="M201" s="10" t="n">
        <x:v>3</x:v>
      </x:c>
      <x:c r="N201" s="10" t="n">
        <x:v>5</x:v>
      </x:c>
      <x:c r="O201" s="28" t="n">
        <x:f>IF(F201="有效",I201*'参数'!$B$10+J201*'参数'!$B$11,"n.a.")</x:f>
        <x:v>357.32284235500003</x:v>
      </x:c>
      <x:c r="P201" s="28" t="n">
        <x:f>IF(F201="有效",K201*'参数'!$B$12+L201*'参数'!$B$13,"n.a.")</x:f>
        <x:v>2762.127938888889</x:v>
      </x:c>
      <x:c r="Q201" s="28" t="n">
        <x:f>IF(F201="有效",M201*'参数'!$B$14+N201*'参数'!$B$15,"n.a.")</x:f>
        <x:v>600</x:v>
      </x:c>
      <x:c r="R201" s="28" t="n">
        <x:f>IF(F201="有效",IF(D201&lt;=2,G201*('参数'!$B$6+'参数'!$B$18),0),"n.a.")</x:f>
        <x:v>0</x:v>
      </x:c>
      <x:c r="S201" s="28" t="n">
        <x:f>IF(F201="有效",IF(D201&gt;=3,G201*'参数'!$B$16,0),"n.a.")</x:f>
        <x:v>144.8</x:v>
      </x:c>
      <x:c r="T201" s="28" t="n">
        <x:f>IF(F201="有效",IF(D201&gt;=3,G201*'参数'!$B$17,0),"n.a.")</x:f>
        <x:v>18.1</x:v>
      </x:c>
      <x:c r="U201" s="28" t="n">
        <x:f>IF(F201="有效",SUM(O201:T201),"n.a.")</x:f>
        <x:v>3882.350781243889</x:v>
      </x:c>
      <x:c r="V201" s="28" t="n">
        <x:f>IF(F201="有效",H201*'参数'!$B$7,"n.a.")</x:f>
        <x:v>6606.5</x:v>
      </x:c>
      <x:c r="W201" s="28" t="n">
        <x:f>IF(F201="有效",IF(D201&gt;=3,G201*'参数'!$B$7/'参数'!$B$8,0),"n.a.")</x:f>
        <x:v>132.13</x:v>
      </x:c>
      <x:c r="X201" s="28" t="n">
        <x:f>IF(F201="有效",U201+W201,"n.a.")</x:f>
        <x:v>4014.480781243889</x:v>
      </x:c>
      <x:c r="Y201" s="28" t="n">
        <x:f>IF(F201="有效",X201/G201,"n.a.")</x:f>
        <x:v>22.179451830076733</x:v>
      </x:c>
    </x:row>
    <x:row r="202" ht="22" customHeight="1">
      <x:c r="A202" s="11" t="str">
        <x:v>lade_0826_20aoi</x:v>
      </x:c>
      <x:c r="B202" s="22" t="n">
        <x:v>20</x:v>
      </x:c>
      <x:c r="C202" s="22" t="n">
        <x:v>3</x:v>
      </x:c>
      <x:c r="D202" s="22" t="n">
        <x:v>5</x:v>
      </x:c>
      <x:c r="E202" s="22" t="n">
        <x:v>43</x:v>
      </x:c>
      <x:c r="F202" s="30" t="str">
        <x:v>有效</x:v>
      </x:c>
      <x:c r="G202" s="22" t="n">
        <x:v>181</x:v>
      </x:c>
      <x:c r="H202" s="22" t="n">
        <x:v>181</x:v>
      </x:c>
      <x:c r="I202" s="24" t="n">
        <x:v>411.943</x:v>
      </x:c>
      <x:c r="J202" s="24" t="n">
        <x:v>75.55529999999997</x:v>
      </x:c>
      <x:c r="K202" s="24" t="n">
        <x:v>1626.5833333333333</x:v>
      </x:c>
      <x:c r="L202" s="24" t="n">
        <x:v>1533.5666666666666</x:v>
      </x:c>
      <x:c r="M202" s="10" t="n">
        <x:v>3</x:v>
      </x:c>
      <x:c r="N202" s="10" t="n">
        <x:v>6</x:v>
      </x:c>
      <x:c r="O202" s="28" t="n">
        <x:f>IF(F202="有效",I202*'参数'!$B$10+J202*'参数'!$B$11,"n.a.")</x:f>
        <x:v>439.747841515</x:v>
      </x:c>
      <x:c r="P202" s="28" t="n">
        <x:f>IF(F202="有效",K202*'参数'!$B$12+L202*'参数'!$B$13,"n.a.")</x:f>
        <x:v>2873.128589236111</x:v>
      </x:c>
      <x:c r="Q202" s="28" t="n">
        <x:f>IF(F202="有效",M202*'参数'!$B$14+N202*'参数'!$B$15,"n.a.")</x:f>
        <x:v>660</x:v>
      </x:c>
      <x:c r="R202" s="28" t="n">
        <x:f>IF(F202="有效",IF(D202&lt;=2,G202*('参数'!$B$6+'参数'!$B$18),0),"n.a.")</x:f>
        <x:v>0</x:v>
      </x:c>
      <x:c r="S202" s="28" t="n">
        <x:f>IF(F202="有效",IF(D202&gt;=3,G202*'参数'!$B$16,0),"n.a.")</x:f>
        <x:v>144.8</x:v>
      </x:c>
      <x:c r="T202" s="28" t="n">
        <x:f>IF(F202="有效",IF(D202&gt;=3,G202*'参数'!$B$17,0),"n.a.")</x:f>
        <x:v>18.1</x:v>
      </x:c>
      <x:c r="U202" s="28" t="n">
        <x:f>IF(F202="有效",SUM(O202:T202),"n.a.")</x:f>
        <x:v>4135.776430751112</x:v>
      </x:c>
      <x:c r="V202" s="28" t="n">
        <x:f>IF(F202="有效",H202*'参数'!$B$7,"n.a.")</x:f>
        <x:v>6606.5</x:v>
      </x:c>
      <x:c r="W202" s="28" t="n">
        <x:f>IF(F202="有效",IF(D202&gt;=3,G202*'参数'!$B$7/'参数'!$B$8,0),"n.a.")</x:f>
        <x:v>132.13</x:v>
      </x:c>
      <x:c r="X202" s="28" t="n">
        <x:f>IF(F202="有效",U202+W202,"n.a.")</x:f>
        <x:v>4267.906430751112</x:v>
      </x:c>
      <x:c r="Y202" s="28" t="n">
        <x:f>IF(F202="有效",X202/G202,"n.a.")</x:f>
        <x:v>23.579593540061392</x:v>
      </x:c>
    </x:row>
    <x:row r="203" ht="22" customHeight="1">
      <x:c r="A203" s="11" t="str">
        <x:v>lade_0826_20aoi</x:v>
      </x:c>
      <x:c r="B203" s="22" t="n">
        <x:v>20</x:v>
      </x:c>
      <x:c r="C203" s="22" t="n">
        <x:v>3</x:v>
      </x:c>
      <x:c r="D203" s="22" t="n">
        <x:v>5</x:v>
      </x:c>
      <x:c r="E203" s="22" t="n">
        <x:v>44</x:v>
      </x:c>
      <x:c r="F203" s="30" t="str">
        <x:v>有效</x:v>
      </x:c>
      <x:c r="G203" s="22" t="n">
        <x:v>181</x:v>
      </x:c>
      <x:c r="H203" s="22" t="n">
        <x:v>181</x:v>
      </x:c>
      <x:c r="I203" s="24" t="n">
        <x:v>411.943</x:v>
      </x:c>
      <x:c r="J203" s="24" t="n">
        <x:v>75.55529999999999</x:v>
      </x:c>
      <x:c r="K203" s="24" t="n">
        <x:v>1471.05</x:v>
      </x:c>
      <x:c r="L203" s="24" t="n">
        <x:v>2013.3666666666666</x:v>
      </x:c>
      <x:c r="M203" s="10" t="n">
        <x:v>3</x:v>
      </x:c>
      <x:c r="N203" s="10" t="n">
        <x:v>6</x:v>
      </x:c>
      <x:c r="O203" s="28" t="n">
        <x:f>IF(F203="有效",I203*'参数'!$B$10+J203*'参数'!$B$11,"n.a.")</x:f>
        <x:v>439.747841515</x:v>
      </x:c>
      <x:c r="P203" s="28" t="n">
        <x:f>IF(F203="有效",K203*'参数'!$B$12+L203*'参数'!$B$13,"n.a.")</x:f>
        <x:v>3059.133947569444</x:v>
      </x:c>
      <x:c r="Q203" s="28" t="n">
        <x:f>IF(F203="有效",M203*'参数'!$B$14+N203*'参数'!$B$15,"n.a.")</x:f>
        <x:v>660</x:v>
      </x:c>
      <x:c r="R203" s="28" t="n">
        <x:f>IF(F203="有效",IF(D203&lt;=2,G203*('参数'!$B$6+'参数'!$B$18),0),"n.a.")</x:f>
        <x:v>0</x:v>
      </x:c>
      <x:c r="S203" s="28" t="n">
        <x:f>IF(F203="有效",IF(D203&gt;=3,G203*'参数'!$B$16,0),"n.a.")</x:f>
        <x:v>144.8</x:v>
      </x:c>
      <x:c r="T203" s="28" t="n">
        <x:f>IF(F203="有效",IF(D203&gt;=3,G203*'参数'!$B$17,0),"n.a.")</x:f>
        <x:v>18.1</x:v>
      </x:c>
      <x:c r="U203" s="28" t="n">
        <x:f>IF(F203="有效",SUM(O203:T203),"n.a.")</x:f>
        <x:v>4321.781789084444</x:v>
      </x:c>
      <x:c r="V203" s="28" t="n">
        <x:f>IF(F203="有效",H203*'参数'!$B$7,"n.a.")</x:f>
        <x:v>6606.5</x:v>
      </x:c>
      <x:c r="W203" s="28" t="n">
        <x:f>IF(F203="有效",IF(D203&gt;=3,G203*'参数'!$B$7/'参数'!$B$8,0),"n.a.")</x:f>
        <x:v>132.13</x:v>
      </x:c>
      <x:c r="X203" s="28" t="n">
        <x:f>IF(F203="有效",U203+W203,"n.a.")</x:f>
        <x:v>4453.9117890844445</x:v>
      </x:c>
      <x:c r="Y203" s="28" t="n">
        <x:f>IF(F203="有效",X203/G203,"n.a.")</x:f>
        <x:v>24.60724745350522</x:v>
      </x:c>
    </x:row>
    <x:row r="204" ht="22" customHeight="1">
      <x:c r="A204" s="11" t="str">
        <x:v>lade_0826_30aoi</x:v>
      </x:c>
      <x:c r="B204" s="22" t="n">
        <x:v>30</x:v>
      </x:c>
      <x:c r="C204" s="22" t="n">
        <x:v>1</x:v>
      </x:c>
      <x:c r="D204" s="22" t="n">
        <x:v>1</x:v>
      </x:c>
      <x:c r="E204" s="22" t="n">
        <x:v>42</x:v>
      </x:c>
      <x:c r="F204" s="30" t="str">
        <x:v>有效</x:v>
      </x:c>
      <x:c r="G204" s="22" t="n">
        <x:v>228</x:v>
      </x:c>
      <x:c r="H204" s="22" t="n">
        <x:v>0</x:v>
      </x:c>
      <x:c r="I204" s="24" t="n">
        <x:v>59.477500000000006</x:v>
      </x:c>
      <x:c r="J204" s="24" t="n">
        <x:v>65.11480000000002</x:v>
      </x:c>
      <x:c r="K204" s="24" t="n">
        <x:v>60.63333333333333</x:v>
      </x:c>
      <x:c r="L204" s="24" t="n">
        <x:v>2205.2</x:v>
      </x:c>
      <x:c r="M204" s="10" t="n">
        <x:v>1</x:v>
      </x:c>
      <x:c r="N204" s="10" t="n">
        <x:v>5</x:v>
      </x:c>
      <x:c r="O204" s="28" t="n">
        <x:f>IF(F204="有效",I204*'参数'!$B$10+J204*'参数'!$B$11,"n.a.")</x:f>
        <x:v>112.38848421500003</x:v>
      </x:c>
      <x:c r="P204" s="28" t="n">
        <x:f>IF(F204="有效",K204*'参数'!$B$12+L204*'参数'!$B$13,"n.a.")</x:f>
        <x:v>1686.9344354166667</x:v>
      </x:c>
      <x:c r="Q204" s="28" t="n">
        <x:f>IF(F204="有效",M204*'参数'!$B$14+N204*'参数'!$B$15,"n.a.")</x:f>
        <x:v>400</x:v>
      </x:c>
      <x:c r="R204" s="28" t="n">
        <x:f>IF(F204="有效",IF(D204&lt;=2,G204*('参数'!$B$6+'参数'!$B$18),0),"n.a.")</x:f>
        <x:v>912</x:v>
      </x:c>
      <x:c r="S204" s="28" t="n">
        <x:f>IF(F204="有效",IF(D204&gt;=3,G204*'参数'!$B$16,0),"n.a.")</x:f>
        <x:v>0</x:v>
      </x:c>
      <x:c r="T204" s="28" t="n">
        <x:f>IF(F204="有效",IF(D204&gt;=3,G204*'参数'!$B$17,0),"n.a.")</x:f>
        <x:v>0</x:v>
      </x:c>
      <x:c r="U204" s="28" t="n">
        <x:f>IF(F204="有效",SUM(O204:T204),"n.a.")</x:f>
        <x:v>3111.322919631667</x:v>
      </x:c>
      <x:c r="V204" s="28" t="n">
        <x:f>IF(F204="有效",H204*'参数'!$B$7,"n.a.")</x:f>
        <x:v>0</x:v>
      </x:c>
      <x:c r="W204" s="28" t="n">
        <x:f>IF(F204="有效",IF(D204&gt;=3,G204*'参数'!$B$7/'参数'!$B$8,0),"n.a.")</x:f>
        <x:v>0</x:v>
      </x:c>
      <x:c r="X204" s="28" t="n">
        <x:f>IF(F204="有效",U204+W204,"n.a.")</x:f>
        <x:v>3111.322919631667</x:v>
      </x:c>
      <x:c r="Y204" s="28" t="n">
        <x:f>IF(F204="有效",X204/G204,"n.a.")</x:f>
        <x:v>13.646153156279242</x:v>
      </x:c>
    </x:row>
    <x:row r="205" ht="22" customHeight="1">
      <x:c r="A205" s="11" t="str">
        <x:v>lade_0826_30aoi</x:v>
      </x:c>
      <x:c r="B205" s="22" t="n">
        <x:v>30</x:v>
      </x:c>
      <x:c r="C205" s="22" t="n">
        <x:v>1</x:v>
      </x:c>
      <x:c r="D205" s="22" t="n">
        <x:v>1</x:v>
      </x:c>
      <x:c r="E205" s="22" t="n">
        <x:v>43</x:v>
      </x:c>
      <x:c r="F205" s="30" t="str">
        <x:v>有效</x:v>
      </x:c>
      <x:c r="G205" s="22" t="n">
        <x:v>228</x:v>
      </x:c>
      <x:c r="H205" s="22" t="n">
        <x:v>0</x:v>
      </x:c>
      <x:c r="I205" s="24" t="n">
        <x:v>59.477500000000006</x:v>
      </x:c>
      <x:c r="J205" s="24" t="n">
        <x:v>66.59490000000001</x:v>
      </x:c>
      <x:c r="K205" s="24" t="n">
        <x:v>60.63333333333333</x:v>
      </x:c>
      <x:c r="L205" s="24" t="n">
        <x:v>2024.05</x:v>
      </x:c>
      <x:c r="M205" s="10" t="n">
        <x:v>1</x:v>
      </x:c>
      <x:c r="N205" s="10" t="n">
        <x:v>6</x:v>
      </x:c>
      <x:c r="O205" s="28" t="n">
        <x:f>IF(F205="有效",I205*'参数'!$B$10+J205*'参数'!$B$11,"n.a.")</x:f>
        <x:v>113.72360842000002</x:v>
      </x:c>
      <x:c r="P205" s="28" t="n">
        <x:f>IF(F205="有效",K205*'参数'!$B$12+L205*'参数'!$B$13,"n.a.")</x:f>
        <x:v>1553.702384375</x:v>
      </x:c>
      <x:c r="Q205" s="28" t="n">
        <x:f>IF(F205="有效",M205*'参数'!$B$14+N205*'参数'!$B$15,"n.a.")</x:f>
        <x:v>460</x:v>
      </x:c>
      <x:c r="R205" s="28" t="n">
        <x:f>IF(F205="有效",IF(D205&lt;=2,G205*('参数'!$B$6+'参数'!$B$18),0),"n.a.")</x:f>
        <x:v>912</x:v>
      </x:c>
      <x:c r="S205" s="28" t="n">
        <x:f>IF(F205="有效",IF(D205&gt;=3,G205*'参数'!$B$16,0),"n.a.")</x:f>
        <x:v>0</x:v>
      </x:c>
      <x:c r="T205" s="28" t="n">
        <x:f>IF(F205="有效",IF(D205&gt;=3,G205*'参数'!$B$17,0),"n.a.")</x:f>
        <x:v>0</x:v>
      </x:c>
      <x:c r="U205" s="28" t="n">
        <x:f>IF(F205="有效",SUM(O205:T205),"n.a.")</x:f>
        <x:v>3039.425992795</x:v>
      </x:c>
      <x:c r="V205" s="28" t="n">
        <x:f>IF(F205="有效",H205*'参数'!$B$7,"n.a.")</x:f>
        <x:v>0</x:v>
      </x:c>
      <x:c r="W205" s="28" t="n">
        <x:f>IF(F205="有效",IF(D205&gt;=3,G205*'参数'!$B$7/'参数'!$B$8,0),"n.a.")</x:f>
        <x:v>0</x:v>
      </x:c>
      <x:c r="X205" s="28" t="n">
        <x:f>IF(F205="有效",U205+W205,"n.a.")</x:f>
        <x:v>3039.425992795</x:v>
      </x:c>
      <x:c r="Y205" s="28" t="n">
        <x:f>IF(F205="有效",X205/G205,"n.a.")</x:f>
        <x:v>13.330815757872807</x:v>
      </x:c>
    </x:row>
    <x:row r="206" ht="22" customHeight="1">
      <x:c r="A206" s="11" t="str">
        <x:v>lade_0826_30aoi</x:v>
      </x:c>
      <x:c r="B206" s="22" t="n">
        <x:v>30</x:v>
      </x:c>
      <x:c r="C206" s="22" t="n">
        <x:v>1</x:v>
      </x:c>
      <x:c r="D206" s="22" t="n">
        <x:v>1</x:v>
      </x:c>
      <x:c r="E206" s="22" t="n">
        <x:v>44</x:v>
      </x:c>
      <x:c r="F206" s="30" t="str">
        <x:v>有效</x:v>
      </x:c>
      <x:c r="G206" s="22" t="n">
        <x:v>228</x:v>
      </x:c>
      <x:c r="H206" s="22" t="n">
        <x:v>0</x:v>
      </x:c>
      <x:c r="I206" s="24" t="n">
        <x:v>59.477500000000006</x:v>
      </x:c>
      <x:c r="J206" s="24" t="n">
        <x:v>64.1234</x:v>
      </x:c>
      <x:c r="K206" s="24" t="n">
        <x:v>60.63333333333333</x:v>
      </x:c>
      <x:c r="L206" s="24" t="n">
        <x:v>2454.116666666667</x:v>
      </x:c>
      <x:c r="M206" s="10" t="n">
        <x:v>1</x:v>
      </x:c>
      <x:c r="N206" s="10" t="n">
        <x:v>6</x:v>
      </x:c>
      <x:c r="O206" s="28" t="n">
        <x:f>IF(F206="有效",I206*'参数'!$B$10+J206*'参数'!$B$11,"n.a.")</x:f>
        <x:v>111.49419184500002</x:v>
      </x:c>
      <x:c r="P206" s="28" t="n">
        <x:f>IF(F206="有效",K206*'参数'!$B$12+L206*'参数'!$B$13,"n.a.")</x:f>
        <x:v>1870.0074579861114</x:v>
      </x:c>
      <x:c r="Q206" s="28" t="n">
        <x:f>IF(F206="有效",M206*'参数'!$B$14+N206*'参数'!$B$15,"n.a.")</x:f>
        <x:v>460</x:v>
      </x:c>
      <x:c r="R206" s="28" t="n">
        <x:f>IF(F206="有效",IF(D206&lt;=2,G206*('参数'!$B$6+'参数'!$B$18),0),"n.a.")</x:f>
        <x:v>912</x:v>
      </x:c>
      <x:c r="S206" s="28" t="n">
        <x:f>IF(F206="有效",IF(D206&gt;=3,G206*'参数'!$B$16,0),"n.a.")</x:f>
        <x:v>0</x:v>
      </x:c>
      <x:c r="T206" s="28" t="n">
        <x:f>IF(F206="有效",IF(D206&gt;=3,G206*'参数'!$B$17,0),"n.a.")</x:f>
        <x:v>0</x:v>
      </x:c>
      <x:c r="U206" s="28" t="n">
        <x:f>IF(F206="有效",SUM(O206:T206),"n.a.")</x:f>
        <x:v>3353.5016498311115</x:v>
      </x:c>
      <x:c r="V206" s="28" t="n">
        <x:f>IF(F206="有效",H206*'参数'!$B$7,"n.a.")</x:f>
        <x:v>0</x:v>
      </x:c>
      <x:c r="W206" s="28" t="n">
        <x:f>IF(F206="有效",IF(D206&gt;=3,G206*'参数'!$B$7/'参数'!$B$8,0),"n.a.")</x:f>
        <x:v>0</x:v>
      </x:c>
      <x:c r="X206" s="28" t="n">
        <x:f>IF(F206="有效",U206+W206,"n.a.")</x:f>
        <x:v>3353.5016498311115</x:v>
      </x:c>
      <x:c r="Y206" s="28" t="n">
        <x:f>IF(F206="有效",X206/G206,"n.a.")</x:f>
        <x:v>14.7083405694347</x:v>
      </x:c>
    </x:row>
    <x:row r="207" ht="22" customHeight="1">
      <x:c r="A207" s="11" t="str">
        <x:v>lade_0826_30aoi</x:v>
      </x:c>
      <x:c r="B207" s="22" t="n">
        <x:v>30</x:v>
      </x:c>
      <x:c r="C207" s="22" t="n">
        <x:v>1</x:v>
      </x:c>
      <x:c r="D207" s="22" t="n">
        <x:v>2</x:v>
      </x:c>
      <x:c r="E207" s="22" t="n">
        <x:v>42</x:v>
      </x:c>
      <x:c r="F207" s="30" t="str">
        <x:v>有效</x:v>
      </x:c>
      <x:c r="G207" s="22" t="n">
        <x:v>228</x:v>
      </x:c>
      <x:c r="H207" s="22" t="n">
        <x:v>0</x:v>
      </x:c>
      <x:c r="I207" s="24" t="n">
        <x:v>59.477500000000006</x:v>
      </x:c>
      <x:c r="J207" s="24" t="n">
        <x:v>65.99360000000001</x:v>
      </x:c>
      <x:c r="K207" s="24" t="n">
        <x:v>60.63333333333333</x:v>
      </x:c>
      <x:c r="L207" s="24" t="n">
        <x:v>1771.7666666666667</x:v>
      </x:c>
      <x:c r="M207" s="10" t="n">
        <x:v>1</x:v>
      </x:c>
      <x:c r="N207" s="10" t="n">
        <x:v>6</x:v>
      </x:c>
      <x:c r="O207" s="28" t="n">
        <x:f>IF(F207="有效",I207*'参数'!$B$10+J207*'参数'!$B$11,"n.a.")</x:f>
        <x:v>113.18120575500002</x:v>
      </x:c>
      <x:c r="P207" s="28" t="n">
        <x:f>IF(F207="有效",K207*'参数'!$B$12+L207*'参数'!$B$13,"n.a.")</x:f>
        <x:v>1368.1532486111112</x:v>
      </x:c>
      <x:c r="Q207" s="28" t="n">
        <x:f>IF(F207="有效",M207*'参数'!$B$14+N207*'参数'!$B$15,"n.a.")</x:f>
        <x:v>460</x:v>
      </x:c>
      <x:c r="R207" s="28" t="n">
        <x:f>IF(F207="有效",IF(D207&lt;=2,G207*('参数'!$B$6+'参数'!$B$18),0),"n.a.")</x:f>
        <x:v>912</x:v>
      </x:c>
      <x:c r="S207" s="28" t="n">
        <x:f>IF(F207="有效",IF(D207&gt;=3,G207*'参数'!$B$16,0),"n.a.")</x:f>
        <x:v>0</x:v>
      </x:c>
      <x:c r="T207" s="28" t="n">
        <x:f>IF(F207="有效",IF(D207&gt;=3,G207*'参数'!$B$17,0),"n.a.")</x:f>
        <x:v>0</x:v>
      </x:c>
      <x:c r="U207" s="28" t="n">
        <x:f>IF(F207="有效",SUM(O207:T207),"n.a.")</x:f>
        <x:v>2853.3344543661115</x:v>
      </x:c>
      <x:c r="V207" s="28" t="n">
        <x:f>IF(F207="有效",H207*'参数'!$B$7,"n.a.")</x:f>
        <x:v>0</x:v>
      </x:c>
      <x:c r="W207" s="28" t="n">
        <x:f>IF(F207="有效",IF(D207&gt;=3,G207*'参数'!$B$7/'参数'!$B$8,0),"n.a.")</x:f>
        <x:v>0</x:v>
      </x:c>
      <x:c r="X207" s="28" t="n">
        <x:f>IF(F207="有效",U207+W207,"n.a.")</x:f>
        <x:v>2853.3344543661115</x:v>
      </x:c>
      <x:c r="Y207" s="28" t="n">
        <x:f>IF(F207="有效",X207/G207,"n.a.")</x:f>
        <x:v>12.514624799851367</x:v>
      </x:c>
    </x:row>
    <x:row r="208" ht="22" customHeight="1">
      <x:c r="A208" s="11" t="str">
        <x:v>lade_0826_30aoi</x:v>
      </x:c>
      <x:c r="B208" s="22" t="n">
        <x:v>30</x:v>
      </x:c>
      <x:c r="C208" s="22" t="n">
        <x:v>1</x:v>
      </x:c>
      <x:c r="D208" s="22" t="n">
        <x:v>2</x:v>
      </x:c>
      <x:c r="E208" s="22" t="n">
        <x:v>43</x:v>
      </x:c>
      <x:c r="F208" s="30" t="str">
        <x:v>有效</x:v>
      </x:c>
      <x:c r="G208" s="22" t="n">
        <x:v>228</x:v>
      </x:c>
      <x:c r="H208" s="22" t="n">
        <x:v>0</x:v>
      </x:c>
      <x:c r="I208" s="24" t="n">
        <x:v>59.477500000000006</x:v>
      </x:c>
      <x:c r="J208" s="24" t="n">
        <x:v>64.50750000000001</x:v>
      </x:c>
      <x:c r="K208" s="24" t="n">
        <x:v>60.63333333333333</x:v>
      </x:c>
      <x:c r="L208" s="24" t="n">
        <x:v>2225.9333333333334</x:v>
      </x:c>
      <x:c r="M208" s="10" t="n">
        <x:v>1</x:v>
      </x:c>
      <x:c r="N208" s="10" t="n">
        <x:v>6</x:v>
      </x:c>
      <x:c r="O208" s="28" t="n">
        <x:f>IF(F208="有效",I208*'参数'!$B$10+J208*'参数'!$B$11,"n.a.")</x:f>
        <x:v>111.84066925000002</x:v>
      </x:c>
      <x:c r="P208" s="28" t="n">
        <x:f>IF(F208="有效",K208*'参数'!$B$12+L208*'参数'!$B$13,"n.a.")</x:f>
        <x:v>1702.1833701388891</x:v>
      </x:c>
      <x:c r="Q208" s="28" t="n">
        <x:f>IF(F208="有效",M208*'参数'!$B$14+N208*'参数'!$B$15,"n.a.")</x:f>
        <x:v>460</x:v>
      </x:c>
      <x:c r="R208" s="28" t="n">
        <x:f>IF(F208="有效",IF(D208&lt;=2,G208*('参数'!$B$6+'参数'!$B$18),0),"n.a.")</x:f>
        <x:v>912</x:v>
      </x:c>
      <x:c r="S208" s="28" t="n">
        <x:f>IF(F208="有效",IF(D208&gt;=3,G208*'参数'!$B$16,0),"n.a.")</x:f>
        <x:v>0</x:v>
      </x:c>
      <x:c r="T208" s="28" t="n">
        <x:f>IF(F208="有效",IF(D208&gt;=3,G208*'参数'!$B$17,0),"n.a.")</x:f>
        <x:v>0</x:v>
      </x:c>
      <x:c r="U208" s="28" t="n">
        <x:f>IF(F208="有效",SUM(O208:T208),"n.a.")</x:f>
        <x:v>3186.024039388889</x:v>
      </x:c>
      <x:c r="V208" s="28" t="n">
        <x:f>IF(F208="有效",H208*'参数'!$B$7,"n.a.")</x:f>
        <x:v>0</x:v>
      </x:c>
      <x:c r="W208" s="28" t="n">
        <x:f>IF(F208="有效",IF(D208&gt;=3,G208*'参数'!$B$7/'参数'!$B$8,0),"n.a.")</x:f>
        <x:v>0</x:v>
      </x:c>
      <x:c r="X208" s="28" t="n">
        <x:f>IF(F208="有效",U208+W208,"n.a.")</x:f>
        <x:v>3186.024039388889</x:v>
      </x:c>
      <x:c r="Y208" s="28" t="n">
        <x:f>IF(F208="有效",X208/G208,"n.a.")</x:f>
        <x:v>13.973789646442496</x:v>
      </x:c>
    </x:row>
    <x:row r="209" ht="22" customHeight="1">
      <x:c r="A209" s="11" t="str">
        <x:v>lade_0826_30aoi</x:v>
      </x:c>
      <x:c r="B209" s="22" t="n">
        <x:v>30</x:v>
      </x:c>
      <x:c r="C209" s="22" t="n">
        <x:v>1</x:v>
      </x:c>
      <x:c r="D209" s="22" t="n">
        <x:v>2</x:v>
      </x:c>
      <x:c r="E209" s="22" t="n">
        <x:v>44</x:v>
      </x:c>
      <x:c r="F209" s="30" t="str">
        <x:v>有效</x:v>
      </x:c>
      <x:c r="G209" s="22" t="n">
        <x:v>228</x:v>
      </x:c>
      <x:c r="H209" s="22" t="n">
        <x:v>0</x:v>
      </x:c>
      <x:c r="I209" s="24" t="n">
        <x:v>59.477500000000006</x:v>
      </x:c>
      <x:c r="J209" s="24" t="n">
        <x:v>64.1684</x:v>
      </x:c>
      <x:c r="K209" s="24" t="n">
        <x:v>60.63333333333333</x:v>
      </x:c>
      <x:c r="L209" s="24" t="n">
        <x:v>2225.9333333333334</x:v>
      </x:c>
      <x:c r="M209" s="10" t="n">
        <x:v>1</x:v>
      </x:c>
      <x:c r="N209" s="10" t="n">
        <x:v>6</x:v>
      </x:c>
      <x:c r="O209" s="28" t="n">
        <x:f>IF(F209="有效",I209*'参数'!$B$10+J209*'参数'!$B$11,"n.a.")</x:f>
        <x:v>111.53478409500002</x:v>
      </x:c>
      <x:c r="P209" s="28" t="n">
        <x:f>IF(F209="有效",K209*'参数'!$B$12+L209*'参数'!$B$13,"n.a.")</x:f>
        <x:v>1702.1833701388891</x:v>
      </x:c>
      <x:c r="Q209" s="28" t="n">
        <x:f>IF(F209="有效",M209*'参数'!$B$14+N209*'参数'!$B$15,"n.a.")</x:f>
        <x:v>460</x:v>
      </x:c>
      <x:c r="R209" s="28" t="n">
        <x:f>IF(F209="有效",IF(D209&lt;=2,G209*('参数'!$B$6+'参数'!$B$18),0),"n.a.")</x:f>
        <x:v>912</x:v>
      </x:c>
      <x:c r="S209" s="28" t="n">
        <x:f>IF(F209="有效",IF(D209&gt;=3,G209*'参数'!$B$16,0),"n.a.")</x:f>
        <x:v>0</x:v>
      </x:c>
      <x:c r="T209" s="28" t="n">
        <x:f>IF(F209="有效",IF(D209&gt;=3,G209*'参数'!$B$17,0),"n.a.")</x:f>
        <x:v>0</x:v>
      </x:c>
      <x:c r="U209" s="28" t="n">
        <x:f>IF(F209="有效",SUM(O209:T209),"n.a.")</x:f>
        <x:v>3185.7181542338894</x:v>
      </x:c>
      <x:c r="V209" s="28" t="n">
        <x:f>IF(F209="有效",H209*'参数'!$B$7,"n.a.")</x:f>
        <x:v>0</x:v>
      </x:c>
      <x:c r="W209" s="28" t="n">
        <x:f>IF(F209="有效",IF(D209&gt;=3,G209*'参数'!$B$7/'参数'!$B$8,0),"n.a.")</x:f>
        <x:v>0</x:v>
      </x:c>
      <x:c r="X209" s="28" t="n">
        <x:f>IF(F209="有效",U209+W209,"n.a.")</x:f>
        <x:v>3185.7181542338894</x:v>
      </x:c>
      <x:c r="Y209" s="28" t="n">
        <x:f>IF(F209="有效",X209/G209,"n.a.")</x:f>
        <x:v>13.97244804488548</x:v>
      </x:c>
    </x:row>
    <x:row r="210" ht="22" customHeight="1">
      <x:c r="A210" s="11" t="str">
        <x:v>lade_0826_30aoi</x:v>
      </x:c>
      <x:c r="B210" s="22" t="n">
        <x:v>30</x:v>
      </x:c>
      <x:c r="C210" s="22" t="n">
        <x:v>1</x:v>
      </x:c>
      <x:c r="D210" s="22" t="n">
        <x:v>3</x:v>
      </x:c>
      <x:c r="E210" s="22" t="n">
        <x:v>42</x:v>
      </x:c>
      <x:c r="F210" s="30" t="str">
        <x:v>有效</x:v>
      </x:c>
      <x:c r="G210" s="22" t="n">
        <x:v>228</x:v>
      </x:c>
      <x:c r="H210" s="22" t="n">
        <x:v>228</x:v>
      </x:c>
      <x:c r="I210" s="24" t="n">
        <x:v>63.013999999999996</x:v>
      </x:c>
      <x:c r="J210" s="24" t="n">
        <x:v>80.21940000000002</x:v>
      </x:c>
      <x:c r="K210" s="24" t="n">
        <x:v>738.65</x:v>
      </x:c>
      <x:c r="L210" s="24" t="n">
        <x:v>2606.8</x:v>
      </x:c>
      <x:c r="M210" s="10" t="n">
        <x:v>1</x:v>
      </x:c>
      <x:c r="N210" s="10" t="n">
        <x:v>6</x:v>
      </x:c>
      <x:c r="O210" s="28" t="n">
        <x:f>IF(F210="有效",I210*'参数'!$B$10+J210*'参数'!$B$11,"n.a.")</x:f>
        <x:v>129.20368847000003</x:v>
      </x:c>
      <x:c r="P210" s="28" t="n">
        <x:f>IF(F210="有效",K210*'参数'!$B$12+L210*'参数'!$B$13,"n.a.")</x:f>
        <x:v>2709.7723760416666</x:v>
      </x:c>
      <x:c r="Q210" s="28" t="n">
        <x:f>IF(F210="有效",M210*'参数'!$B$14+N210*'参数'!$B$15,"n.a.")</x:f>
        <x:v>460</x:v>
      </x:c>
      <x:c r="R210" s="28" t="n">
        <x:f>IF(F210="有效",IF(D210&lt;=2,G210*('参数'!$B$6+'参数'!$B$18),0),"n.a.")</x:f>
        <x:v>0</x:v>
      </x:c>
      <x:c r="S210" s="28" t="n">
        <x:f>IF(F210="有效",IF(D210&gt;=3,G210*'参数'!$B$16,0),"n.a.")</x:f>
        <x:v>182.4</x:v>
      </x:c>
      <x:c r="T210" s="28" t="n">
        <x:f>IF(F210="有效",IF(D210&gt;=3,G210*'参数'!$B$17,0),"n.a.")</x:f>
        <x:v>22.8</x:v>
      </x:c>
      <x:c r="U210" s="28" t="n">
        <x:f>IF(F210="有效",SUM(O210:T210),"n.a.")</x:f>
        <x:v>3504.176064511667</x:v>
      </x:c>
      <x:c r="V210" s="28" t="n">
        <x:f>IF(F210="有效",H210*'参数'!$B$7,"n.a.")</x:f>
        <x:v>8322</x:v>
      </x:c>
      <x:c r="W210" s="28" t="n">
        <x:f>IF(F210="有效",IF(D210&gt;=3,G210*'参数'!$B$7/'参数'!$B$8,0),"n.a.")</x:f>
        <x:v>166.44</x:v>
      </x:c>
      <x:c r="X210" s="28" t="n">
        <x:f>IF(F210="有效",U210+W210,"n.a.")</x:f>
        <x:v>3670.616064511667</x:v>
      </x:c>
      <x:c r="Y210" s="28" t="n">
        <x:f>IF(F210="有效",X210/G210,"n.a.")</x:f>
        <x:v>16.099193265402047</x:v>
      </x:c>
    </x:row>
    <x:row r="211" ht="22" customHeight="1">
      <x:c r="A211" s="11" t="str">
        <x:v>lade_0826_30aoi</x:v>
      </x:c>
      <x:c r="B211" s="22" t="n">
        <x:v>30</x:v>
      </x:c>
      <x:c r="C211" s="22" t="n">
        <x:v>1</x:v>
      </x:c>
      <x:c r="D211" s="22" t="n">
        <x:v>3</x:v>
      </x:c>
      <x:c r="E211" s="22" t="n">
        <x:v>43</x:v>
      </x:c>
      <x:c r="F211" s="30" t="str">
        <x:v>有效</x:v>
      </x:c>
      <x:c r="G211" s="22" t="n">
        <x:v>228</x:v>
      </x:c>
      <x:c r="H211" s="22" t="n">
        <x:v>228</x:v>
      </x:c>
      <x:c r="I211" s="24" t="n">
        <x:v>108.236</x:v>
      </x:c>
      <x:c r="J211" s="24" t="n">
        <x:v>82.60190000000003</x:v>
      </x:c>
      <x:c r="K211" s="24" t="n">
        <x:v>1465.4666666666667</x:v>
      </x:c>
      <x:c r="L211" s="24" t="n">
        <x:v>2800.0333333333333</x:v>
      </x:c>
      <x:c r="M211" s="10" t="n">
        <x:v>2</x:v>
      </x:c>
      <x:c r="N211" s="10" t="n">
        <x:v>6</x:v>
      </x:c>
      <x:c r="O211" s="28" t="n">
        <x:f>IF(F211="有效",I211*'参数'!$B$10+J211*'参数'!$B$11,"n.a.")</x:f>
        <x:v>172.14532769500005</x:v>
      </x:c>
      <x:c r="P211" s="28" t="n">
        <x:f>IF(F211="有效",K211*'参数'!$B$12+L211*'参数'!$B$13,"n.a.")</x:f>
        <x:v>3631.7203243055556</x:v>
      </x:c>
      <x:c r="Q211" s="28" t="n">
        <x:f>IF(F211="有效",M211*'参数'!$B$14+N211*'参数'!$B$15,"n.a.")</x:f>
        <x:v>560</x:v>
      </x:c>
      <x:c r="R211" s="28" t="n">
        <x:f>IF(F211="有效",IF(D211&lt;=2,G211*('参数'!$B$6+'参数'!$B$18),0),"n.a.")</x:f>
        <x:v>0</x:v>
      </x:c>
      <x:c r="S211" s="28" t="n">
        <x:f>IF(F211="有效",IF(D211&gt;=3,G211*'参数'!$B$16,0),"n.a.")</x:f>
        <x:v>182.4</x:v>
      </x:c>
      <x:c r="T211" s="28" t="n">
        <x:f>IF(F211="有效",IF(D211&gt;=3,G211*'参数'!$B$17,0),"n.a.")</x:f>
        <x:v>22.8</x:v>
      </x:c>
      <x:c r="U211" s="28" t="n">
        <x:f>IF(F211="有效",SUM(O211:T211),"n.a.")</x:f>
        <x:v>4569.065652000555</x:v>
      </x:c>
      <x:c r="V211" s="28" t="n">
        <x:f>IF(F211="有效",H211*'参数'!$B$7,"n.a.")</x:f>
        <x:v>8322</x:v>
      </x:c>
      <x:c r="W211" s="28" t="n">
        <x:f>IF(F211="有效",IF(D211&gt;=3,G211*'参数'!$B$7/'参数'!$B$8,0),"n.a.")</x:f>
        <x:v>166.44</x:v>
      </x:c>
      <x:c r="X211" s="28" t="n">
        <x:f>IF(F211="有效",U211+W211,"n.a.")</x:f>
        <x:v>4735.505652000555</x:v>
      </x:c>
      <x:c r="Y211" s="28" t="n">
        <x:f>IF(F211="有效",X211/G211,"n.a.")</x:f>
        <x:v>20.76976163158138</x:v>
      </x:c>
    </x:row>
    <x:row r="212" ht="22" customHeight="1">
      <x:c r="A212" s="11" t="str">
        <x:v>lade_0826_30aoi</x:v>
      </x:c>
      <x:c r="B212" s="22" t="n">
        <x:v>30</x:v>
      </x:c>
      <x:c r="C212" s="22" t="n">
        <x:v>1</x:v>
      </x:c>
      <x:c r="D212" s="22" t="n">
        <x:v>3</x:v>
      </x:c>
      <x:c r="E212" s="22" t="n">
        <x:v>44</x:v>
      </x:c>
      <x:c r="F212" s="30" t="str">
        <x:v>有效</x:v>
      </x:c>
      <x:c r="G212" s="22" t="n">
        <x:v>228</x:v>
      </x:c>
      <x:c r="H212" s="22" t="n">
        <x:v>228</x:v>
      </x:c>
      <x:c r="I212" s="24" t="n">
        <x:v>107.90650000000001</x:v>
      </x:c>
      <x:c r="J212" s="24" t="n">
        <x:v>81.38059999999999</x:v>
      </x:c>
      <x:c r="K212" s="24" t="n">
        <x:v>1462.8</x:v>
      </x:c>
      <x:c r="L212" s="24" t="n">
        <x:v>2592.516666666667</x:v>
      </x:c>
      <x:c r="M212" s="10" t="n">
        <x:v>2</x:v>
      </x:c>
      <x:c r="N212" s="10" t="n">
        <x:v>6</x:v>
      </x:c>
      <x:c r="O212" s="28" t="n">
        <x:f>IF(F212="有效",I212*'参数'!$B$10+J212*'参数'!$B$11,"n.a.")</x:f>
        <x:v>170.74642855500002</x:v>
      </x:c>
      <x:c r="P212" s="28" t="n">
        <x:f>IF(F212="有效",K212*'参数'!$B$12+L212*'参数'!$B$13,"n.a.")</x:f>
        <x:v>3476.2349725694444</x:v>
      </x:c>
      <x:c r="Q212" s="28" t="n">
        <x:f>IF(F212="有效",M212*'参数'!$B$14+N212*'参数'!$B$15,"n.a.")</x:f>
        <x:v>560</x:v>
      </x:c>
      <x:c r="R212" s="28" t="n">
        <x:f>IF(F212="有效",IF(D212&lt;=2,G212*('参数'!$B$6+'参数'!$B$18),0),"n.a.")</x:f>
        <x:v>0</x:v>
      </x:c>
      <x:c r="S212" s="28" t="n">
        <x:f>IF(F212="有效",IF(D212&gt;=3,G212*'参数'!$B$16,0),"n.a.")</x:f>
        <x:v>182.4</x:v>
      </x:c>
      <x:c r="T212" s="28" t="n">
        <x:f>IF(F212="有效",IF(D212&gt;=3,G212*'参数'!$B$17,0),"n.a.")</x:f>
        <x:v>22.8</x:v>
      </x:c>
      <x:c r="U212" s="28" t="n">
        <x:f>IF(F212="有效",SUM(O212:T212),"n.a.")</x:f>
        <x:v>4412.181401124444</x:v>
      </x:c>
      <x:c r="V212" s="28" t="n">
        <x:f>IF(F212="有效",H212*'参数'!$B$7,"n.a.")</x:f>
        <x:v>8322</x:v>
      </x:c>
      <x:c r="W212" s="28" t="n">
        <x:f>IF(F212="有效",IF(D212&gt;=3,G212*'参数'!$B$7/'参数'!$B$8,0),"n.a.")</x:f>
        <x:v>166.44</x:v>
      </x:c>
      <x:c r="X212" s="28" t="n">
        <x:f>IF(F212="有效",U212+W212,"n.a.")</x:f>
        <x:v>4578.621401124444</x:v>
      </x:c>
      <x:c r="Y212" s="28" t="n">
        <x:f>IF(F212="有效",X212/G212,"n.a.")</x:f>
        <x:v>20.081672811949314</x:v>
      </x:c>
    </x:row>
    <x:row r="213" ht="22" customHeight="1">
      <x:c r="A213" s="11" t="str">
        <x:v>lade_0826_30aoi</x:v>
      </x:c>
      <x:c r="B213" s="22" t="n">
        <x:v>30</x:v>
      </x:c>
      <x:c r="C213" s="22" t="n">
        <x:v>1</x:v>
      </x:c>
      <x:c r="D213" s="22" t="n">
        <x:v>4</x:v>
      </x:c>
      <x:c r="E213" s="22" t="n">
        <x:v>42</x:v>
      </x:c>
      <x:c r="F213" s="30" t="str">
        <x:v>有效</x:v>
      </x:c>
      <x:c r="G213" s="22" t="n">
        <x:v>228</x:v>
      </x:c>
      <x:c r="H213" s="22" t="n">
        <x:v>228</x:v>
      </x:c>
      <x:c r="I213" s="24" t="n">
        <x:v>63.013999999999996</x:v>
      </x:c>
      <x:c r="J213" s="24" t="n">
        <x:v>80.1127</x:v>
      </x:c>
      <x:c r="K213" s="24" t="n">
        <x:v>738.65</x:v>
      </x:c>
      <x:c r="L213" s="24" t="n">
        <x:v>2819.383333333333</x:v>
      </x:c>
      <x:c r="M213" s="10" t="n">
        <x:v>1</x:v>
      </x:c>
      <x:c r="N213" s="10" t="n">
        <x:v>6</x:v>
      </x:c>
      <x:c r="O213" s="28" t="n">
        <x:f>IF(F213="有效",I213*'参数'!$B$10+J213*'参数'!$B$11,"n.a.")</x:f>
        <x:v>129.107439735</x:v>
      </x:c>
      <x:c r="P213" s="28" t="n">
        <x:f>IF(F213="有效",K213*'参数'!$B$12+L213*'参数'!$B$13,"n.a.")</x:f>
        <x:v>2866.122988888889</x:v>
      </x:c>
      <x:c r="Q213" s="28" t="n">
        <x:f>IF(F213="有效",M213*'参数'!$B$14+N213*'参数'!$B$15,"n.a.")</x:f>
        <x:v>460</x:v>
      </x:c>
      <x:c r="R213" s="28" t="n">
        <x:f>IF(F213="有效",IF(D213&lt;=2,G213*('参数'!$B$6+'参数'!$B$18),0),"n.a.")</x:f>
        <x:v>0</x:v>
      </x:c>
      <x:c r="S213" s="28" t="n">
        <x:f>IF(F213="有效",IF(D213&gt;=3,G213*'参数'!$B$16,0),"n.a.")</x:f>
        <x:v>182.4</x:v>
      </x:c>
      <x:c r="T213" s="28" t="n">
        <x:f>IF(F213="有效",IF(D213&gt;=3,G213*'参数'!$B$17,0),"n.a.")</x:f>
        <x:v>22.8</x:v>
      </x:c>
      <x:c r="U213" s="28" t="n">
        <x:f>IF(F213="有效",SUM(O213:T213),"n.a.")</x:f>
        <x:v>3660.430428623889</x:v>
      </x:c>
      <x:c r="V213" s="28" t="n">
        <x:f>IF(F213="有效",H213*'参数'!$B$7,"n.a.")</x:f>
        <x:v>8322</x:v>
      </x:c>
      <x:c r="W213" s="28" t="n">
        <x:f>IF(F213="有效",IF(D213&gt;=3,G213*'参数'!$B$7/'参数'!$B$8,0),"n.a.")</x:f>
        <x:v>166.44</x:v>
      </x:c>
      <x:c r="X213" s="28" t="n">
        <x:f>IF(F213="有效",U213+W213,"n.a.")</x:f>
        <x:v>3826.870428623889</x:v>
      </x:c>
      <x:c r="Y213" s="28" t="n">
        <x:f>IF(F213="有效",X213/G213,"n.a.")</x:f>
        <x:v>16.784519423788986</x:v>
      </x:c>
    </x:row>
    <x:row r="214" ht="22" customHeight="1">
      <x:c r="A214" s="11" t="str">
        <x:v>lade_0826_30aoi</x:v>
      </x:c>
      <x:c r="B214" s="22" t="n">
        <x:v>30</x:v>
      </x:c>
      <x:c r="C214" s="22" t="n">
        <x:v>1</x:v>
      </x:c>
      <x:c r="D214" s="22" t="n">
        <x:v>4</x:v>
      </x:c>
      <x:c r="E214" s="22" t="n">
        <x:v>43</x:v>
      </x:c>
      <x:c r="F214" s="30" t="str">
        <x:v>有效</x:v>
      </x:c>
      <x:c r="G214" s="22" t="n">
        <x:v>228</x:v>
      </x:c>
      <x:c r="H214" s="22" t="n">
        <x:v>228</x:v>
      </x:c>
      <x:c r="I214" s="24" t="n">
        <x:v>63.013999999999996</x:v>
      </x:c>
      <x:c r="J214" s="24" t="n">
        <x:v>79.94330000000002</x:v>
      </x:c>
      <x:c r="K214" s="24" t="n">
        <x:v>738.65</x:v>
      </x:c>
      <x:c r="L214" s="24" t="n">
        <x:v>2828.95</x:v>
      </x:c>
      <x:c r="M214" s="10" t="n">
        <x:v>1</x:v>
      </x:c>
      <x:c r="N214" s="10" t="n">
        <x:v>6</x:v>
      </x:c>
      <x:c r="O214" s="28" t="n">
        <x:f>IF(F214="有效",I214*'参数'!$B$10+J214*'参数'!$B$11,"n.a.")</x:f>
        <x:v>128.95463246500003</x:v>
      </x:c>
      <x:c r="P214" s="28" t="n">
        <x:f>IF(F214="有效",K214*'参数'!$B$12+L214*'参数'!$B$13,"n.a.")</x:f>
        <x:v>2873.1590729166664</x:v>
      </x:c>
      <x:c r="Q214" s="28" t="n">
        <x:f>IF(F214="有效",M214*'参数'!$B$14+N214*'参数'!$B$15,"n.a.")</x:f>
        <x:v>460</x:v>
      </x:c>
      <x:c r="R214" s="28" t="n">
        <x:f>IF(F214="有效",IF(D214&lt;=2,G214*('参数'!$B$6+'参数'!$B$18),0),"n.a.")</x:f>
        <x:v>0</x:v>
      </x:c>
      <x:c r="S214" s="28" t="n">
        <x:f>IF(F214="有效",IF(D214&gt;=3,G214*'参数'!$B$16,0),"n.a.")</x:f>
        <x:v>182.4</x:v>
      </x:c>
      <x:c r="T214" s="28" t="n">
        <x:f>IF(F214="有效",IF(D214&gt;=3,G214*'参数'!$B$17,0),"n.a.")</x:f>
        <x:v>22.8</x:v>
      </x:c>
      <x:c r="U214" s="28" t="n">
        <x:f>IF(F214="有效",SUM(O214:T214),"n.a.")</x:f>
        <x:v>3667.3137053816668</x:v>
      </x:c>
      <x:c r="V214" s="28" t="n">
        <x:f>IF(F214="有效",H214*'参数'!$B$7,"n.a.")</x:f>
        <x:v>8322</x:v>
      </x:c>
      <x:c r="W214" s="28" t="n">
        <x:f>IF(F214="有效",IF(D214&gt;=3,G214*'参数'!$B$7/'参数'!$B$8,0),"n.a.")</x:f>
        <x:v>166.44</x:v>
      </x:c>
      <x:c r="X214" s="28" t="n">
        <x:f>IF(F214="有效",U214+W214,"n.a.")</x:f>
        <x:v>3833.753705381667</x:v>
      </x:c>
      <x:c r="Y214" s="28" t="n">
        <x:f>IF(F214="有效",X214/G214,"n.a.")</x:f>
        <x:v>16.814709234130117</x:v>
      </x:c>
    </x:row>
    <x:row r="215" ht="22" customHeight="1">
      <x:c r="A215" s="11" t="str">
        <x:v>lade_0826_30aoi</x:v>
      </x:c>
      <x:c r="B215" s="22" t="n">
        <x:v>30</x:v>
      </x:c>
      <x:c r="C215" s="22" t="n">
        <x:v>1</x:v>
      </x:c>
      <x:c r="D215" s="22" t="n">
        <x:v>4</x:v>
      </x:c>
      <x:c r="E215" s="22" t="n">
        <x:v>44</x:v>
      </x:c>
      <x:c r="F215" s="30" t="str">
        <x:v>有效</x:v>
      </x:c>
      <x:c r="G215" s="22" t="n">
        <x:v>228</x:v>
      </x:c>
      <x:c r="H215" s="22" t="n">
        <x:v>228</x:v>
      </x:c>
      <x:c r="I215" s="24" t="n">
        <x:v>108.23600000000002</x:v>
      </x:c>
      <x:c r="J215" s="24" t="n">
        <x:v>86.5728</x:v>
      </x:c>
      <x:c r="K215" s="24" t="n">
        <x:v>1465.4666666666667</x:v>
      </x:c>
      <x:c r="L215" s="24" t="n">
        <x:v>2834.8166666666666</x:v>
      </x:c>
      <x:c r="M215" s="10" t="n">
        <x:v>2</x:v>
      </x:c>
      <x:c r="N215" s="10" t="n">
        <x:v>6</x:v>
      </x:c>
      <x:c r="O215" s="28" t="n">
        <x:f>IF(F215="有效",I215*'参数'!$B$10+J215*'参数'!$B$11,"n.a.")</x:f>
        <x:v>175.72727804000002</x:v>
      </x:c>
      <x:c r="P215" s="28" t="n">
        <x:f>IF(F215="有效",K215*'参数'!$B$12+L215*'参数'!$B$13,"n.a.")</x:f>
        <x:v>3657.302741319444</x:v>
      </x:c>
      <x:c r="Q215" s="28" t="n">
        <x:f>IF(F215="有效",M215*'参数'!$B$14+N215*'参数'!$B$15,"n.a.")</x:f>
        <x:v>560</x:v>
      </x:c>
      <x:c r="R215" s="28" t="n">
        <x:f>IF(F215="有效",IF(D215&lt;=2,G215*('参数'!$B$6+'参数'!$B$18),0),"n.a.")</x:f>
        <x:v>0</x:v>
      </x:c>
      <x:c r="S215" s="28" t="n">
        <x:f>IF(F215="有效",IF(D215&gt;=3,G215*'参数'!$B$16,0),"n.a.")</x:f>
        <x:v>182.4</x:v>
      </x:c>
      <x:c r="T215" s="28" t="n">
        <x:f>IF(F215="有效",IF(D215&gt;=3,G215*'参数'!$B$17,0),"n.a.")</x:f>
        <x:v>22.8</x:v>
      </x:c>
      <x:c r="U215" s="28" t="n">
        <x:f>IF(F215="有效",SUM(O215:T215),"n.a.")</x:f>
        <x:v>4598.230019359444</x:v>
      </x:c>
      <x:c r="V215" s="28" t="n">
        <x:f>IF(F215="有效",H215*'参数'!$B$7,"n.a.")</x:f>
        <x:v>8322</x:v>
      </x:c>
      <x:c r="W215" s="28" t="n">
        <x:f>IF(F215="有效",IF(D215&gt;=3,G215*'参数'!$B$7/'参数'!$B$8,0),"n.a.")</x:f>
        <x:v>166.44</x:v>
      </x:c>
      <x:c r="X215" s="28" t="n">
        <x:f>IF(F215="有效",U215+W215,"n.a.")</x:f>
        <x:v>4764.670019359443</x:v>
      </x:c>
      <x:c r="Y215" s="28" t="n">
        <x:f>IF(F215="有效",X215/G215,"n.a.")</x:f>
        <x:v>20.89767552350633</x:v>
      </x:c>
    </x:row>
    <x:row r="216" ht="22" customHeight="1">
      <x:c r="A216" s="11" t="str">
        <x:v>lade_0826_30aoi</x:v>
      </x:c>
      <x:c r="B216" s="22" t="n">
        <x:v>30</x:v>
      </x:c>
      <x:c r="C216" s="22" t="n">
        <x:v>2</x:v>
      </x:c>
      <x:c r="D216" s="22" t="n">
        <x:v>5</x:v>
      </x:c>
      <x:c r="E216" s="22" t="n">
        <x:v>42</x:v>
      </x:c>
      <x:c r="F216" s="30" t="str">
        <x:v>有效</x:v>
      </x:c>
      <x:c r="G216" s="22" t="n">
        <x:v>228</x:v>
      </x:c>
      <x:c r="H216" s="22" t="n">
        <x:v>228</x:v>
      </x:c>
      <x:c r="I216" s="24" t="n">
        <x:v>215.1747</x:v>
      </x:c>
      <x:c r="J216" s="24" t="n">
        <x:v>86.03410000000001</x:v>
      </x:c>
      <x:c r="K216" s="24" t="n">
        <x:v>1201.3166666666666</x:v>
      </x:c>
      <x:c r="L216" s="24" t="n">
        <x:v>2439.4666666666667</x:v>
      </x:c>
      <x:c r="M216" s="10" t="n">
        <x:v>3</x:v>
      </x:c>
      <x:c r="N216" s="10" t="n">
        <x:v>6</x:v>
      </x:c>
      <x:c r="O216" s="28" t="n">
        <x:f>IF(F216="有效",I216*'参数'!$B$10+J216*'参数'!$B$11,"n.a.")</x:f>
        <x:v>271.70539804000003</x:v>
      </x:c>
      <x:c r="P216" s="28" t="n">
        <x:f>IF(F216="有效",K216*'参数'!$B$12+L216*'参数'!$B$13,"n.a.")</x:f>
        <x:v>3083.1146121527777</x:v>
      </x:c>
      <x:c r="Q216" s="28" t="n">
        <x:f>IF(F216="有效",M216*'参数'!$B$14+N216*'参数'!$B$15,"n.a.")</x:f>
        <x:v>660</x:v>
      </x:c>
      <x:c r="R216" s="28" t="n">
        <x:f>IF(F216="有效",IF(D216&lt;=2,G216*('参数'!$B$6+'参数'!$B$18),0),"n.a.")</x:f>
        <x:v>0</x:v>
      </x:c>
      <x:c r="S216" s="28" t="n">
        <x:f>IF(F216="有效",IF(D216&gt;=3,G216*'参数'!$B$16,0),"n.a.")</x:f>
        <x:v>182.4</x:v>
      </x:c>
      <x:c r="T216" s="28" t="n">
        <x:f>IF(F216="有效",IF(D216&gt;=3,G216*'参数'!$B$17,0),"n.a.")</x:f>
        <x:v>22.8</x:v>
      </x:c>
      <x:c r="U216" s="28" t="n">
        <x:f>IF(F216="有效",SUM(O216:T216),"n.a.")</x:f>
        <x:v>4220.020010192778</x:v>
      </x:c>
      <x:c r="V216" s="28" t="n">
        <x:f>IF(F216="有效",H216*'参数'!$B$7,"n.a.")</x:f>
        <x:v>8322</x:v>
      </x:c>
      <x:c r="W216" s="28" t="n">
        <x:f>IF(F216="有效",IF(D216&gt;=3,G216*'参数'!$B$7/'参数'!$B$8,0),"n.a.")</x:f>
        <x:v>166.44</x:v>
      </x:c>
      <x:c r="X216" s="28" t="n">
        <x:f>IF(F216="有效",U216+W216,"n.a.")</x:f>
        <x:v>4386.460010192777</x:v>
      </x:c>
      <x:c r="Y216" s="28" t="n">
        <x:f>IF(F216="有效",X216/G216,"n.a.")</x:f>
        <x:v>19.23885969382797</x:v>
      </x:c>
    </x:row>
    <x:row r="217" ht="22" customHeight="1">
      <x:c r="A217" s="11" t="str">
        <x:v>lade_0826_30aoi</x:v>
      </x:c>
      <x:c r="B217" s="22" t="n">
        <x:v>30</x:v>
      </x:c>
      <x:c r="C217" s="22" t="n">
        <x:v>2</x:v>
      </x:c>
      <x:c r="D217" s="22" t="n">
        <x:v>5</x:v>
      </x:c>
      <x:c r="E217" s="22" t="n">
        <x:v>43</x:v>
      </x:c>
      <x:c r="F217" s="30" t="str">
        <x:v>有效</x:v>
      </x:c>
      <x:c r="G217" s="22" t="n">
        <x:v>228</x:v>
      </x:c>
      <x:c r="H217" s="22" t="n">
        <x:v>228</x:v>
      </x:c>
      <x:c r="I217" s="24" t="n">
        <x:v>170.9205</x:v>
      </x:c>
      <x:c r="J217" s="24" t="n">
        <x:v>89.56920000000001</x:v>
      </x:c>
      <x:c r="K217" s="24" t="n">
        <x:v>956.45</x:v>
      </x:c>
      <x:c r="L217" s="24" t="n">
        <x:v>2102.45</x:v>
      </x:c>
      <x:c r="M217" s="10" t="n">
        <x:v>2</x:v>
      </x:c>
      <x:c r="N217" s="10" t="n">
        <x:v>6</x:v>
      </x:c>
      <x:c r="O217" s="28" t="n">
        <x:f>IF(F217="有效",I217*'参数'!$B$10+J217*'参数'!$B$11,"n.a.")</x:f>
        <x:v>234.97473388500003</x:v>
      </x:c>
      <x:c r="P217" s="28" t="n">
        <x:f>IF(F217="有效",K217*'参数'!$B$12+L217*'参数'!$B$13,"n.a.")</x:f>
        <x:v>2572.519245833333</x:v>
      </x:c>
      <x:c r="Q217" s="28" t="n">
        <x:f>IF(F217="有效",M217*'参数'!$B$14+N217*'参数'!$B$15,"n.a.")</x:f>
        <x:v>560</x:v>
      </x:c>
      <x:c r="R217" s="28" t="n">
        <x:f>IF(F217="有效",IF(D217&lt;=2,G217*('参数'!$B$6+'参数'!$B$18),0),"n.a.")</x:f>
        <x:v>0</x:v>
      </x:c>
      <x:c r="S217" s="28" t="n">
        <x:f>IF(F217="有效",IF(D217&gt;=3,G217*'参数'!$B$16,0),"n.a.")</x:f>
        <x:v>182.4</x:v>
      </x:c>
      <x:c r="T217" s="28" t="n">
        <x:f>IF(F217="有效",IF(D217&gt;=3,G217*'参数'!$B$17,0),"n.a.")</x:f>
        <x:v>22.8</x:v>
      </x:c>
      <x:c r="U217" s="28" t="n">
        <x:f>IF(F217="有效",SUM(O217:T217),"n.a.")</x:f>
        <x:v>3572.6939797183336</x:v>
      </x:c>
      <x:c r="V217" s="28" t="n">
        <x:f>IF(F217="有效",H217*'参数'!$B$7,"n.a.")</x:f>
        <x:v>8322</x:v>
      </x:c>
      <x:c r="W217" s="28" t="n">
        <x:f>IF(F217="有效",IF(D217&gt;=3,G217*'参数'!$B$7/'参数'!$B$8,0),"n.a.")</x:f>
        <x:v>166.44</x:v>
      </x:c>
      <x:c r="X217" s="28" t="n">
        <x:f>IF(F217="有效",U217+W217,"n.a.")</x:f>
        <x:v>3739.1339797183336</x:v>
      </x:c>
      <x:c r="Y217" s="28" t="n">
        <x:f>IF(F217="有效",X217/G217,"n.a.")</x:f>
        <x:v>16.39971043736111</x:v>
      </x:c>
    </x:row>
    <x:row r="218" ht="22" customHeight="1">
      <x:c r="A218" s="11" t="str">
        <x:v>lade_0826_30aoi</x:v>
      </x:c>
      <x:c r="B218" s="22" t="n">
        <x:v>30</x:v>
      </x:c>
      <x:c r="C218" s="22" t="n">
        <x:v>2</x:v>
      </x:c>
      <x:c r="D218" s="22" t="n">
        <x:v>5</x:v>
      </x:c>
      <x:c r="E218" s="22" t="n">
        <x:v>44</x:v>
      </x:c>
      <x:c r="F218" s="30" t="str">
        <x:v>有效</x:v>
      </x:c>
      <x:c r="G218" s="22" t="n">
        <x:v>228</x:v>
      </x:c>
      <x:c r="H218" s="22" t="n">
        <x:v>228</x:v>
      </x:c>
      <x:c r="I218" s="24" t="n">
        <x:v>170.9205</x:v>
      </x:c>
      <x:c r="J218" s="24" t="n">
        <x:v>86.3882</x:v>
      </x:c>
      <x:c r="K218" s="24" t="n">
        <x:v>956.45</x:v>
      </x:c>
      <x:c r="L218" s="24" t="n">
        <x:v>2342.55</x:v>
      </x:c>
      <x:c r="M218" s="10" t="n">
        <x:v>2</x:v>
      </x:c>
      <x:c r="N218" s="10" t="n">
        <x:v>6</x:v>
      </x:c>
      <x:c r="O218" s="28" t="n">
        <x:f>IF(F218="有效",I218*'参数'!$B$10+J218*'参数'!$B$11,"n.a.")</x:f>
        <x:v>232.105312835</x:v>
      </x:c>
      <x:c r="P218" s="28" t="n">
        <x:f>IF(F218="有效",K218*'参数'!$B$12+L218*'参数'!$B$13,"n.a.")</x:f>
        <x:v>2749.1077937500004</x:v>
      </x:c>
      <x:c r="Q218" s="28" t="n">
        <x:f>IF(F218="有效",M218*'参数'!$B$14+N218*'参数'!$B$15,"n.a.")</x:f>
        <x:v>560</x:v>
      </x:c>
      <x:c r="R218" s="28" t="n">
        <x:f>IF(F218="有效",IF(D218&lt;=2,G218*('参数'!$B$6+'参数'!$B$18),0),"n.a.")</x:f>
        <x:v>0</x:v>
      </x:c>
      <x:c r="S218" s="28" t="n">
        <x:f>IF(F218="有效",IF(D218&gt;=3,G218*'参数'!$B$16,0),"n.a.")</x:f>
        <x:v>182.4</x:v>
      </x:c>
      <x:c r="T218" s="28" t="n">
        <x:f>IF(F218="有效",IF(D218&gt;=3,G218*'参数'!$B$17,0),"n.a.")</x:f>
        <x:v>22.8</x:v>
      </x:c>
      <x:c r="U218" s="28" t="n">
        <x:f>IF(F218="有效",SUM(O218:T218),"n.a.")</x:f>
        <x:v>3746.4131065850006</x:v>
      </x:c>
      <x:c r="V218" s="28" t="n">
        <x:f>IF(F218="有效",H218*'参数'!$B$7,"n.a.")</x:f>
        <x:v>8322</x:v>
      </x:c>
      <x:c r="W218" s="28" t="n">
        <x:f>IF(F218="有效",IF(D218&gt;=3,G218*'参数'!$B$7/'参数'!$B$8,0),"n.a.")</x:f>
        <x:v>166.44</x:v>
      </x:c>
      <x:c r="X218" s="28" t="n">
        <x:f>IF(F218="有效",U218+W218,"n.a.")</x:f>
        <x:v>3912.8531065850007</x:v>
      </x:c>
      <x:c r="Y218" s="28" t="n">
        <x:f>IF(F218="有效",X218/G218,"n.a.")</x:f>
        <x:v>17.161636432390353</x:v>
      </x:c>
    </x:row>
    <x:row r="219" ht="22" customHeight="1">
      <x:c r="A219" s="11" t="str">
        <x:v>lade_0826_30aoi</x:v>
      </x:c>
      <x:c r="B219" s="22" t="n">
        <x:v>30</x:v>
      </x:c>
      <x:c r="C219" s="22" t="n">
        <x:v>3</x:v>
      </x:c>
      <x:c r="D219" s="22" t="n">
        <x:v>5</x:v>
      </x:c>
      <x:c r="E219" s="22" t="n">
        <x:v>42</x:v>
      </x:c>
      <x:c r="F219" s="30" t="str">
        <x:v>有效</x:v>
      </x:c>
      <x:c r="G219" s="22" t="n">
        <x:v>228</x:v>
      </x:c>
      <x:c r="H219" s="22" t="n">
        <x:v>228</x:v>
      </x:c>
      <x:c r="I219" s="24" t="n">
        <x:v>277.9613</x:v>
      </x:c>
      <x:c r="J219" s="24" t="n">
        <x:v>99.98890000000003</x:v>
      </x:c>
      <x:c r="K219" s="24" t="n">
        <x:v>977.2333333333333</x:v>
      </x:c>
      <x:c r="L219" s="24" t="n">
        <x:v>1862.5</x:v>
      </x:c>
      <x:c r="M219" s="10" t="n">
        <x:v>3</x:v>
      </x:c>
      <x:c r="N219" s="10" t="n">
        <x:v>6</x:v>
      </x:c>
      <x:c r="O219" s="28" t="n">
        <x:f>IF(F219="有效",I219*'参数'!$B$10+J219*'参数'!$B$11,"n.a.")</x:f>
        <x:v>340.92997791000005</x:v>
      </x:c>
      <x:c r="P219" s="28" t="n">
        <x:f>IF(F219="有效",K219*'参数'!$B$12+L219*'参数'!$B$13,"n.a.")</x:f>
        <x:v>2418.3402374999996</x:v>
      </x:c>
      <x:c r="Q219" s="28" t="n">
        <x:f>IF(F219="有效",M219*'参数'!$B$14+N219*'参数'!$B$15,"n.a.")</x:f>
        <x:v>660</x:v>
      </x:c>
      <x:c r="R219" s="28" t="n">
        <x:f>IF(F219="有效",IF(D219&lt;=2,G219*('参数'!$B$6+'参数'!$B$18),0),"n.a.")</x:f>
        <x:v>0</x:v>
      </x:c>
      <x:c r="S219" s="28" t="n">
        <x:f>IF(F219="有效",IF(D219&gt;=3,G219*'参数'!$B$16,0),"n.a.")</x:f>
        <x:v>182.4</x:v>
      </x:c>
      <x:c r="T219" s="28" t="n">
        <x:f>IF(F219="有效",IF(D219&gt;=3,G219*'参数'!$B$17,0),"n.a.")</x:f>
        <x:v>22.8</x:v>
      </x:c>
      <x:c r="U219" s="28" t="n">
        <x:f>IF(F219="有效",SUM(O219:T219),"n.a.")</x:f>
        <x:v>3624.47021541</x:v>
      </x:c>
      <x:c r="V219" s="28" t="n">
        <x:f>IF(F219="有效",H219*'参数'!$B$7,"n.a.")</x:f>
        <x:v>8322</x:v>
      </x:c>
      <x:c r="W219" s="28" t="n">
        <x:f>IF(F219="有效",IF(D219&gt;=3,G219*'参数'!$B$7/'参数'!$B$8,0),"n.a.")</x:f>
        <x:v>166.44</x:v>
      </x:c>
      <x:c r="X219" s="28" t="n">
        <x:f>IF(F219="有效",U219+W219,"n.a.")</x:f>
        <x:v>3790.91021541</x:v>
      </x:c>
      <x:c r="Y219" s="28" t="n">
        <x:f>IF(F219="有效",X219/G219,"n.a.")</x:f>
        <x:v>16.62679919039474</x:v>
      </x:c>
    </x:row>
    <x:row r="220" ht="22" customHeight="1">
      <x:c r="A220" s="11" t="str">
        <x:v>lade_0826_30aoi</x:v>
      </x:c>
      <x:c r="B220" s="22" t="n">
        <x:v>30</x:v>
      </x:c>
      <x:c r="C220" s="22" t="n">
        <x:v>3</x:v>
      </x:c>
      <x:c r="D220" s="22" t="n">
        <x:v>5</x:v>
      </x:c>
      <x:c r="E220" s="22" t="n">
        <x:v>43</x:v>
      </x:c>
      <x:c r="F220" s="30" t="str">
        <x:v>有效</x:v>
      </x:c>
      <x:c r="G220" s="22" t="n">
        <x:v>228</x:v>
      </x:c>
      <x:c r="H220" s="22" t="n">
        <x:v>228</x:v>
      </x:c>
      <x:c r="I220" s="24" t="n">
        <x:v>320.8442999999999</x:v>
      </x:c>
      <x:c r="J220" s="24" t="n">
        <x:v>100.43830000000003</x:v>
      </x:c>
      <x:c r="K220" s="24" t="n">
        <x:v>1178.4333333333334</x:v>
      </x:c>
      <x:c r="L220" s="24" t="n">
        <x:v>2381.6</x:v>
      </x:c>
      <x:c r="M220" s="10" t="n">
        <x:v>2</x:v>
      </x:c>
      <x:c r="N220" s="10" t="n">
        <x:v>6</x:v>
      </x:c>
      <x:c r="O220" s="28" t="n">
        <x:f>IF(F220="有效",I220*'参数'!$B$10+J220*'参数'!$B$11,"n.a.")</x:f>
        <x:v>380.01796932999997</x:v>
      </x:c>
      <x:c r="P220" s="28" t="n">
        <x:f>IF(F220="有效",K220*'参数'!$B$12+L220*'参数'!$B$13,"n.a.")</x:f>
        <x:v>3016.0024979166665</x:v>
      </x:c>
      <x:c r="Q220" s="28" t="n">
        <x:f>IF(F220="有效",M220*'参数'!$B$14+N220*'参数'!$B$15,"n.a.")</x:f>
        <x:v>560</x:v>
      </x:c>
      <x:c r="R220" s="28" t="n">
        <x:f>IF(F220="有效",IF(D220&lt;=2,G220*('参数'!$B$6+'参数'!$B$18),0),"n.a.")</x:f>
        <x:v>0</x:v>
      </x:c>
      <x:c r="S220" s="28" t="n">
        <x:f>IF(F220="有效",IF(D220&gt;=3,G220*'参数'!$B$16,0),"n.a.")</x:f>
        <x:v>182.4</x:v>
      </x:c>
      <x:c r="T220" s="28" t="n">
        <x:f>IF(F220="有效",IF(D220&gt;=3,G220*'参数'!$B$17,0),"n.a.")</x:f>
        <x:v>22.8</x:v>
      </x:c>
      <x:c r="U220" s="28" t="n">
        <x:f>IF(F220="有效",SUM(O220:T220),"n.a.")</x:f>
        <x:v>4161.220467246667</x:v>
      </x:c>
      <x:c r="V220" s="28" t="n">
        <x:f>IF(F220="有效",H220*'参数'!$B$7,"n.a.")</x:f>
        <x:v>8322</x:v>
      </x:c>
      <x:c r="W220" s="28" t="n">
        <x:f>IF(F220="有效",IF(D220&gt;=3,G220*'参数'!$B$7/'参数'!$B$8,0),"n.a.")</x:f>
        <x:v>166.44</x:v>
      </x:c>
      <x:c r="X220" s="28" t="n">
        <x:f>IF(F220="有效",U220+W220,"n.a.")</x:f>
        <x:v>4327.6604672466665</x:v>
      </x:c>
      <x:c r="Y220" s="28" t="n">
        <x:f>IF(F220="有效",X220/G220,"n.a.")</x:f>
        <x:v>18.980966961608186</x:v>
      </x:c>
    </x:row>
    <x:row r="221" ht="22" customHeight="1">
      <x:c r="A221" s="11" t="str">
        <x:v>lade_0826_30aoi</x:v>
      </x:c>
      <x:c r="B221" s="22" t="n">
        <x:v>30</x:v>
      </x:c>
      <x:c r="C221" s="22" t="n">
        <x:v>3</x:v>
      </x:c>
      <x:c r="D221" s="22" t="n">
        <x:v>5</x:v>
      </x:c>
      <x:c r="E221" s="22" t="n">
        <x:v>44</x:v>
      </x:c>
      <x:c r="F221" s="30" t="str">
        <x:v>有效</x:v>
      </x:c>
      <x:c r="G221" s="22" t="n">
        <x:v>228</x:v>
      </x:c>
      <x:c r="H221" s="22" t="n">
        <x:v>228</x:v>
      </x:c>
      <x:c r="I221" s="24" t="n">
        <x:v>369.271</x:v>
      </x:c>
      <x:c r="J221" s="24" t="n">
        <x:v>99.88930000000002</x:v>
      </x:c>
      <x:c r="K221" s="24" t="n">
        <x:v>1577.8833333333334</x:v>
      </x:c>
      <x:c r="L221" s="24" t="n">
        <x:v>1858.1333333333334</x:v>
      </x:c>
      <x:c r="M221" s="10" t="n">
        <x:v>3</x:v>
      </x:c>
      <x:c r="N221" s="10" t="n">
        <x:v>6</x:v>
      </x:c>
      <x:c r="O221" s="28" t="n">
        <x:f>IF(F221="有效",I221*'参数'!$B$10+J221*'参数'!$B$11,"n.a.")</x:f>
        <x:v>423.206048615</x:v>
      </x:c>
      <x:c r="P221" s="28" t="n">
        <x:f>IF(F221="有效",K221*'参数'!$B$12+L221*'参数'!$B$13,"n.a.")</x:f>
        <x:v>3059.588554513889</x:v>
      </x:c>
      <x:c r="Q221" s="28" t="n">
        <x:f>IF(F221="有效",M221*'参数'!$B$14+N221*'参数'!$B$15,"n.a.")</x:f>
        <x:v>660</x:v>
      </x:c>
      <x:c r="R221" s="28" t="n">
        <x:f>IF(F221="有效",IF(D221&lt;=2,G221*('参数'!$B$6+'参数'!$B$18),0),"n.a.")</x:f>
        <x:v>0</x:v>
      </x:c>
      <x:c r="S221" s="28" t="n">
        <x:f>IF(F221="有效",IF(D221&gt;=3,G221*'参数'!$B$16,0),"n.a.")</x:f>
        <x:v>182.4</x:v>
      </x:c>
      <x:c r="T221" s="28" t="n">
        <x:f>IF(F221="有效",IF(D221&gt;=3,G221*'参数'!$B$17,0),"n.a.")</x:f>
        <x:v>22.8</x:v>
      </x:c>
      <x:c r="U221" s="28" t="n">
        <x:f>IF(F221="有效",SUM(O221:T221),"n.a.")</x:f>
        <x:v>4347.994603128888</x:v>
      </x:c>
      <x:c r="V221" s="28" t="n">
        <x:f>IF(F221="有效",H221*'参数'!$B$7,"n.a.")</x:f>
        <x:v>8322</x:v>
      </x:c>
      <x:c r="W221" s="28" t="n">
        <x:f>IF(F221="有效",IF(D221&gt;=3,G221*'参数'!$B$7/'参数'!$B$8,0),"n.a.")</x:f>
        <x:v>166.44</x:v>
      </x:c>
      <x:c r="X221" s="28" t="n">
        <x:f>IF(F221="有效",U221+W221,"n.a.")</x:f>
        <x:v>4514.434603128888</x:v>
      </x:c>
      <x:c r="Y221" s="28" t="n">
        <x:f>IF(F221="有效",X221/G221,"n.a.")</x:f>
        <x:v>19.800151768109156</x:v>
      </x:c>
    </x:row>
    <x:row r="222" ht="22" customHeight="1">
      <x:c r="A222" s="11" t="str">
        <x:v>lade_0827_10aoi</x:v>
      </x:c>
      <x:c r="B222" s="22" t="n">
        <x:v>10</x:v>
      </x:c>
      <x:c r="C222" s="22" t="n">
        <x:v>1</x:v>
      </x:c>
      <x:c r="D222" s="22" t="n">
        <x:v>1</x:v>
      </x:c>
      <x:c r="E222" s="22" t="n">
        <x:v>42</x:v>
      </x:c>
      <x:c r="F222" s="30" t="str">
        <x:v>有效</x:v>
      </x:c>
      <x:c r="G222" s="22" t="n">
        <x:v>121</x:v>
      </x:c>
      <x:c r="H222" s="22" t="n">
        <x:v>0</x:v>
      </x:c>
      <x:c r="I222" s="24" t="n">
        <x:v>59.477500000000006</x:v>
      </x:c>
      <x:c r="J222" s="24" t="n">
        <x:v>40.5653</x:v>
      </x:c>
      <x:c r="K222" s="24" t="n">
        <x:v>60.63333333333333</x:v>
      </x:c>
      <x:c r="L222" s="24" t="n">
        <x:v>1208.3333333333333</x:v>
      </x:c>
      <x:c r="M222" s="10" t="n">
        <x:v>1</x:v>
      </x:c>
      <x:c r="N222" s="10" t="n">
        <x:v>3</x:v>
      </x:c>
      <x:c r="O222" s="28" t="n">
        <x:f>IF(F222="有效",I222*'参数'!$B$10+J222*'参数'!$B$11,"n.a.")</x:f>
        <x:v>90.24360774000002</x:v>
      </x:c>
      <x:c r="P222" s="28" t="n">
        <x:f>IF(F222="有效",K222*'参数'!$B$12+L222*'参数'!$B$13,"n.a.")</x:f>
        <x:v>953.7597701388888</x:v>
      </x:c>
      <x:c r="Q222" s="28" t="n">
        <x:f>IF(F222="有效",M222*'参数'!$B$14+N222*'参数'!$B$15,"n.a.")</x:f>
        <x:v>280</x:v>
      </x:c>
      <x:c r="R222" s="28" t="n">
        <x:f>IF(F222="有效",IF(D222&lt;=2,G222*('参数'!$B$6+'参数'!$B$18),0),"n.a.")</x:f>
        <x:v>484</x:v>
      </x:c>
      <x:c r="S222" s="28" t="n">
        <x:f>IF(F222="有效",IF(D222&gt;=3,G222*'参数'!$B$16,0),"n.a.")</x:f>
        <x:v>0</x:v>
      </x:c>
      <x:c r="T222" s="28" t="n">
        <x:f>IF(F222="有效",IF(D222&gt;=3,G222*'参数'!$B$17,0),"n.a.")</x:f>
        <x:v>0</x:v>
      </x:c>
      <x:c r="U222" s="28" t="n">
        <x:f>IF(F222="有效",SUM(O222:T222),"n.a.")</x:f>
        <x:v>1808.0033778788888</x:v>
      </x:c>
      <x:c r="V222" s="28" t="n">
        <x:f>IF(F222="有效",H222*'参数'!$B$7,"n.a.")</x:f>
        <x:v>0</x:v>
      </x:c>
      <x:c r="W222" s="28" t="n">
        <x:f>IF(F222="有效",IF(D222&gt;=3,G222*'参数'!$B$7/'参数'!$B$8,0),"n.a.")</x:f>
        <x:v>0</x:v>
      </x:c>
      <x:c r="X222" s="28" t="n">
        <x:f>IF(F222="有效",U222+W222,"n.a.")</x:f>
        <x:v>1808.0033778788888</x:v>
      </x:c>
      <x:c r="Y222" s="28" t="n">
        <x:f>IF(F222="有效",X222/G222,"n.a.")</x:f>
        <x:v>14.942176676685031</x:v>
      </x:c>
    </x:row>
    <x:row r="223" ht="22" customHeight="1">
      <x:c r="A223" s="11" t="str">
        <x:v>lade_0827_10aoi</x:v>
      </x:c>
      <x:c r="B223" s="22" t="n">
        <x:v>10</x:v>
      </x:c>
      <x:c r="C223" s="22" t="n">
        <x:v>1</x:v>
      </x:c>
      <x:c r="D223" s="22" t="n">
        <x:v>1</x:v>
      </x:c>
      <x:c r="E223" s="22" t="n">
        <x:v>43</x:v>
      </x:c>
      <x:c r="F223" s="30" t="str">
        <x:v>有效</x:v>
      </x:c>
      <x:c r="G223" s="22" t="n">
        <x:v>121</x:v>
      </x:c>
      <x:c r="H223" s="22" t="n">
        <x:v>0</x:v>
      </x:c>
      <x:c r="I223" s="24" t="n">
        <x:v>59.477500000000006</x:v>
      </x:c>
      <x:c r="J223" s="24" t="n">
        <x:v>40.5653</x:v>
      </x:c>
      <x:c r="K223" s="24" t="n">
        <x:v>60.63333333333333</x:v>
      </x:c>
      <x:c r="L223" s="24" t="n">
        <x:v>1208.3333333333333</x:v>
      </x:c>
      <x:c r="M223" s="10" t="n">
        <x:v>1</x:v>
      </x:c>
      <x:c r="N223" s="10" t="n">
        <x:v>3</x:v>
      </x:c>
      <x:c r="O223" s="28" t="n">
        <x:f>IF(F223="有效",I223*'参数'!$B$10+J223*'参数'!$B$11,"n.a.")</x:f>
        <x:v>90.24360774000002</x:v>
      </x:c>
      <x:c r="P223" s="28" t="n">
        <x:f>IF(F223="有效",K223*'参数'!$B$12+L223*'参数'!$B$13,"n.a.")</x:f>
        <x:v>953.7597701388888</x:v>
      </x:c>
      <x:c r="Q223" s="28" t="n">
        <x:f>IF(F223="有效",M223*'参数'!$B$14+N223*'参数'!$B$15,"n.a.")</x:f>
        <x:v>280</x:v>
      </x:c>
      <x:c r="R223" s="28" t="n">
        <x:f>IF(F223="有效",IF(D223&lt;=2,G223*('参数'!$B$6+'参数'!$B$18),0),"n.a.")</x:f>
        <x:v>484</x:v>
      </x:c>
      <x:c r="S223" s="28" t="n">
        <x:f>IF(F223="有效",IF(D223&gt;=3,G223*'参数'!$B$16,0),"n.a.")</x:f>
        <x:v>0</x:v>
      </x:c>
      <x:c r="T223" s="28" t="n">
        <x:f>IF(F223="有效",IF(D223&gt;=3,G223*'参数'!$B$17,0),"n.a.")</x:f>
        <x:v>0</x:v>
      </x:c>
      <x:c r="U223" s="28" t="n">
        <x:f>IF(F223="有效",SUM(O223:T223),"n.a.")</x:f>
        <x:v>1808.0033778788888</x:v>
      </x:c>
      <x:c r="V223" s="28" t="n">
        <x:f>IF(F223="有效",H223*'参数'!$B$7,"n.a.")</x:f>
        <x:v>0</x:v>
      </x:c>
      <x:c r="W223" s="28" t="n">
        <x:f>IF(F223="有效",IF(D223&gt;=3,G223*'参数'!$B$7/'参数'!$B$8,0),"n.a.")</x:f>
        <x:v>0</x:v>
      </x:c>
      <x:c r="X223" s="28" t="n">
        <x:f>IF(F223="有效",U223+W223,"n.a.")</x:f>
        <x:v>1808.0033778788888</x:v>
      </x:c>
      <x:c r="Y223" s="28" t="n">
        <x:f>IF(F223="有效",X223/G223,"n.a.")</x:f>
        <x:v>14.942176676685031</x:v>
      </x:c>
    </x:row>
    <x:row r="224" ht="22" customHeight="1">
      <x:c r="A224" s="11" t="str">
        <x:v>lade_0827_10aoi</x:v>
      </x:c>
      <x:c r="B224" s="22" t="n">
        <x:v>10</x:v>
      </x:c>
      <x:c r="C224" s="22" t="n">
        <x:v>1</x:v>
      </x:c>
      <x:c r="D224" s="22" t="n">
        <x:v>1</x:v>
      </x:c>
      <x:c r="E224" s="22" t="n">
        <x:v>44</x:v>
      </x:c>
      <x:c r="F224" s="30" t="str">
        <x:v>有效</x:v>
      </x:c>
      <x:c r="G224" s="22" t="n">
        <x:v>121</x:v>
      </x:c>
      <x:c r="H224" s="22" t="n">
        <x:v>0</x:v>
      </x:c>
      <x:c r="I224" s="24" t="n">
        <x:v>59.477500000000006</x:v>
      </x:c>
      <x:c r="J224" s="24" t="n">
        <x:v>40.5653</x:v>
      </x:c>
      <x:c r="K224" s="24" t="n">
        <x:v>60.63333333333333</x:v>
      </x:c>
      <x:c r="L224" s="24" t="n">
        <x:v>1208.3333333333333</x:v>
      </x:c>
      <x:c r="M224" s="10" t="n">
        <x:v>1</x:v>
      </x:c>
      <x:c r="N224" s="10" t="n">
        <x:v>3</x:v>
      </x:c>
      <x:c r="O224" s="28" t="n">
        <x:f>IF(F224="有效",I224*'参数'!$B$10+J224*'参数'!$B$11,"n.a.")</x:f>
        <x:v>90.24360774000002</x:v>
      </x:c>
      <x:c r="P224" s="28" t="n">
        <x:f>IF(F224="有效",K224*'参数'!$B$12+L224*'参数'!$B$13,"n.a.")</x:f>
        <x:v>953.7597701388888</x:v>
      </x:c>
      <x:c r="Q224" s="28" t="n">
        <x:f>IF(F224="有效",M224*'参数'!$B$14+N224*'参数'!$B$15,"n.a.")</x:f>
        <x:v>280</x:v>
      </x:c>
      <x:c r="R224" s="28" t="n">
        <x:f>IF(F224="有效",IF(D224&lt;=2,G224*('参数'!$B$6+'参数'!$B$18),0),"n.a.")</x:f>
        <x:v>484</x:v>
      </x:c>
      <x:c r="S224" s="28" t="n">
        <x:f>IF(F224="有效",IF(D224&gt;=3,G224*'参数'!$B$16,0),"n.a.")</x:f>
        <x:v>0</x:v>
      </x:c>
      <x:c r="T224" s="28" t="n">
        <x:f>IF(F224="有效",IF(D224&gt;=3,G224*'参数'!$B$17,0),"n.a.")</x:f>
        <x:v>0</x:v>
      </x:c>
      <x:c r="U224" s="28" t="n">
        <x:f>IF(F224="有效",SUM(O224:T224),"n.a.")</x:f>
        <x:v>1808.0033778788888</x:v>
      </x:c>
      <x:c r="V224" s="28" t="n">
        <x:f>IF(F224="有效",H224*'参数'!$B$7,"n.a.")</x:f>
        <x:v>0</x:v>
      </x:c>
      <x:c r="W224" s="28" t="n">
        <x:f>IF(F224="有效",IF(D224&gt;=3,G224*'参数'!$B$7/'参数'!$B$8,0),"n.a.")</x:f>
        <x:v>0</x:v>
      </x:c>
      <x:c r="X224" s="28" t="n">
        <x:f>IF(F224="有效",U224+W224,"n.a.")</x:f>
        <x:v>1808.0033778788888</x:v>
      </x:c>
      <x:c r="Y224" s="28" t="n">
        <x:f>IF(F224="有效",X224/G224,"n.a.")</x:f>
        <x:v>14.942176676685031</x:v>
      </x:c>
    </x:row>
    <x:row r="225" ht="22" customHeight="1">
      <x:c r="A225" s="11" t="str">
        <x:v>lade_0827_10aoi</x:v>
      </x:c>
      <x:c r="B225" s="22" t="n">
        <x:v>10</x:v>
      </x:c>
      <x:c r="C225" s="22" t="n">
        <x:v>1</x:v>
      </x:c>
      <x:c r="D225" s="22" t="n">
        <x:v>2</x:v>
      </x:c>
      <x:c r="E225" s="22" t="n">
        <x:v>42</x:v>
      </x:c>
      <x:c r="F225" s="30" t="str">
        <x:v>有效</x:v>
      </x:c>
      <x:c r="G225" s="22" t="n">
        <x:v>121</x:v>
      </x:c>
      <x:c r="H225" s="22" t="n">
        <x:v>0</x:v>
      </x:c>
      <x:c r="I225" s="24" t="n">
        <x:v>59.477500000000006</x:v>
      </x:c>
      <x:c r="J225" s="24" t="n">
        <x:v>34.587799999999994</x:v>
      </x:c>
      <x:c r="K225" s="24" t="n">
        <x:v>60.63333333333333</x:v>
      </x:c>
      <x:c r="L225" s="24" t="n">
        <x:v>742.6333333333333</x:v>
      </x:c>
      <x:c r="M225" s="10" t="n">
        <x:v>1</x:v>
      </x:c>
      <x:c r="N225" s="10" t="n">
        <x:v>3</x:v>
      </x:c>
      <x:c r="O225" s="28" t="n">
        <x:f>IF(F225="有效",I225*'参数'!$B$10+J225*'参数'!$B$11,"n.a.")</x:f>
        <x:v>84.851603865</x:v>
      </x:c>
      <x:c r="P225" s="28" t="n">
        <x:f>IF(F225="有效",K225*'参数'!$B$12+L225*'参数'!$B$13,"n.a.")</x:f>
        <x:v>611.2471222222222</x:v>
      </x:c>
      <x:c r="Q225" s="28" t="n">
        <x:f>IF(F225="有效",M225*'参数'!$B$14+N225*'参数'!$B$15,"n.a.")</x:f>
        <x:v>280</x:v>
      </x:c>
      <x:c r="R225" s="28" t="n">
        <x:f>IF(F225="有效",IF(D225&lt;=2,G225*('参数'!$B$6+'参数'!$B$18),0),"n.a.")</x:f>
        <x:v>484</x:v>
      </x:c>
      <x:c r="S225" s="28" t="n">
        <x:f>IF(F225="有效",IF(D225&gt;=3,G225*'参数'!$B$16,0),"n.a.")</x:f>
        <x:v>0</x:v>
      </x:c>
      <x:c r="T225" s="28" t="n">
        <x:f>IF(F225="有效",IF(D225&gt;=3,G225*'参数'!$B$17,0),"n.a.")</x:f>
        <x:v>0</x:v>
      </x:c>
      <x:c r="U225" s="28" t="n">
        <x:f>IF(F225="有效",SUM(O225:T225),"n.a.")</x:f>
        <x:v>1460.098726087222</x:v>
      </x:c>
      <x:c r="V225" s="28" t="n">
        <x:f>IF(F225="有效",H225*'参数'!$B$7,"n.a.")</x:f>
        <x:v>0</x:v>
      </x:c>
      <x:c r="W225" s="28" t="n">
        <x:f>IF(F225="有效",IF(D225&gt;=3,G225*'参数'!$B$7/'参数'!$B$8,0),"n.a.")</x:f>
        <x:v>0</x:v>
      </x:c>
      <x:c r="X225" s="28" t="n">
        <x:f>IF(F225="有效",U225+W225,"n.a.")</x:f>
        <x:v>1460.098726087222</x:v>
      </x:c>
      <x:c r="Y225" s="28" t="n">
        <x:f>IF(F225="有效",X225/G225,"n.a.")</x:f>
        <x:v>12.066931620555554</x:v>
      </x:c>
    </x:row>
    <x:row r="226" ht="22" customHeight="1">
      <x:c r="A226" s="11" t="str">
        <x:v>lade_0827_10aoi</x:v>
      </x:c>
      <x:c r="B226" s="22" t="n">
        <x:v>10</x:v>
      </x:c>
      <x:c r="C226" s="22" t="n">
        <x:v>1</x:v>
      </x:c>
      <x:c r="D226" s="22" t="n">
        <x:v>2</x:v>
      </x:c>
      <x:c r="E226" s="22" t="n">
        <x:v>43</x:v>
      </x:c>
      <x:c r="F226" s="30" t="str">
        <x:v>有效</x:v>
      </x:c>
      <x:c r="G226" s="22" t="n">
        <x:v>121</x:v>
      </x:c>
      <x:c r="H226" s="22" t="n">
        <x:v>0</x:v>
      </x:c>
      <x:c r="I226" s="24" t="n">
        <x:v>49.942099999999996</x:v>
      </x:c>
      <x:c r="J226" s="24" t="n">
        <x:v>33.6341</x:v>
      </x:c>
      <x:c r="K226" s="24" t="n">
        <x:v>51.71666666666667</x:v>
      </x:c>
      <x:c r="L226" s="24" t="n">
        <x:v>737.4666666666667</x:v>
      </x:c>
      <x:c r="M226" s="10" t="n">
        <x:v>1</x:v>
      </x:c>
      <x:c r="N226" s="10" t="n">
        <x:v>2</x:v>
      </x:c>
      <x:c r="O226" s="28" t="n">
        <x:f>IF(F226="有效",I226*'参数'!$B$10+J226*'参数'!$B$11,"n.a.")</x:f>
        <x:v>75.38991121</x:v>
      </x:c>
      <x:c r="P226" s="28" t="n">
        <x:f>IF(F226="有效",K226*'参数'!$B$12+L226*'参数'!$B$13,"n.a.")</x:f>
        <x:v>597.8801204861112</x:v>
      </x:c>
      <x:c r="Q226" s="28" t="n">
        <x:f>IF(F226="有效",M226*'参数'!$B$14+N226*'参数'!$B$15,"n.a.")</x:f>
        <x:v>220</x:v>
      </x:c>
      <x:c r="R226" s="28" t="n">
        <x:f>IF(F226="有效",IF(D226&lt;=2,G226*('参数'!$B$6+'参数'!$B$18),0),"n.a.")</x:f>
        <x:v>484</x:v>
      </x:c>
      <x:c r="S226" s="28" t="n">
        <x:f>IF(F226="有效",IF(D226&gt;=3,G226*'参数'!$B$16,0),"n.a.")</x:f>
        <x:v>0</x:v>
      </x:c>
      <x:c r="T226" s="28" t="n">
        <x:f>IF(F226="有效",IF(D226&gt;=3,G226*'参数'!$B$17,0),"n.a.")</x:f>
        <x:v>0</x:v>
      </x:c>
      <x:c r="U226" s="28" t="n">
        <x:f>IF(F226="有效",SUM(O226:T226),"n.a.")</x:f>
        <x:v>1377.2700316961113</x:v>
      </x:c>
      <x:c r="V226" s="28" t="n">
        <x:f>IF(F226="有效",H226*'参数'!$B$7,"n.a.")</x:f>
        <x:v>0</x:v>
      </x:c>
      <x:c r="W226" s="28" t="n">
        <x:f>IF(F226="有效",IF(D226&gt;=3,G226*'参数'!$B$7/'参数'!$B$8,0),"n.a.")</x:f>
        <x:v>0</x:v>
      </x:c>
      <x:c r="X226" s="28" t="n">
        <x:f>IF(F226="有效",U226+W226,"n.a.")</x:f>
        <x:v>1377.2700316961113</x:v>
      </x:c>
      <x:c r="Y226" s="28" t="n">
        <x:f>IF(F226="有效",X226/G226,"n.a.")</x:f>
        <x:v>11.38239695616621</x:v>
      </x:c>
    </x:row>
    <x:row r="227" ht="22" customHeight="1">
      <x:c r="A227" s="11" t="str">
        <x:v>lade_0827_10aoi</x:v>
      </x:c>
      <x:c r="B227" s="22" t="n">
        <x:v>10</x:v>
      </x:c>
      <x:c r="C227" s="22" t="n">
        <x:v>1</x:v>
      </x:c>
      <x:c r="D227" s="22" t="n">
        <x:v>2</x:v>
      </x:c>
      <x:c r="E227" s="22" t="n">
        <x:v>44</x:v>
      </x:c>
      <x:c r="F227" s="30" t="str">
        <x:v>有效</x:v>
      </x:c>
      <x:c r="G227" s="22" t="n">
        <x:v>121</x:v>
      </x:c>
      <x:c r="H227" s="22" t="n">
        <x:v>0</x:v>
      </x:c>
      <x:c r="I227" s="24" t="n">
        <x:v>59.477500000000006</x:v>
      </x:c>
      <x:c r="J227" s="24" t="n">
        <x:v>34.587799999999994</x:v>
      </x:c>
      <x:c r="K227" s="24" t="n">
        <x:v>60.63333333333333</x:v>
      </x:c>
      <x:c r="L227" s="24" t="n">
        <x:v>742.6333333333333</x:v>
      </x:c>
      <x:c r="M227" s="10" t="n">
        <x:v>1</x:v>
      </x:c>
      <x:c r="N227" s="10" t="n">
        <x:v>3</x:v>
      </x:c>
      <x:c r="O227" s="28" t="n">
        <x:f>IF(F227="有效",I227*'参数'!$B$10+J227*'参数'!$B$11,"n.a.")</x:f>
        <x:v>84.851603865</x:v>
      </x:c>
      <x:c r="P227" s="28" t="n">
        <x:f>IF(F227="有效",K227*'参数'!$B$12+L227*'参数'!$B$13,"n.a.")</x:f>
        <x:v>611.2471222222222</x:v>
      </x:c>
      <x:c r="Q227" s="28" t="n">
        <x:f>IF(F227="有效",M227*'参数'!$B$14+N227*'参数'!$B$15,"n.a.")</x:f>
        <x:v>280</x:v>
      </x:c>
      <x:c r="R227" s="28" t="n">
        <x:f>IF(F227="有效",IF(D227&lt;=2,G227*('参数'!$B$6+'参数'!$B$18),0),"n.a.")</x:f>
        <x:v>484</x:v>
      </x:c>
      <x:c r="S227" s="28" t="n">
        <x:f>IF(F227="有效",IF(D227&gt;=3,G227*'参数'!$B$16,0),"n.a.")</x:f>
        <x:v>0</x:v>
      </x:c>
      <x:c r="T227" s="28" t="n">
        <x:f>IF(F227="有效",IF(D227&gt;=3,G227*'参数'!$B$17,0),"n.a.")</x:f>
        <x:v>0</x:v>
      </x:c>
      <x:c r="U227" s="28" t="n">
        <x:f>IF(F227="有效",SUM(O227:T227),"n.a.")</x:f>
        <x:v>1460.098726087222</x:v>
      </x:c>
      <x:c r="V227" s="28" t="n">
        <x:f>IF(F227="有效",H227*'参数'!$B$7,"n.a.")</x:f>
        <x:v>0</x:v>
      </x:c>
      <x:c r="W227" s="28" t="n">
        <x:f>IF(F227="有效",IF(D227&gt;=3,G227*'参数'!$B$7/'参数'!$B$8,0),"n.a.")</x:f>
        <x:v>0</x:v>
      </x:c>
      <x:c r="X227" s="28" t="n">
        <x:f>IF(F227="有效",U227+W227,"n.a.")</x:f>
        <x:v>1460.098726087222</x:v>
      </x:c>
      <x:c r="Y227" s="28" t="n">
        <x:f>IF(F227="有效",X227/G227,"n.a.")</x:f>
        <x:v>12.066931620555554</x:v>
      </x:c>
    </x:row>
    <x:row r="228" ht="22" customHeight="1">
      <x:c r="A228" s="11" t="str">
        <x:v>lade_0827_10aoi</x:v>
      </x:c>
      <x:c r="B228" s="22" t="n">
        <x:v>10</x:v>
      </x:c>
      <x:c r="C228" s="22" t="n">
        <x:v>1</x:v>
      </x:c>
      <x:c r="D228" s="22" t="n">
        <x:v>3</x:v>
      </x:c>
      <x:c r="E228" s="22" t="n">
        <x:v>42</x:v>
      </x:c>
      <x:c r="F228" s="30" t="str">
        <x:v>有效</x:v>
      </x:c>
      <x:c r="G228" s="22" t="n">
        <x:v>121</x:v>
      </x:c>
      <x:c r="H228" s="22" t="n">
        <x:v>121</x:v>
      </x:c>
      <x:c r="I228" s="24" t="n">
        <x:v>63.013999999999996</x:v>
      </x:c>
      <x:c r="J228" s="24" t="n">
        <x:v>42.8681</x:v>
      </x:c>
      <x:c r="K228" s="24" t="n">
        <x:v>738.65</x:v>
      </x:c>
      <x:c r="L228" s="24" t="n">
        <x:v>1423.3333333333333</x:v>
      </x:c>
      <x:c r="M228" s="10" t="n">
        <x:v>1</x:v>
      </x:c>
      <x:c r="N228" s="10" t="n">
        <x:v>3</x:v>
      </x:c>
      <x:c r="O228" s="28" t="n">
        <x:f>IF(F228="有效",I228*'参数'!$B$10+J228*'参数'!$B$11,"n.a.")</x:f>
        <x:v>95.510948305</x:v>
      </x:c>
      <x:c r="P228" s="28" t="n">
        <x:f>IF(F228="有效",K228*'参数'!$B$12+L228*'参数'!$B$13,"n.a.")</x:f>
        <x:v>1839.3572982638889</x:v>
      </x:c>
      <x:c r="Q228" s="28" t="n">
        <x:f>IF(F228="有效",M228*'参数'!$B$14+N228*'参数'!$B$15,"n.a.")</x:f>
        <x:v>280</x:v>
      </x:c>
      <x:c r="R228" s="28" t="n">
        <x:f>IF(F228="有效",IF(D228&lt;=2,G228*('参数'!$B$6+'参数'!$B$18),0),"n.a.")</x:f>
        <x:v>0</x:v>
      </x:c>
      <x:c r="S228" s="28" t="n">
        <x:f>IF(F228="有效",IF(D228&gt;=3,G228*'参数'!$B$16,0),"n.a.")</x:f>
        <x:v>96.80000000000001</x:v>
      </x:c>
      <x:c r="T228" s="28" t="n">
        <x:f>IF(F228="有效",IF(D228&gt;=3,G228*'参数'!$B$17,0),"n.a.")</x:f>
        <x:v>12.100000000000001</x:v>
      </x:c>
      <x:c r="U228" s="28" t="n">
        <x:f>IF(F228="有效",SUM(O228:T228),"n.a.")</x:f>
        <x:v>2323.768246568889</x:v>
      </x:c>
      <x:c r="V228" s="28" t="n">
        <x:f>IF(F228="有效",H228*'参数'!$B$7,"n.a.")</x:f>
        <x:v>4416.5</x:v>
      </x:c>
      <x:c r="W228" s="28" t="n">
        <x:f>IF(F228="有效",IF(D228&gt;=3,G228*'参数'!$B$7/'参数'!$B$8,0),"n.a.")</x:f>
        <x:v>88.33</x:v>
      </x:c>
      <x:c r="X228" s="28" t="n">
        <x:f>IF(F228="有效",U228+W228,"n.a.")</x:f>
        <x:v>2412.098246568889</x:v>
      </x:c>
      <x:c r="Y228" s="28" t="n">
        <x:f>IF(F228="有效",X228/G228,"n.a.")</x:f>
        <x:v>19.934696252635447</x:v>
      </x:c>
    </x:row>
    <x:row r="229" ht="22" customHeight="1">
      <x:c r="A229" s="11" t="str">
        <x:v>lade_0827_10aoi</x:v>
      </x:c>
      <x:c r="B229" s="22" t="n">
        <x:v>10</x:v>
      </x:c>
      <x:c r="C229" s="22" t="n">
        <x:v>1</x:v>
      </x:c>
      <x:c r="D229" s="22" t="n">
        <x:v>3</x:v>
      </x:c>
      <x:c r="E229" s="22" t="n">
        <x:v>43</x:v>
      </x:c>
      <x:c r="F229" s="30" t="str">
        <x:v>有效</x:v>
      </x:c>
      <x:c r="G229" s="22" t="n">
        <x:v>121</x:v>
      </x:c>
      <x:c r="H229" s="22" t="n">
        <x:v>121</x:v>
      </x:c>
      <x:c r="I229" s="24" t="n">
        <x:v>63.013999999999996</x:v>
      </x:c>
      <x:c r="J229" s="24" t="n">
        <x:v>42.8681</x:v>
      </x:c>
      <x:c r="K229" s="24" t="n">
        <x:v>738.65</x:v>
      </x:c>
      <x:c r="L229" s="24" t="n">
        <x:v>1423.3333333333333</x:v>
      </x:c>
      <x:c r="M229" s="10" t="n">
        <x:v>1</x:v>
      </x:c>
      <x:c r="N229" s="10" t="n">
        <x:v>3</x:v>
      </x:c>
      <x:c r="O229" s="28" t="n">
        <x:f>IF(F229="有效",I229*'参数'!$B$10+J229*'参数'!$B$11,"n.a.")</x:f>
        <x:v>95.510948305</x:v>
      </x:c>
      <x:c r="P229" s="28" t="n">
        <x:f>IF(F229="有效",K229*'参数'!$B$12+L229*'参数'!$B$13,"n.a.")</x:f>
        <x:v>1839.3572982638889</x:v>
      </x:c>
      <x:c r="Q229" s="28" t="n">
        <x:f>IF(F229="有效",M229*'参数'!$B$14+N229*'参数'!$B$15,"n.a.")</x:f>
        <x:v>280</x:v>
      </x:c>
      <x:c r="R229" s="28" t="n">
        <x:f>IF(F229="有效",IF(D229&lt;=2,G229*('参数'!$B$6+'参数'!$B$18),0),"n.a.")</x:f>
        <x:v>0</x:v>
      </x:c>
      <x:c r="S229" s="28" t="n">
        <x:f>IF(F229="有效",IF(D229&gt;=3,G229*'参数'!$B$16,0),"n.a.")</x:f>
        <x:v>96.80000000000001</x:v>
      </x:c>
      <x:c r="T229" s="28" t="n">
        <x:f>IF(F229="有效",IF(D229&gt;=3,G229*'参数'!$B$17,0),"n.a.")</x:f>
        <x:v>12.100000000000001</x:v>
      </x:c>
      <x:c r="U229" s="28" t="n">
        <x:f>IF(F229="有效",SUM(O229:T229),"n.a.")</x:f>
        <x:v>2323.768246568889</x:v>
      </x:c>
      <x:c r="V229" s="28" t="n">
        <x:f>IF(F229="有效",H229*'参数'!$B$7,"n.a.")</x:f>
        <x:v>4416.5</x:v>
      </x:c>
      <x:c r="W229" s="28" t="n">
        <x:f>IF(F229="有效",IF(D229&gt;=3,G229*'参数'!$B$7/'参数'!$B$8,0),"n.a.")</x:f>
        <x:v>88.33</x:v>
      </x:c>
      <x:c r="X229" s="28" t="n">
        <x:f>IF(F229="有效",U229+W229,"n.a.")</x:f>
        <x:v>2412.098246568889</x:v>
      </x:c>
      <x:c r="Y229" s="28" t="n">
        <x:f>IF(F229="有效",X229/G229,"n.a.")</x:f>
        <x:v>19.934696252635447</x:v>
      </x:c>
    </x:row>
    <x:row r="230" ht="22" customHeight="1">
      <x:c r="A230" s="11" t="str">
        <x:v>lade_0827_10aoi</x:v>
      </x:c>
      <x:c r="B230" s="22" t="n">
        <x:v>10</x:v>
      </x:c>
      <x:c r="C230" s="22" t="n">
        <x:v>1</x:v>
      </x:c>
      <x:c r="D230" s="22" t="n">
        <x:v>3</x:v>
      </x:c>
      <x:c r="E230" s="22" t="n">
        <x:v>44</x:v>
      </x:c>
      <x:c r="F230" s="30" t="str">
        <x:v>有效</x:v>
      </x:c>
      <x:c r="G230" s="22" t="n">
        <x:v>121</x:v>
      </x:c>
      <x:c r="H230" s="22" t="n">
        <x:v>121</x:v>
      </x:c>
      <x:c r="I230" s="24" t="n">
        <x:v>63.013999999999996</x:v>
      </x:c>
      <x:c r="J230" s="24" t="n">
        <x:v>42.86809999999999</x:v>
      </x:c>
      <x:c r="K230" s="24" t="n">
        <x:v>738.65</x:v>
      </x:c>
      <x:c r="L230" s="24" t="n">
        <x:v>1423.3333333333333</x:v>
      </x:c>
      <x:c r="M230" s="10" t="n">
        <x:v>1</x:v>
      </x:c>
      <x:c r="N230" s="10" t="n">
        <x:v>3</x:v>
      </x:c>
      <x:c r="O230" s="28" t="n">
        <x:f>IF(F230="有效",I230*'参数'!$B$10+J230*'参数'!$B$11,"n.a.")</x:f>
        <x:v>95.510948305</x:v>
      </x:c>
      <x:c r="P230" s="28" t="n">
        <x:f>IF(F230="有效",K230*'参数'!$B$12+L230*'参数'!$B$13,"n.a.")</x:f>
        <x:v>1839.3572982638889</x:v>
      </x:c>
      <x:c r="Q230" s="28" t="n">
        <x:f>IF(F230="有效",M230*'参数'!$B$14+N230*'参数'!$B$15,"n.a.")</x:f>
        <x:v>280</x:v>
      </x:c>
      <x:c r="R230" s="28" t="n">
        <x:f>IF(F230="有效",IF(D230&lt;=2,G230*('参数'!$B$6+'参数'!$B$18),0),"n.a.")</x:f>
        <x:v>0</x:v>
      </x:c>
      <x:c r="S230" s="28" t="n">
        <x:f>IF(F230="有效",IF(D230&gt;=3,G230*'参数'!$B$16,0),"n.a.")</x:f>
        <x:v>96.80000000000001</x:v>
      </x:c>
      <x:c r="T230" s="28" t="n">
        <x:f>IF(F230="有效",IF(D230&gt;=3,G230*'参数'!$B$17,0),"n.a.")</x:f>
        <x:v>12.100000000000001</x:v>
      </x:c>
      <x:c r="U230" s="28" t="n">
        <x:f>IF(F230="有效",SUM(O230:T230),"n.a.")</x:f>
        <x:v>2323.768246568889</x:v>
      </x:c>
      <x:c r="V230" s="28" t="n">
        <x:f>IF(F230="有效",H230*'参数'!$B$7,"n.a.")</x:f>
        <x:v>4416.5</x:v>
      </x:c>
      <x:c r="W230" s="28" t="n">
        <x:f>IF(F230="有效",IF(D230&gt;=3,G230*'参数'!$B$7/'参数'!$B$8,0),"n.a.")</x:f>
        <x:v>88.33</x:v>
      </x:c>
      <x:c r="X230" s="28" t="n">
        <x:f>IF(F230="有效",U230+W230,"n.a.")</x:f>
        <x:v>2412.098246568889</x:v>
      </x:c>
      <x:c r="Y230" s="28" t="n">
        <x:f>IF(F230="有效",X230/G230,"n.a.")</x:f>
        <x:v>19.934696252635447</x:v>
      </x:c>
    </x:row>
    <x:row r="231" ht="22" customHeight="1">
      <x:c r="A231" s="11" t="str">
        <x:v>lade_0827_10aoi</x:v>
      </x:c>
      <x:c r="B231" s="22" t="n">
        <x:v>10</x:v>
      </x:c>
      <x:c r="C231" s="22" t="n">
        <x:v>1</x:v>
      </x:c>
      <x:c r="D231" s="22" t="n">
        <x:v>4</x:v>
      </x:c>
      <x:c r="E231" s="22" t="n">
        <x:v>42</x:v>
      </x:c>
      <x:c r="F231" s="30" t="str">
        <x:v>有效</x:v>
      </x:c>
      <x:c r="G231" s="22" t="n">
        <x:v>121</x:v>
      </x:c>
      <x:c r="H231" s="22" t="n">
        <x:v>121</x:v>
      </x:c>
      <x:c r="I231" s="24" t="n">
        <x:v>63.013999999999996</x:v>
      </x:c>
      <x:c r="J231" s="24" t="n">
        <x:v>42.8685</x:v>
      </x:c>
      <x:c r="K231" s="24" t="n">
        <x:v>738.65</x:v>
      </x:c>
      <x:c r="L231" s="24" t="n">
        <x:v>1424.3333333333333</x:v>
      </x:c>
      <x:c r="M231" s="10" t="n">
        <x:v>1</x:v>
      </x:c>
      <x:c r="N231" s="10" t="n">
        <x:v>3</x:v>
      </x:c>
      <x:c r="O231" s="28" t="n">
        <x:f>IF(F231="有效",I231*'参数'!$B$10+J231*'参数'!$B$11,"n.a.")</x:f>
        <x:v>95.511309125</x:v>
      </x:c>
      <x:c r="P231" s="28" t="n">
        <x:f>IF(F231="有效",K231*'参数'!$B$12+L231*'参数'!$B$13,"n.a.")</x:f>
        <x:v>1840.0927774305555</x:v>
      </x:c>
      <x:c r="Q231" s="28" t="n">
        <x:f>IF(F231="有效",M231*'参数'!$B$14+N231*'参数'!$B$15,"n.a.")</x:f>
        <x:v>280</x:v>
      </x:c>
      <x:c r="R231" s="28" t="n">
        <x:f>IF(F231="有效",IF(D231&lt;=2,G231*('参数'!$B$6+'参数'!$B$18),0),"n.a.")</x:f>
        <x:v>0</x:v>
      </x:c>
      <x:c r="S231" s="28" t="n">
        <x:f>IF(F231="有效",IF(D231&gt;=3,G231*'参数'!$B$16,0),"n.a.")</x:f>
        <x:v>96.80000000000001</x:v>
      </x:c>
      <x:c r="T231" s="28" t="n">
        <x:f>IF(F231="有效",IF(D231&gt;=3,G231*'参数'!$B$17,0),"n.a.")</x:f>
        <x:v>12.100000000000001</x:v>
      </x:c>
      <x:c r="U231" s="28" t="n">
        <x:f>IF(F231="有效",SUM(O231:T231),"n.a.")</x:f>
        <x:v>2324.5040865555557</x:v>
      </x:c>
      <x:c r="V231" s="28" t="n">
        <x:f>IF(F231="有效",H231*'参数'!$B$7,"n.a.")</x:f>
        <x:v>4416.5</x:v>
      </x:c>
      <x:c r="W231" s="28" t="n">
        <x:f>IF(F231="有效",IF(D231&gt;=3,G231*'参数'!$B$7/'参数'!$B$8,0),"n.a.")</x:f>
        <x:v>88.33</x:v>
      </x:c>
      <x:c r="X231" s="28" t="n">
        <x:f>IF(F231="有效",U231+W231,"n.a.")</x:f>
        <x:v>2412.8340865555556</x:v>
      </x:c>
      <x:c r="Y231" s="28" t="n">
        <x:f>IF(F231="有效",X231/G231,"n.a.")</x:f>
        <x:v>19.940777574839302</x:v>
      </x:c>
    </x:row>
    <x:row r="232" ht="22" customHeight="1">
      <x:c r="A232" s="11" t="str">
        <x:v>lade_0827_10aoi</x:v>
      </x:c>
      <x:c r="B232" s="22" t="n">
        <x:v>10</x:v>
      </x:c>
      <x:c r="C232" s="22" t="n">
        <x:v>1</x:v>
      </x:c>
      <x:c r="D232" s="22" t="n">
        <x:v>4</x:v>
      </x:c>
      <x:c r="E232" s="22" t="n">
        <x:v>43</x:v>
      </x:c>
      <x:c r="F232" s="30" t="str">
        <x:v>有效</x:v>
      </x:c>
      <x:c r="G232" s="22" t="n">
        <x:v>121</x:v>
      </x:c>
      <x:c r="H232" s="22" t="n">
        <x:v>121</x:v>
      </x:c>
      <x:c r="I232" s="24" t="n">
        <x:v>63.013999999999996</x:v>
      </x:c>
      <x:c r="J232" s="24" t="n">
        <x:v>40.069700000000005</x:v>
      </x:c>
      <x:c r="K232" s="24" t="n">
        <x:v>738.65</x:v>
      </x:c>
      <x:c r="L232" s="24" t="n">
        <x:v>1424.3333333333333</x:v>
      </x:c>
      <x:c r="M232" s="10" t="n">
        <x:v>1</x:v>
      </x:c>
      <x:c r="N232" s="10" t="n">
        <x:v>3</x:v>
      </x:c>
      <x:c r="O232" s="28" t="n">
        <x:f>IF(F232="有效",I232*'参数'!$B$10+J232*'参数'!$B$11,"n.a.")</x:f>
        <x:v>92.986651585</x:v>
      </x:c>
      <x:c r="P232" s="28" t="n">
        <x:f>IF(F232="有效",K232*'参数'!$B$12+L232*'参数'!$B$13,"n.a.")</x:f>
        <x:v>1840.0927774305555</x:v>
      </x:c>
      <x:c r="Q232" s="28" t="n">
        <x:f>IF(F232="有效",M232*'参数'!$B$14+N232*'参数'!$B$15,"n.a.")</x:f>
        <x:v>280</x:v>
      </x:c>
      <x:c r="R232" s="28" t="n">
        <x:f>IF(F232="有效",IF(D232&lt;=2,G232*('参数'!$B$6+'参数'!$B$18),0),"n.a.")</x:f>
        <x:v>0</x:v>
      </x:c>
      <x:c r="S232" s="28" t="n">
        <x:f>IF(F232="有效",IF(D232&gt;=3,G232*'参数'!$B$16,0),"n.a.")</x:f>
        <x:v>96.80000000000001</x:v>
      </x:c>
      <x:c r="T232" s="28" t="n">
        <x:f>IF(F232="有效",IF(D232&gt;=3,G232*'参数'!$B$17,0),"n.a.")</x:f>
        <x:v>12.100000000000001</x:v>
      </x:c>
      <x:c r="U232" s="28" t="n">
        <x:f>IF(F232="有效",SUM(O232:T232),"n.a.")</x:f>
        <x:v>2321.9794290155555</x:v>
      </x:c>
      <x:c r="V232" s="28" t="n">
        <x:f>IF(F232="有效",H232*'参数'!$B$7,"n.a.")</x:f>
        <x:v>4416.5</x:v>
      </x:c>
      <x:c r="W232" s="28" t="n">
        <x:f>IF(F232="有效",IF(D232&gt;=3,G232*'参数'!$B$7/'参数'!$B$8,0),"n.a.")</x:f>
        <x:v>88.33</x:v>
      </x:c>
      <x:c r="X232" s="28" t="n">
        <x:f>IF(F232="有效",U232+W232,"n.a.")</x:f>
        <x:v>2410.3094290155555</x:v>
      </x:c>
      <x:c r="Y232" s="28" t="n">
        <x:f>IF(F232="有效",X232/G232,"n.a.")</x:f>
        <x:v>19.919912636492192</x:v>
      </x:c>
    </x:row>
    <x:row r="233" ht="22" customHeight="1">
      <x:c r="A233" s="11" t="str">
        <x:v>lade_0827_10aoi</x:v>
      </x:c>
      <x:c r="B233" s="22" t="n">
        <x:v>10</x:v>
      </x:c>
      <x:c r="C233" s="22" t="n">
        <x:v>1</x:v>
      </x:c>
      <x:c r="D233" s="22" t="n">
        <x:v>4</x:v>
      </x:c>
      <x:c r="E233" s="22" t="n">
        <x:v>44</x:v>
      </x:c>
      <x:c r="F233" s="30" t="str">
        <x:v>有效</x:v>
      </x:c>
      <x:c r="G233" s="22" t="n">
        <x:v>121</x:v>
      </x:c>
      <x:c r="H233" s="22" t="n">
        <x:v>121</x:v>
      </x:c>
      <x:c r="I233" s="24" t="n">
        <x:v>51.137299999999996</x:v>
      </x:c>
      <x:c r="J233" s="24" t="n">
        <x:v>44.074999999999996</x:v>
      </x:c>
      <x:c r="K233" s="24" t="n">
        <x:v>731.4</x:v>
      </x:c>
      <x:c r="L233" s="24" t="n">
        <x:v>887</x:v>
      </x:c>
      <x:c r="M233" s="10" t="n">
        <x:v>1</x:v>
      </x:c>
      <x:c r="N233" s="10" t="n">
        <x:v>2</x:v>
      </x:c>
      <x:c r="O233" s="28" t="n">
        <x:f>IF(F233="有效",I233*'参数'!$B$10+J233*'参数'!$B$11,"n.a.")</x:f>
        <x:v>85.88625521499999</x:v>
      </x:c>
      <x:c r="P233" s="28" t="n">
        <x:f>IF(F233="有效",K233*'参数'!$B$12+L233*'参数'!$B$13,"n.a.")</x:f>
        <x:v>1437.116508333333</x:v>
      </x:c>
      <x:c r="Q233" s="28" t="n">
        <x:f>IF(F233="有效",M233*'参数'!$B$14+N233*'参数'!$B$15,"n.a.")</x:f>
        <x:v>220</x:v>
      </x:c>
      <x:c r="R233" s="28" t="n">
        <x:f>IF(F233="有效",IF(D233&lt;=2,G233*('参数'!$B$6+'参数'!$B$18),0),"n.a.")</x:f>
        <x:v>0</x:v>
      </x:c>
      <x:c r="S233" s="28" t="n">
        <x:f>IF(F233="有效",IF(D233&gt;=3,G233*'参数'!$B$16,0),"n.a.")</x:f>
        <x:v>96.80000000000001</x:v>
      </x:c>
      <x:c r="T233" s="28" t="n">
        <x:f>IF(F233="有效",IF(D233&gt;=3,G233*'参数'!$B$17,0),"n.a.")</x:f>
        <x:v>12.100000000000001</x:v>
      </x:c>
      <x:c r="U233" s="28" t="n">
        <x:f>IF(F233="有效",SUM(O233:T233),"n.a.")</x:f>
        <x:v>1851.9027635483328</x:v>
      </x:c>
      <x:c r="V233" s="28" t="n">
        <x:f>IF(F233="有效",H233*'参数'!$B$7,"n.a.")</x:f>
        <x:v>4416.5</x:v>
      </x:c>
      <x:c r="W233" s="28" t="n">
        <x:f>IF(F233="有效",IF(D233&gt;=3,G233*'参数'!$B$7/'参数'!$B$8,0),"n.a.")</x:f>
        <x:v>88.33</x:v>
      </x:c>
      <x:c r="X233" s="28" t="n">
        <x:f>IF(F233="有效",U233+W233,"n.a.")</x:f>
        <x:v>1940.2327635483327</x:v>
      </x:c>
      <x:c r="Y233" s="28" t="n">
        <x:f>IF(F233="有效",X233/G233,"n.a.")</x:f>
        <x:v>16.03498151692837</x:v>
      </x:c>
    </x:row>
    <x:row r="234" ht="22" customHeight="1">
      <x:c r="A234" s="11" t="str">
        <x:v>lade_0827_10aoi</x:v>
      </x:c>
      <x:c r="B234" s="22" t="n">
        <x:v>10</x:v>
      </x:c>
      <x:c r="C234" s="22" t="n">
        <x:v>2</x:v>
      </x:c>
      <x:c r="D234" s="22" t="n">
        <x:v>5</x:v>
      </x:c>
      <x:c r="E234" s="22" t="n">
        <x:v>42</x:v>
      </x:c>
      <x:c r="F234" s="30" t="str">
        <x:v>有效</x:v>
      </x:c>
      <x:c r="G234" s="22" t="n">
        <x:v>121</x:v>
      </x:c>
      <x:c r="H234" s="22" t="n">
        <x:v>121</x:v>
      </x:c>
      <x:c r="I234" s="24" t="n">
        <x:v>113.18350000000001</x:v>
      </x:c>
      <x:c r="J234" s="24" t="n">
        <x:v>45.850699999999996</x:v>
      </x:c>
      <x:c r="K234" s="24" t="n">
        <x:v>703.1</x:v>
      </x:c>
      <x:c r="L234" s="24" t="n">
        <x:v>1183.8666666666666</x:v>
      </x:c>
      <x:c r="M234" s="10" t="n">
        <x:v>2</x:v>
      </x:c>
      <x:c r="N234" s="10" t="n">
        <x:v>3</x:v>
      </x:c>
      <x:c r="O234" s="28" t="n">
        <x:f>IF(F234="有效",I234*'参数'!$B$10+J234*'参数'!$B$11,"n.a.")</x:f>
        <x:v>143.45680011000002</x:v>
      </x:c>
      <x:c r="P234" s="28" t="n">
        <x:f>IF(F234="有效",K234*'参数'!$B$12+L234*'参数'!$B$13,"n.a.")</x:f>
        <x:v>1625.0916256944442</x:v>
      </x:c>
      <x:c r="Q234" s="28" t="n">
        <x:f>IF(F234="有效",M234*'参数'!$B$14+N234*'参数'!$B$15,"n.a.")</x:f>
        <x:v>380</x:v>
      </x:c>
      <x:c r="R234" s="28" t="n">
        <x:f>IF(F234="有效",IF(D234&lt;=2,G234*('参数'!$B$6+'参数'!$B$18),0),"n.a.")</x:f>
        <x:v>0</x:v>
      </x:c>
      <x:c r="S234" s="28" t="n">
        <x:f>IF(F234="有效",IF(D234&gt;=3,G234*'参数'!$B$16,0),"n.a.")</x:f>
        <x:v>96.80000000000001</x:v>
      </x:c>
      <x:c r="T234" s="28" t="n">
        <x:f>IF(F234="有效",IF(D234&gt;=3,G234*'参数'!$B$17,0),"n.a.")</x:f>
        <x:v>12.100000000000001</x:v>
      </x:c>
      <x:c r="U234" s="28" t="n">
        <x:f>IF(F234="有效",SUM(O234:T234),"n.a.")</x:f>
        <x:v>2257.4484258044445</x:v>
      </x:c>
      <x:c r="V234" s="28" t="n">
        <x:f>IF(F234="有效",H234*'参数'!$B$7,"n.a.")</x:f>
        <x:v>4416.5</x:v>
      </x:c>
      <x:c r="W234" s="28" t="n">
        <x:f>IF(F234="有效",IF(D234&gt;=3,G234*'参数'!$B$7/'参数'!$B$8,0),"n.a.")</x:f>
        <x:v>88.33</x:v>
      </x:c>
      <x:c r="X234" s="28" t="n">
        <x:f>IF(F234="有效",U234+W234,"n.a.")</x:f>
        <x:v>2345.7784258044444</x:v>
      </x:c>
      <x:c r="Y234" s="28" t="n">
        <x:f>IF(F234="有效",X234/G234,"n.a.")</x:f>
        <x:v>19.386598560367307</x:v>
      </x:c>
    </x:row>
    <x:row r="235" ht="22" customHeight="1">
      <x:c r="A235" s="11" t="str">
        <x:v>lade_0827_10aoi</x:v>
      </x:c>
      <x:c r="B235" s="22" t="n">
        <x:v>10</x:v>
      </x:c>
      <x:c r="C235" s="22" t="n">
        <x:v>2</x:v>
      </x:c>
      <x:c r="D235" s="22" t="n">
        <x:v>5</x:v>
      </x:c>
      <x:c r="E235" s="22" t="n">
        <x:v>43</x:v>
      </x:c>
      <x:c r="F235" s="30" t="str">
        <x:v>有效</x:v>
      </x:c>
      <x:c r="G235" s="22" t="n">
        <x:v>121</x:v>
      </x:c>
      <x:c r="H235" s="22" t="n">
        <x:v>121</x:v>
      </x:c>
      <x:c r="I235" s="24" t="n">
        <x:v>159.0438</x:v>
      </x:c>
      <x:c r="J235" s="24" t="n">
        <x:v>45.850699999999996</x:v>
      </x:c>
      <x:c r="K235" s="24" t="n">
        <x:v>1144.2</x:v>
      </x:c>
      <x:c r="L235" s="24" t="n">
        <x:v>1306.95</x:v>
      </x:c>
      <x:c r="M235" s="10" t="n">
        <x:v>3</x:v>
      </x:c>
      <x:c r="N235" s="10" t="n">
        <x:v>3</x:v>
      </x:c>
      <x:c r="O235" s="28" t="n">
        <x:f>IF(F235="有效",I235*'参数'!$B$10+J235*'参数'!$B$11,"n.a.")</x:f>
        <x:v>184.825083725</x:v>
      </x:c>
      <x:c r="P235" s="28" t="n">
        <x:f>IF(F235="有效",K235*'参数'!$B$12+L235*'参数'!$B$13,"n.a.")</x:f>
        <x:v>2188.8895843749997</x:v>
      </x:c>
      <x:c r="Q235" s="28" t="n">
        <x:f>IF(F235="有效",M235*'参数'!$B$14+N235*'参数'!$B$15,"n.a.")</x:f>
        <x:v>480</x:v>
      </x:c>
      <x:c r="R235" s="28" t="n">
        <x:f>IF(F235="有效",IF(D235&lt;=2,G235*('参数'!$B$6+'参数'!$B$18),0),"n.a.")</x:f>
        <x:v>0</x:v>
      </x:c>
      <x:c r="S235" s="28" t="n">
        <x:f>IF(F235="有效",IF(D235&gt;=3,G235*'参数'!$B$16,0),"n.a.")</x:f>
        <x:v>96.80000000000001</x:v>
      </x:c>
      <x:c r="T235" s="28" t="n">
        <x:f>IF(F235="有效",IF(D235&gt;=3,G235*'参数'!$B$17,0),"n.a.")</x:f>
        <x:v>12.100000000000001</x:v>
      </x:c>
      <x:c r="U235" s="28" t="n">
        <x:f>IF(F235="有效",SUM(O235:T235),"n.a.")</x:f>
        <x:v>2962.6146680999996</x:v>
      </x:c>
      <x:c r="V235" s="28" t="n">
        <x:f>IF(F235="有效",H235*'参数'!$B$7,"n.a.")</x:f>
        <x:v>4416.5</x:v>
      </x:c>
      <x:c r="W235" s="28" t="n">
        <x:f>IF(F235="有效",IF(D235&gt;=3,G235*'参数'!$B$7/'参数'!$B$8,0),"n.a.")</x:f>
        <x:v>88.33</x:v>
      </x:c>
      <x:c r="X235" s="28" t="n">
        <x:f>IF(F235="有效",U235+W235,"n.a.")</x:f>
        <x:v>3050.9446680999995</x:v>
      </x:c>
      <x:c r="Y235" s="28" t="n">
        <x:f>IF(F235="有效",X235/G235,"n.a.")</x:f>
        <x:v>25.214418744628095</x:v>
      </x:c>
    </x:row>
    <x:row r="236" ht="22" customHeight="1">
      <x:c r="A236" s="11" t="str">
        <x:v>lade_0827_10aoi</x:v>
      </x:c>
      <x:c r="B236" s="22" t="n">
        <x:v>10</x:v>
      </x:c>
      <x:c r="C236" s="22" t="n">
        <x:v>2</x:v>
      </x:c>
      <x:c r="D236" s="22" t="n">
        <x:v>5</x:v>
      </x:c>
      <x:c r="E236" s="22" t="n">
        <x:v>44</x:v>
      </x:c>
      <x:c r="F236" s="30" t="str">
        <x:v>有效</x:v>
      </x:c>
      <x:c r="G236" s="22" t="n">
        <x:v>121</x:v>
      </x:c>
      <x:c r="H236" s="22" t="n">
        <x:v>121</x:v>
      </x:c>
      <x:c r="I236" s="24" t="n">
        <x:v>113.18350000000001</x:v>
      </x:c>
      <x:c r="J236" s="24" t="n">
        <x:v>45.850699999999996</x:v>
      </x:c>
      <x:c r="K236" s="24" t="n">
        <x:v>703.1</x:v>
      </x:c>
      <x:c r="L236" s="24" t="n">
        <x:v>1183.8666666666666</x:v>
      </x:c>
      <x:c r="M236" s="10" t="n">
        <x:v>2</x:v>
      </x:c>
      <x:c r="N236" s="10" t="n">
        <x:v>3</x:v>
      </x:c>
      <x:c r="O236" s="28" t="n">
        <x:f>IF(F236="有效",I236*'参数'!$B$10+J236*'参数'!$B$11,"n.a.")</x:f>
        <x:v>143.45680011000002</x:v>
      </x:c>
      <x:c r="P236" s="28" t="n">
        <x:f>IF(F236="有效",K236*'参数'!$B$12+L236*'参数'!$B$13,"n.a.")</x:f>
        <x:v>1625.0916256944442</x:v>
      </x:c>
      <x:c r="Q236" s="28" t="n">
        <x:f>IF(F236="有效",M236*'参数'!$B$14+N236*'参数'!$B$15,"n.a.")</x:f>
        <x:v>380</x:v>
      </x:c>
      <x:c r="R236" s="28" t="n">
        <x:f>IF(F236="有效",IF(D236&lt;=2,G236*('参数'!$B$6+'参数'!$B$18),0),"n.a.")</x:f>
        <x:v>0</x:v>
      </x:c>
      <x:c r="S236" s="28" t="n">
        <x:f>IF(F236="有效",IF(D236&gt;=3,G236*'参数'!$B$16,0),"n.a.")</x:f>
        <x:v>96.80000000000001</x:v>
      </x:c>
      <x:c r="T236" s="28" t="n">
        <x:f>IF(F236="有效",IF(D236&gt;=3,G236*'参数'!$B$17,0),"n.a.")</x:f>
        <x:v>12.100000000000001</x:v>
      </x:c>
      <x:c r="U236" s="28" t="n">
        <x:f>IF(F236="有效",SUM(O236:T236),"n.a.")</x:f>
        <x:v>2257.4484258044445</x:v>
      </x:c>
      <x:c r="V236" s="28" t="n">
        <x:f>IF(F236="有效",H236*'参数'!$B$7,"n.a.")</x:f>
        <x:v>4416.5</x:v>
      </x:c>
      <x:c r="W236" s="28" t="n">
        <x:f>IF(F236="有效",IF(D236&gt;=3,G236*'参数'!$B$7/'参数'!$B$8,0),"n.a.")</x:f>
        <x:v>88.33</x:v>
      </x:c>
      <x:c r="X236" s="28" t="n">
        <x:f>IF(F236="有效",U236+W236,"n.a.")</x:f>
        <x:v>2345.7784258044444</x:v>
      </x:c>
      <x:c r="Y236" s="28" t="n">
        <x:f>IF(F236="有效",X236/G236,"n.a.")</x:f>
        <x:v>19.386598560367307</x:v>
      </x:c>
    </x:row>
    <x:row r="237" ht="22" customHeight="1">
      <x:c r="A237" s="11" t="str">
        <x:v>lade_0827_10aoi</x:v>
      </x:c>
      <x:c r="B237" s="22" t="n">
        <x:v>10</x:v>
      </x:c>
      <x:c r="C237" s="22" t="n">
        <x:v>3</x:v>
      </x:c>
      <x:c r="D237" s="22" t="n">
        <x:v>5</x:v>
      </x:c>
      <x:c r="E237" s="22" t="n">
        <x:v>42</x:v>
      </x:c>
      <x:c r="F237" s="30" t="str">
        <x:v>有效</x:v>
      </x:c>
      <x:c r="G237" s="22" t="n">
        <x:v>121</x:v>
      </x:c>
      <x:c r="H237" s="22" t="n">
        <x:v>121</x:v>
      </x:c>
      <x:c r="I237" s="24" t="n">
        <x:v>263.7433</x:v>
      </x:c>
      <x:c r="J237" s="24" t="n">
        <x:v>54.29719999999999</x:v>
      </x:c>
      <x:c r="K237" s="24" t="n">
        <x:v>1117.4166666666667</x:v>
      </x:c>
      <x:c r="L237" s="24" t="n">
        <x:v>814.9833333333333</x:v>
      </x:c>
      <x:c r="M237" s="10" t="n">
        <x:v>3</x:v>
      </x:c>
      <x:c r="N237" s="10" t="n">
        <x:v>3</x:v>
      </x:c>
      <x:c r="O237" s="28" t="n">
        <x:f>IF(F237="有效",I237*'参数'!$B$10+J237*'参数'!$B$11,"n.a.")</x:f>
        <x:v>286.888433025</x:v>
      </x:c>
      <x:c r="P237" s="28" t="n">
        <x:f>IF(F237="有效",K237*'参数'!$B$12+L237*'参数'!$B$13,"n.a.")</x:f>
        <x:v>1798.3215076388888</x:v>
      </x:c>
      <x:c r="Q237" s="28" t="n">
        <x:f>IF(F237="有效",M237*'参数'!$B$14+N237*'参数'!$B$15,"n.a.")</x:f>
        <x:v>480</x:v>
      </x:c>
      <x:c r="R237" s="28" t="n">
        <x:f>IF(F237="有效",IF(D237&lt;=2,G237*('参数'!$B$6+'参数'!$B$18),0),"n.a.")</x:f>
        <x:v>0</x:v>
      </x:c>
      <x:c r="S237" s="28" t="n">
        <x:f>IF(F237="有效",IF(D237&gt;=3,G237*'参数'!$B$16,0),"n.a.")</x:f>
        <x:v>96.80000000000001</x:v>
      </x:c>
      <x:c r="T237" s="28" t="n">
        <x:f>IF(F237="有效",IF(D237&gt;=3,G237*'参数'!$B$17,0),"n.a.")</x:f>
        <x:v>12.100000000000001</x:v>
      </x:c>
      <x:c r="U237" s="28" t="n">
        <x:f>IF(F237="有效",SUM(O237:T237),"n.a.")</x:f>
        <x:v>2674.1099406638887</x:v>
      </x:c>
      <x:c r="V237" s="28" t="n">
        <x:f>IF(F237="有效",H237*'参数'!$B$7,"n.a.")</x:f>
        <x:v>4416.5</x:v>
      </x:c>
      <x:c r="W237" s="28" t="n">
        <x:f>IF(F237="有效",IF(D237&gt;=3,G237*'参数'!$B$7/'参数'!$B$8,0),"n.a.")</x:f>
        <x:v>88.33</x:v>
      </x:c>
      <x:c r="X237" s="28" t="n">
        <x:f>IF(F237="有效",U237+W237,"n.a.")</x:f>
        <x:v>2762.4399406638886</x:v>
      </x:c>
      <x:c r="Y237" s="28" t="n">
        <x:f>IF(F237="有效",X237/G237,"n.a.")</x:f>
        <x:v>22.830082154247012</x:v>
      </x:c>
    </x:row>
    <x:row r="238" ht="22" customHeight="1">
      <x:c r="A238" s="11" t="str">
        <x:v>lade_0827_10aoi</x:v>
      </x:c>
      <x:c r="B238" s="22" t="n">
        <x:v>10</x:v>
      </x:c>
      <x:c r="C238" s="22" t="n">
        <x:v>3</x:v>
      </x:c>
      <x:c r="D238" s="22" t="n">
        <x:v>5</x:v>
      </x:c>
      <x:c r="E238" s="22" t="n">
        <x:v>43</x:v>
      </x:c>
      <x:c r="F238" s="30" t="str">
        <x:v>有效</x:v>
      </x:c>
      <x:c r="G238" s="22" t="n">
        <x:v>121</x:v>
      </x:c>
      <x:c r="H238" s="22" t="n">
        <x:v>121</x:v>
      </x:c>
      <x:c r="I238" s="24" t="n">
        <x:v>218.85080000000002</x:v>
      </x:c>
      <x:c r="J238" s="24" t="n">
        <x:v>54.29719999999999</x:v>
      </x:c>
      <x:c r="K238" s="24" t="n">
        <x:v>918.2666666666667</x:v>
      </x:c>
      <x:c r="L238" s="24" t="n">
        <x:v>872.1</x:v>
      </x:c>
      <x:c r="M238" s="10" t="n">
        <x:v>3</x:v>
      </x:c>
      <x:c r="N238" s="10" t="n">
        <x:v>3</x:v>
      </x:c>
      <x:c r="O238" s="28" t="n">
        <x:f>IF(F238="有效",I238*'参数'!$B$10+J238*'参数'!$B$11,"n.a.")</x:f>
        <x:v>246.39315340000002</x:v>
      </x:c>
      <x:c r="P238" s="28" t="n">
        <x:f>IF(F238="有效",K238*'参数'!$B$12+L238*'参数'!$B$13,"n.a.")</x:f>
        <x:v>1626.6541229166664</x:v>
      </x:c>
      <x:c r="Q238" s="28" t="n">
        <x:f>IF(F238="有效",M238*'参数'!$B$14+N238*'参数'!$B$15,"n.a.")</x:f>
        <x:v>480</x:v>
      </x:c>
      <x:c r="R238" s="28" t="n">
        <x:f>IF(F238="有效",IF(D238&lt;=2,G238*('参数'!$B$6+'参数'!$B$18),0),"n.a.")</x:f>
        <x:v>0</x:v>
      </x:c>
      <x:c r="S238" s="28" t="n">
        <x:f>IF(F238="有效",IF(D238&gt;=3,G238*'参数'!$B$16,0),"n.a.")</x:f>
        <x:v>96.80000000000001</x:v>
      </x:c>
      <x:c r="T238" s="28" t="n">
        <x:f>IF(F238="有效",IF(D238&gt;=3,G238*'参数'!$B$17,0),"n.a.")</x:f>
        <x:v>12.100000000000001</x:v>
      </x:c>
      <x:c r="U238" s="28" t="n">
        <x:f>IF(F238="有效",SUM(O238:T238),"n.a.")</x:f>
        <x:v>2461.9472763166664</x:v>
      </x:c>
      <x:c r="V238" s="28" t="n">
        <x:f>IF(F238="有效",H238*'参数'!$B$7,"n.a.")</x:f>
        <x:v>4416.5</x:v>
      </x:c>
      <x:c r="W238" s="28" t="n">
        <x:f>IF(F238="有效",IF(D238&gt;=3,G238*'参数'!$B$7/'参数'!$B$8,0),"n.a.")</x:f>
        <x:v>88.33</x:v>
      </x:c>
      <x:c r="X238" s="28" t="n">
        <x:f>IF(F238="有效",U238+W238,"n.a.")</x:f>
        <x:v>2550.2772763166663</x:v>
      </x:c>
      <x:c r="Y238" s="28" t="n">
        <x:f>IF(F238="有效",X238/G238,"n.a.")</x:f>
        <x:v>21.076671705096416</x:v>
      </x:c>
    </x:row>
    <x:row r="239" ht="22" customHeight="1">
      <x:c r="A239" s="11" t="str">
        <x:v>lade_0827_10aoi</x:v>
      </x:c>
      <x:c r="B239" s="22" t="n">
        <x:v>10</x:v>
      </x:c>
      <x:c r="C239" s="22" t="n">
        <x:v>3</x:v>
      </x:c>
      <x:c r="D239" s="22" t="n">
        <x:v>5</x:v>
      </x:c>
      <x:c r="E239" s="22" t="n">
        <x:v>44</x:v>
      </x:c>
      <x:c r="F239" s="30" t="str">
        <x:v>有效</x:v>
      </x:c>
      <x:c r="G239" s="22" t="n">
        <x:v>121</x:v>
      </x:c>
      <x:c r="H239" s="22" t="n">
        <x:v>121</x:v>
      </x:c>
      <x:c r="I239" s="24" t="n">
        <x:v>263.7433</x:v>
      </x:c>
      <x:c r="J239" s="24" t="n">
        <x:v>54.29719999999999</x:v>
      </x:c>
      <x:c r="K239" s="24" t="n">
        <x:v>1072.4166666666667</x:v>
      </x:c>
      <x:c r="L239" s="24" t="n">
        <x:v>933.7333333333333</x:v>
      </x:c>
      <x:c r="M239" s="10" t="n">
        <x:v>3</x:v>
      </x:c>
      <x:c r="N239" s="10" t="n">
        <x:v>3</x:v>
      </x:c>
      <x:c r="O239" s="28" t="n">
        <x:f>IF(F239="有效",I239*'参数'!$B$10+J239*'参数'!$B$11,"n.a.")</x:f>
        <x:v>286.888433025</x:v>
      </x:c>
      <x:c r="P239" s="28" t="n">
        <x:f>IF(F239="有效",K239*'参数'!$B$12+L239*'参数'!$B$13,"n.a.")</x:f>
        <x:v>1837.3774711805556</x:v>
      </x:c>
      <x:c r="Q239" s="28" t="n">
        <x:f>IF(F239="有效",M239*'参数'!$B$14+N239*'参数'!$B$15,"n.a.")</x:f>
        <x:v>480</x:v>
      </x:c>
      <x:c r="R239" s="28" t="n">
        <x:f>IF(F239="有效",IF(D239&lt;=2,G239*('参数'!$B$6+'参数'!$B$18),0),"n.a.")</x:f>
        <x:v>0</x:v>
      </x:c>
      <x:c r="S239" s="28" t="n">
        <x:f>IF(F239="有效",IF(D239&gt;=3,G239*'参数'!$B$16,0),"n.a.")</x:f>
        <x:v>96.80000000000001</x:v>
      </x:c>
      <x:c r="T239" s="28" t="n">
        <x:f>IF(F239="有效",IF(D239&gt;=3,G239*'参数'!$B$17,0),"n.a.")</x:f>
        <x:v>12.100000000000001</x:v>
      </x:c>
      <x:c r="U239" s="28" t="n">
        <x:f>IF(F239="有效",SUM(O239:T239),"n.a.")</x:f>
        <x:v>2713.1659042055558</x:v>
      </x:c>
      <x:c r="V239" s="28" t="n">
        <x:f>IF(F239="有效",H239*'参数'!$B$7,"n.a.")</x:f>
        <x:v>4416.5</x:v>
      </x:c>
      <x:c r="W239" s="28" t="n">
        <x:f>IF(F239="有效",IF(D239&gt;=3,G239*'参数'!$B$7/'参数'!$B$8,0),"n.a.")</x:f>
        <x:v>88.33</x:v>
      </x:c>
      <x:c r="X239" s="28" t="n">
        <x:f>IF(F239="有效",U239+W239,"n.a.")</x:f>
        <x:v>2801.4959042055557</x:v>
      </x:c>
      <x:c r="Y239" s="28" t="n">
        <x:f>IF(F239="有效",X239/G239,"n.a.")</x:f>
        <x:v>23.152858712442608</x:v>
      </x:c>
    </x:row>
    <x:row r="240" ht="22" customHeight="1">
      <x:c r="A240" s="11" t="str">
        <x:v>lade_0827_20aoi</x:v>
      </x:c>
      <x:c r="B240" s="22" t="n">
        <x:v>20</x:v>
      </x:c>
      <x:c r="C240" s="22" t="n">
        <x:v>1</x:v>
      </x:c>
      <x:c r="D240" s="22" t="n">
        <x:v>1</x:v>
      </x:c>
      <x:c r="E240" s="22" t="n">
        <x:v>42</x:v>
      </x:c>
      <x:c r="F240" s="30" t="str">
        <x:v>有效</x:v>
      </x:c>
      <x:c r="G240" s="22" t="n">
        <x:v>187</x:v>
      </x:c>
      <x:c r="H240" s="22" t="n">
        <x:v>0</x:v>
      </x:c>
      <x:c r="I240" s="24" t="n">
        <x:v>59.477500000000006</x:v>
      </x:c>
      <x:c r="J240" s="24" t="n">
        <x:v>53.68819999999999</x:v>
      </x:c>
      <x:c r="K240" s="24" t="n">
        <x:v>60.63333333333333</x:v>
      </x:c>
      <x:c r="L240" s="24" t="n">
        <x:v>2202.9166666666665</x:v>
      </x:c>
      <x:c r="M240" s="10" t="n">
        <x:v>1</x:v>
      </x:c>
      <x:c r="N240" s="10" t="n">
        <x:v>5</x:v>
      </x:c>
      <x:c r="O240" s="28" t="n">
        <x:f>IF(F240="有效",I240*'参数'!$B$10+J240*'参数'!$B$11,"n.a.")</x:f>
        <x:v>102.081119685</x:v>
      </x:c>
      <x:c r="P240" s="28" t="n">
        <x:f>IF(F240="有效",K240*'参数'!$B$12+L240*'参数'!$B$13,"n.a.")</x:f>
        <x:v>1685.2550913194445</x:v>
      </x:c>
      <x:c r="Q240" s="28" t="n">
        <x:f>IF(F240="有效",M240*'参数'!$B$14+N240*'参数'!$B$15,"n.a.")</x:f>
        <x:v>400</x:v>
      </x:c>
      <x:c r="R240" s="28" t="n">
        <x:f>IF(F240="有效",IF(D240&lt;=2,G240*('参数'!$B$6+'参数'!$B$18),0),"n.a.")</x:f>
        <x:v>748</x:v>
      </x:c>
      <x:c r="S240" s="28" t="n">
        <x:f>IF(F240="有效",IF(D240&gt;=3,G240*'参数'!$B$16,0),"n.a.")</x:f>
        <x:v>0</x:v>
      </x:c>
      <x:c r="T240" s="28" t="n">
        <x:f>IF(F240="有效",IF(D240&gt;=3,G240*'参数'!$B$17,0),"n.a.")</x:f>
        <x:v>0</x:v>
      </x:c>
      <x:c r="U240" s="28" t="n">
        <x:f>IF(F240="有效",SUM(O240:T240),"n.a.")</x:f>
        <x:v>2935.3362110044445</x:v>
      </x:c>
      <x:c r="V240" s="28" t="n">
        <x:f>IF(F240="有效",H240*'参数'!$B$7,"n.a.")</x:f>
        <x:v>0</x:v>
      </x:c>
      <x:c r="W240" s="28" t="n">
        <x:f>IF(F240="有效",IF(D240&gt;=3,G240*'参数'!$B$7/'参数'!$B$8,0),"n.a.")</x:f>
        <x:v>0</x:v>
      </x:c>
      <x:c r="X240" s="28" t="n">
        <x:f>IF(F240="有效",U240+W240,"n.a.")</x:f>
        <x:v>2935.3362110044445</x:v>
      </x:c>
      <x:c r="Y240" s="28" t="n">
        <x:f>IF(F240="有效",X240/G240,"n.a.")</x:f>
        <x:v>15.696985085585265</x:v>
      </x:c>
    </x:row>
    <x:row r="241" ht="22" customHeight="1">
      <x:c r="A241" s="11" t="str">
        <x:v>lade_0827_20aoi</x:v>
      </x:c>
      <x:c r="B241" s="22" t="n">
        <x:v>20</x:v>
      </x:c>
      <x:c r="C241" s="22" t="n">
        <x:v>1</x:v>
      </x:c>
      <x:c r="D241" s="22" t="n">
        <x:v>1</x:v>
      </x:c>
      <x:c r="E241" s="22" t="n">
        <x:v>43</x:v>
      </x:c>
      <x:c r="F241" s="30" t="str">
        <x:v>有效</x:v>
      </x:c>
      <x:c r="G241" s="22" t="n">
        <x:v>187</x:v>
      </x:c>
      <x:c r="H241" s="22" t="n">
        <x:v>0</x:v>
      </x:c>
      <x:c r="I241" s="24" t="n">
        <x:v>59.477500000000006</x:v>
      </x:c>
      <x:c r="J241" s="24" t="n">
        <x:v>53.68349999999998</x:v>
      </x:c>
      <x:c r="K241" s="24" t="n">
        <x:v>60.63333333333333</x:v>
      </x:c>
      <x:c r="L241" s="24" t="n">
        <x:v>2676.4333333333334</x:v>
      </x:c>
      <x:c r="M241" s="10" t="n">
        <x:v>1</x:v>
      </x:c>
      <x:c r="N241" s="10" t="n">
        <x:v>6</x:v>
      </x:c>
      <x:c r="O241" s="28" t="n">
        <x:f>IF(F241="有效",I241*'参数'!$B$10+J241*'参数'!$B$11,"n.a.")</x:f>
        <x:v>102.07688005</x:v>
      </x:c>
      <x:c r="P241" s="28" t="n">
        <x:f>IF(F241="有效",K241*'参数'!$B$12+L241*'参数'!$B$13,"n.a.")</x:f>
        <x:v>2033.5167347222223</x:v>
      </x:c>
      <x:c r="Q241" s="28" t="n">
        <x:f>IF(F241="有效",M241*'参数'!$B$14+N241*'参数'!$B$15,"n.a.")</x:f>
        <x:v>460</x:v>
      </x:c>
      <x:c r="R241" s="28" t="n">
        <x:f>IF(F241="有效",IF(D241&lt;=2,G241*('参数'!$B$6+'参数'!$B$18),0),"n.a.")</x:f>
        <x:v>748</x:v>
      </x:c>
      <x:c r="S241" s="28" t="n">
        <x:f>IF(F241="有效",IF(D241&gt;=3,G241*'参数'!$B$16,0),"n.a.")</x:f>
        <x:v>0</x:v>
      </x:c>
      <x:c r="T241" s="28" t="n">
        <x:f>IF(F241="有效",IF(D241&gt;=3,G241*'参数'!$B$17,0),"n.a.")</x:f>
        <x:v>0</x:v>
      </x:c>
      <x:c r="U241" s="28" t="n">
        <x:f>IF(F241="有效",SUM(O241:T241),"n.a.")</x:f>
        <x:v>3343.5936147722223</x:v>
      </x:c>
      <x:c r="V241" s="28" t="n">
        <x:f>IF(F241="有效",H241*'参数'!$B$7,"n.a.")</x:f>
        <x:v>0</x:v>
      </x:c>
      <x:c r="W241" s="28" t="n">
        <x:f>IF(F241="有效",IF(D241&gt;=3,G241*'参数'!$B$7/'参数'!$B$8,0),"n.a.")</x:f>
        <x:v>0</x:v>
      </x:c>
      <x:c r="X241" s="28" t="n">
        <x:f>IF(F241="有效",U241+W241,"n.a.")</x:f>
        <x:v>3343.5936147722223</x:v>
      </x:c>
      <x:c r="Y241" s="28" t="n">
        <x:f>IF(F241="有效",X241/G241,"n.a.")</x:f>
        <x:v>17.880179758140226</x:v>
      </x:c>
    </x:row>
    <x:row r="242" ht="22" customHeight="1">
      <x:c r="A242" s="11" t="str">
        <x:v>lade_0827_20aoi</x:v>
      </x:c>
      <x:c r="B242" s="22" t="n">
        <x:v>20</x:v>
      </x:c>
      <x:c r="C242" s="22" t="n">
        <x:v>1</x:v>
      </x:c>
      <x:c r="D242" s="22" t="n">
        <x:v>1</x:v>
      </x:c>
      <x:c r="E242" s="22" t="n">
        <x:v>44</x:v>
      </x:c>
      <x:c r="F242" s="30" t="str">
        <x:v>有效</x:v>
      </x:c>
      <x:c r="G242" s="22" t="n">
        <x:v>187</x:v>
      </x:c>
      <x:c r="H242" s="22" t="n">
        <x:v>0</x:v>
      </x:c>
      <x:c r="I242" s="24" t="n">
        <x:v>59.477500000000006</x:v>
      </x:c>
      <x:c r="J242" s="24" t="n">
        <x:v>53.68350000000001</x:v>
      </x:c>
      <x:c r="K242" s="24" t="n">
        <x:v>60.63333333333333</x:v>
      </x:c>
      <x:c r="L242" s="24" t="n">
        <x:v>2676.4333333333334</x:v>
      </x:c>
      <x:c r="M242" s="10" t="n">
        <x:v>1</x:v>
      </x:c>
      <x:c r="N242" s="10" t="n">
        <x:v>6</x:v>
      </x:c>
      <x:c r="O242" s="28" t="n">
        <x:f>IF(F242="有效",I242*'参数'!$B$10+J242*'参数'!$B$11,"n.a.")</x:f>
        <x:v>102.07688005000003</x:v>
      </x:c>
      <x:c r="P242" s="28" t="n">
        <x:f>IF(F242="有效",K242*'参数'!$B$12+L242*'参数'!$B$13,"n.a.")</x:f>
        <x:v>2033.5167347222223</x:v>
      </x:c>
      <x:c r="Q242" s="28" t="n">
        <x:f>IF(F242="有效",M242*'参数'!$B$14+N242*'参数'!$B$15,"n.a.")</x:f>
        <x:v>460</x:v>
      </x:c>
      <x:c r="R242" s="28" t="n">
        <x:f>IF(F242="有效",IF(D242&lt;=2,G242*('参数'!$B$6+'参数'!$B$18),0),"n.a.")</x:f>
        <x:v>748</x:v>
      </x:c>
      <x:c r="S242" s="28" t="n">
        <x:f>IF(F242="有效",IF(D242&gt;=3,G242*'参数'!$B$16,0),"n.a.")</x:f>
        <x:v>0</x:v>
      </x:c>
      <x:c r="T242" s="28" t="n">
        <x:f>IF(F242="有效",IF(D242&gt;=3,G242*'参数'!$B$17,0),"n.a.")</x:f>
        <x:v>0</x:v>
      </x:c>
      <x:c r="U242" s="28" t="n">
        <x:f>IF(F242="有效",SUM(O242:T242),"n.a.")</x:f>
        <x:v>3343.5936147722223</x:v>
      </x:c>
      <x:c r="V242" s="28" t="n">
        <x:f>IF(F242="有效",H242*'参数'!$B$7,"n.a.")</x:f>
        <x:v>0</x:v>
      </x:c>
      <x:c r="W242" s="28" t="n">
        <x:f>IF(F242="有效",IF(D242&gt;=3,G242*'参数'!$B$7/'参数'!$B$8,0),"n.a.")</x:f>
        <x:v>0</x:v>
      </x:c>
      <x:c r="X242" s="28" t="n">
        <x:f>IF(F242="有效",U242+W242,"n.a.")</x:f>
        <x:v>3343.5936147722223</x:v>
      </x:c>
      <x:c r="Y242" s="28" t="n">
        <x:f>IF(F242="有效",X242/G242,"n.a.")</x:f>
        <x:v>17.880179758140226</x:v>
      </x:c>
    </x:row>
    <x:row r="243" ht="22" customHeight="1">
      <x:c r="A243" s="11" t="str">
        <x:v>lade_0827_20aoi</x:v>
      </x:c>
      <x:c r="B243" s="22" t="n">
        <x:v>20</x:v>
      </x:c>
      <x:c r="C243" s="22" t="n">
        <x:v>1</x:v>
      </x:c>
      <x:c r="D243" s="22" t="n">
        <x:v>2</x:v>
      </x:c>
      <x:c r="E243" s="22" t="n">
        <x:v>42</x:v>
      </x:c>
      <x:c r="F243" s="30" t="str">
        <x:v>有效</x:v>
      </x:c>
      <x:c r="G243" s="22" t="n">
        <x:v>187</x:v>
      </x:c>
      <x:c r="H243" s="22" t="n">
        <x:v>0</x:v>
      </x:c>
      <x:c r="I243" s="24" t="n">
        <x:v>60.3057</x:v>
      </x:c>
      <x:c r="J243" s="24" t="n">
        <x:v>49.948</x:v>
      </x:c>
      <x:c r="K243" s="24" t="n">
        <x:v>61.233333333333334</x:v>
      </x:c>
      <x:c r="L243" s="24" t="n">
        <x:v>1480.8166666666666</x:v>
      </x:c>
      <x:c r="M243" s="10" t="n">
        <x:v>1</x:v>
      </x:c>
      <x:c r="N243" s="10" t="n">
        <x:v>4</x:v>
      </x:c>
      <x:c r="O243" s="28" t="n">
        <x:f>IF(F243="有效",I243*'参数'!$B$10+J243*'参数'!$B$11,"n.a.")</x:f>
        <x:v>99.454350085</x:v>
      </x:c>
      <x:c r="P243" s="28" t="n">
        <x:f>IF(F243="有效",K243*'参数'!$B$12+L243*'参数'!$B$13,"n.a.")</x:f>
        <x:v>1154.8093475694443</x:v>
      </x:c>
      <x:c r="Q243" s="28" t="n">
        <x:f>IF(F243="有效",M243*'参数'!$B$14+N243*'参数'!$B$15,"n.a.")</x:f>
        <x:v>340</x:v>
      </x:c>
      <x:c r="R243" s="28" t="n">
        <x:f>IF(F243="有效",IF(D243&lt;=2,G243*('参数'!$B$6+'参数'!$B$18),0),"n.a.")</x:f>
        <x:v>748</x:v>
      </x:c>
      <x:c r="S243" s="28" t="n">
        <x:f>IF(F243="有效",IF(D243&gt;=3,G243*'参数'!$B$16,0),"n.a.")</x:f>
        <x:v>0</x:v>
      </x:c>
      <x:c r="T243" s="28" t="n">
        <x:f>IF(F243="有效",IF(D243&gt;=3,G243*'参数'!$B$17,0),"n.a.")</x:f>
        <x:v>0</x:v>
      </x:c>
      <x:c r="U243" s="28" t="n">
        <x:f>IF(F243="有效",SUM(O243:T243),"n.a.")</x:f>
        <x:v>2342.2636976544445</x:v>
      </x:c>
      <x:c r="V243" s="28" t="n">
        <x:f>IF(F243="有效",H243*'参数'!$B$7,"n.a.")</x:f>
        <x:v>0</x:v>
      </x:c>
      <x:c r="W243" s="28" t="n">
        <x:f>IF(F243="有效",IF(D243&gt;=3,G243*'参数'!$B$7/'参数'!$B$8,0),"n.a.")</x:f>
        <x:v>0</x:v>
      </x:c>
      <x:c r="X243" s="28" t="n">
        <x:f>IF(F243="有效",U243+W243,"n.a.")</x:f>
        <x:v>2342.2636976544445</x:v>
      </x:c>
      <x:c r="Y243" s="28" t="n">
        <x:f>IF(F243="有效",X243/G243,"n.a.")</x:f>
        <x:v>12.525474319007724</x:v>
      </x:c>
    </x:row>
    <x:row r="244" ht="22" customHeight="1">
      <x:c r="A244" s="11" t="str">
        <x:v>lade_0827_20aoi</x:v>
      </x:c>
      <x:c r="B244" s="22" t="n">
        <x:v>20</x:v>
      </x:c>
      <x:c r="C244" s="22" t="n">
        <x:v>1</x:v>
      </x:c>
      <x:c r="D244" s="22" t="n">
        <x:v>2</x:v>
      </x:c>
      <x:c r="E244" s="22" t="n">
        <x:v>43</x:v>
      </x:c>
      <x:c r="F244" s="30" t="str">
        <x:v>有效</x:v>
      </x:c>
      <x:c r="G244" s="22" t="n">
        <x:v>187</x:v>
      </x:c>
      <x:c r="H244" s="22" t="n">
        <x:v>0</x:v>
      </x:c>
      <x:c r="I244" s="24" t="n">
        <x:v>59.477500000000006</x:v>
      </x:c>
      <x:c r="J244" s="24" t="n">
        <x:v>49.86589999999999</x:v>
      </x:c>
      <x:c r="K244" s="24" t="n">
        <x:v>60.63333333333333</x:v>
      </x:c>
      <x:c r="L244" s="24" t="n">
        <x:v>1735.5166666666667</x:v>
      </x:c>
      <x:c r="M244" s="10" t="n">
        <x:v>1</x:v>
      </x:c>
      <x:c r="N244" s="10" t="n">
        <x:v>5</x:v>
      </x:c>
      <x:c r="O244" s="28" t="n">
        <x:f>IF(F244="有效",I244*'参数'!$B$10+J244*'参数'!$B$11,"n.a.")</x:f>
        <x:v>98.63321397</x:v>
      </x:c>
      <x:c r="P244" s="28" t="n">
        <x:f>IF(F244="有效",K244*'参数'!$B$12+L244*'参数'!$B$13,"n.a.")</x:f>
        <x:v>1341.4921288194446</x:v>
      </x:c>
      <x:c r="Q244" s="28" t="n">
        <x:f>IF(F244="有效",M244*'参数'!$B$14+N244*'参数'!$B$15,"n.a.")</x:f>
        <x:v>400</x:v>
      </x:c>
      <x:c r="R244" s="28" t="n">
        <x:f>IF(F244="有效",IF(D244&lt;=2,G244*('参数'!$B$6+'参数'!$B$18),0),"n.a.")</x:f>
        <x:v>748</x:v>
      </x:c>
      <x:c r="S244" s="28" t="n">
        <x:f>IF(F244="有效",IF(D244&gt;=3,G244*'参数'!$B$16,0),"n.a.")</x:f>
        <x:v>0</x:v>
      </x:c>
      <x:c r="T244" s="28" t="n">
        <x:f>IF(F244="有效",IF(D244&gt;=3,G244*'参数'!$B$17,0),"n.a.")</x:f>
        <x:v>0</x:v>
      </x:c>
      <x:c r="U244" s="28" t="n">
        <x:f>IF(F244="有效",SUM(O244:T244),"n.a.")</x:f>
        <x:v>2588.1253427894444</x:v>
      </x:c>
      <x:c r="V244" s="28" t="n">
        <x:f>IF(F244="有效",H244*'参数'!$B$7,"n.a.")</x:f>
        <x:v>0</x:v>
      </x:c>
      <x:c r="W244" s="28" t="n">
        <x:f>IF(F244="有效",IF(D244&gt;=3,G244*'参数'!$B$7/'参数'!$B$8,0),"n.a.")</x:f>
        <x:v>0</x:v>
      </x:c>
      <x:c r="X244" s="28" t="n">
        <x:f>IF(F244="有效",U244+W244,"n.a.")</x:f>
        <x:v>2588.1253427894444</x:v>
      </x:c>
      <x:c r="Y244" s="28" t="n">
        <x:f>IF(F244="有效",X244/G244,"n.a.")</x:f>
        <x:v>13.840242474809862</x:v>
      </x:c>
    </x:row>
    <x:row r="245" ht="22" customHeight="1">
      <x:c r="A245" s="11" t="str">
        <x:v>lade_0827_20aoi</x:v>
      </x:c>
      <x:c r="B245" s="22" t="n">
        <x:v>20</x:v>
      </x:c>
      <x:c r="C245" s="22" t="n">
        <x:v>1</x:v>
      </x:c>
      <x:c r="D245" s="22" t="n">
        <x:v>2</x:v>
      </x:c>
      <x:c r="E245" s="22" t="n">
        <x:v>44</x:v>
      </x:c>
      <x:c r="F245" s="30" t="str">
        <x:v>有效</x:v>
      </x:c>
      <x:c r="G245" s="22" t="n">
        <x:v>187</x:v>
      </x:c>
      <x:c r="H245" s="22" t="n">
        <x:v>0</x:v>
      </x:c>
      <x:c r="I245" s="24" t="n">
        <x:v>59.477500000000006</x:v>
      </x:c>
      <x:c r="J245" s="24" t="n">
        <x:v>49.865899999999996</x:v>
      </x:c>
      <x:c r="K245" s="24" t="n">
        <x:v>60.63333333333333</x:v>
      </x:c>
      <x:c r="L245" s="24" t="n">
        <x:v>1735.5166666666667</x:v>
      </x:c>
      <x:c r="M245" s="10" t="n">
        <x:v>1</x:v>
      </x:c>
      <x:c r="N245" s="10" t="n">
        <x:v>5</x:v>
      </x:c>
      <x:c r="O245" s="28" t="n">
        <x:f>IF(F245="有效",I245*'参数'!$B$10+J245*'参数'!$B$11,"n.a.")</x:f>
        <x:v>98.63321397000001</x:v>
      </x:c>
      <x:c r="P245" s="28" t="n">
        <x:f>IF(F245="有效",K245*'参数'!$B$12+L245*'参数'!$B$13,"n.a.")</x:f>
        <x:v>1341.4921288194446</x:v>
      </x:c>
      <x:c r="Q245" s="28" t="n">
        <x:f>IF(F245="有效",M245*'参数'!$B$14+N245*'参数'!$B$15,"n.a.")</x:f>
        <x:v>400</x:v>
      </x:c>
      <x:c r="R245" s="28" t="n">
        <x:f>IF(F245="有效",IF(D245&lt;=2,G245*('参数'!$B$6+'参数'!$B$18),0),"n.a.")</x:f>
        <x:v>748</x:v>
      </x:c>
      <x:c r="S245" s="28" t="n">
        <x:f>IF(F245="有效",IF(D245&gt;=3,G245*'参数'!$B$16,0),"n.a.")</x:f>
        <x:v>0</x:v>
      </x:c>
      <x:c r="T245" s="28" t="n">
        <x:f>IF(F245="有效",IF(D245&gt;=3,G245*'参数'!$B$17,0),"n.a.")</x:f>
        <x:v>0</x:v>
      </x:c>
      <x:c r="U245" s="28" t="n">
        <x:f>IF(F245="有效",SUM(O245:T245),"n.a.")</x:f>
        <x:v>2588.1253427894444</x:v>
      </x:c>
      <x:c r="V245" s="28" t="n">
        <x:f>IF(F245="有效",H245*'参数'!$B$7,"n.a.")</x:f>
        <x:v>0</x:v>
      </x:c>
      <x:c r="W245" s="28" t="n">
        <x:f>IF(F245="有效",IF(D245&gt;=3,G245*'参数'!$B$7/'参数'!$B$8,0),"n.a.")</x:f>
        <x:v>0</x:v>
      </x:c>
      <x:c r="X245" s="28" t="n">
        <x:f>IF(F245="有效",U245+W245,"n.a.")</x:f>
        <x:v>2588.1253427894444</x:v>
      </x:c>
      <x:c r="Y245" s="28" t="n">
        <x:f>IF(F245="有效",X245/G245,"n.a.")</x:f>
        <x:v>13.840242474809862</x:v>
      </x:c>
    </x:row>
    <x:row r="246" ht="22" customHeight="1">
      <x:c r="A246" s="11" t="str">
        <x:v>lade_0827_20aoi</x:v>
      </x:c>
      <x:c r="B246" s="22" t="n">
        <x:v>20</x:v>
      </x:c>
      <x:c r="C246" s="22" t="n">
        <x:v>1</x:v>
      </x:c>
      <x:c r="D246" s="22" t="n">
        <x:v>3</x:v>
      </x:c>
      <x:c r="E246" s="22" t="n">
        <x:v>42</x:v>
      </x:c>
      <x:c r="F246" s="30" t="str">
        <x:v>有效</x:v>
      </x:c>
      <x:c r="G246" s="22" t="n">
        <x:v>187</x:v>
      </x:c>
      <x:c r="H246" s="22" t="n">
        <x:v>187</x:v>
      </x:c>
      <x:c r="I246" s="24" t="n">
        <x:v>107.9065</x:v>
      </x:c>
      <x:c r="J246" s="24" t="n">
        <x:v>59.89580000000001</x:v>
      </x:c>
      <x:c r="K246" s="24" t="n">
        <x:v>1462.8</x:v>
      </x:c>
      <x:c r="L246" s="24" t="n">
        <x:v>3153.4</x:v>
      </x:c>
      <x:c r="M246" s="10" t="n">
        <x:v>2</x:v>
      </x:c>
      <x:c r="N246" s="10" t="n">
        <x:v>6</x:v>
      </x:c>
      <x:c r="O246" s="28" t="n">
        <x:f>IF(F246="有效",I246*'参数'!$B$10+J246*'参数'!$B$11,"n.a.")</x:f>
        <x:v>151.366064715</x:v>
      </x:c>
      <x:c r="P246" s="28" t="n">
        <x:f>IF(F246="有效",K246*'参数'!$B$12+L246*'参数'!$B$13,"n.a.")</x:f>
        <x:v>3888.7529791666666</x:v>
      </x:c>
      <x:c r="Q246" s="28" t="n">
        <x:f>IF(F246="有效",M246*'参数'!$B$14+N246*'参数'!$B$15,"n.a.")</x:f>
        <x:v>560</x:v>
      </x:c>
      <x:c r="R246" s="28" t="n">
        <x:f>IF(F246="有效",IF(D246&lt;=2,G246*('参数'!$B$6+'参数'!$B$18),0),"n.a.")</x:f>
        <x:v>0</x:v>
      </x:c>
      <x:c r="S246" s="28" t="n">
        <x:f>IF(F246="有效",IF(D246&gt;=3,G246*'参数'!$B$16,0),"n.a.")</x:f>
        <x:v>149.6</x:v>
      </x:c>
      <x:c r="T246" s="28" t="n">
        <x:f>IF(F246="有效",IF(D246&gt;=3,G246*'参数'!$B$17,0),"n.a.")</x:f>
        <x:v>18.7</x:v>
      </x:c>
      <x:c r="U246" s="28" t="n">
        <x:f>IF(F246="有效",SUM(O246:T246),"n.a.")</x:f>
        <x:v>4768.419043881667</x:v>
      </x:c>
      <x:c r="V246" s="28" t="n">
        <x:f>IF(F246="有效",H246*'参数'!$B$7,"n.a.")</x:f>
        <x:v>6825.5</x:v>
      </x:c>
      <x:c r="W246" s="28" t="n">
        <x:f>IF(F246="有效",IF(D246&gt;=3,G246*'参数'!$B$7/'参数'!$B$8,0),"n.a.")</x:f>
        <x:v>136.51</x:v>
      </x:c>
      <x:c r="X246" s="28" t="n">
        <x:f>IF(F246="有效",U246+W246,"n.a.")</x:f>
        <x:v>4904.929043881667</x:v>
      </x:c>
      <x:c r="Y246" s="28" t="n">
        <x:f>IF(F246="有效",X246/G246,"n.a.")</x:f>
        <x:v>26.229567079581106</x:v>
      </x:c>
    </x:row>
    <x:row r="247" ht="22" customHeight="1">
      <x:c r="A247" s="11" t="str">
        <x:v>lade_0827_20aoi</x:v>
      </x:c>
      <x:c r="B247" s="22" t="n">
        <x:v>20</x:v>
      </x:c>
      <x:c r="C247" s="22" t="n">
        <x:v>1</x:v>
      </x:c>
      <x:c r="D247" s="22" t="n">
        <x:v>3</x:v>
      </x:c>
      <x:c r="E247" s="22" t="n">
        <x:v>43</x:v>
      </x:c>
      <x:c r="F247" s="30" t="str">
        <x:v>有效</x:v>
      </x:c>
      <x:c r="G247" s="22" t="n">
        <x:v>187</x:v>
      </x:c>
      <x:c r="H247" s="22" t="n">
        <x:v>187</x:v>
      </x:c>
      <x:c r="I247" s="24" t="n">
        <x:v>63.013999999999996</x:v>
      </x:c>
      <x:c r="J247" s="24" t="n">
        <x:v>59.529599999999995</x:v>
      </x:c>
      <x:c r="K247" s="24" t="n">
        <x:v>738.65</x:v>
      </x:c>
      <x:c r="L247" s="24" t="n">
        <x:v>3140.1</x:v>
      </x:c>
      <x:c r="M247" s="10" t="n">
        <x:v>1</x:v>
      </x:c>
      <x:c r="N247" s="10" t="n">
        <x:v>6</x:v>
      </x:c>
      <x:c r="O247" s="28" t="n">
        <x:f>IF(F247="有效",I247*'参数'!$B$10+J247*'参数'!$B$11,"n.a.")</x:f>
        <x:v>110.54045438</x:v>
      </x:c>
      <x:c r="P247" s="28" t="n">
        <x:f>IF(F247="有效",K247*'参数'!$B$12+L247*'参数'!$B$13,"n.a.")</x:f>
        <x:v>3102.003415625</x:v>
      </x:c>
      <x:c r="Q247" s="28" t="n">
        <x:f>IF(F247="有效",M247*'参数'!$B$14+N247*'参数'!$B$15,"n.a.")</x:f>
        <x:v>460</x:v>
      </x:c>
      <x:c r="R247" s="28" t="n">
        <x:f>IF(F247="有效",IF(D247&lt;=2,G247*('参数'!$B$6+'参数'!$B$18),0),"n.a.")</x:f>
        <x:v>0</x:v>
      </x:c>
      <x:c r="S247" s="28" t="n">
        <x:f>IF(F247="有效",IF(D247&gt;=3,G247*'参数'!$B$16,0),"n.a.")</x:f>
        <x:v>149.6</x:v>
      </x:c>
      <x:c r="T247" s="28" t="n">
        <x:f>IF(F247="有效",IF(D247&gt;=3,G247*'参数'!$B$17,0),"n.a.")</x:f>
        <x:v>18.7</x:v>
      </x:c>
      <x:c r="U247" s="28" t="n">
        <x:f>IF(F247="有效",SUM(O247:T247),"n.a.")</x:f>
        <x:v>3840.8438700049996</x:v>
      </x:c>
      <x:c r="V247" s="28" t="n">
        <x:f>IF(F247="有效",H247*'参数'!$B$7,"n.a.")</x:f>
        <x:v>6825.5</x:v>
      </x:c>
      <x:c r="W247" s="28" t="n">
        <x:f>IF(F247="有效",IF(D247&gt;=3,G247*'参数'!$B$7/'参数'!$B$8,0),"n.a.")</x:f>
        <x:v>136.51</x:v>
      </x:c>
      <x:c r="X247" s="28" t="n">
        <x:f>IF(F247="有效",U247+W247,"n.a.")</x:f>
        <x:v>3977.3538700049994</x:v>
      </x:c>
      <x:c r="Y247" s="28" t="n">
        <x:f>IF(F247="有效",X247/G247,"n.a.")</x:f>
        <x:v>21.269272032112298</x:v>
      </x:c>
    </x:row>
    <x:row r="248" ht="22" customHeight="1">
      <x:c r="A248" s="11" t="str">
        <x:v>lade_0827_20aoi</x:v>
      </x:c>
      <x:c r="B248" s="22" t="n">
        <x:v>20</x:v>
      </x:c>
      <x:c r="C248" s="22" t="n">
        <x:v>1</x:v>
      </x:c>
      <x:c r="D248" s="22" t="n">
        <x:v>3</x:v>
      </x:c>
      <x:c r="E248" s="22" t="n">
        <x:v>44</x:v>
      </x:c>
      <x:c r="F248" s="30" t="str">
        <x:v>有效</x:v>
      </x:c>
      <x:c r="G248" s="22" t="n">
        <x:v>187</x:v>
      </x:c>
      <x:c r="H248" s="22" t="n">
        <x:v>187</x:v>
      </x:c>
      <x:c r="I248" s="24" t="n">
        <x:v>63.013999999999996</x:v>
      </x:c>
      <x:c r="J248" s="24" t="n">
        <x:v>59.529599999999995</x:v>
      </x:c>
      <x:c r="K248" s="24" t="n">
        <x:v>738.65</x:v>
      </x:c>
      <x:c r="L248" s="24" t="n">
        <x:v>3140.1</x:v>
      </x:c>
      <x:c r="M248" s="10" t="n">
        <x:v>1</x:v>
      </x:c>
      <x:c r="N248" s="10" t="n">
        <x:v>6</x:v>
      </x:c>
      <x:c r="O248" s="28" t="n">
        <x:f>IF(F248="有效",I248*'参数'!$B$10+J248*'参数'!$B$11,"n.a.")</x:f>
        <x:v>110.54045438</x:v>
      </x:c>
      <x:c r="P248" s="28" t="n">
        <x:f>IF(F248="有效",K248*'参数'!$B$12+L248*'参数'!$B$13,"n.a.")</x:f>
        <x:v>3102.003415625</x:v>
      </x:c>
      <x:c r="Q248" s="28" t="n">
        <x:f>IF(F248="有效",M248*'参数'!$B$14+N248*'参数'!$B$15,"n.a.")</x:f>
        <x:v>460</x:v>
      </x:c>
      <x:c r="R248" s="28" t="n">
        <x:f>IF(F248="有效",IF(D248&lt;=2,G248*('参数'!$B$6+'参数'!$B$18),0),"n.a.")</x:f>
        <x:v>0</x:v>
      </x:c>
      <x:c r="S248" s="28" t="n">
        <x:f>IF(F248="有效",IF(D248&gt;=3,G248*'参数'!$B$16,0),"n.a.")</x:f>
        <x:v>149.6</x:v>
      </x:c>
      <x:c r="T248" s="28" t="n">
        <x:f>IF(F248="有效",IF(D248&gt;=3,G248*'参数'!$B$17,0),"n.a.")</x:f>
        <x:v>18.7</x:v>
      </x:c>
      <x:c r="U248" s="28" t="n">
        <x:f>IF(F248="有效",SUM(O248:T248),"n.a.")</x:f>
        <x:v>3840.8438700049996</x:v>
      </x:c>
      <x:c r="V248" s="28" t="n">
        <x:f>IF(F248="有效",H248*'参数'!$B$7,"n.a.")</x:f>
        <x:v>6825.5</x:v>
      </x:c>
      <x:c r="W248" s="28" t="n">
        <x:f>IF(F248="有效",IF(D248&gt;=3,G248*'参数'!$B$7/'参数'!$B$8,0),"n.a.")</x:f>
        <x:v>136.51</x:v>
      </x:c>
      <x:c r="X248" s="28" t="n">
        <x:f>IF(F248="有效",U248+W248,"n.a.")</x:f>
        <x:v>3977.3538700049994</x:v>
      </x:c>
      <x:c r="Y248" s="28" t="n">
        <x:f>IF(F248="有效",X248/G248,"n.a.")</x:f>
        <x:v>21.269272032112298</x:v>
      </x:c>
    </x:row>
    <x:row r="249" ht="22" customHeight="1">
      <x:c r="A249" s="11" t="str">
        <x:v>lade_0827_20aoi</x:v>
      </x:c>
      <x:c r="B249" s="22" t="n">
        <x:v>20</x:v>
      </x:c>
      <x:c r="C249" s="22" t="n">
        <x:v>1</x:v>
      </x:c>
      <x:c r="D249" s="22" t="n">
        <x:v>4</x:v>
      </x:c>
      <x:c r="E249" s="22" t="n">
        <x:v>42</x:v>
      </x:c>
      <x:c r="F249" s="30" t="str">
        <x:v>有效</x:v>
      </x:c>
      <x:c r="G249" s="22" t="n">
        <x:v>187</x:v>
      </x:c>
      <x:c r="H249" s="22" t="n">
        <x:v>187</x:v>
      </x:c>
      <x:c r="I249" s="24" t="n">
        <x:v>63.013999999999996</x:v>
      </x:c>
      <x:c r="J249" s="24" t="n">
        <x:v>61.09339999999999</x:v>
      </x:c>
      <x:c r="K249" s="24" t="n">
        <x:v>738.65</x:v>
      </x:c>
      <x:c r="L249" s="24" t="n">
        <x:v>3184.75</x:v>
      </x:c>
      <x:c r="M249" s="10" t="n">
        <x:v>1</x:v>
      </x:c>
      <x:c r="N249" s="10" t="n">
        <x:v>6</x:v>
      </x:c>
      <x:c r="O249" s="28" t="n">
        <x:f>IF(F249="有效",I249*'参数'!$B$10+J249*'参数'!$B$11,"n.a.")</x:f>
        <x:v>111.95108016999998</x:v>
      </x:c>
      <x:c r="P249" s="28" t="n">
        <x:f>IF(F249="有效",K249*'参数'!$B$12+L249*'参数'!$B$13,"n.a.")</x:f>
        <x:v>3134.842560416667</x:v>
      </x:c>
      <x:c r="Q249" s="28" t="n">
        <x:f>IF(F249="有效",M249*'参数'!$B$14+N249*'参数'!$B$15,"n.a.")</x:f>
        <x:v>460</x:v>
      </x:c>
      <x:c r="R249" s="28" t="n">
        <x:f>IF(F249="有效",IF(D249&lt;=2,G249*('参数'!$B$6+'参数'!$B$18),0),"n.a.")</x:f>
        <x:v>0</x:v>
      </x:c>
      <x:c r="S249" s="28" t="n">
        <x:f>IF(F249="有效",IF(D249&gt;=3,G249*'参数'!$B$16,0),"n.a.")</x:f>
        <x:v>149.6</x:v>
      </x:c>
      <x:c r="T249" s="28" t="n">
        <x:f>IF(F249="有效",IF(D249&gt;=3,G249*'参数'!$B$17,0),"n.a.")</x:f>
        <x:v>18.7</x:v>
      </x:c>
      <x:c r="U249" s="28" t="n">
        <x:f>IF(F249="有效",SUM(O249:T249),"n.a.")</x:f>
        <x:v>3875.0936405866664</x:v>
      </x:c>
      <x:c r="V249" s="28" t="n">
        <x:f>IF(F249="有效",H249*'参数'!$B$7,"n.a.")</x:f>
        <x:v>6825.5</x:v>
      </x:c>
      <x:c r="W249" s="28" t="n">
        <x:f>IF(F249="有效",IF(D249&gt;=3,G249*'参数'!$B$7/'参数'!$B$8,0),"n.a.")</x:f>
        <x:v>136.51</x:v>
      </x:c>
      <x:c r="X249" s="28" t="n">
        <x:f>IF(F249="有效",U249+W249,"n.a.")</x:f>
        <x:v>4011.603640586666</x:v>
      </x:c>
      <x:c r="Y249" s="28" t="n">
        <x:f>IF(F249="有效",X249/G249,"n.a.")</x:f>
        <x:v>21.452425885490193</x:v>
      </x:c>
    </x:row>
    <x:row r="250" ht="22" customHeight="1">
      <x:c r="A250" s="11" t="str">
        <x:v>lade_0827_20aoi</x:v>
      </x:c>
      <x:c r="B250" s="22" t="n">
        <x:v>20</x:v>
      </x:c>
      <x:c r="C250" s="22" t="n">
        <x:v>1</x:v>
      </x:c>
      <x:c r="D250" s="22" t="n">
        <x:v>4</x:v>
      </x:c>
      <x:c r="E250" s="22" t="n">
        <x:v>43</x:v>
      </x:c>
      <x:c r="F250" s="30" t="str">
        <x:v>有效</x:v>
      </x:c>
      <x:c r="G250" s="22" t="n">
        <x:v>187</x:v>
      </x:c>
      <x:c r="H250" s="22" t="n">
        <x:v>187</x:v>
      </x:c>
      <x:c r="I250" s="24" t="n">
        <x:v>63.013999999999996</x:v>
      </x:c>
      <x:c r="J250" s="24" t="n">
        <x:v>60.94030000000001</x:v>
      </x:c>
      <x:c r="K250" s="24" t="n">
        <x:v>738.65</x:v>
      </x:c>
      <x:c r="L250" s="24" t="n">
        <x:v>3139.1</x:v>
      </x:c>
      <x:c r="M250" s="10" t="n">
        <x:v>1</x:v>
      </x:c>
      <x:c r="N250" s="10" t="n">
        <x:v>6</x:v>
      </x:c>
      <x:c r="O250" s="28" t="n">
        <x:f>IF(F250="有效",I250*'参数'!$B$10+J250*'参数'!$B$11,"n.a.")</x:f>
        <x:v>111.81297631500001</x:v>
      </x:c>
      <x:c r="P250" s="28" t="n">
        <x:f>IF(F250="有效",K250*'参数'!$B$12+L250*'参数'!$B$13,"n.a.")</x:f>
        <x:v>3101.267936458333</x:v>
      </x:c>
      <x:c r="Q250" s="28" t="n">
        <x:f>IF(F250="有效",M250*'参数'!$B$14+N250*'参数'!$B$15,"n.a.")</x:f>
        <x:v>460</x:v>
      </x:c>
      <x:c r="R250" s="28" t="n">
        <x:f>IF(F250="有效",IF(D250&lt;=2,G250*('参数'!$B$6+'参数'!$B$18),0),"n.a.")</x:f>
        <x:v>0</x:v>
      </x:c>
      <x:c r="S250" s="28" t="n">
        <x:f>IF(F250="有效",IF(D250&gt;=3,G250*'参数'!$B$16,0),"n.a.")</x:f>
        <x:v>149.6</x:v>
      </x:c>
      <x:c r="T250" s="28" t="n">
        <x:f>IF(F250="有效",IF(D250&gt;=3,G250*'参数'!$B$17,0),"n.a.")</x:f>
        <x:v>18.7</x:v>
      </x:c>
      <x:c r="U250" s="28" t="n">
        <x:f>IF(F250="有效",SUM(O250:T250),"n.a.")</x:f>
        <x:v>3841.380912773333</x:v>
      </x:c>
      <x:c r="V250" s="28" t="n">
        <x:f>IF(F250="有效",H250*'参数'!$B$7,"n.a.")</x:f>
        <x:v>6825.5</x:v>
      </x:c>
      <x:c r="W250" s="28" t="n">
        <x:f>IF(F250="有效",IF(D250&gt;=3,G250*'参数'!$B$7/'参数'!$B$8,0),"n.a.")</x:f>
        <x:v>136.51</x:v>
      </x:c>
      <x:c r="X250" s="28" t="n">
        <x:f>IF(F250="有效",U250+W250,"n.a.")</x:f>
        <x:v>3977.890912773333</x:v>
      </x:c>
      <x:c r="Y250" s="28" t="n">
        <x:f>IF(F250="有效",X250/G250,"n.a.")</x:f>
        <x:v>21.272143918573974</x:v>
      </x:c>
    </x:row>
    <x:row r="251" ht="22" customHeight="1">
      <x:c r="A251" s="11" t="str">
        <x:v>lade_0827_20aoi</x:v>
      </x:c>
      <x:c r="B251" s="22" t="n">
        <x:v>20</x:v>
      </x:c>
      <x:c r="C251" s="22" t="n">
        <x:v>1</x:v>
      </x:c>
      <x:c r="D251" s="22" t="n">
        <x:v>4</x:v>
      </x:c>
      <x:c r="E251" s="22" t="n">
        <x:v>44</x:v>
      </x:c>
      <x:c r="F251" s="30" t="str">
        <x:v>有效</x:v>
      </x:c>
      <x:c r="G251" s="22" t="n">
        <x:v>187</x:v>
      </x:c>
      <x:c r="H251" s="22" t="n">
        <x:v>187</x:v>
      </x:c>
      <x:c r="I251" s="24" t="n">
        <x:v>107.90880000000001</x:v>
      </x:c>
      <x:c r="J251" s="24" t="n">
        <x:v>60.9155</x:v>
      </x:c>
      <x:c r="K251" s="24" t="n">
        <x:v>1462.8</x:v>
      </x:c>
      <x:c r="L251" s="24" t="n">
        <x:v>3148.366666666667</x:v>
      </x:c>
      <x:c r="M251" s="10" t="n">
        <x:v>2</x:v>
      </x:c>
      <x:c r="N251" s="10" t="n">
        <x:v>6</x:v>
      </x:c>
      <x:c r="O251" s="28" t="n">
        <x:f>IF(F251="有效",I251*'参数'!$B$10+J251*'参数'!$B$11,"n.a.")</x:f>
        <x:v>152.28795981500002</x:v>
      </x:c>
      <x:c r="P251" s="28" t="n">
        <x:f>IF(F251="有效",K251*'参数'!$B$12+L251*'参数'!$B$13,"n.a.")</x:f>
        <x:v>3885.051067361111</x:v>
      </x:c>
      <x:c r="Q251" s="28" t="n">
        <x:f>IF(F251="有效",M251*'参数'!$B$14+N251*'参数'!$B$15,"n.a.")</x:f>
        <x:v>560</x:v>
      </x:c>
      <x:c r="R251" s="28" t="n">
        <x:f>IF(F251="有效",IF(D251&lt;=2,G251*('参数'!$B$6+'参数'!$B$18),0),"n.a.")</x:f>
        <x:v>0</x:v>
      </x:c>
      <x:c r="S251" s="28" t="n">
        <x:f>IF(F251="有效",IF(D251&gt;=3,G251*'参数'!$B$16,0),"n.a.")</x:f>
        <x:v>149.6</x:v>
      </x:c>
      <x:c r="T251" s="28" t="n">
        <x:f>IF(F251="有效",IF(D251&gt;=3,G251*'参数'!$B$17,0),"n.a.")</x:f>
        <x:v>18.7</x:v>
      </x:c>
      <x:c r="U251" s="28" t="n">
        <x:f>IF(F251="有效",SUM(O251:T251),"n.a.")</x:f>
        <x:v>4765.639027176111</x:v>
      </x:c>
      <x:c r="V251" s="28" t="n">
        <x:f>IF(F251="有效",H251*'参数'!$B$7,"n.a.")</x:f>
        <x:v>6825.5</x:v>
      </x:c>
      <x:c r="W251" s="28" t="n">
        <x:f>IF(F251="有效",IF(D251&gt;=3,G251*'参数'!$B$7/'参数'!$B$8,0),"n.a.")</x:f>
        <x:v>136.51</x:v>
      </x:c>
      <x:c r="X251" s="28" t="n">
        <x:f>IF(F251="有效",U251+W251,"n.a.")</x:f>
        <x:v>4902.149027176111</x:v>
      </x:c>
      <x:c r="Y251" s="28" t="n">
        <x:f>IF(F251="有效",X251/G251,"n.a.")</x:f>
        <x:v>26.214700680086157</x:v>
      </x:c>
    </x:row>
    <x:row r="252" ht="22" customHeight="1">
      <x:c r="A252" s="11" t="str">
        <x:v>lade_0827_20aoi</x:v>
      </x:c>
      <x:c r="B252" s="22" t="n">
        <x:v>20</x:v>
      </x:c>
      <x:c r="C252" s="22" t="n">
        <x:v>2</x:v>
      </x:c>
      <x:c r="D252" s="22" t="n">
        <x:v>5</x:v>
      </x:c>
      <x:c r="E252" s="22" t="n">
        <x:v>42</x:v>
      </x:c>
      <x:c r="F252" s="30" t="str">
        <x:v>有效</x:v>
      </x:c>
      <x:c r="G252" s="22" t="n">
        <x:v>187</x:v>
      </x:c>
      <x:c r="H252" s="22" t="n">
        <x:v>187</x:v>
      </x:c>
      <x:c r="I252" s="24" t="n">
        <x:v>215.81530000000004</x:v>
      </x:c>
      <x:c r="J252" s="24" t="n">
        <x:v>69.26029999999999</x:v>
      </x:c>
      <x:c r="K252" s="24" t="n">
        <x:v>1395.6</x:v>
      </x:c>
      <x:c r="L252" s="24" t="n">
        <x:v>2548.733333333333</x:v>
      </x:c>
      <x:c r="M252" s="10" t="n">
        <x:v>3</x:v>
      </x:c>
      <x:c r="N252" s="10" t="n">
        <x:v>6</x:v>
      </x:c>
      <x:c r="O252" s="28" t="n">
        <x:f>IF(F252="有效",I252*'参数'!$B$10+J252*'参数'!$B$11,"n.a.")</x:f>
        <x:v>257.15244498000004</x:v>
      </x:c>
      <x:c r="P252" s="28" t="n">
        <x:f>IF(F252="有效",K252*'参数'!$B$12+L252*'参数'!$B$13,"n.a.")</x:f>
        <x:v>3371.931843055555</x:v>
      </x:c>
      <x:c r="Q252" s="28" t="n">
        <x:f>IF(F252="有效",M252*'参数'!$B$14+N252*'参数'!$B$15,"n.a.")</x:f>
        <x:v>660</x:v>
      </x:c>
      <x:c r="R252" s="28" t="n">
        <x:f>IF(F252="有效",IF(D252&lt;=2,G252*('参数'!$B$6+'参数'!$B$18),0),"n.a.")</x:f>
        <x:v>0</x:v>
      </x:c>
      <x:c r="S252" s="28" t="n">
        <x:f>IF(F252="有效",IF(D252&gt;=3,G252*'参数'!$B$16,0),"n.a.")</x:f>
        <x:v>149.6</x:v>
      </x:c>
      <x:c r="T252" s="28" t="n">
        <x:f>IF(F252="有效",IF(D252&gt;=3,G252*'参数'!$B$17,0),"n.a.")</x:f>
        <x:v>18.7</x:v>
      </x:c>
      <x:c r="U252" s="28" t="n">
        <x:f>IF(F252="有效",SUM(O252:T252),"n.a.")</x:f>
        <x:v>4457.384288035555</x:v>
      </x:c>
      <x:c r="V252" s="28" t="n">
        <x:f>IF(F252="有效",H252*'参数'!$B$7,"n.a.")</x:f>
        <x:v>6825.5</x:v>
      </x:c>
      <x:c r="W252" s="28" t="n">
        <x:f>IF(F252="有效",IF(D252&gt;=3,G252*'参数'!$B$7/'参数'!$B$8,0),"n.a.")</x:f>
        <x:v>136.51</x:v>
      </x:c>
      <x:c r="X252" s="28" t="n">
        <x:f>IF(F252="有效",U252+W252,"n.a.")</x:f>
        <x:v>4593.894288035555</x:v>
      </x:c>
      <x:c r="Y252" s="28" t="n">
        <x:f>IF(F252="有效",X252/G252,"n.a.")</x:f>
        <x:v>24.566279615163396</x:v>
      </x:c>
    </x:row>
    <x:row r="253" ht="22" customHeight="1">
      <x:c r="A253" s="11" t="str">
        <x:v>lade_0827_20aoi</x:v>
      </x:c>
      <x:c r="B253" s="22" t="n">
        <x:v>20</x:v>
      </x:c>
      <x:c r="C253" s="22" t="n">
        <x:v>2</x:v>
      </x:c>
      <x:c r="D253" s="22" t="n">
        <x:v>5</x:v>
      </x:c>
      <x:c r="E253" s="22" t="n">
        <x:v>43</x:v>
      </x:c>
      <x:c r="F253" s="30" t="str">
        <x:v>有效</x:v>
      </x:c>
      <x:c r="G253" s="22" t="n">
        <x:v>187</x:v>
      </x:c>
      <x:c r="H253" s="22" t="n">
        <x:v>187</x:v>
      </x:c>
      <x:c r="I253" s="24" t="n">
        <x:v>261.035</x:v>
      </x:c>
      <x:c r="J253" s="24" t="n">
        <x:v>70.73219999999999</x:v>
      </x:c>
      <x:c r="K253" s="24" t="n">
        <x:v>1642.4166666666667</x:v>
      </x:c>
      <x:c r="L253" s="24" t="n">
        <x:v>3138.2</x:v>
      </x:c>
      <x:c r="M253" s="10" t="n">
        <x:v>3</x:v>
      </x:c>
      <x:c r="N253" s="10" t="n">
        <x:v>6</x:v>
      </x:c>
      <x:c r="O253" s="28" t="n">
        <x:f>IF(F253="有效",I253*'参数'!$B$10+J253*'参数'!$B$11,"n.a.")</x:f>
        <x:v>299.27060276000003</x:v>
      </x:c>
      <x:c r="P253" s="28" t="n">
        <x:f>IF(F253="有效",K253*'参数'!$B$12+L253*'参数'!$B$13,"n.a.")</x:f>
        <x:v>4070.2911531249997</x:v>
      </x:c>
      <x:c r="Q253" s="28" t="n">
        <x:f>IF(F253="有效",M253*'参数'!$B$14+N253*'参数'!$B$15,"n.a.")</x:f>
        <x:v>660</x:v>
      </x:c>
      <x:c r="R253" s="28" t="n">
        <x:f>IF(F253="有效",IF(D253&lt;=2,G253*('参数'!$B$6+'参数'!$B$18),0),"n.a.")</x:f>
        <x:v>0</x:v>
      </x:c>
      <x:c r="S253" s="28" t="n">
        <x:f>IF(F253="有效",IF(D253&gt;=3,G253*'参数'!$B$16,0),"n.a.")</x:f>
        <x:v>149.6</x:v>
      </x:c>
      <x:c r="T253" s="28" t="n">
        <x:f>IF(F253="有效",IF(D253&gt;=3,G253*'参数'!$B$17,0),"n.a.")</x:f>
        <x:v>18.7</x:v>
      </x:c>
      <x:c r="U253" s="28" t="n">
        <x:f>IF(F253="有效",SUM(O253:T253),"n.a.")</x:f>
        <x:v>5197.861755885</x:v>
      </x:c>
      <x:c r="V253" s="28" t="n">
        <x:f>IF(F253="有效",H253*'参数'!$B$7,"n.a.")</x:f>
        <x:v>6825.5</x:v>
      </x:c>
      <x:c r="W253" s="28" t="n">
        <x:f>IF(F253="有效",IF(D253&gt;=3,G253*'参数'!$B$7/'参数'!$B$8,0),"n.a.")</x:f>
        <x:v>136.51</x:v>
      </x:c>
      <x:c r="X253" s="28" t="n">
        <x:f>IF(F253="有效",U253+W253,"n.a.")</x:f>
        <x:v>5334.371755885</x:v>
      </x:c>
      <x:c r="Y253" s="28" t="n">
        <x:f>IF(F253="有效",X253/G253,"n.a.")</x:f>
        <x:v>28.526052170508024</x:v>
      </x:c>
    </x:row>
    <x:row r="254" ht="22" customHeight="1">
      <x:c r="A254" s="11" t="str">
        <x:v>lade_0827_20aoi</x:v>
      </x:c>
      <x:c r="B254" s="22" t="n">
        <x:v>20</x:v>
      </x:c>
      <x:c r="C254" s="22" t="n">
        <x:v>2</x:v>
      </x:c>
      <x:c r="D254" s="22" t="n">
        <x:v>5</x:v>
      </x:c>
      <x:c r="E254" s="22" t="n">
        <x:v>44</x:v>
      </x:c>
      <x:c r="F254" s="30" t="str">
        <x:v>有效</x:v>
      </x:c>
      <x:c r="G254" s="22" t="n">
        <x:v>187</x:v>
      </x:c>
      <x:c r="H254" s="22" t="n">
        <x:v>187</x:v>
      </x:c>
      <x:c r="I254" s="24" t="n">
        <x:v>261.03499999999997</x:v>
      </x:c>
      <x:c r="J254" s="24" t="n">
        <x:v>69.2603</x:v>
      </x:c>
      <x:c r="K254" s="24" t="n">
        <x:v>1837.4166666666667</x:v>
      </x:c>
      <x:c r="L254" s="24" t="n">
        <x:v>2901.5333333333333</x:v>
      </x:c>
      <x:c r="M254" s="10" t="n">
        <x:v>3</x:v>
      </x:c>
      <x:c r="N254" s="10" t="n">
        <x:v>6</x:v>
      </x:c>
      <x:c r="O254" s="28" t="n">
        <x:f>IF(F254="有效",I254*'参数'!$B$10+J254*'参数'!$B$11,"n.a.")</x:f>
        <x:v>297.94287536499996</x:v>
      </x:c>
      <x:c r="P254" s="28" t="n">
        <x:f>IF(F254="有效",K254*'参数'!$B$12+L254*'参数'!$B$13,"n.a.")</x:f>
        <x:v>4105.4505628472225</x:v>
      </x:c>
      <x:c r="Q254" s="28" t="n">
        <x:f>IF(F254="有效",M254*'参数'!$B$14+N254*'参数'!$B$15,"n.a.")</x:f>
        <x:v>660</x:v>
      </x:c>
      <x:c r="R254" s="28" t="n">
        <x:f>IF(F254="有效",IF(D254&lt;=2,G254*('参数'!$B$6+'参数'!$B$18),0),"n.a.")</x:f>
        <x:v>0</x:v>
      </x:c>
      <x:c r="S254" s="28" t="n">
        <x:f>IF(F254="有效",IF(D254&gt;=3,G254*'参数'!$B$16,0),"n.a.")</x:f>
        <x:v>149.6</x:v>
      </x:c>
      <x:c r="T254" s="28" t="n">
        <x:f>IF(F254="有效",IF(D254&gt;=3,G254*'参数'!$B$17,0),"n.a.")</x:f>
        <x:v>18.7</x:v>
      </x:c>
      <x:c r="U254" s="28" t="n">
        <x:f>IF(F254="有效",SUM(O254:T254),"n.a.")</x:f>
        <x:v>5231.693438212223</x:v>
      </x:c>
      <x:c r="V254" s="28" t="n">
        <x:f>IF(F254="有效",H254*'参数'!$B$7,"n.a.")</x:f>
        <x:v>6825.5</x:v>
      </x:c>
      <x:c r="W254" s="28" t="n">
        <x:f>IF(F254="有效",IF(D254&gt;=3,G254*'参数'!$B$7/'参数'!$B$8,0),"n.a.")</x:f>
        <x:v>136.51</x:v>
      </x:c>
      <x:c r="X254" s="28" t="n">
        <x:f>IF(F254="有效",U254+W254,"n.a.")</x:f>
        <x:v>5368.203438212223</x:v>
      </x:c>
      <x:c r="Y254" s="28" t="n">
        <x:f>IF(F254="有效",X254/G254,"n.a.")</x:f>
        <x:v>28.706970257819375</x:v>
      </x:c>
    </x:row>
    <x:row r="255" ht="22" customHeight="1">
      <x:c r="A255" s="11" t="str">
        <x:v>lade_0827_20aoi</x:v>
      </x:c>
      <x:c r="B255" s="22" t="n">
        <x:v>20</x:v>
      </x:c>
      <x:c r="C255" s="22" t="n">
        <x:v>3</x:v>
      </x:c>
      <x:c r="D255" s="22" t="n">
        <x:v>5</x:v>
      </x:c>
      <x:c r="E255" s="22" t="n">
        <x:v>42</x:v>
      </x:c>
      <x:c r="F255" s="30" t="str">
        <x:v>有效</x:v>
      </x:c>
      <x:c r="G255" s="22" t="n">
        <x:v>187</x:v>
      </x:c>
      <x:c r="H255" s="22" t="n">
        <x:v>187</x:v>
      </x:c>
      <x:c r="I255" s="24" t="n">
        <x:v>230.39800000000005</x:v>
      </x:c>
      <x:c r="J255" s="24" t="n">
        <x:v>82.8662</x:v>
      </x:c>
      <x:c r="K255" s="24" t="n">
        <x:v>922.85</x:v>
      </x:c>
      <x:c r="L255" s="24" t="n">
        <x:v>1739.05</x:v>
      </x:c>
      <x:c r="M255" s="10" t="n">
        <x:v>2</x:v>
      </x:c>
      <x:c r="N255" s="10" t="n">
        <x:v>6</x:v>
      </x:c>
      <x:c r="O255" s="28" t="n">
        <x:f>IF(F255="有效",I255*'参数'!$B$10+J255*'参数'!$B$11,"n.a.")</x:f>
        <x:v>282.57997161000003</x:v>
      </x:c>
      <x:c r="P255" s="28" t="n">
        <x:f>IF(F255="有效",K255*'参数'!$B$12+L255*'参数'!$B$13,"n.a.")</x:f>
        <x:v>2269.1954166666665</x:v>
      </x:c>
      <x:c r="Q255" s="28" t="n">
        <x:f>IF(F255="有效",M255*'参数'!$B$14+N255*'参数'!$B$15,"n.a.")</x:f>
        <x:v>560</x:v>
      </x:c>
      <x:c r="R255" s="28" t="n">
        <x:f>IF(F255="有效",IF(D255&lt;=2,G255*('参数'!$B$6+'参数'!$B$18),0),"n.a.")</x:f>
        <x:v>0</x:v>
      </x:c>
      <x:c r="S255" s="28" t="n">
        <x:f>IF(F255="有效",IF(D255&gt;=3,G255*'参数'!$B$16,0),"n.a.")</x:f>
        <x:v>149.6</x:v>
      </x:c>
      <x:c r="T255" s="28" t="n">
        <x:f>IF(F255="有效",IF(D255&gt;=3,G255*'参数'!$B$17,0),"n.a.")</x:f>
        <x:v>18.7</x:v>
      </x:c>
      <x:c r="U255" s="28" t="n">
        <x:f>IF(F255="有效",SUM(O255:T255),"n.a.")</x:f>
        <x:v>3280.075388276666</x:v>
      </x:c>
      <x:c r="V255" s="28" t="n">
        <x:f>IF(F255="有效",H255*'参数'!$B$7,"n.a.")</x:f>
        <x:v>6825.5</x:v>
      </x:c>
      <x:c r="W255" s="28" t="n">
        <x:f>IF(F255="有效",IF(D255&gt;=3,G255*'参数'!$B$7/'参数'!$B$8,0),"n.a.")</x:f>
        <x:v>136.51</x:v>
      </x:c>
      <x:c r="X255" s="28" t="n">
        <x:f>IF(F255="有效",U255+W255,"n.a.")</x:f>
        <x:v>3416.585388276666</x:v>
      </x:c>
      <x:c r="Y255" s="28" t="n">
        <x:f>IF(F255="有效",X255/G255,"n.a.")</x:f>
        <x:v>18.27051009773618</x:v>
      </x:c>
    </x:row>
    <x:row r="256" ht="22" customHeight="1">
      <x:c r="A256" s="11" t="str">
        <x:v>lade_0827_20aoi</x:v>
      </x:c>
      <x:c r="B256" s="22" t="n">
        <x:v>20</x:v>
      </x:c>
      <x:c r="C256" s="22" t="n">
        <x:v>3</x:v>
      </x:c>
      <x:c r="D256" s="22" t="n">
        <x:v>5</x:v>
      </x:c>
      <x:c r="E256" s="22" t="n">
        <x:v>43</x:v>
      </x:c>
      <x:c r="F256" s="30" t="str">
        <x:v>有效</x:v>
      </x:c>
      <x:c r="G256" s="22" t="n">
        <x:v>187</x:v>
      </x:c>
      <x:c r="H256" s="22" t="n">
        <x:v>187</x:v>
      </x:c>
      <x:c r="I256" s="24" t="n">
        <x:v>412.96830000000006</x:v>
      </x:c>
      <x:c r="J256" s="24" t="n">
        <x:v>79.41359999999999</x:v>
      </x:c>
      <x:c r="K256" s="24" t="n">
        <x:v>1774.6333333333334</x:v>
      </x:c>
      <x:c r="L256" s="24" t="n">
        <x:v>1337.85</x:v>
      </x:c>
      <x:c r="M256" s="10" t="n">
        <x:v>3</x:v>
      </x:c>
      <x:c r="N256" s="10" t="n">
        <x:v>5</x:v>
      </x:c>
      <x:c r="O256" s="28" t="n">
        <x:f>IF(F256="有效",I256*'参数'!$B$10+J256*'参数'!$B$11,"n.a.")</x:f>
        <x:v>444.15309289500004</x:v>
      </x:c>
      <x:c r="P256" s="28" t="n">
        <x:f>IF(F256="有效",K256*'参数'!$B$12+L256*'参数'!$B$13,"n.a.")</x:f>
        <x:v>2888.031455208333</x:v>
      </x:c>
      <x:c r="Q256" s="28" t="n">
        <x:f>IF(F256="有效",M256*'参数'!$B$14+N256*'参数'!$B$15,"n.a.")</x:f>
        <x:v>600</x:v>
      </x:c>
      <x:c r="R256" s="28" t="n">
        <x:f>IF(F256="有效",IF(D256&lt;=2,G256*('参数'!$B$6+'参数'!$B$18),0),"n.a.")</x:f>
        <x:v>0</x:v>
      </x:c>
      <x:c r="S256" s="28" t="n">
        <x:f>IF(F256="有效",IF(D256&gt;=3,G256*'参数'!$B$16,0),"n.a.")</x:f>
        <x:v>149.6</x:v>
      </x:c>
      <x:c r="T256" s="28" t="n">
        <x:f>IF(F256="有效",IF(D256&gt;=3,G256*'参数'!$B$17,0),"n.a.")</x:f>
        <x:v>18.7</x:v>
      </x:c>
      <x:c r="U256" s="28" t="n">
        <x:f>IF(F256="有效",SUM(O256:T256),"n.a.")</x:f>
        <x:v>4100.4845481033335</x:v>
      </x:c>
      <x:c r="V256" s="28" t="n">
        <x:f>IF(F256="有效",H256*'参数'!$B$7,"n.a.")</x:f>
        <x:v>6825.5</x:v>
      </x:c>
      <x:c r="W256" s="28" t="n">
        <x:f>IF(F256="有效",IF(D256&gt;=3,G256*'参数'!$B$7/'参数'!$B$8,0),"n.a.")</x:f>
        <x:v>136.51</x:v>
      </x:c>
      <x:c r="X256" s="28" t="n">
        <x:f>IF(F256="有效",U256+W256,"n.a.")</x:f>
        <x:v>4236.994548103334</x:v>
      </x:c>
      <x:c r="Y256" s="28" t="n">
        <x:f>IF(F256="有效",X256/G256,"n.a.")</x:f>
        <x:v>22.65772485616756</x:v>
      </x:c>
    </x:row>
    <x:row r="257" ht="22" customHeight="1">
      <x:c r="A257" s="11" t="str">
        <x:v>lade_0827_20aoi</x:v>
      </x:c>
      <x:c r="B257" s="22" t="n">
        <x:v>20</x:v>
      </x:c>
      <x:c r="C257" s="22" t="n">
        <x:v>3</x:v>
      </x:c>
      <x:c r="D257" s="22" t="n">
        <x:v>5</x:v>
      </x:c>
      <x:c r="E257" s="22" t="n">
        <x:v>44</x:v>
      </x:c>
      <x:c r="F257" s="30" t="str">
        <x:v>有效</x:v>
      </x:c>
      <x:c r="G257" s="22" t="n">
        <x:v>187</x:v>
      </x:c>
      <x:c r="H257" s="22" t="n">
        <x:v>187</x:v>
      </x:c>
      <x:c r="I257" s="24" t="n">
        <x:v>365.73449999999997</x:v>
      </x:c>
      <x:c r="J257" s="24" t="n">
        <x:v>80.0104</x:v>
      </x:c>
      <x:c r="K257" s="24" t="n">
        <x:v>1570.6333333333334</x:v>
      </x:c>
      <x:c r="L257" s="24" t="n">
        <x:v>1368.4833333333333</x:v>
      </x:c>
      <x:c r="M257" s="10" t="n">
        <x:v>3</x:v>
      </x:c>
      <x:c r="N257" s="10" t="n">
        <x:v>5</x:v>
      </x:c>
      <x:c r="O257" s="28" t="n">
        <x:f>IF(F257="有效",I257*'参数'!$B$10+J257*'参数'!$B$11,"n.a.")</x:f>
        <x:v>402.084187045</x:v>
      </x:c>
      <x:c r="P257" s="28" t="n">
        <x:f>IF(F257="有效",K257*'参数'!$B$12+L257*'参数'!$B$13,"n.a.")</x:f>
        <x:v>2691.6823836805556</x:v>
      </x:c>
      <x:c r="Q257" s="28" t="n">
        <x:f>IF(F257="有效",M257*'参数'!$B$14+N257*'参数'!$B$15,"n.a.")</x:f>
        <x:v>600</x:v>
      </x:c>
      <x:c r="R257" s="28" t="n">
        <x:f>IF(F257="有效",IF(D257&lt;=2,G257*('参数'!$B$6+'参数'!$B$18),0),"n.a.")</x:f>
        <x:v>0</x:v>
      </x:c>
      <x:c r="S257" s="28" t="n">
        <x:f>IF(F257="有效",IF(D257&gt;=3,G257*'参数'!$B$16,0),"n.a.")</x:f>
        <x:v>149.6</x:v>
      </x:c>
      <x:c r="T257" s="28" t="n">
        <x:f>IF(F257="有效",IF(D257&gt;=3,G257*'参数'!$B$17,0),"n.a.")</x:f>
        <x:v>18.7</x:v>
      </x:c>
      <x:c r="U257" s="28" t="n">
        <x:f>IF(F257="有效",SUM(O257:T257),"n.a.")</x:f>
        <x:v>3862.0665707255553</x:v>
      </x:c>
      <x:c r="V257" s="28" t="n">
        <x:f>IF(F257="有效",H257*'参数'!$B$7,"n.a.")</x:f>
        <x:v>6825.5</x:v>
      </x:c>
      <x:c r="W257" s="28" t="n">
        <x:f>IF(F257="有效",IF(D257&gt;=3,G257*'参数'!$B$7/'参数'!$B$8,0),"n.a.")</x:f>
        <x:v>136.51</x:v>
      </x:c>
      <x:c r="X257" s="28" t="n">
        <x:f>IF(F257="有效",U257+W257,"n.a.")</x:f>
        <x:v>3998.576570725555</x:v>
      </x:c>
      <x:c r="Y257" s="28" t="n">
        <x:f>IF(F257="有效",X257/G257,"n.a.")</x:f>
        <x:v>21.382762410297087</x:v>
      </x:c>
    </x:row>
    <x:row r="258" ht="22" customHeight="1">
      <x:c r="A258" s="11" t="str">
        <x:v>lade_0827_30aoi</x:v>
      </x:c>
      <x:c r="B258" s="22" t="n">
        <x:v>30</x:v>
      </x:c>
      <x:c r="C258" s="22" t="n">
        <x:v>1</x:v>
      </x:c>
      <x:c r="D258" s="22" t="n">
        <x:v>1</x:v>
      </x:c>
      <x:c r="E258" s="22" t="n">
        <x:v>42</x:v>
      </x:c>
      <x:c r="F258" s="30" t="str">
        <x:v>有效</x:v>
      </x:c>
      <x:c r="G258" s="22" t="n">
        <x:v>238</x:v>
      </x:c>
      <x:c r="H258" s="22" t="n">
        <x:v>0</x:v>
      </x:c>
      <x:c r="I258" s="24" t="n">
        <x:v>59.477500000000006</x:v>
      </x:c>
      <x:c r="J258" s="24" t="n">
        <x:v>65.36869999999999</x:v>
      </x:c>
      <x:c r="K258" s="24" t="n">
        <x:v>60.63333333333333</x:v>
      </x:c>
      <x:c r="L258" s="24" t="n">
        <x:v>2501.95</x:v>
      </x:c>
      <x:c r="M258" s="10" t="n">
        <x:v>1</x:v>
      </x:c>
      <x:c r="N258" s="10" t="n">
        <x:v>6</x:v>
      </x:c>
      <x:c r="O258" s="28" t="n">
        <x:f>IF(F258="有效",I258*'参数'!$B$10+J258*'参数'!$B$11,"n.a.")</x:f>
        <x:v>112.61751471</x:v>
      </x:c>
      <x:c r="P258" s="28" t="n">
        <x:f>IF(F258="有效",K258*'参数'!$B$12+L258*'参数'!$B$13,"n.a.")</x:f>
        <x:v>1905.187878125</x:v>
      </x:c>
      <x:c r="Q258" s="28" t="n">
        <x:f>IF(F258="有效",M258*'参数'!$B$14+N258*'参数'!$B$15,"n.a.")</x:f>
        <x:v>460</x:v>
      </x:c>
      <x:c r="R258" s="28" t="n">
        <x:f>IF(F258="有效",IF(D258&lt;=2,G258*('参数'!$B$6+'参数'!$B$18),0),"n.a.")</x:f>
        <x:v>952</x:v>
      </x:c>
      <x:c r="S258" s="28" t="n">
        <x:f>IF(F258="有效",IF(D258&gt;=3,G258*'参数'!$B$16,0),"n.a.")</x:f>
        <x:v>0</x:v>
      </x:c>
      <x:c r="T258" s="28" t="n">
        <x:f>IF(F258="有效",IF(D258&gt;=3,G258*'参数'!$B$17,0),"n.a.")</x:f>
        <x:v>0</x:v>
      </x:c>
      <x:c r="U258" s="28" t="n">
        <x:f>IF(F258="有效",SUM(O258:T258),"n.a.")</x:f>
        <x:v>3429.805392835</x:v>
      </x:c>
      <x:c r="V258" s="28" t="n">
        <x:f>IF(F258="有效",H258*'参数'!$B$7,"n.a.")</x:f>
        <x:v>0</x:v>
      </x:c>
      <x:c r="W258" s="28" t="n">
        <x:f>IF(F258="有效",IF(D258&gt;=3,G258*'参数'!$B$7/'参数'!$B$8,0),"n.a.")</x:f>
        <x:v>0</x:v>
      </x:c>
      <x:c r="X258" s="28" t="n">
        <x:f>IF(F258="有效",U258+W258,"n.a.")</x:f>
        <x:v>3429.805392835</x:v>
      </x:c>
      <x:c r="Y258" s="28" t="n">
        <x:f>IF(F258="有效",X258/G258,"n.a.")</x:f>
        <x:v>14.410947028718487</x:v>
      </x:c>
    </x:row>
    <x:row r="259" ht="22" customHeight="1">
      <x:c r="A259" s="11" t="str">
        <x:v>lade_0827_30aoi</x:v>
      </x:c>
      <x:c r="B259" s="22" t="n">
        <x:v>30</x:v>
      </x:c>
      <x:c r="C259" s="22" t="n">
        <x:v>1</x:v>
      </x:c>
      <x:c r="D259" s="22" t="n">
        <x:v>1</x:v>
      </x:c>
      <x:c r="E259" s="22" t="n">
        <x:v>43</x:v>
      </x:c>
      <x:c r="F259" s="30" t="str">
        <x:v>有效</x:v>
      </x:c>
      <x:c r="G259" s="22" t="n">
        <x:v>238</x:v>
      </x:c>
      <x:c r="H259" s="22" t="n">
        <x:v>0</x:v>
      </x:c>
      <x:c r="I259" s="24" t="n">
        <x:v>59.477500000000006</x:v>
      </x:c>
      <x:c r="J259" s="24" t="n">
        <x:v>65.23360000000001</x:v>
      </x:c>
      <x:c r="K259" s="24" t="n">
        <x:v>60.63333333333333</x:v>
      </x:c>
      <x:c r="L259" s="24" t="n">
        <x:v>2277.4666666666667</x:v>
      </x:c>
      <x:c r="M259" s="10" t="n">
        <x:v>1</x:v>
      </x:c>
      <x:c r="N259" s="10" t="n">
        <x:v>6</x:v>
      </x:c>
      <x:c r="O259" s="28" t="n">
        <x:f>IF(F259="有效",I259*'参数'!$B$10+J259*'参数'!$B$11,"n.a.")</x:f>
        <x:v>112.49564775500002</x:v>
      </x:c>
      <x:c r="P259" s="28" t="n">
        <x:f>IF(F259="有效",K259*'参数'!$B$12+L259*'参数'!$B$13,"n.a.")</x:f>
        <x:v>1740.0850631944445</x:v>
      </x:c>
      <x:c r="Q259" s="28" t="n">
        <x:f>IF(F259="有效",M259*'参数'!$B$14+N259*'参数'!$B$15,"n.a.")</x:f>
        <x:v>460</x:v>
      </x:c>
      <x:c r="R259" s="28" t="n">
        <x:f>IF(F259="有效",IF(D259&lt;=2,G259*('参数'!$B$6+'参数'!$B$18),0),"n.a.")</x:f>
        <x:v>952</x:v>
      </x:c>
      <x:c r="S259" s="28" t="n">
        <x:f>IF(F259="有效",IF(D259&gt;=3,G259*'参数'!$B$16,0),"n.a.")</x:f>
        <x:v>0</x:v>
      </x:c>
      <x:c r="T259" s="28" t="n">
        <x:f>IF(F259="有效",IF(D259&gt;=3,G259*'参数'!$B$17,0),"n.a.")</x:f>
        <x:v>0</x:v>
      </x:c>
      <x:c r="U259" s="28" t="n">
        <x:f>IF(F259="有效",SUM(O259:T259),"n.a.")</x:f>
        <x:v>3264.5807109494444</x:v>
      </x:c>
      <x:c r="V259" s="28" t="n">
        <x:f>IF(F259="有效",H259*'参数'!$B$7,"n.a.")</x:f>
        <x:v>0</x:v>
      </x:c>
      <x:c r="W259" s="28" t="n">
        <x:f>IF(F259="有效",IF(D259&gt;=3,G259*'参数'!$B$7/'参数'!$B$8,0),"n.a.")</x:f>
        <x:v>0</x:v>
      </x:c>
      <x:c r="X259" s="28" t="n">
        <x:f>IF(F259="有效",U259+W259,"n.a.")</x:f>
        <x:v>3264.5807109494444</x:v>
      </x:c>
      <x:c r="Y259" s="28" t="n">
        <x:f>IF(F259="有效",X259/G259,"n.a.")</x:f>
        <x:v>13.71672567625817</x:v>
      </x:c>
    </x:row>
    <x:row r="260" ht="22" customHeight="1">
      <x:c r="A260" s="11" t="str">
        <x:v>lade_0827_30aoi</x:v>
      </x:c>
      <x:c r="B260" s="22" t="n">
        <x:v>30</x:v>
      </x:c>
      <x:c r="C260" s="22" t="n">
        <x:v>1</x:v>
      </x:c>
      <x:c r="D260" s="22" t="n">
        <x:v>1</x:v>
      </x:c>
      <x:c r="E260" s="22" t="n">
        <x:v>44</x:v>
      </x:c>
      <x:c r="F260" s="30" t="str">
        <x:v>有效</x:v>
      </x:c>
      <x:c r="G260" s="22" t="n">
        <x:v>238</x:v>
      </x:c>
      <x:c r="H260" s="22" t="n">
        <x:v>0</x:v>
      </x:c>
      <x:c r="I260" s="24" t="n">
        <x:v>59.477500000000006</x:v>
      </x:c>
      <x:c r="J260" s="24" t="n">
        <x:v>65.3687</x:v>
      </x:c>
      <x:c r="K260" s="24" t="n">
        <x:v>60.63333333333333</x:v>
      </x:c>
      <x:c r="L260" s="24" t="n">
        <x:v>2501.95</x:v>
      </x:c>
      <x:c r="M260" s="10" t="n">
        <x:v>1</x:v>
      </x:c>
      <x:c r="N260" s="10" t="n">
        <x:v>6</x:v>
      </x:c>
      <x:c r="O260" s="28" t="n">
        <x:f>IF(F260="有效",I260*'参数'!$B$10+J260*'参数'!$B$11,"n.a.")</x:f>
        <x:v>112.61751471000002</x:v>
      </x:c>
      <x:c r="P260" s="28" t="n">
        <x:f>IF(F260="有效",K260*'参数'!$B$12+L260*'参数'!$B$13,"n.a.")</x:f>
        <x:v>1905.187878125</x:v>
      </x:c>
      <x:c r="Q260" s="28" t="n">
        <x:f>IF(F260="有效",M260*'参数'!$B$14+N260*'参数'!$B$15,"n.a.")</x:f>
        <x:v>460</x:v>
      </x:c>
      <x:c r="R260" s="28" t="n">
        <x:f>IF(F260="有效",IF(D260&lt;=2,G260*('参数'!$B$6+'参数'!$B$18),0),"n.a.")</x:f>
        <x:v>952</x:v>
      </x:c>
      <x:c r="S260" s="28" t="n">
        <x:f>IF(F260="有效",IF(D260&gt;=3,G260*'参数'!$B$16,0),"n.a.")</x:f>
        <x:v>0</x:v>
      </x:c>
      <x:c r="T260" s="28" t="n">
        <x:f>IF(F260="有效",IF(D260&gt;=3,G260*'参数'!$B$17,0),"n.a.")</x:f>
        <x:v>0</x:v>
      </x:c>
      <x:c r="U260" s="28" t="n">
        <x:f>IF(F260="有效",SUM(O260:T260),"n.a.")</x:f>
        <x:v>3429.805392835</x:v>
      </x:c>
      <x:c r="V260" s="28" t="n">
        <x:f>IF(F260="有效",H260*'参数'!$B$7,"n.a.")</x:f>
        <x:v>0</x:v>
      </x:c>
      <x:c r="W260" s="28" t="n">
        <x:f>IF(F260="有效",IF(D260&gt;=3,G260*'参数'!$B$7/'参数'!$B$8,0),"n.a.")</x:f>
        <x:v>0</x:v>
      </x:c>
      <x:c r="X260" s="28" t="n">
        <x:f>IF(F260="有效",U260+W260,"n.a.")</x:f>
        <x:v>3429.805392835</x:v>
      </x:c>
      <x:c r="Y260" s="28" t="n">
        <x:f>IF(F260="有效",X260/G260,"n.a.")</x:f>
        <x:v>14.410947028718487</x:v>
      </x:c>
    </x:row>
    <x:row r="261" ht="22" customHeight="1">
      <x:c r="A261" s="11" t="str">
        <x:v>lade_0827_30aoi</x:v>
      </x:c>
      <x:c r="B261" s="22" t="n">
        <x:v>30</x:v>
      </x:c>
      <x:c r="C261" s="22" t="n">
        <x:v>1</x:v>
      </x:c>
      <x:c r="D261" s="22" t="n">
        <x:v>2</x:v>
      </x:c>
      <x:c r="E261" s="22" t="n">
        <x:v>42</x:v>
      </x:c>
      <x:c r="F261" s="30" t="str">
        <x:v>有效</x:v>
      </x:c>
      <x:c r="G261" s="22" t="n">
        <x:v>238</x:v>
      </x:c>
      <x:c r="H261" s="22" t="n">
        <x:v>0</x:v>
      </x:c>
      <x:c r="I261" s="24" t="n">
        <x:v>59.477500000000006</x:v>
      </x:c>
      <x:c r="J261" s="24" t="n">
        <x:v>65.63570000000001</x:v>
      </x:c>
      <x:c r="K261" s="24" t="n">
        <x:v>60.63333333333333</x:v>
      </x:c>
      <x:c r="L261" s="24" t="n">
        <x:v>2720.9166666666665</x:v>
      </x:c>
      <x:c r="M261" s="10" t="n">
        <x:v>1</x:v>
      </x:c>
      <x:c r="N261" s="10" t="n">
        <x:v>6</x:v>
      </x:c>
      <x:c r="O261" s="28" t="n">
        <x:f>IF(F261="有效",I261*'参数'!$B$10+J261*'参数'!$B$11,"n.a.")</x:f>
        <x:v>112.85836206000002</x:v>
      </x:c>
      <x:c r="P261" s="28" t="n">
        <x:f>IF(F261="有效",K261*'参数'!$B$12+L261*'参数'!$B$13,"n.a.")</x:f>
        <x:v>2066.2332996527775</x:v>
      </x:c>
      <x:c r="Q261" s="28" t="n">
        <x:f>IF(F261="有效",M261*'参数'!$B$14+N261*'参数'!$B$15,"n.a.")</x:f>
        <x:v>460</x:v>
      </x:c>
      <x:c r="R261" s="28" t="n">
        <x:f>IF(F261="有效",IF(D261&lt;=2,G261*('参数'!$B$6+'参数'!$B$18),0),"n.a.")</x:f>
        <x:v>952</x:v>
      </x:c>
      <x:c r="S261" s="28" t="n">
        <x:f>IF(F261="有效",IF(D261&gt;=3,G261*'参数'!$B$16,0),"n.a.")</x:f>
        <x:v>0</x:v>
      </x:c>
      <x:c r="T261" s="28" t="n">
        <x:f>IF(F261="有效",IF(D261&gt;=3,G261*'参数'!$B$17,0),"n.a.")</x:f>
        <x:v>0</x:v>
      </x:c>
      <x:c r="U261" s="28" t="n">
        <x:f>IF(F261="有效",SUM(O261:T261),"n.a.")</x:f>
        <x:v>3591.0916617127777</x:v>
      </x:c>
      <x:c r="V261" s="28" t="n">
        <x:f>IF(F261="有效",H261*'参数'!$B$7,"n.a.")</x:f>
        <x:v>0</x:v>
      </x:c>
      <x:c r="W261" s="28" t="n">
        <x:f>IF(F261="有效",IF(D261&gt;=3,G261*'参数'!$B$7/'参数'!$B$8,0),"n.a.")</x:f>
        <x:v>0</x:v>
      </x:c>
      <x:c r="X261" s="28" t="n">
        <x:f>IF(F261="有效",U261+W261,"n.a.")</x:f>
        <x:v>3591.0916617127777</x:v>
      </x:c>
      <x:c r="Y261" s="28" t="n">
        <x:f>IF(F261="有效",X261/G261,"n.a.")</x:f>
        <x:v>15.088620427364612</x:v>
      </x:c>
    </x:row>
    <x:row r="262" ht="22" customHeight="1">
      <x:c r="A262" s="11" t="str">
        <x:v>lade_0827_30aoi</x:v>
      </x:c>
      <x:c r="B262" s="22" t="n">
        <x:v>30</x:v>
      </x:c>
      <x:c r="C262" s="22" t="n">
        <x:v>1</x:v>
      </x:c>
      <x:c r="D262" s="22" t="n">
        <x:v>2</x:v>
      </x:c>
      <x:c r="E262" s="22" t="n">
        <x:v>43</x:v>
      </x:c>
      <x:c r="F262" s="30" t="str">
        <x:v>有效</x:v>
      </x:c>
      <x:c r="G262" s="22" t="n">
        <x:v>238</x:v>
      </x:c>
      <x:c r="H262" s="22" t="n">
        <x:v>0</x:v>
      </x:c>
      <x:c r="I262" s="24" t="n">
        <x:v>59.477500000000006</x:v>
      </x:c>
      <x:c r="J262" s="24" t="n">
        <x:v>60.7109</x:v>
      </x:c>
      <x:c r="K262" s="24" t="n">
        <x:v>60.63333333333333</x:v>
      </x:c>
      <x:c r="L262" s="24" t="n">
        <x:v>1746.65</x:v>
      </x:c>
      <x:c r="M262" s="10" t="n">
        <x:v>1</x:v>
      </x:c>
      <x:c r="N262" s="10" t="n">
        <x:v>5</x:v>
      </x:c>
      <x:c r="O262" s="28" t="n">
        <x:f>IF(F262="有效",I262*'参数'!$B$10+J262*'参数'!$B$11,"n.a.")</x:f>
        <x:v>108.41594622000001</x:v>
      </x:c>
      <x:c r="P262" s="28" t="n">
        <x:f>IF(F262="有效",K262*'参数'!$B$12+L262*'参数'!$B$13,"n.a.")</x:f>
        <x:v>1349.6804635416668</x:v>
      </x:c>
      <x:c r="Q262" s="28" t="n">
        <x:f>IF(F262="有效",M262*'参数'!$B$14+N262*'参数'!$B$15,"n.a.")</x:f>
        <x:v>400</x:v>
      </x:c>
      <x:c r="R262" s="28" t="n">
        <x:f>IF(F262="有效",IF(D262&lt;=2,G262*('参数'!$B$6+'参数'!$B$18),0),"n.a.")</x:f>
        <x:v>952</x:v>
      </x:c>
      <x:c r="S262" s="28" t="n">
        <x:f>IF(F262="有效",IF(D262&gt;=3,G262*'参数'!$B$16,0),"n.a.")</x:f>
        <x:v>0</x:v>
      </x:c>
      <x:c r="T262" s="28" t="n">
        <x:f>IF(F262="有效",IF(D262&gt;=3,G262*'参数'!$B$17,0),"n.a.")</x:f>
        <x:v>0</x:v>
      </x:c>
      <x:c r="U262" s="28" t="n">
        <x:f>IF(F262="有效",SUM(O262:T262),"n.a.")</x:f>
        <x:v>2810.096409761667</x:v>
      </x:c>
      <x:c r="V262" s="28" t="n">
        <x:f>IF(F262="有效",H262*'参数'!$B$7,"n.a.")</x:f>
        <x:v>0</x:v>
      </x:c>
      <x:c r="W262" s="28" t="n">
        <x:f>IF(F262="有效",IF(D262&gt;=3,G262*'参数'!$B$7/'参数'!$B$8,0),"n.a.")</x:f>
        <x:v>0</x:v>
      </x:c>
      <x:c r="X262" s="28" t="n">
        <x:f>IF(F262="有效",U262+W262,"n.a.")</x:f>
        <x:v>2810.096409761667</x:v>
      </x:c>
      <x:c r="Y262" s="28" t="n">
        <x:f>IF(F262="有效",X262/G262,"n.a.")</x:f>
        <x:v>11.807127772107844</x:v>
      </x:c>
    </x:row>
    <x:row r="263" ht="22" customHeight="1">
      <x:c r="A263" s="11" t="str">
        <x:v>lade_0827_30aoi</x:v>
      </x:c>
      <x:c r="B263" s="22" t="n">
        <x:v>30</x:v>
      </x:c>
      <x:c r="C263" s="22" t="n">
        <x:v>1</x:v>
      </x:c>
      <x:c r="D263" s="22" t="n">
        <x:v>2</x:v>
      </x:c>
      <x:c r="E263" s="22" t="n">
        <x:v>44</x:v>
      </x:c>
      <x:c r="F263" s="30" t="str">
        <x:v>有效</x:v>
      </x:c>
      <x:c r="G263" s="22" t="n">
        <x:v>238</x:v>
      </x:c>
      <x:c r="H263" s="22" t="n">
        <x:v>0</x:v>
      </x:c>
      <x:c r="I263" s="24" t="n">
        <x:v>59.477500000000006</x:v>
      </x:c>
      <x:c r="J263" s="24" t="n">
        <x:v>61.459500000000006</x:v>
      </x:c>
      <x:c r="K263" s="24" t="n">
        <x:v>60.63333333333333</x:v>
      </x:c>
      <x:c r="L263" s="24" t="n">
        <x:v>1795.7</x:v>
      </x:c>
      <x:c r="M263" s="10" t="n">
        <x:v>1</x:v>
      </x:c>
      <x:c r="N263" s="10" t="n">
        <x:v>5</x:v>
      </x:c>
      <x:c r="O263" s="28" t="n">
        <x:f>IF(F263="有效",I263*'参数'!$B$10+J263*'参数'!$B$11,"n.a.")</x:f>
        <x:v>109.09122085000001</x:v>
      </x:c>
      <x:c r="P263" s="28" t="n">
        <x:f>IF(F263="有效",K263*'参数'!$B$12+L263*'参数'!$B$13,"n.a.")</x:f>
        <x:v>1385.7557166666668</x:v>
      </x:c>
      <x:c r="Q263" s="28" t="n">
        <x:f>IF(F263="有效",M263*'参数'!$B$14+N263*'参数'!$B$15,"n.a.")</x:f>
        <x:v>400</x:v>
      </x:c>
      <x:c r="R263" s="28" t="n">
        <x:f>IF(F263="有效",IF(D263&lt;=2,G263*('参数'!$B$6+'参数'!$B$18),0),"n.a.")</x:f>
        <x:v>952</x:v>
      </x:c>
      <x:c r="S263" s="28" t="n">
        <x:f>IF(F263="有效",IF(D263&gt;=3,G263*'参数'!$B$16,0),"n.a.")</x:f>
        <x:v>0</x:v>
      </x:c>
      <x:c r="T263" s="28" t="n">
        <x:f>IF(F263="有效",IF(D263&gt;=3,G263*'参数'!$B$17,0),"n.a.")</x:f>
        <x:v>0</x:v>
      </x:c>
      <x:c r="U263" s="28" t="n">
        <x:f>IF(F263="有效",SUM(O263:T263),"n.a.")</x:f>
        <x:v>2846.846937516667</x:v>
      </x:c>
      <x:c r="V263" s="28" t="n">
        <x:f>IF(F263="有效",H263*'参数'!$B$7,"n.a.")</x:f>
        <x:v>0</x:v>
      </x:c>
      <x:c r="W263" s="28" t="n">
        <x:f>IF(F263="有效",IF(D263&gt;=3,G263*'参数'!$B$7/'参数'!$B$8,0),"n.a.")</x:f>
        <x:v>0</x:v>
      </x:c>
      <x:c r="X263" s="28" t="n">
        <x:f>IF(F263="有效",U263+W263,"n.a.")</x:f>
        <x:v>2846.846937516667</x:v>
      </x:c>
      <x:c r="Y263" s="28" t="n">
        <x:f>IF(F263="有效",X263/G263,"n.a.")</x:f>
        <x:v>11.96154175427171</x:v>
      </x:c>
    </x:row>
    <x:row r="264" ht="22" customHeight="1">
      <x:c r="A264" s="11" t="str">
        <x:v>lade_0827_30aoi</x:v>
      </x:c>
      <x:c r="B264" s="22" t="n">
        <x:v>30</x:v>
      </x:c>
      <x:c r="C264" s="22" t="n">
        <x:v>1</x:v>
      </x:c>
      <x:c r="D264" s="22" t="n">
        <x:v>3</x:v>
      </x:c>
      <x:c r="E264" s="22" t="n">
        <x:v>42</x:v>
      </x:c>
      <x:c r="F264" s="30" t="str">
        <x:v>有效</x:v>
      </x:c>
      <x:c r="G264" s="22" t="n">
        <x:v>238</x:v>
      </x:c>
      <x:c r="H264" s="22" t="n">
        <x:v>238</x:v>
      </x:c>
      <x:c r="I264" s="24" t="n">
        <x:v>63.013999999999996</x:v>
      </x:c>
      <x:c r="J264" s="24" t="n">
        <x:v>76.6318</x:v>
      </x:c>
      <x:c r="K264" s="24" t="n">
        <x:v>738.65</x:v>
      </x:c>
      <x:c r="L264" s="24" t="n">
        <x:v>3334.866666666667</x:v>
      </x:c>
      <x:c r="M264" s="10" t="n">
        <x:v>1</x:v>
      </x:c>
      <x:c r="N264" s="10" t="n">
        <x:v>6</x:v>
      </x:c>
      <x:c r="O264" s="28" t="n">
        <x:f>IF(F264="有效",I264*'参数'!$B$10+J264*'参数'!$B$11,"n.a.")</x:f>
        <x:v>125.96749388999999</x:v>
      </x:c>
      <x:c r="P264" s="28" t="n">
        <x:f>IF(F264="有效",K264*'参数'!$B$12+L264*'参数'!$B$13,"n.a.")</x:f>
        <x:v>3245.2502413194447</x:v>
      </x:c>
      <x:c r="Q264" s="28" t="n">
        <x:f>IF(F264="有效",M264*'参数'!$B$14+N264*'参数'!$B$15,"n.a.")</x:f>
        <x:v>460</x:v>
      </x:c>
      <x:c r="R264" s="28" t="n">
        <x:f>IF(F264="有效",IF(D264&lt;=2,G264*('参数'!$B$6+'参数'!$B$18),0),"n.a.")</x:f>
        <x:v>0</x:v>
      </x:c>
      <x:c r="S264" s="28" t="n">
        <x:f>IF(F264="有效",IF(D264&gt;=3,G264*'参数'!$B$16,0),"n.a.")</x:f>
        <x:v>190.4</x:v>
      </x:c>
      <x:c r="T264" s="28" t="n">
        <x:f>IF(F264="有效",IF(D264&gt;=3,G264*'参数'!$B$17,0),"n.a.")</x:f>
        <x:v>23.8</x:v>
      </x:c>
      <x:c r="U264" s="28" t="n">
        <x:f>IF(F264="有效",SUM(O264:T264),"n.a.")</x:f>
        <x:v>4045.417735209445</x:v>
      </x:c>
      <x:c r="V264" s="28" t="n">
        <x:f>IF(F264="有效",H264*'参数'!$B$7,"n.a.")</x:f>
        <x:v>8687</x:v>
      </x:c>
      <x:c r="W264" s="28" t="n">
        <x:f>IF(F264="有效",IF(D264&gt;=3,G264*'参数'!$B$7/'参数'!$B$8,0),"n.a.")</x:f>
        <x:v>173.74</x:v>
      </x:c>
      <x:c r="X264" s="28" t="n">
        <x:f>IF(F264="有效",U264+W264,"n.a.")</x:f>
        <x:v>4219.157735209445</x:v>
      </x:c>
      <x:c r="Y264" s="28" t="n">
        <x:f>IF(F264="有效",X264/G264,"n.a.")</x:f>
        <x:v>17.727553509283382</x:v>
      </x:c>
    </x:row>
    <x:row r="265" ht="22" customHeight="1">
      <x:c r="A265" s="11" t="str">
        <x:v>lade_0827_30aoi</x:v>
      </x:c>
      <x:c r="B265" s="22" t="n">
        <x:v>30</x:v>
      </x:c>
      <x:c r="C265" s="22" t="n">
        <x:v>1</x:v>
      </x:c>
      <x:c r="D265" s="22" t="n">
        <x:v>3</x:v>
      </x:c>
      <x:c r="E265" s="22" t="n">
        <x:v>43</x:v>
      </x:c>
      <x:c r="F265" s="30" t="str">
        <x:v>有效</x:v>
      </x:c>
      <x:c r="G265" s="22" t="n">
        <x:v>238</x:v>
      </x:c>
      <x:c r="H265" s="22" t="n">
        <x:v>238</x:v>
      </x:c>
      <x:c r="I265" s="24" t="n">
        <x:v>63.013999999999996</x:v>
      </x:c>
      <x:c r="J265" s="24" t="n">
        <x:v>82.08760000000001</x:v>
      </x:c>
      <x:c r="K265" s="24" t="n">
        <x:v>738.65</x:v>
      </x:c>
      <x:c r="L265" s="24" t="n">
        <x:v>3289.55</x:v>
      </x:c>
      <x:c r="M265" s="10" t="n">
        <x:v>1</x:v>
      </x:c>
      <x:c r="N265" s="10" t="n">
        <x:v>6</x:v>
      </x:c>
      <x:c r="O265" s="28" t="n">
        <x:f>IF(F265="有效",I265*'参数'!$B$10+J265*'参数'!$B$11,"n.a.")</x:f>
        <x:v>130.88889828</x:v>
      </x:c>
      <x:c r="P265" s="28" t="n">
        <x:f>IF(F265="有效",K265*'参数'!$B$12+L265*'参数'!$B$13,"n.a.")</x:f>
        <x:v>3211.9207770833336</x:v>
      </x:c>
      <x:c r="Q265" s="28" t="n">
        <x:f>IF(F265="有效",M265*'参数'!$B$14+N265*'参数'!$B$15,"n.a.")</x:f>
        <x:v>460</x:v>
      </x:c>
      <x:c r="R265" s="28" t="n">
        <x:f>IF(F265="有效",IF(D265&lt;=2,G265*('参数'!$B$6+'参数'!$B$18),0),"n.a.")</x:f>
        <x:v>0</x:v>
      </x:c>
      <x:c r="S265" s="28" t="n">
        <x:f>IF(F265="有效",IF(D265&gt;=3,G265*'参数'!$B$16,0),"n.a.")</x:f>
        <x:v>190.4</x:v>
      </x:c>
      <x:c r="T265" s="28" t="n">
        <x:f>IF(F265="有效",IF(D265&gt;=3,G265*'参数'!$B$17,0),"n.a.")</x:f>
        <x:v>23.8</x:v>
      </x:c>
      <x:c r="U265" s="28" t="n">
        <x:f>IF(F265="有效",SUM(O265:T265),"n.a.")</x:f>
        <x:v>4017.009675363334</x:v>
      </x:c>
      <x:c r="V265" s="28" t="n">
        <x:f>IF(F265="有效",H265*'参数'!$B$7,"n.a.")</x:f>
        <x:v>8687</x:v>
      </x:c>
      <x:c r="W265" s="28" t="n">
        <x:f>IF(F265="有效",IF(D265&gt;=3,G265*'参数'!$B$7/'参数'!$B$8,0),"n.a.")</x:f>
        <x:v>173.74</x:v>
      </x:c>
      <x:c r="X265" s="28" t="n">
        <x:f>IF(F265="有效",U265+W265,"n.a.")</x:f>
        <x:v>4190.749675363334</x:v>
      </x:c>
      <x:c r="Y265" s="28" t="n">
        <x:f>IF(F265="有效",X265/G265,"n.a.")</x:f>
        <x:v>17.608191913291318</x:v>
      </x:c>
    </x:row>
    <x:row r="266" ht="22" customHeight="1">
      <x:c r="A266" s="11" t="str">
        <x:v>lade_0827_30aoi</x:v>
      </x:c>
      <x:c r="B266" s="22" t="n">
        <x:v>30</x:v>
      </x:c>
      <x:c r="C266" s="22" t="n">
        <x:v>1</x:v>
      </x:c>
      <x:c r="D266" s="22" t="n">
        <x:v>3</x:v>
      </x:c>
      <x:c r="E266" s="22" t="n">
        <x:v>44</x:v>
      </x:c>
      <x:c r="F266" s="30" t="str">
        <x:v>有效</x:v>
      </x:c>
      <x:c r="G266" s="22" t="n">
        <x:v>238</x:v>
      </x:c>
      <x:c r="H266" s="22" t="n">
        <x:v>238</x:v>
      </x:c>
      <x:c r="I266" s="24" t="n">
        <x:v>63.013999999999996</x:v>
      </x:c>
      <x:c r="J266" s="24" t="n">
        <x:v>79.1531</x:v>
      </x:c>
      <x:c r="K266" s="24" t="n">
        <x:v>738.65</x:v>
      </x:c>
      <x:c r="L266" s="24" t="n">
        <x:v>3334.866666666667</x:v>
      </x:c>
      <x:c r="M266" s="10" t="n">
        <x:v>1</x:v>
      </x:c>
      <x:c r="N266" s="10" t="n">
        <x:v>6</x:v>
      </x:c>
      <x:c r="O266" s="28" t="n">
        <x:f>IF(F266="有效",I266*'参数'!$B$10+J266*'参数'!$B$11,"n.a.")</x:f>
        <x:v>128.241832555</x:v>
      </x:c>
      <x:c r="P266" s="28" t="n">
        <x:f>IF(F266="有效",K266*'参数'!$B$12+L266*'参数'!$B$13,"n.a.")</x:f>
        <x:v>3245.2502413194447</x:v>
      </x:c>
      <x:c r="Q266" s="28" t="n">
        <x:f>IF(F266="有效",M266*'参数'!$B$14+N266*'参数'!$B$15,"n.a.")</x:f>
        <x:v>460</x:v>
      </x:c>
      <x:c r="R266" s="28" t="n">
        <x:f>IF(F266="有效",IF(D266&lt;=2,G266*('参数'!$B$6+'参数'!$B$18),0),"n.a.")</x:f>
        <x:v>0</x:v>
      </x:c>
      <x:c r="S266" s="28" t="n">
        <x:f>IF(F266="有效",IF(D266&gt;=3,G266*'参数'!$B$16,0),"n.a.")</x:f>
        <x:v>190.4</x:v>
      </x:c>
      <x:c r="T266" s="28" t="n">
        <x:f>IF(F266="有效",IF(D266&gt;=3,G266*'参数'!$B$17,0),"n.a.")</x:f>
        <x:v>23.8</x:v>
      </x:c>
      <x:c r="U266" s="28" t="n">
        <x:f>IF(F266="有效",SUM(O266:T266),"n.a.")</x:f>
        <x:v>4047.692073874445</x:v>
      </x:c>
      <x:c r="V266" s="28" t="n">
        <x:f>IF(F266="有效",H266*'参数'!$B$7,"n.a.")</x:f>
        <x:v>8687</x:v>
      </x:c>
      <x:c r="W266" s="28" t="n">
        <x:f>IF(F266="有效",IF(D266&gt;=3,G266*'参数'!$B$7/'参数'!$B$8,0),"n.a.")</x:f>
        <x:v>173.74</x:v>
      </x:c>
      <x:c r="X266" s="28" t="n">
        <x:f>IF(F266="有效",U266+W266,"n.a.")</x:f>
        <x:v>4221.432073874445</x:v>
      </x:c>
      <x:c r="Y266" s="28" t="n">
        <x:f>IF(F266="有效",X266/G266,"n.a.")</x:f>
        <x:v>17.73710955409431</x:v>
      </x:c>
    </x:row>
    <x:row r="267" ht="22" customHeight="1">
      <x:c r="A267" s="11" t="str">
        <x:v>lade_0827_30aoi</x:v>
      </x:c>
      <x:c r="B267" s="22" t="n">
        <x:v>30</x:v>
      </x:c>
      <x:c r="C267" s="22" t="n">
        <x:v>1</x:v>
      </x:c>
      <x:c r="D267" s="22" t="n">
        <x:v>4</x:v>
      </x:c>
      <x:c r="E267" s="22" t="n">
        <x:v>42</x:v>
      </x:c>
      <x:c r="F267" s="30" t="str">
        <x:v>有效</x:v>
      </x:c>
      <x:c r="G267" s="22" t="n">
        <x:v>238</x:v>
      </x:c>
      <x:c r="H267" s="22" t="n">
        <x:v>238</x:v>
      </x:c>
      <x:c r="I267" s="24" t="n">
        <x:v>63.013999999999996</x:v>
      </x:c>
      <x:c r="J267" s="24" t="n">
        <x:v>84.8368</x:v>
      </x:c>
      <x:c r="K267" s="24" t="n">
        <x:v>738.65</x:v>
      </x:c>
      <x:c r="L267" s="24" t="n">
        <x:v>3318.3166666666666</x:v>
      </x:c>
      <x:c r="M267" s="10" t="n">
        <x:v>1</x:v>
      </x:c>
      <x:c r="N267" s="10" t="n">
        <x:v>6</x:v>
      </x:c>
      <x:c r="O267" s="28" t="n">
        <x:f>IF(F267="有效",I267*'参数'!$B$10+J267*'参数'!$B$11,"n.a.")</x:f>
        <x:v>133.36881413999998</x:v>
      </x:c>
      <x:c r="P267" s="28" t="n">
        <x:f>IF(F267="有效",K267*'参数'!$B$12+L267*'参数'!$B$13,"n.a.")</x:f>
        <x:v>3233.078061111111</x:v>
      </x:c>
      <x:c r="Q267" s="28" t="n">
        <x:f>IF(F267="有效",M267*'参数'!$B$14+N267*'参数'!$B$15,"n.a.")</x:f>
        <x:v>460</x:v>
      </x:c>
      <x:c r="R267" s="28" t="n">
        <x:f>IF(F267="有效",IF(D267&lt;=2,G267*('参数'!$B$6+'参数'!$B$18),0),"n.a.")</x:f>
        <x:v>0</x:v>
      </x:c>
      <x:c r="S267" s="28" t="n">
        <x:f>IF(F267="有效",IF(D267&gt;=3,G267*'参数'!$B$16,0),"n.a.")</x:f>
        <x:v>190.4</x:v>
      </x:c>
      <x:c r="T267" s="28" t="n">
        <x:f>IF(F267="有效",IF(D267&gt;=3,G267*'参数'!$B$17,0),"n.a.")</x:f>
        <x:v>23.8</x:v>
      </x:c>
      <x:c r="U267" s="28" t="n">
        <x:f>IF(F267="有效",SUM(O267:T267),"n.a.")</x:f>
        <x:v>4040.646875251111</x:v>
      </x:c>
      <x:c r="V267" s="28" t="n">
        <x:f>IF(F267="有效",H267*'参数'!$B$7,"n.a.")</x:f>
        <x:v>8687</x:v>
      </x:c>
      <x:c r="W267" s="28" t="n">
        <x:f>IF(F267="有效",IF(D267&gt;=3,G267*'参数'!$B$7/'参数'!$B$8,0),"n.a.")</x:f>
        <x:v>173.74</x:v>
      </x:c>
      <x:c r="X267" s="28" t="n">
        <x:f>IF(F267="有效",U267+W267,"n.a.")</x:f>
        <x:v>4214.386875251111</x:v>
      </x:c>
      <x:c r="Y267" s="28" t="n">
        <x:f>IF(F267="有效",X267/G267,"n.a.")</x:f>
        <x:v>17.707507879206347</x:v>
      </x:c>
    </x:row>
    <x:row r="268" ht="22" customHeight="1">
      <x:c r="A268" s="11" t="str">
        <x:v>lade_0827_30aoi</x:v>
      </x:c>
      <x:c r="B268" s="22" t="n">
        <x:v>30</x:v>
      </x:c>
      <x:c r="C268" s="22" t="n">
        <x:v>1</x:v>
      </x:c>
      <x:c r="D268" s="22" t="n">
        <x:v>4</x:v>
      </x:c>
      <x:c r="E268" s="22" t="n">
        <x:v>43</x:v>
      </x:c>
      <x:c r="F268" s="30" t="str">
        <x:v>有效</x:v>
      </x:c>
      <x:c r="G268" s="22" t="n">
        <x:v>238</x:v>
      </x:c>
      <x:c r="H268" s="22" t="n">
        <x:v>238</x:v>
      </x:c>
      <x:c r="I268" s="24" t="n">
        <x:v>63.013999999999996</x:v>
      </x:c>
      <x:c r="J268" s="24" t="n">
        <x:v>76.48199999999997</x:v>
      </x:c>
      <x:c r="K268" s="24" t="n">
        <x:v>738.65</x:v>
      </x:c>
      <x:c r="L268" s="24" t="n">
        <x:v>3334.866666666667</x:v>
      </x:c>
      <x:c r="M268" s="10" t="n">
        <x:v>1</x:v>
      </x:c>
      <x:c r="N268" s="10" t="n">
        <x:v>6</x:v>
      </x:c>
      <x:c r="O268" s="28" t="n">
        <x:f>IF(F268="有效",I268*'参数'!$B$10+J268*'参数'!$B$11,"n.a.")</x:f>
        <x:v>125.83236679999996</x:v>
      </x:c>
      <x:c r="P268" s="28" t="n">
        <x:f>IF(F268="有效",K268*'参数'!$B$12+L268*'参数'!$B$13,"n.a.")</x:f>
        <x:v>3245.2502413194447</x:v>
      </x:c>
      <x:c r="Q268" s="28" t="n">
        <x:f>IF(F268="有效",M268*'参数'!$B$14+N268*'参数'!$B$15,"n.a.")</x:f>
        <x:v>460</x:v>
      </x:c>
      <x:c r="R268" s="28" t="n">
        <x:f>IF(F268="有效",IF(D268&lt;=2,G268*('参数'!$B$6+'参数'!$B$18),0),"n.a.")</x:f>
        <x:v>0</x:v>
      </x:c>
      <x:c r="S268" s="28" t="n">
        <x:f>IF(F268="有效",IF(D268&gt;=3,G268*'参数'!$B$16,0),"n.a.")</x:f>
        <x:v>190.4</x:v>
      </x:c>
      <x:c r="T268" s="28" t="n">
        <x:f>IF(F268="有效",IF(D268&gt;=3,G268*'参数'!$B$17,0),"n.a.")</x:f>
        <x:v>23.8</x:v>
      </x:c>
      <x:c r="U268" s="28" t="n">
        <x:f>IF(F268="有效",SUM(O268:T268),"n.a.")</x:f>
        <x:v>4045.282608119445</x:v>
      </x:c>
      <x:c r="V268" s="28" t="n">
        <x:f>IF(F268="有效",H268*'参数'!$B$7,"n.a.")</x:f>
        <x:v>8687</x:v>
      </x:c>
      <x:c r="W268" s="28" t="n">
        <x:f>IF(F268="有效",IF(D268&gt;=3,G268*'参数'!$B$7/'参数'!$B$8,0),"n.a.")</x:f>
        <x:v>173.74</x:v>
      </x:c>
      <x:c r="X268" s="28" t="n">
        <x:f>IF(F268="有效",U268+W268,"n.a.")</x:f>
        <x:v>4219.022608119445</x:v>
      </x:c>
      <x:c r="Y268" s="28" t="n">
        <x:f>IF(F268="有效",X268/G268,"n.a.")</x:f>
        <x:v>17.72698574840103</x:v>
      </x:c>
    </x:row>
    <x:row r="269" ht="22" customHeight="1">
      <x:c r="A269" s="11" t="str">
        <x:v>lade_0827_30aoi</x:v>
      </x:c>
      <x:c r="B269" s="22" t="n">
        <x:v>30</x:v>
      </x:c>
      <x:c r="C269" s="22" t="n">
        <x:v>1</x:v>
      </x:c>
      <x:c r="D269" s="22" t="n">
        <x:v>4</x:v>
      </x:c>
      <x:c r="E269" s="22" t="n">
        <x:v>44</x:v>
      </x:c>
      <x:c r="F269" s="30" t="str">
        <x:v>有效</x:v>
      </x:c>
      <x:c r="G269" s="22" t="n">
        <x:v>238</x:v>
      </x:c>
      <x:c r="H269" s="22" t="n">
        <x:v>238</x:v>
      </x:c>
      <x:c r="I269" s="24" t="n">
        <x:v>63.013999999999996</x:v>
      </x:c>
      <x:c r="J269" s="24" t="n">
        <x:v>90.6526</x:v>
      </x:c>
      <x:c r="K269" s="24" t="n">
        <x:v>738.65</x:v>
      </x:c>
      <x:c r="L269" s="24" t="n">
        <x:v>3062.6666666666665</x:v>
      </x:c>
      <x:c r="M269" s="10" t="n">
        <x:v>1</x:v>
      </x:c>
      <x:c r="N269" s="10" t="n">
        <x:v>6</x:v>
      </x:c>
      <x:c r="O269" s="28" t="n">
        <x:f>IF(F269="有效",I269*'参数'!$B$10+J269*'参数'!$B$11,"n.a.")</x:f>
        <x:v>138.61495653</x:v>
      </x:c>
      <x:c r="P269" s="28" t="n">
        <x:f>IF(F269="有效",K269*'参数'!$B$12+L269*'参数'!$B$13,"n.a.")</x:f>
        <x:v>3045.0528121527777</x:v>
      </x:c>
      <x:c r="Q269" s="28" t="n">
        <x:f>IF(F269="有效",M269*'参数'!$B$14+N269*'参数'!$B$15,"n.a.")</x:f>
        <x:v>460</x:v>
      </x:c>
      <x:c r="R269" s="28" t="n">
        <x:f>IF(F269="有效",IF(D269&lt;=2,G269*('参数'!$B$6+'参数'!$B$18),0),"n.a.")</x:f>
        <x:v>0</x:v>
      </x:c>
      <x:c r="S269" s="28" t="n">
        <x:f>IF(F269="有效",IF(D269&gt;=3,G269*'参数'!$B$16,0),"n.a.")</x:f>
        <x:v>190.4</x:v>
      </x:c>
      <x:c r="T269" s="28" t="n">
        <x:f>IF(F269="有效",IF(D269&gt;=3,G269*'参数'!$B$17,0),"n.a.")</x:f>
        <x:v>23.8</x:v>
      </x:c>
      <x:c r="U269" s="28" t="n">
        <x:f>IF(F269="有效",SUM(O269:T269),"n.a.")</x:f>
        <x:v>3857.867768682778</x:v>
      </x:c>
      <x:c r="V269" s="28" t="n">
        <x:f>IF(F269="有效",H269*'参数'!$B$7,"n.a.")</x:f>
        <x:v>8687</x:v>
      </x:c>
      <x:c r="W269" s="28" t="n">
        <x:f>IF(F269="有效",IF(D269&gt;=3,G269*'参数'!$B$7/'参数'!$B$8,0),"n.a.")</x:f>
        <x:v>173.74</x:v>
      </x:c>
      <x:c r="X269" s="28" t="n">
        <x:f>IF(F269="有效",U269+W269,"n.a.")</x:f>
        <x:v>4031.6077686827784</x:v>
      </x:c>
      <x:c r="Y269" s="28" t="n">
        <x:f>IF(F269="有效",X269/G269,"n.a.")</x:f>
        <x:v>16.939528439843606</x:v>
      </x:c>
    </x:row>
    <x:row r="270" ht="22" customHeight="1">
      <x:c r="A270" s="11" t="str">
        <x:v>lade_0827_30aoi</x:v>
      </x:c>
      <x:c r="B270" s="22" t="n">
        <x:v>30</x:v>
      </x:c>
      <x:c r="C270" s="22" t="n">
        <x:v>2</x:v>
      </x:c>
      <x:c r="D270" s="22" t="n">
        <x:v>5</x:v>
      </x:c>
      <x:c r="E270" s="22" t="n">
        <x:v>42</x:v>
      </x:c>
      <x:c r="F270" s="30" t="str">
        <x:v>有效</x:v>
      </x:c>
      <x:c r="G270" s="22" t="n">
        <x:v>238</x:v>
      </x:c>
      <x:c r="H270" s="22" t="n">
        <x:v>238</x:v>
      </x:c>
      <x:c r="I270" s="24" t="n">
        <x:v>170.9205</x:v>
      </x:c>
      <x:c r="J270" s="24" t="n">
        <x:v>85.43180000000002</x:v>
      </x:c>
      <x:c r="K270" s="24" t="n">
        <x:v>956.45</x:v>
      </x:c>
      <x:c r="L270" s="24" t="n">
        <x:v>1920.7666666666667</x:v>
      </x:c>
      <x:c r="M270" s="10" t="n">
        <x:v>2</x:v>
      </x:c>
      <x:c r="N270" s="10" t="n">
        <x:v>6</x:v>
      </x:c>
      <x:c r="O270" s="28" t="n">
        <x:f>IF(F270="有效",I270*'参数'!$B$10+J270*'参数'!$B$11,"n.a.")</x:f>
        <x:v>231.24259221500003</x:v>
      </x:c>
      <x:c r="P270" s="28" t="n">
        <x:f>IF(F270="有效",K270*'参数'!$B$12+L270*'参数'!$B$13,"n.a.")</x:f>
        <x:v>2438.894939236111</x:v>
      </x:c>
      <x:c r="Q270" s="28" t="n">
        <x:f>IF(F270="有效",M270*'参数'!$B$14+N270*'参数'!$B$15,"n.a.")</x:f>
        <x:v>560</x:v>
      </x:c>
      <x:c r="R270" s="28" t="n">
        <x:f>IF(F270="有效",IF(D270&lt;=2,G270*('参数'!$B$6+'参数'!$B$18),0),"n.a.")</x:f>
        <x:v>0</x:v>
      </x:c>
      <x:c r="S270" s="28" t="n">
        <x:f>IF(F270="有效",IF(D270&gt;=3,G270*'参数'!$B$16,0),"n.a.")</x:f>
        <x:v>190.4</x:v>
      </x:c>
      <x:c r="T270" s="28" t="n">
        <x:f>IF(F270="有效",IF(D270&gt;=3,G270*'参数'!$B$17,0),"n.a.")</x:f>
        <x:v>23.8</x:v>
      </x:c>
      <x:c r="U270" s="28" t="n">
        <x:f>IF(F270="有效",SUM(O270:T270),"n.a.")</x:f>
        <x:v>3444.3375314511113</x:v>
      </x:c>
      <x:c r="V270" s="28" t="n">
        <x:f>IF(F270="有效",H270*'参数'!$B$7,"n.a.")</x:f>
        <x:v>8687</x:v>
      </x:c>
      <x:c r="W270" s="28" t="n">
        <x:f>IF(F270="有效",IF(D270&gt;=3,G270*'参数'!$B$7/'参数'!$B$8,0),"n.a.")</x:f>
        <x:v>173.74</x:v>
      </x:c>
      <x:c r="X270" s="28" t="n">
        <x:f>IF(F270="有效",U270+W270,"n.a.")</x:f>
        <x:v>3618.077531451111</x:v>
      </x:c>
      <x:c r="Y270" s="28" t="n">
        <x:f>IF(F270="有效",X270/G270,"n.a.")</x:f>
        <x:v>15.202006434668535</x:v>
      </x:c>
    </x:row>
    <x:row r="271" ht="22" customHeight="1">
      <x:c r="A271" s="11" t="str">
        <x:v>lade_0827_30aoi</x:v>
      </x:c>
      <x:c r="B271" s="22" t="n">
        <x:v>30</x:v>
      </x:c>
      <x:c r="C271" s="22" t="n">
        <x:v>2</x:v>
      </x:c>
      <x:c r="D271" s="22" t="n">
        <x:v>5</x:v>
      </x:c>
      <x:c r="E271" s="22" t="n">
        <x:v>43</x:v>
      </x:c>
      <x:c r="F271" s="30" t="str">
        <x:v>有效</x:v>
      </x:c>
      <x:c r="G271" s="22" t="n">
        <x:v>238</x:v>
      </x:c>
      <x:c r="H271" s="22" t="n">
        <x:v>238</x:v>
      </x:c>
      <x:c r="I271" s="24" t="n">
        <x:v>216.1425</x:v>
      </x:c>
      <x:c r="J271" s="24" t="n">
        <x:v>84.53679999999999</x:v>
      </x:c>
      <x:c r="K271" s="24" t="n">
        <x:v>1203.2666666666667</x:v>
      </x:c>
      <x:c r="L271" s="24" t="n">
        <x:v>1970.35</x:v>
      </x:c>
      <x:c r="M271" s="10" t="n">
        <x:v>3</x:v>
      </x:c>
      <x:c r="N271" s="10" t="n">
        <x:v>6</x:v>
      </x:c>
      <x:c r="O271" s="28" t="n">
        <x:f>IF(F271="有效",I271*'参数'!$B$10+J271*'参数'!$B$11,"n.a.")</x:f>
        <x:v>271.227762565</x:v>
      </x:c>
      <x:c r="P271" s="28" t="n">
        <x:f>IF(F271="有效",K271*'参数'!$B$12+L271*'参数'!$B$13,"n.a.")</x:f>
        <x:v>2740.1813052083335</x:v>
      </x:c>
      <x:c r="Q271" s="28" t="n">
        <x:f>IF(F271="有效",M271*'参数'!$B$14+N271*'参数'!$B$15,"n.a.")</x:f>
        <x:v>660</x:v>
      </x:c>
      <x:c r="R271" s="28" t="n">
        <x:f>IF(F271="有效",IF(D271&lt;=2,G271*('参数'!$B$6+'参数'!$B$18),0),"n.a.")</x:f>
        <x:v>0</x:v>
      </x:c>
      <x:c r="S271" s="28" t="n">
        <x:f>IF(F271="有效",IF(D271&gt;=3,G271*'参数'!$B$16,0),"n.a.")</x:f>
        <x:v>190.4</x:v>
      </x:c>
      <x:c r="T271" s="28" t="n">
        <x:f>IF(F271="有效",IF(D271&gt;=3,G271*'参数'!$B$17,0),"n.a.")</x:f>
        <x:v>23.8</x:v>
      </x:c>
      <x:c r="U271" s="28" t="n">
        <x:f>IF(F271="有效",SUM(O271:T271),"n.a.")</x:f>
        <x:v>3885.6090677733337</x:v>
      </x:c>
      <x:c r="V271" s="28" t="n">
        <x:f>IF(F271="有效",H271*'参数'!$B$7,"n.a.")</x:f>
        <x:v>8687</x:v>
      </x:c>
      <x:c r="W271" s="28" t="n">
        <x:f>IF(F271="有效",IF(D271&gt;=3,G271*'参数'!$B$7/'参数'!$B$8,0),"n.a.")</x:f>
        <x:v>173.74</x:v>
      </x:c>
      <x:c r="X271" s="28" t="n">
        <x:f>IF(F271="有效",U271+W271,"n.a.")</x:f>
        <x:v>4059.3490677733334</x:v>
      </x:c>
      <x:c r="Y271" s="28" t="n">
        <x:f>IF(F271="有效",X271/G271,"n.a.")</x:f>
        <x:v>17.056088520056022</x:v>
      </x:c>
    </x:row>
    <x:row r="272" ht="22" customHeight="1">
      <x:c r="A272" s="11" t="str">
        <x:v>lade_0827_30aoi</x:v>
      </x:c>
      <x:c r="B272" s="22" t="n">
        <x:v>30</x:v>
      </x:c>
      <x:c r="C272" s="22" t="n">
        <x:v>2</x:v>
      </x:c>
      <x:c r="D272" s="22" t="n">
        <x:v>5</x:v>
      </x:c>
      <x:c r="E272" s="22" t="n">
        <x:v>44</x:v>
      </x:c>
      <x:c r="F272" s="30" t="str">
        <x:v>有效</x:v>
      </x:c>
      <x:c r="G272" s="22" t="n">
        <x:v>238</x:v>
      </x:c>
      <x:c r="H272" s="22" t="n">
        <x:v>238</x:v>
      </x:c>
      <x:c r="I272" s="24" t="n">
        <x:v>306.257</x:v>
      </x:c>
      <x:c r="J272" s="24" t="n">
        <x:v>92.89020000000001</x:v>
      </x:c>
      <x:c r="K272" s="24" t="n">
        <x:v>2084.233333333333</x:v>
      </x:c>
      <x:c r="L272" s="24" t="n">
        <x:v>2023.0333333333333</x:v>
      </x:c>
      <x:c r="M272" s="10" t="n">
        <x:v>3</x:v>
      </x:c>
      <x:c r="N272" s="10" t="n">
        <x:v>6</x:v>
      </x:c>
      <x:c r="O272" s="28" t="n">
        <x:f>IF(F272="有效",I272*'参数'!$B$10+J272*'参数'!$B$11,"n.a.")</x:f>
        <x:v>360.05073176</x:v>
      </x:c>
      <x:c r="P272" s="28" t="n">
        <x:f>IF(F272="有效",K272*'参数'!$B$12+L272*'参数'!$B$13,"n.a.")</x:f>
        <x:v>3724.1509722222218</x:v>
      </x:c>
      <x:c r="Q272" s="28" t="n">
        <x:f>IF(F272="有效",M272*'参数'!$B$14+N272*'参数'!$B$15,"n.a.")</x:f>
        <x:v>660</x:v>
      </x:c>
      <x:c r="R272" s="28" t="n">
        <x:f>IF(F272="有效",IF(D272&lt;=2,G272*('参数'!$B$6+'参数'!$B$18),0),"n.a.")</x:f>
        <x:v>0</x:v>
      </x:c>
      <x:c r="S272" s="28" t="n">
        <x:f>IF(F272="有效",IF(D272&gt;=3,G272*'参数'!$B$16,0),"n.a.")</x:f>
        <x:v>190.4</x:v>
      </x:c>
      <x:c r="T272" s="28" t="n">
        <x:f>IF(F272="有效",IF(D272&gt;=3,G272*'参数'!$B$17,0),"n.a.")</x:f>
        <x:v>23.8</x:v>
      </x:c>
      <x:c r="U272" s="28" t="n">
        <x:f>IF(F272="有效",SUM(O272:T272),"n.a.")</x:f>
        <x:v>4958.401703982222</x:v>
      </x:c>
      <x:c r="V272" s="28" t="n">
        <x:f>IF(F272="有效",H272*'参数'!$B$7,"n.a.")</x:f>
        <x:v>8687</x:v>
      </x:c>
      <x:c r="W272" s="28" t="n">
        <x:f>IF(F272="有效",IF(D272&gt;=3,G272*'参数'!$B$7/'参数'!$B$8,0),"n.a.")</x:f>
        <x:v>173.74</x:v>
      </x:c>
      <x:c r="X272" s="28" t="n">
        <x:f>IF(F272="有效",U272+W272,"n.a.")</x:f>
        <x:v>5132.141703982222</x:v>
      </x:c>
      <x:c r="Y272" s="28" t="n">
        <x:f>IF(F272="有效",X272/G272,"n.a.")</x:f>
        <x:v>21.56362060496732</x:v>
      </x:c>
    </x:row>
    <x:row r="273" ht="22" customHeight="1">
      <x:c r="A273" s="11" t="str">
        <x:v>lade_0827_30aoi</x:v>
      </x:c>
      <x:c r="B273" s="22" t="n">
        <x:v>30</x:v>
      </x:c>
      <x:c r="C273" s="22" t="n">
        <x:v>3</x:v>
      </x:c>
      <x:c r="D273" s="22" t="n">
        <x:v>5</x:v>
      </x:c>
      <x:c r="E273" s="22" t="n">
        <x:v>42</x:v>
      </x:c>
      <x:c r="F273" s="30" t="str">
        <x:v>有效</x:v>
      </x:c>
      <x:c r="G273" s="22" t="n">
        <x:v>238</x:v>
      </x:c>
      <x:c r="H273" s="22" t="n">
        <x:v>238</x:v>
      </x:c>
      <x:c r="I273" s="24" t="n">
        <x:v>459.38550000000004</x:v>
      </x:c>
      <x:c r="J273" s="24" t="n">
        <x:v>103.45230000000001</x:v>
      </x:c>
      <x:c r="K273" s="24" t="n">
        <x:v>1978.85</x:v>
      </x:c>
      <x:c r="L273" s="24" t="n">
        <x:v>1336.4</x:v>
      </x:c>
      <x:c r="M273" s="10" t="n">
        <x:v>3</x:v>
      </x:c>
      <x:c r="N273" s="10" t="n">
        <x:v>5</x:v>
      </x:c>
      <x:c r="O273" s="28" t="n">
        <x:f>IF(F273="有效",I273*'参数'!$B$10+J273*'参数'!$B$11,"n.a.")</x:f>
        <x:v>507.7078374900001</x:v>
      </x:c>
      <x:c r="P273" s="28" t="n">
        <x:f>IF(F273="有效",K273*'参数'!$B$12+L273*'参数'!$B$13,"n.a.")</x:f>
        <x:v>3106.076730208333</x:v>
      </x:c>
      <x:c r="Q273" s="28" t="n">
        <x:f>IF(F273="有效",M273*'参数'!$B$14+N273*'参数'!$B$15,"n.a.")</x:f>
        <x:v>600</x:v>
      </x:c>
      <x:c r="R273" s="28" t="n">
        <x:f>IF(F273="有效",IF(D273&lt;=2,G273*('参数'!$B$6+'参数'!$B$18),0),"n.a.")</x:f>
        <x:v>0</x:v>
      </x:c>
      <x:c r="S273" s="28" t="n">
        <x:f>IF(F273="有效",IF(D273&gt;=3,G273*'参数'!$B$16,0),"n.a.")</x:f>
        <x:v>190.4</x:v>
      </x:c>
      <x:c r="T273" s="28" t="n">
        <x:f>IF(F273="有效",IF(D273&gt;=3,G273*'参数'!$B$17,0),"n.a.")</x:f>
        <x:v>23.8</x:v>
      </x:c>
      <x:c r="U273" s="28" t="n">
        <x:f>IF(F273="有效",SUM(O273:T273),"n.a.")</x:f>
        <x:v>4427.984567698333</x:v>
      </x:c>
      <x:c r="V273" s="28" t="n">
        <x:f>IF(F273="有效",H273*'参数'!$B$7,"n.a.")</x:f>
        <x:v>8687</x:v>
      </x:c>
      <x:c r="W273" s="28" t="n">
        <x:f>IF(F273="有效",IF(D273&gt;=3,G273*'参数'!$B$7/'参数'!$B$8,0),"n.a.")</x:f>
        <x:v>173.74</x:v>
      </x:c>
      <x:c r="X273" s="28" t="n">
        <x:f>IF(F273="有效",U273+W273,"n.a.")</x:f>
        <x:v>4601.724567698333</x:v>
      </x:c>
      <x:c r="Y273" s="28" t="n">
        <x:f>IF(F273="有效",X273/G273,"n.a.")</x:f>
        <x:v>19.33497717520308</x:v>
      </x:c>
    </x:row>
    <x:row r="274" ht="22" customHeight="1">
      <x:c r="A274" s="11" t="str">
        <x:v>lade_0827_30aoi</x:v>
      </x:c>
      <x:c r="B274" s="22" t="n">
        <x:v>30</x:v>
      </x:c>
      <x:c r="C274" s="22" t="n">
        <x:v>3</x:v>
      </x:c>
      <x:c r="D274" s="22" t="n">
        <x:v>5</x:v>
      </x:c>
      <x:c r="E274" s="22" t="n">
        <x:v>43</x:v>
      </x:c>
      <x:c r="F274" s="30" t="str">
        <x:v>有效</x:v>
      </x:c>
      <x:c r="G274" s="22" t="n">
        <x:v>238</x:v>
      </x:c>
      <x:c r="H274" s="22" t="n">
        <x:v>238</x:v>
      </x:c>
      <x:c r="I274" s="24" t="n">
        <x:v>413.17930000000007</x:v>
      </x:c>
      <x:c r="J274" s="24" t="n">
        <x:v>104.71300000000002</x:v>
      </x:c>
      <x:c r="K274" s="24" t="n">
        <x:v>1774.85</x:v>
      </x:c>
      <x:c r="L274" s="24" t="n">
        <x:v>1391.1833333333334</x:v>
      </x:c>
      <x:c r="M274" s="10" t="n">
        <x:v>3</x:v>
      </x:c>
      <x:c r="N274" s="10" t="n">
        <x:v>5</x:v>
      </x:c>
      <x:c r="O274" s="28" t="n">
        <x:f>IF(F274="有效",I274*'参数'!$B$10+J274*'参数'!$B$11,"n.a.")</x:f>
        <x:v>467.1647492150001</x:v>
      </x:c>
      <x:c r="P274" s="28" t="n">
        <x:f>IF(F274="有效",K274*'参数'!$B$12+L274*'参数'!$B$13,"n.a.")</x:f>
        <x:v>2927.4894805555555</x:v>
      </x:c>
      <x:c r="Q274" s="28" t="n">
        <x:f>IF(F274="有效",M274*'参数'!$B$14+N274*'参数'!$B$15,"n.a.")</x:f>
        <x:v>600</x:v>
      </x:c>
      <x:c r="R274" s="28" t="n">
        <x:f>IF(F274="有效",IF(D274&lt;=2,G274*('参数'!$B$6+'参数'!$B$18),0),"n.a.")</x:f>
        <x:v>0</x:v>
      </x:c>
      <x:c r="S274" s="28" t="n">
        <x:f>IF(F274="有效",IF(D274&gt;=3,G274*'参数'!$B$16,0),"n.a.")</x:f>
        <x:v>190.4</x:v>
      </x:c>
      <x:c r="T274" s="28" t="n">
        <x:f>IF(F274="有效",IF(D274&gt;=3,G274*'参数'!$B$17,0),"n.a.")</x:f>
        <x:v>23.8</x:v>
      </x:c>
      <x:c r="U274" s="28" t="n">
        <x:f>IF(F274="有效",SUM(O274:T274),"n.a.")</x:f>
        <x:v>4208.854229770555</x:v>
      </x:c>
      <x:c r="V274" s="28" t="n">
        <x:f>IF(F274="有效",H274*'参数'!$B$7,"n.a.")</x:f>
        <x:v>8687</x:v>
      </x:c>
      <x:c r="W274" s="28" t="n">
        <x:f>IF(F274="有效",IF(D274&gt;=3,G274*'参数'!$B$7/'参数'!$B$8,0),"n.a.")</x:f>
        <x:v>173.74</x:v>
      </x:c>
      <x:c r="X274" s="28" t="n">
        <x:f>IF(F274="有效",U274+W274,"n.a.")</x:f>
        <x:v>4382.594229770555</x:v>
      </x:c>
      <x:c r="Y274" s="28" t="n">
        <x:f>IF(F274="有效",X274/G274,"n.a.")</x:f>
        <x:v>18.414261469624183</x:v>
      </x:c>
    </x:row>
    <x:row r="275" ht="22" customHeight="1">
      <x:c r="A275" s="11" t="str">
        <x:v>lade_0827_30aoi</x:v>
      </x:c>
      <x:c r="B275" s="22" t="n">
        <x:v>30</x:v>
      </x:c>
      <x:c r="C275" s="22" t="n">
        <x:v>3</x:v>
      </x:c>
      <x:c r="D275" s="22" t="n">
        <x:v>5</x:v>
      </x:c>
      <x:c r="E275" s="22" t="n">
        <x:v>44</x:v>
      </x:c>
      <x:c r="F275" s="30" t="str">
        <x:v>有效</x:v>
      </x:c>
      <x:c r="G275" s="22" t="n">
        <x:v>238</x:v>
      </x:c>
      <x:c r="H275" s="22" t="n">
        <x:v>238</x:v>
      </x:c>
      <x:c r="I275" s="24" t="n">
        <x:v>413.17930000000007</x:v>
      </x:c>
      <x:c r="J275" s="24" t="n">
        <x:v>109.52550000000004</x:v>
      </x:c>
      <x:c r="K275" s="24" t="n">
        <x:v>1626.7333333333333</x:v>
      </x:c>
      <x:c r="L275" s="24" t="n">
        <x:v>1315.6333333333334</x:v>
      </x:c>
      <x:c r="M275" s="10" t="n">
        <x:v>3</x:v>
      </x:c>
      <x:c r="N275" s="10" t="n">
        <x:v>5</x:v>
      </x:c>
      <x:c r="O275" s="28" t="n">
        <x:f>IF(F275="有效",I275*'参数'!$B$10+J275*'参数'!$B$11,"n.a.")</x:f>
        <x:v>471.5058648400001</x:v>
      </x:c>
      <x:c r="P275" s="28" t="n">
        <x:f>IF(F275="有效",K275*'参数'!$B$12+L275*'参数'!$B$13,"n.a.")</x:f>
        <x:v>2713.004103472222</x:v>
      </x:c>
      <x:c r="Q275" s="28" t="n">
        <x:f>IF(F275="有效",M275*'参数'!$B$14+N275*'参数'!$B$15,"n.a.")</x:f>
        <x:v>600</x:v>
      </x:c>
      <x:c r="R275" s="28" t="n">
        <x:f>IF(F275="有效",IF(D275&lt;=2,G275*('参数'!$B$6+'参数'!$B$18),0),"n.a.")</x:f>
        <x:v>0</x:v>
      </x:c>
      <x:c r="S275" s="28" t="n">
        <x:f>IF(F275="有效",IF(D275&gt;=3,G275*'参数'!$B$16,0),"n.a.")</x:f>
        <x:v>190.4</x:v>
      </x:c>
      <x:c r="T275" s="28" t="n">
        <x:f>IF(F275="有效",IF(D275&gt;=3,G275*'参数'!$B$17,0),"n.a.")</x:f>
        <x:v>23.8</x:v>
      </x:c>
      <x:c r="U275" s="28" t="n">
        <x:f>IF(F275="有效",SUM(O275:T275),"n.a.")</x:f>
        <x:v>3998.7099683122224</x:v>
      </x:c>
      <x:c r="V275" s="28" t="n">
        <x:f>IF(F275="有效",H275*'参数'!$B$7,"n.a.")</x:f>
        <x:v>8687</x:v>
      </x:c>
      <x:c r="W275" s="28" t="n">
        <x:f>IF(F275="有效",IF(D275&gt;=3,G275*'参数'!$B$7/'参数'!$B$8,0),"n.a.")</x:f>
        <x:v>173.74</x:v>
      </x:c>
      <x:c r="X275" s="28" t="n">
        <x:f>IF(F275="有效",U275+W275,"n.a.")</x:f>
        <x:v>4172.449968312222</x:v>
      </x:c>
      <x:c r="Y275" s="28" t="n">
        <x:f>IF(F275="有效",X275/G275,"n.a.")</x:f>
        <x:v>17.53130238786648</x:v>
      </x:c>
    </x:row>
    <x:row r="276" ht="22" customHeight="1">
      <x:c r="A276" s="11" t="str">
        <x:v>lade_0828_10aoi</x:v>
      </x:c>
      <x:c r="B276" s="22" t="n">
        <x:v>10</x:v>
      </x:c>
      <x:c r="C276" s="22" t="n">
        <x:v>1</x:v>
      </x:c>
      <x:c r="D276" s="22" t="n">
        <x:v>1</x:v>
      </x:c>
      <x:c r="E276" s="22" t="n">
        <x:v>42</x:v>
      </x:c>
      <x:c r="F276" s="30" t="str">
        <x:v>有效</x:v>
      </x:c>
      <x:c r="G276" s="22" t="n">
        <x:v>118</x:v>
      </x:c>
      <x:c r="H276" s="22" t="n">
        <x:v>0</x:v>
      </x:c>
      <x:c r="I276" s="24" t="n">
        <x:v>59.477500000000006</x:v>
      </x:c>
      <x:c r="J276" s="24" t="n">
        <x:v>40.40279999999999</x:v>
      </x:c>
      <x:c r="K276" s="24" t="n">
        <x:v>60.63333333333333</x:v>
      </x:c>
      <x:c r="L276" s="24" t="n">
        <x:v>1208.2333333333333</x:v>
      </x:c>
      <x:c r="M276" s="10" t="n">
        <x:v>1</x:v>
      </x:c>
      <x:c r="N276" s="10" t="n">
        <x:v>3</x:v>
      </x:c>
      <x:c r="O276" s="28" t="n">
        <x:f>IF(F276="有效",I276*'参数'!$B$10+J276*'参数'!$B$11,"n.a.")</x:f>
        <x:v>90.09702461500001</x:v>
      </x:c>
      <x:c r="P276" s="28" t="n">
        <x:f>IF(F276="有效",K276*'参数'!$B$12+L276*'参数'!$B$13,"n.a.")</x:f>
        <x:v>953.6862222222222</x:v>
      </x:c>
      <x:c r="Q276" s="28" t="n">
        <x:f>IF(F276="有效",M276*'参数'!$B$14+N276*'参数'!$B$15,"n.a.")</x:f>
        <x:v>280</x:v>
      </x:c>
      <x:c r="R276" s="28" t="n">
        <x:f>IF(F276="有效",IF(D276&lt;=2,G276*('参数'!$B$6+'参数'!$B$18),0),"n.a.")</x:f>
        <x:v>472</x:v>
      </x:c>
      <x:c r="S276" s="28" t="n">
        <x:f>IF(F276="有效",IF(D276&gt;=3,G276*'参数'!$B$16,0),"n.a.")</x:f>
        <x:v>0</x:v>
      </x:c>
      <x:c r="T276" s="28" t="n">
        <x:f>IF(F276="有效",IF(D276&gt;=3,G276*'参数'!$B$17,0),"n.a.")</x:f>
        <x:v>0</x:v>
      </x:c>
      <x:c r="U276" s="28" t="n">
        <x:f>IF(F276="有效",SUM(O276:T276),"n.a.")</x:f>
        <x:v>1795.7832468372221</x:v>
      </x:c>
      <x:c r="V276" s="28" t="n">
        <x:f>IF(F276="有效",H276*'参数'!$B$7,"n.a.")</x:f>
        <x:v>0</x:v>
      </x:c>
      <x:c r="W276" s="28" t="n">
        <x:f>IF(F276="有效",IF(D276&gt;=3,G276*'参数'!$B$7/'参数'!$B$8,0),"n.a.")</x:f>
        <x:v>0</x:v>
      </x:c>
      <x:c r="X276" s="28" t="n">
        <x:f>IF(F276="有效",U276+W276,"n.a.")</x:f>
        <x:v>1795.7832468372221</x:v>
      </x:c>
      <x:c r="Y276" s="28" t="n">
        <x:f>IF(F276="有效",X276/G276,"n.a.")</x:f>
        <x:v>15.218502091840865</x:v>
      </x:c>
    </x:row>
    <x:row r="277" ht="22" customHeight="1">
      <x:c r="A277" s="11" t="str">
        <x:v>lade_0828_10aoi</x:v>
      </x:c>
      <x:c r="B277" s="22" t="n">
        <x:v>10</x:v>
      </x:c>
      <x:c r="C277" s="22" t="n">
        <x:v>1</x:v>
      </x:c>
      <x:c r="D277" s="22" t="n">
        <x:v>1</x:v>
      </x:c>
      <x:c r="E277" s="22" t="n">
        <x:v>43</x:v>
      </x:c>
      <x:c r="F277" s="30" t="str">
        <x:v>有效</x:v>
      </x:c>
      <x:c r="G277" s="22" t="n">
        <x:v>118</x:v>
      </x:c>
      <x:c r="H277" s="22" t="n">
        <x:v>0</x:v>
      </x:c>
      <x:c r="I277" s="24" t="n">
        <x:v>59.477500000000006</x:v>
      </x:c>
      <x:c r="J277" s="24" t="n">
        <x:v>40.40279999999999</x:v>
      </x:c>
      <x:c r="K277" s="24" t="n">
        <x:v>60.63333333333333</x:v>
      </x:c>
      <x:c r="L277" s="24" t="n">
        <x:v>1208.2333333333333</x:v>
      </x:c>
      <x:c r="M277" s="10" t="n">
        <x:v>1</x:v>
      </x:c>
      <x:c r="N277" s="10" t="n">
        <x:v>3</x:v>
      </x:c>
      <x:c r="O277" s="28" t="n">
        <x:f>IF(F277="有效",I277*'参数'!$B$10+J277*'参数'!$B$11,"n.a.")</x:f>
        <x:v>90.09702461500001</x:v>
      </x:c>
      <x:c r="P277" s="28" t="n">
        <x:f>IF(F277="有效",K277*'参数'!$B$12+L277*'参数'!$B$13,"n.a.")</x:f>
        <x:v>953.6862222222222</x:v>
      </x:c>
      <x:c r="Q277" s="28" t="n">
        <x:f>IF(F277="有效",M277*'参数'!$B$14+N277*'参数'!$B$15,"n.a.")</x:f>
        <x:v>280</x:v>
      </x:c>
      <x:c r="R277" s="28" t="n">
        <x:f>IF(F277="有效",IF(D277&lt;=2,G277*('参数'!$B$6+'参数'!$B$18),0),"n.a.")</x:f>
        <x:v>472</x:v>
      </x:c>
      <x:c r="S277" s="28" t="n">
        <x:f>IF(F277="有效",IF(D277&gt;=3,G277*'参数'!$B$16,0),"n.a.")</x:f>
        <x:v>0</x:v>
      </x:c>
      <x:c r="T277" s="28" t="n">
        <x:f>IF(F277="有效",IF(D277&gt;=3,G277*'参数'!$B$17,0),"n.a.")</x:f>
        <x:v>0</x:v>
      </x:c>
      <x:c r="U277" s="28" t="n">
        <x:f>IF(F277="有效",SUM(O277:T277),"n.a.")</x:f>
        <x:v>1795.7832468372221</x:v>
      </x:c>
      <x:c r="V277" s="28" t="n">
        <x:f>IF(F277="有效",H277*'参数'!$B$7,"n.a.")</x:f>
        <x:v>0</x:v>
      </x:c>
      <x:c r="W277" s="28" t="n">
        <x:f>IF(F277="有效",IF(D277&gt;=3,G277*'参数'!$B$7/'参数'!$B$8,0),"n.a.")</x:f>
        <x:v>0</x:v>
      </x:c>
      <x:c r="X277" s="28" t="n">
        <x:f>IF(F277="有效",U277+W277,"n.a.")</x:f>
        <x:v>1795.7832468372221</x:v>
      </x:c>
      <x:c r="Y277" s="28" t="n">
        <x:f>IF(F277="有效",X277/G277,"n.a.")</x:f>
        <x:v>15.218502091840865</x:v>
      </x:c>
    </x:row>
    <x:row r="278" ht="22" customHeight="1">
      <x:c r="A278" s="11" t="str">
        <x:v>lade_0828_10aoi</x:v>
      </x:c>
      <x:c r="B278" s="22" t="n">
        <x:v>10</x:v>
      </x:c>
      <x:c r="C278" s="22" t="n">
        <x:v>1</x:v>
      </x:c>
      <x:c r="D278" s="22" t="n">
        <x:v>1</x:v>
      </x:c>
      <x:c r="E278" s="22" t="n">
        <x:v>44</x:v>
      </x:c>
      <x:c r="F278" s="30" t="str">
        <x:v>有效</x:v>
      </x:c>
      <x:c r="G278" s="22" t="n">
        <x:v>118</x:v>
      </x:c>
      <x:c r="H278" s="22" t="n">
        <x:v>0</x:v>
      </x:c>
      <x:c r="I278" s="24" t="n">
        <x:v>59.477500000000006</x:v>
      </x:c>
      <x:c r="J278" s="24" t="n">
        <x:v>40.4028</x:v>
      </x:c>
      <x:c r="K278" s="24" t="n">
        <x:v>60.63333333333333</x:v>
      </x:c>
      <x:c r="L278" s="24" t="n">
        <x:v>1208.2333333333333</x:v>
      </x:c>
      <x:c r="M278" s="10" t="n">
        <x:v>1</x:v>
      </x:c>
      <x:c r="N278" s="10" t="n">
        <x:v>3</x:v>
      </x:c>
      <x:c r="O278" s="28" t="n">
        <x:f>IF(F278="有效",I278*'参数'!$B$10+J278*'参数'!$B$11,"n.a.")</x:f>
        <x:v>90.09702461500001</x:v>
      </x:c>
      <x:c r="P278" s="28" t="n">
        <x:f>IF(F278="有效",K278*'参数'!$B$12+L278*'参数'!$B$13,"n.a.")</x:f>
        <x:v>953.6862222222222</x:v>
      </x:c>
      <x:c r="Q278" s="28" t="n">
        <x:f>IF(F278="有效",M278*'参数'!$B$14+N278*'参数'!$B$15,"n.a.")</x:f>
        <x:v>280</x:v>
      </x:c>
      <x:c r="R278" s="28" t="n">
        <x:f>IF(F278="有效",IF(D278&lt;=2,G278*('参数'!$B$6+'参数'!$B$18),0),"n.a.")</x:f>
        <x:v>472</x:v>
      </x:c>
      <x:c r="S278" s="28" t="n">
        <x:f>IF(F278="有效",IF(D278&gt;=3,G278*'参数'!$B$16,0),"n.a.")</x:f>
        <x:v>0</x:v>
      </x:c>
      <x:c r="T278" s="28" t="n">
        <x:f>IF(F278="有效",IF(D278&gt;=3,G278*'参数'!$B$17,0),"n.a.")</x:f>
        <x:v>0</x:v>
      </x:c>
      <x:c r="U278" s="28" t="n">
        <x:f>IF(F278="有效",SUM(O278:T278),"n.a.")</x:f>
        <x:v>1795.7832468372221</x:v>
      </x:c>
      <x:c r="V278" s="28" t="n">
        <x:f>IF(F278="有效",H278*'参数'!$B$7,"n.a.")</x:f>
        <x:v>0</x:v>
      </x:c>
      <x:c r="W278" s="28" t="n">
        <x:f>IF(F278="有效",IF(D278&gt;=3,G278*'参数'!$B$7/'参数'!$B$8,0),"n.a.")</x:f>
        <x:v>0</x:v>
      </x:c>
      <x:c r="X278" s="28" t="n">
        <x:f>IF(F278="有效",U278+W278,"n.a.")</x:f>
        <x:v>1795.7832468372221</x:v>
      </x:c>
      <x:c r="Y278" s="28" t="n">
        <x:f>IF(F278="有效",X278/G278,"n.a.")</x:f>
        <x:v>15.218502091840865</x:v>
      </x:c>
    </x:row>
    <x:row r="279" ht="22" customHeight="1">
      <x:c r="A279" s="11" t="str">
        <x:v>lade_0828_10aoi</x:v>
      </x:c>
      <x:c r="B279" s="22" t="n">
        <x:v>10</x:v>
      </x:c>
      <x:c r="C279" s="22" t="n">
        <x:v>1</x:v>
      </x:c>
      <x:c r="D279" s="22" t="n">
        <x:v>2</x:v>
      </x:c>
      <x:c r="E279" s="22" t="n">
        <x:v>42</x:v>
      </x:c>
      <x:c r="F279" s="30" t="str">
        <x:v>有效</x:v>
      </x:c>
      <x:c r="G279" s="22" t="n">
        <x:v>118</x:v>
      </x:c>
      <x:c r="H279" s="22" t="n">
        <x:v>0</x:v>
      </x:c>
      <x:c r="I279" s="24" t="n">
        <x:v>59.477500000000006</x:v>
      </x:c>
      <x:c r="J279" s="24" t="n">
        <x:v>35.950399999999995</x:v>
      </x:c>
      <x:c r="K279" s="24" t="n">
        <x:v>60.63333333333333</x:v>
      </x:c>
      <x:c r="L279" s="24" t="n">
        <x:v>521.15</x:v>
      </x:c>
      <x:c r="M279" s="10" t="n">
        <x:v>1</x:v>
      </x:c>
      <x:c r="N279" s="10" t="n">
        <x:v>3</x:v>
      </x:c>
      <x:c r="O279" s="28" t="n">
        <x:f>IF(F279="有效",I279*'参数'!$B$10+J279*'参数'!$B$11,"n.a.")</x:f>
        <x:v>86.08073719500001</x:v>
      </x:c>
      <x:c r="P279" s="28" t="n">
        <x:f>IF(F279="有效",K279*'参数'!$B$12+L279*'参数'!$B$13,"n.a.")</x:f>
        <x:v>448.35074479166667</x:v>
      </x:c>
      <x:c r="Q279" s="28" t="n">
        <x:f>IF(F279="有效",M279*'参数'!$B$14+N279*'参数'!$B$15,"n.a.")</x:f>
        <x:v>280</x:v>
      </x:c>
      <x:c r="R279" s="28" t="n">
        <x:f>IF(F279="有效",IF(D279&lt;=2,G279*('参数'!$B$6+'参数'!$B$18),0),"n.a.")</x:f>
        <x:v>472</x:v>
      </x:c>
      <x:c r="S279" s="28" t="n">
        <x:f>IF(F279="有效",IF(D279&gt;=3,G279*'参数'!$B$16,0),"n.a.")</x:f>
        <x:v>0</x:v>
      </x:c>
      <x:c r="T279" s="28" t="n">
        <x:f>IF(F279="有效",IF(D279&gt;=3,G279*'参数'!$B$17,0),"n.a.")</x:f>
        <x:v>0</x:v>
      </x:c>
      <x:c r="U279" s="28" t="n">
        <x:f>IF(F279="有效",SUM(O279:T279),"n.a.")</x:f>
        <x:v>1286.4314819866668</x:v>
      </x:c>
      <x:c r="V279" s="28" t="n">
        <x:f>IF(F279="有效",H279*'参数'!$B$7,"n.a.")</x:f>
        <x:v>0</x:v>
      </x:c>
      <x:c r="W279" s="28" t="n">
        <x:f>IF(F279="有效",IF(D279&gt;=3,G279*'参数'!$B$7/'参数'!$B$8,0),"n.a.")</x:f>
        <x:v>0</x:v>
      </x:c>
      <x:c r="X279" s="28" t="n">
        <x:f>IF(F279="有效",U279+W279,"n.a.")</x:f>
        <x:v>1286.4314819866668</x:v>
      </x:c>
      <x:c r="Y279" s="28" t="n">
        <x:f>IF(F279="有效",X279/G279,"n.a.")</x:f>
        <x:v>10.901961711751413</x:v>
      </x:c>
    </x:row>
    <x:row r="280" ht="22" customHeight="1">
      <x:c r="A280" s="11" t="str">
        <x:v>lade_0828_10aoi</x:v>
      </x:c>
      <x:c r="B280" s="22" t="n">
        <x:v>10</x:v>
      </x:c>
      <x:c r="C280" s="22" t="n">
        <x:v>1</x:v>
      </x:c>
      <x:c r="D280" s="22" t="n">
        <x:v>2</x:v>
      </x:c>
      <x:c r="E280" s="22" t="n">
        <x:v>43</x:v>
      </x:c>
      <x:c r="F280" s="30" t="str">
        <x:v>有效</x:v>
      </x:c>
      <x:c r="G280" s="22" t="n">
        <x:v>118</x:v>
      </x:c>
      <x:c r="H280" s="22" t="n">
        <x:v>0</x:v>
      </x:c>
      <x:c r="I280" s="24" t="n">
        <x:v>49.942099999999996</x:v>
      </x:c>
      <x:c r="J280" s="24" t="n">
        <x:v>35.333</x:v>
      </x:c>
      <x:c r="K280" s="24" t="n">
        <x:v>51.71666666666667</x:v>
      </x:c>
      <x:c r="L280" s="24" t="n">
        <x:v>518.4333333333333</x:v>
      </x:c>
      <x:c r="M280" s="10" t="n">
        <x:v>1</x:v>
      </x:c>
      <x:c r="N280" s="10" t="n">
        <x:v>2</x:v>
      </x:c>
      <x:c r="O280" s="28" t="n">
        <x:f>IF(F280="有效",I280*'参数'!$B$10+J280*'参数'!$B$11,"n.a.")</x:f>
        <x:v>76.922403955</x:v>
      </x:c>
      <x:c r="P280" s="28" t="n">
        <x:f>IF(F280="有效",K280*'参数'!$B$12+L280*'参数'!$B$13,"n.a.")</x:f>
        <x:v>436.7856670138888</x:v>
      </x:c>
      <x:c r="Q280" s="28" t="n">
        <x:f>IF(F280="有效",M280*'参数'!$B$14+N280*'参数'!$B$15,"n.a.")</x:f>
        <x:v>220</x:v>
      </x:c>
      <x:c r="R280" s="28" t="n">
        <x:f>IF(F280="有效",IF(D280&lt;=2,G280*('参数'!$B$6+'参数'!$B$18),0),"n.a.")</x:f>
        <x:v>472</x:v>
      </x:c>
      <x:c r="S280" s="28" t="n">
        <x:f>IF(F280="有效",IF(D280&gt;=3,G280*'参数'!$B$16,0),"n.a.")</x:f>
        <x:v>0</x:v>
      </x:c>
      <x:c r="T280" s="28" t="n">
        <x:f>IF(F280="有效",IF(D280&gt;=3,G280*'参数'!$B$17,0),"n.a.")</x:f>
        <x:v>0</x:v>
      </x:c>
      <x:c r="U280" s="28" t="n">
        <x:f>IF(F280="有效",SUM(O280:T280),"n.a.")</x:f>
        <x:v>1205.708070968889</x:v>
      </x:c>
      <x:c r="V280" s="28" t="n">
        <x:f>IF(F280="有效",H280*'参数'!$B$7,"n.a.")</x:f>
        <x:v>0</x:v>
      </x:c>
      <x:c r="W280" s="28" t="n">
        <x:f>IF(F280="有效",IF(D280&gt;=3,G280*'参数'!$B$7/'参数'!$B$8,0),"n.a.")</x:f>
        <x:v>0</x:v>
      </x:c>
      <x:c r="X280" s="28" t="n">
        <x:f>IF(F280="有效",U280+W280,"n.a.")</x:f>
        <x:v>1205.708070968889</x:v>
      </x:c>
      <x:c r="Y280" s="28" t="n">
        <x:f>IF(F280="有效",X280/G280,"n.a.")</x:f>
        <x:v>10.217865008210923</x:v>
      </x:c>
    </x:row>
    <x:row r="281" ht="22" customHeight="1">
      <x:c r="A281" s="11" t="str">
        <x:v>lade_0828_10aoi</x:v>
      </x:c>
      <x:c r="B281" s="22" t="n">
        <x:v>10</x:v>
      </x:c>
      <x:c r="C281" s="22" t="n">
        <x:v>1</x:v>
      </x:c>
      <x:c r="D281" s="22" t="n">
        <x:v>2</x:v>
      </x:c>
      <x:c r="E281" s="22" t="n">
        <x:v>44</x:v>
      </x:c>
      <x:c r="F281" s="30" t="str">
        <x:v>有效</x:v>
      </x:c>
      <x:c r="G281" s="22" t="n">
        <x:v>118</x:v>
      </x:c>
      <x:c r="H281" s="22" t="n">
        <x:v>0</x:v>
      </x:c>
      <x:c r="I281" s="24" t="n">
        <x:v>59.477500000000006</x:v>
      </x:c>
      <x:c r="J281" s="24" t="n">
        <x:v>35.950399999999995</x:v>
      </x:c>
      <x:c r="K281" s="24" t="n">
        <x:v>60.63333333333333</x:v>
      </x:c>
      <x:c r="L281" s="24" t="n">
        <x:v>521.15</x:v>
      </x:c>
      <x:c r="M281" s="10" t="n">
        <x:v>1</x:v>
      </x:c>
      <x:c r="N281" s="10" t="n">
        <x:v>3</x:v>
      </x:c>
      <x:c r="O281" s="28" t="n">
        <x:f>IF(F281="有效",I281*'参数'!$B$10+J281*'参数'!$B$11,"n.a.")</x:f>
        <x:v>86.08073719500001</x:v>
      </x:c>
      <x:c r="P281" s="28" t="n">
        <x:f>IF(F281="有效",K281*'参数'!$B$12+L281*'参数'!$B$13,"n.a.")</x:f>
        <x:v>448.35074479166667</x:v>
      </x:c>
      <x:c r="Q281" s="28" t="n">
        <x:f>IF(F281="有效",M281*'参数'!$B$14+N281*'参数'!$B$15,"n.a.")</x:f>
        <x:v>280</x:v>
      </x:c>
      <x:c r="R281" s="28" t="n">
        <x:f>IF(F281="有效",IF(D281&lt;=2,G281*('参数'!$B$6+'参数'!$B$18),0),"n.a.")</x:f>
        <x:v>472</x:v>
      </x:c>
      <x:c r="S281" s="28" t="n">
        <x:f>IF(F281="有效",IF(D281&gt;=3,G281*'参数'!$B$16,0),"n.a.")</x:f>
        <x:v>0</x:v>
      </x:c>
      <x:c r="T281" s="28" t="n">
        <x:f>IF(F281="有效",IF(D281&gt;=3,G281*'参数'!$B$17,0),"n.a.")</x:f>
        <x:v>0</x:v>
      </x:c>
      <x:c r="U281" s="28" t="n">
        <x:f>IF(F281="有效",SUM(O281:T281),"n.a.")</x:f>
        <x:v>1286.4314819866668</x:v>
      </x:c>
      <x:c r="V281" s="28" t="n">
        <x:f>IF(F281="有效",H281*'参数'!$B$7,"n.a.")</x:f>
        <x:v>0</x:v>
      </x:c>
      <x:c r="W281" s="28" t="n">
        <x:f>IF(F281="有效",IF(D281&gt;=3,G281*'参数'!$B$7/'参数'!$B$8,0),"n.a.")</x:f>
        <x:v>0</x:v>
      </x:c>
      <x:c r="X281" s="28" t="n">
        <x:f>IF(F281="有效",U281+W281,"n.a.")</x:f>
        <x:v>1286.4314819866668</x:v>
      </x:c>
      <x:c r="Y281" s="28" t="n">
        <x:f>IF(F281="有效",X281/G281,"n.a.")</x:f>
        <x:v>10.901961711751413</x:v>
      </x:c>
    </x:row>
    <x:row r="282" ht="22" customHeight="1">
      <x:c r="A282" s="11" t="str">
        <x:v>lade_0828_10aoi</x:v>
      </x:c>
      <x:c r="B282" s="22" t="n">
        <x:v>10</x:v>
      </x:c>
      <x:c r="C282" s="22" t="n">
        <x:v>1</x:v>
      </x:c>
      <x:c r="D282" s="22" t="n">
        <x:v>3</x:v>
      </x:c>
      <x:c r="E282" s="22" t="n">
        <x:v>42</x:v>
      </x:c>
      <x:c r="F282" s="30" t="str">
        <x:v>有效</x:v>
      </x:c>
      <x:c r="G282" s="22" t="n">
        <x:v>118</x:v>
      </x:c>
      <x:c r="H282" s="22" t="n">
        <x:v>118</x:v>
      </x:c>
      <x:c r="I282" s="24" t="n">
        <x:v>63.013999999999996</x:v>
      </x:c>
      <x:c r="J282" s="24" t="n">
        <x:v>42.10099999999999</x:v>
      </x:c>
      <x:c r="K282" s="24" t="n">
        <x:v>738.65</x:v>
      </x:c>
      <x:c r="L282" s="24" t="n">
        <x:v>1343.4833333333333</x:v>
      </x:c>
      <x:c r="M282" s="10" t="n">
        <x:v>1</x:v>
      </x:c>
      <x:c r="N282" s="10" t="n">
        <x:v>3</x:v>
      </x:c>
      <x:c r="O282" s="28" t="n">
        <x:f>IF(F282="有效",I282*'参数'!$B$10+J282*'参数'!$B$11,"n.a.")</x:f>
        <x:v>94.81898575</x:v>
      </x:c>
      <x:c r="P282" s="28" t="n">
        <x:f>IF(F282="有效",K282*'参数'!$B$12+L282*'参数'!$B$13,"n.a.")</x:f>
        <x:v>1780.6292868055555</x:v>
      </x:c>
      <x:c r="Q282" s="28" t="n">
        <x:f>IF(F282="有效",M282*'参数'!$B$14+N282*'参数'!$B$15,"n.a.")</x:f>
        <x:v>280</x:v>
      </x:c>
      <x:c r="R282" s="28" t="n">
        <x:f>IF(F282="有效",IF(D282&lt;=2,G282*('参数'!$B$6+'参数'!$B$18),0),"n.a.")</x:f>
        <x:v>0</x:v>
      </x:c>
      <x:c r="S282" s="28" t="n">
        <x:f>IF(F282="有效",IF(D282&gt;=3,G282*'参数'!$B$16,0),"n.a.")</x:f>
        <x:v>94.4</x:v>
      </x:c>
      <x:c r="T282" s="28" t="n">
        <x:f>IF(F282="有效",IF(D282&gt;=3,G282*'参数'!$B$17,0),"n.a.")</x:f>
        <x:v>11.8</x:v>
      </x:c>
      <x:c r="U282" s="28" t="n">
        <x:f>IF(F282="有效",SUM(O282:T282),"n.a.")</x:f>
        <x:v>2261.6482725555556</x:v>
      </x:c>
      <x:c r="V282" s="28" t="n">
        <x:f>IF(F282="有效",H282*'参数'!$B$7,"n.a.")</x:f>
        <x:v>4307</x:v>
      </x:c>
      <x:c r="W282" s="28" t="n">
        <x:f>IF(F282="有效",IF(D282&gt;=3,G282*'参数'!$B$7/'参数'!$B$8,0),"n.a.")</x:f>
        <x:v>86.14</x:v>
      </x:c>
      <x:c r="X282" s="28" t="n">
        <x:f>IF(F282="有效",U282+W282,"n.a.")</x:f>
        <x:v>2347.7882725555555</x:v>
      </x:c>
      <x:c r="Y282" s="28" t="n">
        <x:f>IF(F282="有效",X282/G282,"n.a.")</x:f>
        <x:v>19.896510784369113</x:v>
      </x:c>
    </x:row>
    <x:row r="283" ht="22" customHeight="1">
      <x:c r="A283" s="11" t="str">
        <x:v>lade_0828_10aoi</x:v>
      </x:c>
      <x:c r="B283" s="22" t="n">
        <x:v>10</x:v>
      </x:c>
      <x:c r="C283" s="22" t="n">
        <x:v>1</x:v>
      </x:c>
      <x:c r="D283" s="22" t="n">
        <x:v>3</x:v>
      </x:c>
      <x:c r="E283" s="22" t="n">
        <x:v>43</x:v>
      </x:c>
      <x:c r="F283" s="30" t="str">
        <x:v>有效</x:v>
      </x:c>
      <x:c r="G283" s="22" t="n">
        <x:v>118</x:v>
      </x:c>
      <x:c r="H283" s="22" t="n">
        <x:v>118</x:v>
      </x:c>
      <x:c r="I283" s="24" t="n">
        <x:v>63.013999999999996</x:v>
      </x:c>
      <x:c r="J283" s="24" t="n">
        <x:v>42.101</x:v>
      </x:c>
      <x:c r="K283" s="24" t="n">
        <x:v>738.65</x:v>
      </x:c>
      <x:c r="L283" s="24" t="n">
        <x:v>1343.4833333333333</x:v>
      </x:c>
      <x:c r="M283" s="10" t="n">
        <x:v>1</x:v>
      </x:c>
      <x:c r="N283" s="10" t="n">
        <x:v>3</x:v>
      </x:c>
      <x:c r="O283" s="28" t="n">
        <x:f>IF(F283="有效",I283*'参数'!$B$10+J283*'参数'!$B$11,"n.a.")</x:f>
        <x:v>94.81898575</x:v>
      </x:c>
      <x:c r="P283" s="28" t="n">
        <x:f>IF(F283="有效",K283*'参数'!$B$12+L283*'参数'!$B$13,"n.a.")</x:f>
        <x:v>1780.6292868055555</x:v>
      </x:c>
      <x:c r="Q283" s="28" t="n">
        <x:f>IF(F283="有效",M283*'参数'!$B$14+N283*'参数'!$B$15,"n.a.")</x:f>
        <x:v>280</x:v>
      </x:c>
      <x:c r="R283" s="28" t="n">
        <x:f>IF(F283="有效",IF(D283&lt;=2,G283*('参数'!$B$6+'参数'!$B$18),0),"n.a.")</x:f>
        <x:v>0</x:v>
      </x:c>
      <x:c r="S283" s="28" t="n">
        <x:f>IF(F283="有效",IF(D283&gt;=3,G283*'参数'!$B$16,0),"n.a.")</x:f>
        <x:v>94.4</x:v>
      </x:c>
      <x:c r="T283" s="28" t="n">
        <x:f>IF(F283="有效",IF(D283&gt;=3,G283*'参数'!$B$17,0),"n.a.")</x:f>
        <x:v>11.8</x:v>
      </x:c>
      <x:c r="U283" s="28" t="n">
        <x:f>IF(F283="有效",SUM(O283:T283),"n.a.")</x:f>
        <x:v>2261.6482725555556</x:v>
      </x:c>
      <x:c r="V283" s="28" t="n">
        <x:f>IF(F283="有效",H283*'参数'!$B$7,"n.a.")</x:f>
        <x:v>4307</x:v>
      </x:c>
      <x:c r="W283" s="28" t="n">
        <x:f>IF(F283="有效",IF(D283&gt;=3,G283*'参数'!$B$7/'参数'!$B$8,0),"n.a.")</x:f>
        <x:v>86.14</x:v>
      </x:c>
      <x:c r="X283" s="28" t="n">
        <x:f>IF(F283="有效",U283+W283,"n.a.")</x:f>
        <x:v>2347.7882725555555</x:v>
      </x:c>
      <x:c r="Y283" s="28" t="n">
        <x:f>IF(F283="有效",X283/G283,"n.a.")</x:f>
        <x:v>19.896510784369113</x:v>
      </x:c>
    </x:row>
    <x:row r="284" ht="22" customHeight="1">
      <x:c r="A284" s="11" t="str">
        <x:v>lade_0828_10aoi</x:v>
      </x:c>
      <x:c r="B284" s="22" t="n">
        <x:v>10</x:v>
      </x:c>
      <x:c r="C284" s="22" t="n">
        <x:v>1</x:v>
      </x:c>
      <x:c r="D284" s="22" t="n">
        <x:v>3</x:v>
      </x:c>
      <x:c r="E284" s="22" t="n">
        <x:v>44</x:v>
      </x:c>
      <x:c r="F284" s="30" t="str">
        <x:v>有效</x:v>
      </x:c>
      <x:c r="G284" s="22" t="n">
        <x:v>118</x:v>
      </x:c>
      <x:c r="H284" s="22" t="n">
        <x:v>118</x:v>
      </x:c>
      <x:c r="I284" s="24" t="n">
        <x:v>63.013999999999996</x:v>
      </x:c>
      <x:c r="J284" s="24" t="n">
        <x:v>42.101</x:v>
      </x:c>
      <x:c r="K284" s="24" t="n">
        <x:v>738.65</x:v>
      </x:c>
      <x:c r="L284" s="24" t="n">
        <x:v>1343.4833333333333</x:v>
      </x:c>
      <x:c r="M284" s="10" t="n">
        <x:v>1</x:v>
      </x:c>
      <x:c r="N284" s="10" t="n">
        <x:v>3</x:v>
      </x:c>
      <x:c r="O284" s="28" t="n">
        <x:f>IF(F284="有效",I284*'参数'!$B$10+J284*'参数'!$B$11,"n.a.")</x:f>
        <x:v>94.81898575</x:v>
      </x:c>
      <x:c r="P284" s="28" t="n">
        <x:f>IF(F284="有效",K284*'参数'!$B$12+L284*'参数'!$B$13,"n.a.")</x:f>
        <x:v>1780.6292868055555</x:v>
      </x:c>
      <x:c r="Q284" s="28" t="n">
        <x:f>IF(F284="有效",M284*'参数'!$B$14+N284*'参数'!$B$15,"n.a.")</x:f>
        <x:v>280</x:v>
      </x:c>
      <x:c r="R284" s="28" t="n">
        <x:f>IF(F284="有效",IF(D284&lt;=2,G284*('参数'!$B$6+'参数'!$B$18),0),"n.a.")</x:f>
        <x:v>0</x:v>
      </x:c>
      <x:c r="S284" s="28" t="n">
        <x:f>IF(F284="有效",IF(D284&gt;=3,G284*'参数'!$B$16,0),"n.a.")</x:f>
        <x:v>94.4</x:v>
      </x:c>
      <x:c r="T284" s="28" t="n">
        <x:f>IF(F284="有效",IF(D284&gt;=3,G284*'参数'!$B$17,0),"n.a.")</x:f>
        <x:v>11.8</x:v>
      </x:c>
      <x:c r="U284" s="28" t="n">
        <x:f>IF(F284="有效",SUM(O284:T284),"n.a.")</x:f>
        <x:v>2261.6482725555556</x:v>
      </x:c>
      <x:c r="V284" s="28" t="n">
        <x:f>IF(F284="有效",H284*'参数'!$B$7,"n.a.")</x:f>
        <x:v>4307</x:v>
      </x:c>
      <x:c r="W284" s="28" t="n">
        <x:f>IF(F284="有效",IF(D284&gt;=3,G284*'参数'!$B$7/'参数'!$B$8,0),"n.a.")</x:f>
        <x:v>86.14</x:v>
      </x:c>
      <x:c r="X284" s="28" t="n">
        <x:f>IF(F284="有效",U284+W284,"n.a.")</x:f>
        <x:v>2347.7882725555555</x:v>
      </x:c>
      <x:c r="Y284" s="28" t="n">
        <x:f>IF(F284="有效",X284/G284,"n.a.")</x:f>
        <x:v>19.896510784369113</x:v>
      </x:c>
    </x:row>
    <x:row r="285" ht="22" customHeight="1">
      <x:c r="A285" s="11" t="str">
        <x:v>lade_0828_10aoi</x:v>
      </x:c>
      <x:c r="B285" s="22" t="n">
        <x:v>10</x:v>
      </x:c>
      <x:c r="C285" s="22" t="n">
        <x:v>1</x:v>
      </x:c>
      <x:c r="D285" s="22" t="n">
        <x:v>4</x:v>
      </x:c>
      <x:c r="E285" s="22" t="n">
        <x:v>42</x:v>
      </x:c>
      <x:c r="F285" s="30" t="str">
        <x:v>有效</x:v>
      </x:c>
      <x:c r="G285" s="22" t="n">
        <x:v>118</x:v>
      </x:c>
      <x:c r="H285" s="22" t="n">
        <x:v>118</x:v>
      </x:c>
      <x:c r="I285" s="24" t="n">
        <x:v>63.013999999999996</x:v>
      </x:c>
      <x:c r="J285" s="24" t="n">
        <x:v>39.902499999999996</x:v>
      </x:c>
      <x:c r="K285" s="24" t="n">
        <x:v>738.65</x:v>
      </x:c>
      <x:c r="L285" s="24" t="n">
        <x:v>888.1666666666666</x:v>
      </x:c>
      <x:c r="M285" s="10" t="n">
        <x:v>1</x:v>
      </x:c>
      <x:c r="N285" s="10" t="n">
        <x:v>3</x:v>
      </x:c>
      <x:c r="O285" s="28" t="n">
        <x:f>IF(F285="有效",I285*'参数'!$B$10+J285*'参数'!$B$11,"n.a.")</x:f>
        <x:v>92.835828825</x:v>
      </x:c>
      <x:c r="P285" s="28" t="n">
        <x:f>IF(F285="有效",K285*'参数'!$B$12+L285*'参数'!$B$13,"n.a.")</x:f>
        <x:v>1445.7533642361109</x:v>
      </x:c>
      <x:c r="Q285" s="28" t="n">
        <x:f>IF(F285="有效",M285*'参数'!$B$14+N285*'参数'!$B$15,"n.a.")</x:f>
        <x:v>280</x:v>
      </x:c>
      <x:c r="R285" s="28" t="n">
        <x:f>IF(F285="有效",IF(D285&lt;=2,G285*('参数'!$B$6+'参数'!$B$18),0),"n.a.")</x:f>
        <x:v>0</x:v>
      </x:c>
      <x:c r="S285" s="28" t="n">
        <x:f>IF(F285="有效",IF(D285&gt;=3,G285*'参数'!$B$16,0),"n.a.")</x:f>
        <x:v>94.4</x:v>
      </x:c>
      <x:c r="T285" s="28" t="n">
        <x:f>IF(F285="有效",IF(D285&gt;=3,G285*'参数'!$B$17,0),"n.a.")</x:f>
        <x:v>11.8</x:v>
      </x:c>
      <x:c r="U285" s="28" t="n">
        <x:f>IF(F285="有效",SUM(O285:T285),"n.a.")</x:f>
        <x:v>1924.7891930611108</x:v>
      </x:c>
      <x:c r="V285" s="28" t="n">
        <x:f>IF(F285="有效",H285*'参数'!$B$7,"n.a.")</x:f>
        <x:v>4307</x:v>
      </x:c>
      <x:c r="W285" s="28" t="n">
        <x:f>IF(F285="有效",IF(D285&gt;=3,G285*'参数'!$B$7/'参数'!$B$8,0),"n.a.")</x:f>
        <x:v>86.14</x:v>
      </x:c>
      <x:c r="X285" s="28" t="n">
        <x:f>IF(F285="有效",U285+W285,"n.a.")</x:f>
        <x:v>2010.929193061111</x:v>
      </x:c>
      <x:c r="Y285" s="28" t="n">
        <x:f>IF(F285="有效",X285/G285,"n.a.")</x:f>
        <x:v>17.04177282255179</x:v>
      </x:c>
    </x:row>
    <x:row r="286" ht="22" customHeight="1">
      <x:c r="A286" s="11" t="str">
        <x:v>lade_0828_10aoi</x:v>
      </x:c>
      <x:c r="B286" s="22" t="n">
        <x:v>10</x:v>
      </x:c>
      <x:c r="C286" s="22" t="n">
        <x:v>1</x:v>
      </x:c>
      <x:c r="D286" s="22" t="n">
        <x:v>4</x:v>
      </x:c>
      <x:c r="E286" s="22" t="n">
        <x:v>43</x:v>
      </x:c>
      <x:c r="F286" s="30" t="str">
        <x:v>有效</x:v>
      </x:c>
      <x:c r="G286" s="22" t="n">
        <x:v>118</x:v>
      </x:c>
      <x:c r="H286" s="22" t="n">
        <x:v>118</x:v>
      </x:c>
      <x:c r="I286" s="24" t="n">
        <x:v>63.013999999999996</x:v>
      </x:c>
      <x:c r="J286" s="24" t="n">
        <x:v>40.052899999999994</x:v>
      </x:c>
      <x:c r="K286" s="24" t="n">
        <x:v>738.65</x:v>
      </x:c>
      <x:c r="L286" s="24" t="n">
        <x:v>1107.2833333333333</x:v>
      </x:c>
      <x:c r="M286" s="10" t="n">
        <x:v>1</x:v>
      </x:c>
      <x:c r="N286" s="10" t="n">
        <x:v>3</x:v>
      </x:c>
      <x:c r="O286" s="28" t="n">
        <x:f>IF(F286="有效",I286*'参数'!$B$10+J286*'参数'!$B$11,"n.a.")</x:f>
        <x:v>92.971497145</x:v>
      </x:c>
      <x:c r="P286" s="28" t="n">
        <x:f>IF(F286="有效",K286*'参数'!$B$12+L286*'参数'!$B$13,"n.a.")</x:f>
        <x:v>1606.9091076388886</x:v>
      </x:c>
      <x:c r="Q286" s="28" t="n">
        <x:f>IF(F286="有效",M286*'参数'!$B$14+N286*'参数'!$B$15,"n.a.")</x:f>
        <x:v>280</x:v>
      </x:c>
      <x:c r="R286" s="28" t="n">
        <x:f>IF(F286="有效",IF(D286&lt;=2,G286*('参数'!$B$6+'参数'!$B$18),0),"n.a.")</x:f>
        <x:v>0</x:v>
      </x:c>
      <x:c r="S286" s="28" t="n">
        <x:f>IF(F286="有效",IF(D286&gt;=3,G286*'参数'!$B$16,0),"n.a.")</x:f>
        <x:v>94.4</x:v>
      </x:c>
      <x:c r="T286" s="28" t="n">
        <x:f>IF(F286="有效",IF(D286&gt;=3,G286*'参数'!$B$17,0),"n.a.")</x:f>
        <x:v>11.8</x:v>
      </x:c>
      <x:c r="U286" s="28" t="n">
        <x:f>IF(F286="有效",SUM(O286:T286),"n.a.")</x:f>
        <x:v>2086.0806047838887</x:v>
      </x:c>
      <x:c r="V286" s="28" t="n">
        <x:f>IF(F286="有效",H286*'参数'!$B$7,"n.a.")</x:f>
        <x:v>4307</x:v>
      </x:c>
      <x:c r="W286" s="28" t="n">
        <x:f>IF(F286="有效",IF(D286&gt;=3,G286*'参数'!$B$7/'参数'!$B$8,0),"n.a.")</x:f>
        <x:v>86.14</x:v>
      </x:c>
      <x:c r="X286" s="28" t="n">
        <x:f>IF(F286="有效",U286+W286,"n.a.")</x:f>
        <x:v>2172.2206047838886</x:v>
      </x:c>
      <x:c r="Y286" s="28" t="n">
        <x:f>IF(F286="有效",X286/G286,"n.a.")</x:f>
        <x:v>18.4086491930838</x:v>
      </x:c>
    </x:row>
    <x:row r="287" ht="22" customHeight="1">
      <x:c r="A287" s="11" t="str">
        <x:v>lade_0828_10aoi</x:v>
      </x:c>
      <x:c r="B287" s="22" t="n">
        <x:v>10</x:v>
      </x:c>
      <x:c r="C287" s="22" t="n">
        <x:v>1</x:v>
      </x:c>
      <x:c r="D287" s="22" t="n">
        <x:v>4</x:v>
      </x:c>
      <x:c r="E287" s="22" t="n">
        <x:v>44</x:v>
      </x:c>
      <x:c r="F287" s="30" t="str">
        <x:v>有效</x:v>
      </x:c>
      <x:c r="G287" s="22" t="n">
        <x:v>118</x:v>
      </x:c>
      <x:c r="H287" s="22" t="n">
        <x:v>118</x:v>
      </x:c>
      <x:c r="I287" s="24" t="n">
        <x:v>63.013999999999996</x:v>
      </x:c>
      <x:c r="J287" s="24" t="n">
        <x:v>39.9209</x:v>
      </x:c>
      <x:c r="K287" s="24" t="n">
        <x:v>738.65</x:v>
      </x:c>
      <x:c r="L287" s="24" t="n">
        <x:v>1121.7833333333333</x:v>
      </x:c>
      <x:c r="M287" s="10" t="n">
        <x:v>1</x:v>
      </x:c>
      <x:c r="N287" s="10" t="n">
        <x:v>3</x:v>
      </x:c>
      <x:c r="O287" s="28" t="n">
        <x:f>IF(F287="有效",I287*'参数'!$B$10+J287*'参数'!$B$11,"n.a.")</x:f>
        <x:v>92.852426545</x:v>
      </x:c>
      <x:c r="P287" s="28" t="n">
        <x:f>IF(F287="有效",K287*'参数'!$B$12+L287*'参数'!$B$13,"n.a.")</x:f>
        <x:v>1617.5735555555552</x:v>
      </x:c>
      <x:c r="Q287" s="28" t="n">
        <x:f>IF(F287="有效",M287*'参数'!$B$14+N287*'参数'!$B$15,"n.a.")</x:f>
        <x:v>280</x:v>
      </x:c>
      <x:c r="R287" s="28" t="n">
        <x:f>IF(F287="有效",IF(D287&lt;=2,G287*('参数'!$B$6+'参数'!$B$18),0),"n.a.")</x:f>
        <x:v>0</x:v>
      </x:c>
      <x:c r="S287" s="28" t="n">
        <x:f>IF(F287="有效",IF(D287&gt;=3,G287*'参数'!$B$16,0),"n.a.")</x:f>
        <x:v>94.4</x:v>
      </x:c>
      <x:c r="T287" s="28" t="n">
        <x:f>IF(F287="有效",IF(D287&gt;=3,G287*'参数'!$B$17,0),"n.a.")</x:f>
        <x:v>11.8</x:v>
      </x:c>
      <x:c r="U287" s="28" t="n">
        <x:f>IF(F287="有效",SUM(O287:T287),"n.a.")</x:f>
        <x:v>2096.6259821005556</x:v>
      </x:c>
      <x:c r="V287" s="28" t="n">
        <x:f>IF(F287="有效",H287*'参数'!$B$7,"n.a.")</x:f>
        <x:v>4307</x:v>
      </x:c>
      <x:c r="W287" s="28" t="n">
        <x:f>IF(F287="有效",IF(D287&gt;=3,G287*'参数'!$B$7/'参数'!$B$8,0),"n.a.")</x:f>
        <x:v>86.14</x:v>
      </x:c>
      <x:c r="X287" s="28" t="n">
        <x:f>IF(F287="有效",U287+W287,"n.a.")</x:f>
        <x:v>2182.7659821005554</x:v>
      </x:c>
      <x:c r="Y287" s="28" t="n">
        <x:f>IF(F287="有效",X287/G287,"n.a.")</x:f>
        <x:v>18.498016797462334</x:v>
      </x:c>
    </x:row>
    <x:row r="288" ht="22" customHeight="1">
      <x:c r="A288" s="11" t="str">
        <x:v>lade_0828_10aoi</x:v>
      </x:c>
      <x:c r="B288" s="22" t="n">
        <x:v>10</x:v>
      </x:c>
      <x:c r="C288" s="22" t="n">
        <x:v>2</x:v>
      </x:c>
      <x:c r="D288" s="22" t="n">
        <x:v>5</x:v>
      </x:c>
      <x:c r="E288" s="22" t="n">
        <x:v>42</x:v>
      </x:c>
      <x:c r="F288" s="30" t="str">
        <x:v>有效</x:v>
      </x:c>
      <x:c r="G288" s="22" t="n">
        <x:v>118</x:v>
      </x:c>
      <x:c r="H288" s="22" t="n">
        <x:v>118</x:v>
      </x:c>
      <x:c r="I288" s="24" t="n">
        <x:v>110.61480000000002</x:v>
      </x:c>
      <x:c r="J288" s="24" t="n">
        <x:v>42.69349999999999</x:v>
      </x:c>
      <x:c r="K288" s="24" t="n">
        <x:v>697.8</x:v>
      </x:c>
      <x:c r="L288" s="24" t="n">
        <x:v>1186.3</x:v>
      </x:c>
      <x:c r="M288" s="10" t="n">
        <x:v>2</x:v>
      </x:c>
      <x:c r="N288" s="10" t="n">
        <x:v>3</x:v>
      </x:c>
      <x:c r="O288" s="28" t="n">
        <x:f>IF(F288="有效",I288*'参数'!$B$10+J288*'参数'!$B$11,"n.a.")</x:f>
        <x:v>138.29175201500001</x:v>
      </x:c>
      <x:c r="P288" s="28" t="n">
        <x:f>IF(F288="有效",K288*'参数'!$B$12+L288*'参数'!$B$13,"n.a.")</x:f>
        <x:v>1621.1947229166665</x:v>
      </x:c>
      <x:c r="Q288" s="28" t="n">
        <x:f>IF(F288="有效",M288*'参数'!$B$14+N288*'参数'!$B$15,"n.a.")</x:f>
        <x:v>380</x:v>
      </x:c>
      <x:c r="R288" s="28" t="n">
        <x:f>IF(F288="有效",IF(D288&lt;=2,G288*('参数'!$B$6+'参数'!$B$18),0),"n.a.")</x:f>
        <x:v>0</x:v>
      </x:c>
      <x:c r="S288" s="28" t="n">
        <x:f>IF(F288="有效",IF(D288&gt;=3,G288*'参数'!$B$16,0),"n.a.")</x:f>
        <x:v>94.4</x:v>
      </x:c>
      <x:c r="T288" s="28" t="n">
        <x:f>IF(F288="有效",IF(D288&gt;=3,G288*'参数'!$B$17,0),"n.a.")</x:f>
        <x:v>11.8</x:v>
      </x:c>
      <x:c r="U288" s="28" t="n">
        <x:f>IF(F288="有效",SUM(O288:T288),"n.a.")</x:f>
        <x:v>2245.686474931667</x:v>
      </x:c>
      <x:c r="V288" s="28" t="n">
        <x:f>IF(F288="有效",H288*'参数'!$B$7,"n.a.")</x:f>
        <x:v>4307</x:v>
      </x:c>
      <x:c r="W288" s="28" t="n">
        <x:f>IF(F288="有效",IF(D288&gt;=3,G288*'参数'!$B$7/'参数'!$B$8,0),"n.a.")</x:f>
        <x:v>86.14</x:v>
      </x:c>
      <x:c r="X288" s="28" t="n">
        <x:f>IF(F288="有效",U288+W288,"n.a.")</x:f>
        <x:v>2331.826474931667</x:v>
      </x:c>
      <x:c r="Y288" s="28" t="n">
        <x:f>IF(F288="有效",X288/G288,"n.a.")</x:f>
        <x:v>19.76124131298023</x:v>
      </x:c>
    </x:row>
    <x:row r="289" ht="22" customHeight="1">
      <x:c r="A289" s="11" t="str">
        <x:v>lade_0828_10aoi</x:v>
      </x:c>
      <x:c r="B289" s="22" t="n">
        <x:v>10</x:v>
      </x:c>
      <x:c r="C289" s="22" t="n">
        <x:v>2</x:v>
      </x:c>
      <x:c r="D289" s="22" t="n">
        <x:v>5</x:v>
      </x:c>
      <x:c r="E289" s="22" t="n">
        <x:v>43</x:v>
      </x:c>
      <x:c r="F289" s="30" t="str">
        <x:v>有效</x:v>
      </x:c>
      <x:c r="G289" s="22" t="n">
        <x:v>118</x:v>
      </x:c>
      <x:c r="H289" s="22" t="n">
        <x:v>118</x:v>
      </x:c>
      <x:c r="I289" s="24" t="n">
        <x:v>110.61480000000002</x:v>
      </x:c>
      <x:c r="J289" s="24" t="n">
        <x:v>42.6935</x:v>
      </x:c>
      <x:c r="K289" s="24" t="n">
        <x:v>697.8</x:v>
      </x:c>
      <x:c r="L289" s="24" t="n">
        <x:v>1186.3</x:v>
      </x:c>
      <x:c r="M289" s="10" t="n">
        <x:v>2</x:v>
      </x:c>
      <x:c r="N289" s="10" t="n">
        <x:v>3</x:v>
      </x:c>
      <x:c r="O289" s="28" t="n">
        <x:f>IF(F289="有效",I289*'参数'!$B$10+J289*'参数'!$B$11,"n.a.")</x:f>
        <x:v>138.29175201500001</x:v>
      </x:c>
      <x:c r="P289" s="28" t="n">
        <x:f>IF(F289="有效",K289*'参数'!$B$12+L289*'参数'!$B$13,"n.a.")</x:f>
        <x:v>1621.1947229166665</x:v>
      </x:c>
      <x:c r="Q289" s="28" t="n">
        <x:f>IF(F289="有效",M289*'参数'!$B$14+N289*'参数'!$B$15,"n.a.")</x:f>
        <x:v>380</x:v>
      </x:c>
      <x:c r="R289" s="28" t="n">
        <x:f>IF(F289="有效",IF(D289&lt;=2,G289*('参数'!$B$6+'参数'!$B$18),0),"n.a.")</x:f>
        <x:v>0</x:v>
      </x:c>
      <x:c r="S289" s="28" t="n">
        <x:f>IF(F289="有效",IF(D289&gt;=3,G289*'参数'!$B$16,0),"n.a.")</x:f>
        <x:v>94.4</x:v>
      </x:c>
      <x:c r="T289" s="28" t="n">
        <x:f>IF(F289="有效",IF(D289&gt;=3,G289*'参数'!$B$17,0),"n.a.")</x:f>
        <x:v>11.8</x:v>
      </x:c>
      <x:c r="U289" s="28" t="n">
        <x:f>IF(F289="有效",SUM(O289:T289),"n.a.")</x:f>
        <x:v>2245.686474931667</x:v>
      </x:c>
      <x:c r="V289" s="28" t="n">
        <x:f>IF(F289="有效",H289*'参数'!$B$7,"n.a.")</x:f>
        <x:v>4307</x:v>
      </x:c>
      <x:c r="W289" s="28" t="n">
        <x:f>IF(F289="有效",IF(D289&gt;=3,G289*'参数'!$B$7/'参数'!$B$8,0),"n.a.")</x:f>
        <x:v>86.14</x:v>
      </x:c>
      <x:c r="X289" s="28" t="n">
        <x:f>IF(F289="有效",U289+W289,"n.a.")</x:f>
        <x:v>2331.826474931667</x:v>
      </x:c>
      <x:c r="Y289" s="28" t="n">
        <x:f>IF(F289="有效",X289/G289,"n.a.")</x:f>
        <x:v>19.76124131298023</x:v>
      </x:c>
    </x:row>
    <x:row r="290" ht="22" customHeight="1">
      <x:c r="A290" s="11" t="str">
        <x:v>lade_0828_10aoi</x:v>
      </x:c>
      <x:c r="B290" s="22" t="n">
        <x:v>10</x:v>
      </x:c>
      <x:c r="C290" s="22" t="n">
        <x:v>2</x:v>
      </x:c>
      <x:c r="D290" s="22" t="n">
        <x:v>5</x:v>
      </x:c>
      <x:c r="E290" s="22" t="n">
        <x:v>44</x:v>
      </x:c>
      <x:c r="F290" s="30" t="str">
        <x:v>有效</x:v>
      </x:c>
      <x:c r="G290" s="22" t="n">
        <x:v>118</x:v>
      </x:c>
      <x:c r="H290" s="22" t="n">
        <x:v>118</x:v>
      </x:c>
      <x:c r="I290" s="24" t="n">
        <x:v>110.61480000000002</x:v>
      </x:c>
      <x:c r="J290" s="24" t="n">
        <x:v>42.6935</x:v>
      </x:c>
      <x:c r="K290" s="24" t="n">
        <x:v>697.8</x:v>
      </x:c>
      <x:c r="L290" s="24" t="n">
        <x:v>1286.05</x:v>
      </x:c>
      <x:c r="M290" s="10" t="n">
        <x:v>2</x:v>
      </x:c>
      <x:c r="N290" s="10" t="n">
        <x:v>3</x:v>
      </x:c>
      <x:c r="O290" s="28" t="n">
        <x:f>IF(F290="有效",I290*'参数'!$B$10+J290*'参数'!$B$11,"n.a.")</x:f>
        <x:v>138.29175201500001</x:v>
      </x:c>
      <x:c r="P290" s="28" t="n">
        <x:f>IF(F290="有效",K290*'参数'!$B$12+L290*'参数'!$B$13,"n.a.")</x:f>
        <x:v>1694.5587697916665</x:v>
      </x:c>
      <x:c r="Q290" s="28" t="n">
        <x:f>IF(F290="有效",M290*'参数'!$B$14+N290*'参数'!$B$15,"n.a.")</x:f>
        <x:v>380</x:v>
      </x:c>
      <x:c r="R290" s="28" t="n">
        <x:f>IF(F290="有效",IF(D290&lt;=2,G290*('参数'!$B$6+'参数'!$B$18),0),"n.a.")</x:f>
        <x:v>0</x:v>
      </x:c>
      <x:c r="S290" s="28" t="n">
        <x:f>IF(F290="有效",IF(D290&gt;=3,G290*'参数'!$B$16,0),"n.a.")</x:f>
        <x:v>94.4</x:v>
      </x:c>
      <x:c r="T290" s="28" t="n">
        <x:f>IF(F290="有效",IF(D290&gt;=3,G290*'参数'!$B$17,0),"n.a.")</x:f>
        <x:v>11.8</x:v>
      </x:c>
      <x:c r="U290" s="28" t="n">
        <x:f>IF(F290="有效",SUM(O290:T290),"n.a.")</x:f>
        <x:v>2319.050521806667</x:v>
      </x:c>
      <x:c r="V290" s="28" t="n">
        <x:f>IF(F290="有效",H290*'参数'!$B$7,"n.a.")</x:f>
        <x:v>4307</x:v>
      </x:c>
      <x:c r="W290" s="28" t="n">
        <x:f>IF(F290="有效",IF(D290&gt;=3,G290*'参数'!$B$7/'参数'!$B$8,0),"n.a.")</x:f>
        <x:v>86.14</x:v>
      </x:c>
      <x:c r="X290" s="28" t="n">
        <x:f>IF(F290="有效",U290+W290,"n.a.")</x:f>
        <x:v>2405.1905218066668</x:v>
      </x:c>
      <x:c r="Y290" s="28" t="n">
        <x:f>IF(F290="有效",X290/G290,"n.a.")</x:f>
        <x:v>20.38297052378531</x:v>
      </x:c>
    </x:row>
    <x:row r="291" ht="22" customHeight="1">
      <x:c r="A291" s="11" t="str">
        <x:v>lade_0828_10aoi</x:v>
      </x:c>
      <x:c r="B291" s="22" t="n">
        <x:v>10</x:v>
      </x:c>
      <x:c r="C291" s="22" t="n">
        <x:v>3</x:v>
      </x:c>
      <x:c r="D291" s="22" t="n">
        <x:v>5</x:v>
      </x:c>
      <x:c r="E291" s="22" t="n">
        <x:v>42</x:v>
      </x:c>
      <x:c r="F291" s="30" t="str">
        <x:v>有效</x:v>
      </x:c>
      <x:c r="G291" s="22" t="n">
        <x:v>118</x:v>
      </x:c>
      <x:c r="H291" s="22" t="n">
        <x:v>118</x:v>
      </x:c>
      <x:c r="I291" s="24" t="n">
        <x:v>218.52130000000002</x:v>
      </x:c>
      <x:c r="J291" s="24" t="n">
        <x:v>54.27979999999999</x:v>
      </x:c>
      <x:c r="K291" s="24" t="n">
        <x:v>870.6</x:v>
      </x:c>
      <x:c r="L291" s="24" t="n">
        <x:v>634.2166666666667</x:v>
      </x:c>
      <x:c r="M291" s="10" t="n">
        <x:v>3</x:v>
      </x:c>
      <x:c r="N291" s="10" t="n">
        <x:v>3</x:v>
      </x:c>
      <x:c r="O291" s="28" t="n">
        <x:f>IF(F291="有效",I291*'参数'!$B$10+J291*'参数'!$B$11,"n.a.")</x:f>
        <x:v>246.08023225500003</x:v>
      </x:c>
      <x:c r="P291" s="28" t="n">
        <x:f>IF(F291="有效",K291*'参数'!$B$12+L291*'参数'!$B$13,"n.a.")</x:f>
        <x:v>1400.5525329861111</x:v>
      </x:c>
      <x:c r="Q291" s="28" t="n">
        <x:f>IF(F291="有效",M291*'参数'!$B$14+N291*'参数'!$B$15,"n.a.")</x:f>
        <x:v>480</x:v>
      </x:c>
      <x:c r="R291" s="28" t="n">
        <x:f>IF(F291="有效",IF(D291&lt;=2,G291*('参数'!$B$6+'参数'!$B$18),0),"n.a.")</x:f>
        <x:v>0</x:v>
      </x:c>
      <x:c r="S291" s="28" t="n">
        <x:f>IF(F291="有效",IF(D291&gt;=3,G291*'参数'!$B$16,0),"n.a.")</x:f>
        <x:v>94.4</x:v>
      </x:c>
      <x:c r="T291" s="28" t="n">
        <x:f>IF(F291="有效",IF(D291&gt;=3,G291*'参数'!$B$17,0),"n.a.")</x:f>
        <x:v>11.8</x:v>
      </x:c>
      <x:c r="U291" s="28" t="n">
        <x:f>IF(F291="有效",SUM(O291:T291),"n.a.")</x:f>
        <x:v>2232.8327652411112</x:v>
      </x:c>
      <x:c r="V291" s="28" t="n">
        <x:f>IF(F291="有效",H291*'参数'!$B$7,"n.a.")</x:f>
        <x:v>4307</x:v>
      </x:c>
      <x:c r="W291" s="28" t="n">
        <x:f>IF(F291="有效",IF(D291&gt;=3,G291*'参数'!$B$7/'参数'!$B$8,0),"n.a.")</x:f>
        <x:v>86.14</x:v>
      </x:c>
      <x:c r="X291" s="28" t="n">
        <x:f>IF(F291="有效",U291+W291,"n.a.")</x:f>
        <x:v>2318.972765241111</x:v>
      </x:c>
      <x:c r="Y291" s="28" t="n">
        <x:f>IF(F291="有效",X291/G291,"n.a.")</x:f>
        <x:v>19.652311569839924</x:v>
      </x:c>
    </x:row>
    <x:row r="292" ht="22" customHeight="1">
      <x:c r="A292" s="11" t="str">
        <x:v>lade_0828_10aoi</x:v>
      </x:c>
      <x:c r="B292" s="22" t="n">
        <x:v>10</x:v>
      </x:c>
      <x:c r="C292" s="22" t="n">
        <x:v>3</x:v>
      </x:c>
      <x:c r="D292" s="22" t="n">
        <x:v>5</x:v>
      </x:c>
      <x:c r="E292" s="22" t="n">
        <x:v>43</x:v>
      </x:c>
      <x:c r="F292" s="30" t="str">
        <x:v>有效</x:v>
      </x:c>
      <x:c r="G292" s="22" t="n">
        <x:v>118</x:v>
      </x:c>
      <x:c r="H292" s="22" t="n">
        <x:v>118</x:v>
      </x:c>
      <x:c r="I292" s="24" t="n">
        <x:v>218.52130000000002</x:v>
      </x:c>
      <x:c r="J292" s="24" t="n">
        <x:v>54.27979999999999</x:v>
      </x:c>
      <x:c r="K292" s="24" t="n">
        <x:v>870.6</x:v>
      </x:c>
      <x:c r="L292" s="24" t="n">
        <x:v>634.2166666666667</x:v>
      </x:c>
      <x:c r="M292" s="10" t="n">
        <x:v>3</x:v>
      </x:c>
      <x:c r="N292" s="10" t="n">
        <x:v>3</x:v>
      </x:c>
      <x:c r="O292" s="28" t="n">
        <x:f>IF(F292="有效",I292*'参数'!$B$10+J292*'参数'!$B$11,"n.a.")</x:f>
        <x:v>246.08023225500003</x:v>
      </x:c>
      <x:c r="P292" s="28" t="n">
        <x:f>IF(F292="有效",K292*'参数'!$B$12+L292*'参数'!$B$13,"n.a.")</x:f>
        <x:v>1400.5525329861111</x:v>
      </x:c>
      <x:c r="Q292" s="28" t="n">
        <x:f>IF(F292="有效",M292*'参数'!$B$14+N292*'参数'!$B$15,"n.a.")</x:f>
        <x:v>480</x:v>
      </x:c>
      <x:c r="R292" s="28" t="n">
        <x:f>IF(F292="有效",IF(D292&lt;=2,G292*('参数'!$B$6+'参数'!$B$18),0),"n.a.")</x:f>
        <x:v>0</x:v>
      </x:c>
      <x:c r="S292" s="28" t="n">
        <x:f>IF(F292="有效",IF(D292&gt;=3,G292*'参数'!$B$16,0),"n.a.")</x:f>
        <x:v>94.4</x:v>
      </x:c>
      <x:c r="T292" s="28" t="n">
        <x:f>IF(F292="有效",IF(D292&gt;=3,G292*'参数'!$B$17,0),"n.a.")</x:f>
        <x:v>11.8</x:v>
      </x:c>
      <x:c r="U292" s="28" t="n">
        <x:f>IF(F292="有效",SUM(O292:T292),"n.a.")</x:f>
        <x:v>2232.8327652411112</x:v>
      </x:c>
      <x:c r="V292" s="28" t="n">
        <x:f>IF(F292="有效",H292*'参数'!$B$7,"n.a.")</x:f>
        <x:v>4307</x:v>
      </x:c>
      <x:c r="W292" s="28" t="n">
        <x:f>IF(F292="有效",IF(D292&gt;=3,G292*'参数'!$B$7/'参数'!$B$8,0),"n.a.")</x:f>
        <x:v>86.14</x:v>
      </x:c>
      <x:c r="X292" s="28" t="n">
        <x:f>IF(F292="有效",U292+W292,"n.a.")</x:f>
        <x:v>2318.972765241111</x:v>
      </x:c>
      <x:c r="Y292" s="28" t="n">
        <x:f>IF(F292="有效",X292/G292,"n.a.")</x:f>
        <x:v>19.652311569839924</x:v>
      </x:c>
    </x:row>
    <x:row r="293" ht="22" customHeight="1">
      <x:c r="A293" s="11" t="str">
        <x:v>lade_0828_10aoi</x:v>
      </x:c>
      <x:c r="B293" s="22" t="n">
        <x:v>10</x:v>
      </x:c>
      <x:c r="C293" s="22" t="n">
        <x:v>3</x:v>
      </x:c>
      <x:c r="D293" s="22" t="n">
        <x:v>5</x:v>
      </x:c>
      <x:c r="E293" s="22" t="n">
        <x:v>44</x:v>
      </x:c>
      <x:c r="F293" s="30" t="str">
        <x:v>有效</x:v>
      </x:c>
      <x:c r="G293" s="22" t="n">
        <x:v>118</x:v>
      </x:c>
      <x:c r="H293" s="22" t="n">
        <x:v>118</x:v>
      </x:c>
      <x:c r="I293" s="24" t="n">
        <x:v>218.5213</x:v>
      </x:c>
      <x:c r="J293" s="24" t="n">
        <x:v>54.27979999999999</x:v>
      </x:c>
      <x:c r="K293" s="24" t="n">
        <x:v>870.6</x:v>
      </x:c>
      <x:c r="L293" s="24" t="n">
        <x:v>628.05</x:v>
      </x:c>
      <x:c r="M293" s="10" t="n">
        <x:v>2</x:v>
      </x:c>
      <x:c r="N293" s="10" t="n">
        <x:v>3</x:v>
      </x:c>
      <x:c r="O293" s="28" t="n">
        <x:f>IF(F293="有效",I293*'参数'!$B$10+J293*'参数'!$B$11,"n.a.")</x:f>
        <x:v>246.080232255</x:v>
      </x:c>
      <x:c r="P293" s="28" t="n">
        <x:f>IF(F293="有效",K293*'参数'!$B$12+L293*'参数'!$B$13,"n.a.")</x:f>
        <x:v>1396.017078125</x:v>
      </x:c>
      <x:c r="Q293" s="28" t="n">
        <x:f>IF(F293="有效",M293*'参数'!$B$14+N293*'参数'!$B$15,"n.a.")</x:f>
        <x:v>380</x:v>
      </x:c>
      <x:c r="R293" s="28" t="n">
        <x:f>IF(F293="有效",IF(D293&lt;=2,G293*('参数'!$B$6+'参数'!$B$18),0),"n.a.")</x:f>
        <x:v>0</x:v>
      </x:c>
      <x:c r="S293" s="28" t="n">
        <x:f>IF(F293="有效",IF(D293&gt;=3,G293*'参数'!$B$16,0),"n.a.")</x:f>
        <x:v>94.4</x:v>
      </x:c>
      <x:c r="T293" s="28" t="n">
        <x:f>IF(F293="有效",IF(D293&gt;=3,G293*'参数'!$B$17,0),"n.a.")</x:f>
        <x:v>11.8</x:v>
      </x:c>
      <x:c r="U293" s="28" t="n">
        <x:f>IF(F293="有效",SUM(O293:T293),"n.a.")</x:f>
        <x:v>2128.29731038</x:v>
      </x:c>
      <x:c r="V293" s="28" t="n">
        <x:f>IF(F293="有效",H293*'参数'!$B$7,"n.a.")</x:f>
        <x:v>4307</x:v>
      </x:c>
      <x:c r="W293" s="28" t="n">
        <x:f>IF(F293="有效",IF(D293&gt;=3,G293*'参数'!$B$7/'参数'!$B$8,0),"n.a.")</x:f>
        <x:v>86.14</x:v>
      </x:c>
      <x:c r="X293" s="28" t="n">
        <x:f>IF(F293="有效",U293+W293,"n.a.")</x:f>
        <x:v>2214.43731038</x:v>
      </x:c>
      <x:c r="Y293" s="28" t="n">
        <x:f>IF(F293="有效",X293/G293,"n.a.")</x:f>
        <x:v>18.76641788457627</x:v>
      </x:c>
    </x:row>
    <x:row r="294" ht="22" customHeight="1">
      <x:c r="A294" s="11" t="str">
        <x:v>lade_0828_20aoi</x:v>
      </x:c>
      <x:c r="B294" s="22" t="n">
        <x:v>20</x:v>
      </x:c>
      <x:c r="C294" s="22" t="n">
        <x:v>1</x:v>
      </x:c>
      <x:c r="D294" s="22" t="n">
        <x:v>1</x:v>
      </x:c>
      <x:c r="E294" s="22" t="n">
        <x:v>42</x:v>
      </x:c>
      <x:c r="F294" s="30" t="str">
        <x:v>有效</x:v>
      </x:c>
      <x:c r="G294" s="22" t="n">
        <x:v>187</x:v>
      </x:c>
      <x:c r="H294" s="22" t="n">
        <x:v>0</x:v>
      </x:c>
      <x:c r="I294" s="24" t="n">
        <x:v>59.477500000000006</x:v>
      </x:c>
      <x:c r="J294" s="24" t="n">
        <x:v>50.3416</x:v>
      </x:c>
      <x:c r="K294" s="24" t="n">
        <x:v>60.63333333333333</x:v>
      </x:c>
      <x:c r="L294" s="24" t="n">
        <x:v>2657.2</x:v>
      </x:c>
      <x:c r="M294" s="10" t="n">
        <x:v>1</x:v>
      </x:c>
      <x:c r="N294" s="10" t="n">
        <x:v>6</x:v>
      </x:c>
      <x:c r="O294" s="28" t="n">
        <x:f>IF(F294="有效",I294*'参数'!$B$10+J294*'参数'!$B$11,"n.a.")</x:f>
        <x:v>99.06231915500001</x:v>
      </x:c>
      <x:c r="P294" s="28" t="n">
        <x:f>IF(F294="有效",K294*'参数'!$B$12+L294*'参数'!$B$13,"n.a.")</x:f>
        <x:v>2019.37101875</x:v>
      </x:c>
      <x:c r="Q294" s="28" t="n">
        <x:f>IF(F294="有效",M294*'参数'!$B$14+N294*'参数'!$B$15,"n.a.")</x:f>
        <x:v>460</x:v>
      </x:c>
      <x:c r="R294" s="28" t="n">
        <x:f>IF(F294="有效",IF(D294&lt;=2,G294*('参数'!$B$6+'参数'!$B$18),0),"n.a.")</x:f>
        <x:v>748</x:v>
      </x:c>
      <x:c r="S294" s="28" t="n">
        <x:f>IF(F294="有效",IF(D294&gt;=3,G294*'参数'!$B$16,0),"n.a.")</x:f>
        <x:v>0</x:v>
      </x:c>
      <x:c r="T294" s="28" t="n">
        <x:f>IF(F294="有效",IF(D294&gt;=3,G294*'参数'!$B$17,0),"n.a.")</x:f>
        <x:v>0</x:v>
      </x:c>
      <x:c r="U294" s="28" t="n">
        <x:f>IF(F294="有效",SUM(O294:T294),"n.a.")</x:f>
        <x:v>3326.433337905</x:v>
      </x:c>
      <x:c r="V294" s="28" t="n">
        <x:f>IF(F294="有效",H294*'参数'!$B$7,"n.a.")</x:f>
        <x:v>0</x:v>
      </x:c>
      <x:c r="W294" s="28" t="n">
        <x:f>IF(F294="有效",IF(D294&gt;=3,G294*'参数'!$B$7/'参数'!$B$8,0),"n.a.")</x:f>
        <x:v>0</x:v>
      </x:c>
      <x:c r="X294" s="28" t="n">
        <x:f>IF(F294="有效",U294+W294,"n.a.")</x:f>
        <x:v>3326.433337905</x:v>
      </x:c>
      <x:c r="Y294" s="28" t="n">
        <x:f>IF(F294="有效",X294/G294,"n.a.")</x:f>
        <x:v>17.78841357168449</x:v>
      </x:c>
    </x:row>
    <x:row r="295" ht="22" customHeight="1">
      <x:c r="A295" s="11" t="str">
        <x:v>lade_0828_20aoi</x:v>
      </x:c>
      <x:c r="B295" s="22" t="n">
        <x:v>20</x:v>
      </x:c>
      <x:c r="C295" s="22" t="n">
        <x:v>1</x:v>
      </x:c>
      <x:c r="D295" s="22" t="n">
        <x:v>1</x:v>
      </x:c>
      <x:c r="E295" s="22" t="n">
        <x:v>43</x:v>
      </x:c>
      <x:c r="F295" s="30" t="str">
        <x:v>有效</x:v>
      </x:c>
      <x:c r="G295" s="22" t="n">
        <x:v>187</x:v>
      </x:c>
      <x:c r="H295" s="22" t="n">
        <x:v>0</x:v>
      </x:c>
      <x:c r="I295" s="24" t="n">
        <x:v>59.477500000000006</x:v>
      </x:c>
      <x:c r="J295" s="24" t="n">
        <x:v>50.34159999999999</x:v>
      </x:c>
      <x:c r="K295" s="24" t="n">
        <x:v>60.63333333333333</x:v>
      </x:c>
      <x:c r="L295" s="24" t="n">
        <x:v>2657.2</x:v>
      </x:c>
      <x:c r="M295" s="10" t="n">
        <x:v>1</x:v>
      </x:c>
      <x:c r="N295" s="10" t="n">
        <x:v>6</x:v>
      </x:c>
      <x:c r="O295" s="28" t="n">
        <x:f>IF(F295="有效",I295*'参数'!$B$10+J295*'参数'!$B$11,"n.a.")</x:f>
        <x:v>99.06231915500001</x:v>
      </x:c>
      <x:c r="P295" s="28" t="n">
        <x:f>IF(F295="有效",K295*'参数'!$B$12+L295*'参数'!$B$13,"n.a.")</x:f>
        <x:v>2019.37101875</x:v>
      </x:c>
      <x:c r="Q295" s="28" t="n">
        <x:f>IF(F295="有效",M295*'参数'!$B$14+N295*'参数'!$B$15,"n.a.")</x:f>
        <x:v>460</x:v>
      </x:c>
      <x:c r="R295" s="28" t="n">
        <x:f>IF(F295="有效",IF(D295&lt;=2,G295*('参数'!$B$6+'参数'!$B$18),0),"n.a.")</x:f>
        <x:v>748</x:v>
      </x:c>
      <x:c r="S295" s="28" t="n">
        <x:f>IF(F295="有效",IF(D295&gt;=3,G295*'参数'!$B$16,0),"n.a.")</x:f>
        <x:v>0</x:v>
      </x:c>
      <x:c r="T295" s="28" t="n">
        <x:f>IF(F295="有效",IF(D295&gt;=3,G295*'参数'!$B$17,0),"n.a.")</x:f>
        <x:v>0</x:v>
      </x:c>
      <x:c r="U295" s="28" t="n">
        <x:f>IF(F295="有效",SUM(O295:T295),"n.a.")</x:f>
        <x:v>3326.433337905</x:v>
      </x:c>
      <x:c r="V295" s="28" t="n">
        <x:f>IF(F295="有效",H295*'参数'!$B$7,"n.a.")</x:f>
        <x:v>0</x:v>
      </x:c>
      <x:c r="W295" s="28" t="n">
        <x:f>IF(F295="有效",IF(D295&gt;=3,G295*'参数'!$B$7/'参数'!$B$8,0),"n.a.")</x:f>
        <x:v>0</x:v>
      </x:c>
      <x:c r="X295" s="28" t="n">
        <x:f>IF(F295="有效",U295+W295,"n.a.")</x:f>
        <x:v>3326.433337905</x:v>
      </x:c>
      <x:c r="Y295" s="28" t="n">
        <x:f>IF(F295="有效",X295/G295,"n.a.")</x:f>
        <x:v>17.78841357168449</x:v>
      </x:c>
    </x:row>
    <x:row r="296" ht="22" customHeight="1">
      <x:c r="A296" s="11" t="str">
        <x:v>lade_0828_20aoi</x:v>
      </x:c>
      <x:c r="B296" s="22" t="n">
        <x:v>20</x:v>
      </x:c>
      <x:c r="C296" s="22" t="n">
        <x:v>1</x:v>
      </x:c>
      <x:c r="D296" s="22" t="n">
        <x:v>1</x:v>
      </x:c>
      <x:c r="E296" s="22" t="n">
        <x:v>44</x:v>
      </x:c>
      <x:c r="F296" s="30" t="str">
        <x:v>有效</x:v>
      </x:c>
      <x:c r="G296" s="22" t="n">
        <x:v>187</x:v>
      </x:c>
      <x:c r="H296" s="22" t="n">
        <x:v>0</x:v>
      </x:c>
      <x:c r="I296" s="24" t="n">
        <x:v>59.477500000000006</x:v>
      </x:c>
      <x:c r="J296" s="24" t="n">
        <x:v>50.3416</x:v>
      </x:c>
      <x:c r="K296" s="24" t="n">
        <x:v>60.63333333333333</x:v>
      </x:c>
      <x:c r="L296" s="24" t="n">
        <x:v>2657.2</x:v>
      </x:c>
      <x:c r="M296" s="10" t="n">
        <x:v>1</x:v>
      </x:c>
      <x:c r="N296" s="10" t="n">
        <x:v>6</x:v>
      </x:c>
      <x:c r="O296" s="28" t="n">
        <x:f>IF(F296="有效",I296*'参数'!$B$10+J296*'参数'!$B$11,"n.a.")</x:f>
        <x:v>99.06231915500001</x:v>
      </x:c>
      <x:c r="P296" s="28" t="n">
        <x:f>IF(F296="有效",K296*'参数'!$B$12+L296*'参数'!$B$13,"n.a.")</x:f>
        <x:v>2019.37101875</x:v>
      </x:c>
      <x:c r="Q296" s="28" t="n">
        <x:f>IF(F296="有效",M296*'参数'!$B$14+N296*'参数'!$B$15,"n.a.")</x:f>
        <x:v>460</x:v>
      </x:c>
      <x:c r="R296" s="28" t="n">
        <x:f>IF(F296="有效",IF(D296&lt;=2,G296*('参数'!$B$6+'参数'!$B$18),0),"n.a.")</x:f>
        <x:v>748</x:v>
      </x:c>
      <x:c r="S296" s="28" t="n">
        <x:f>IF(F296="有效",IF(D296&gt;=3,G296*'参数'!$B$16,0),"n.a.")</x:f>
        <x:v>0</x:v>
      </x:c>
      <x:c r="T296" s="28" t="n">
        <x:f>IF(F296="有效",IF(D296&gt;=3,G296*'参数'!$B$17,0),"n.a.")</x:f>
        <x:v>0</x:v>
      </x:c>
      <x:c r="U296" s="28" t="n">
        <x:f>IF(F296="有效",SUM(O296:T296),"n.a.")</x:f>
        <x:v>3326.433337905</x:v>
      </x:c>
      <x:c r="V296" s="28" t="n">
        <x:f>IF(F296="有效",H296*'参数'!$B$7,"n.a.")</x:f>
        <x:v>0</x:v>
      </x:c>
      <x:c r="W296" s="28" t="n">
        <x:f>IF(F296="有效",IF(D296&gt;=3,G296*'参数'!$B$7/'参数'!$B$8,0),"n.a.")</x:f>
        <x:v>0</x:v>
      </x:c>
      <x:c r="X296" s="28" t="n">
        <x:f>IF(F296="有效",U296+W296,"n.a.")</x:f>
        <x:v>3326.433337905</x:v>
      </x:c>
      <x:c r="Y296" s="28" t="n">
        <x:f>IF(F296="有效",X296/G296,"n.a.")</x:f>
        <x:v>17.78841357168449</x:v>
      </x:c>
    </x:row>
    <x:row r="297" ht="22" customHeight="1">
      <x:c r="A297" s="11" t="str">
        <x:v>lade_0828_20aoi</x:v>
      </x:c>
      <x:c r="B297" s="22" t="n">
        <x:v>20</x:v>
      </x:c>
      <x:c r="C297" s="22" t="n">
        <x:v>1</x:v>
      </x:c>
      <x:c r="D297" s="22" t="n">
        <x:v>2</x:v>
      </x:c>
      <x:c r="E297" s="22" t="n">
        <x:v>42</x:v>
      </x:c>
      <x:c r="F297" s="30" t="str">
        <x:v>有效</x:v>
      </x:c>
      <x:c r="G297" s="22" t="n">
        <x:v>187</x:v>
      </x:c>
      <x:c r="H297" s="22" t="n">
        <x:v>0</x:v>
      </x:c>
      <x:c r="I297" s="24" t="n">
        <x:v>59.477500000000006</x:v>
      </x:c>
      <x:c r="J297" s="24" t="n">
        <x:v>47.52909999999999</x:v>
      </x:c>
      <x:c r="K297" s="24" t="n">
        <x:v>60.63333333333333</x:v>
      </x:c>
      <x:c r="L297" s="24" t="n">
        <x:v>1944.4666666666667</x:v>
      </x:c>
      <x:c r="M297" s="10" t="n">
        <x:v>1</x:v>
      </x:c>
      <x:c r="N297" s="10" t="n">
        <x:v>5</x:v>
      </x:c>
      <x:c r="O297" s="28" t="n">
        <x:f>IF(F297="有效",I297*'参数'!$B$10+J297*'参数'!$B$11,"n.a.")</x:f>
        <x:v>96.52530353</x:v>
      </x:c>
      <x:c r="P297" s="28" t="n">
        <x:f>IF(F297="有效",K297*'参数'!$B$12+L297*'参数'!$B$13,"n.a.")</x:f>
        <x:v>1495.1705006944446</x:v>
      </x:c>
      <x:c r="Q297" s="28" t="n">
        <x:f>IF(F297="有效",M297*'参数'!$B$14+N297*'参数'!$B$15,"n.a.")</x:f>
        <x:v>400</x:v>
      </x:c>
      <x:c r="R297" s="28" t="n">
        <x:f>IF(F297="有效",IF(D297&lt;=2,G297*('参数'!$B$6+'参数'!$B$18),0),"n.a.")</x:f>
        <x:v>748</x:v>
      </x:c>
      <x:c r="S297" s="28" t="n">
        <x:f>IF(F297="有效",IF(D297&gt;=3,G297*'参数'!$B$16,0),"n.a.")</x:f>
        <x:v>0</x:v>
      </x:c>
      <x:c r="T297" s="28" t="n">
        <x:f>IF(F297="有效",IF(D297&gt;=3,G297*'参数'!$B$17,0),"n.a.")</x:f>
        <x:v>0</x:v>
      </x:c>
      <x:c r="U297" s="28" t="n">
        <x:f>IF(F297="有效",SUM(O297:T297),"n.a.")</x:f>
        <x:v>2739.6958042244446</x:v>
      </x:c>
      <x:c r="V297" s="28" t="n">
        <x:f>IF(F297="有效",H297*'参数'!$B$7,"n.a.")</x:f>
        <x:v>0</x:v>
      </x:c>
      <x:c r="W297" s="28" t="n">
        <x:f>IF(F297="有效",IF(D297&gt;=3,G297*'参数'!$B$7/'参数'!$B$8,0),"n.a.")</x:f>
        <x:v>0</x:v>
      </x:c>
      <x:c r="X297" s="28" t="n">
        <x:f>IF(F297="有效",U297+W297,"n.a.")</x:f>
        <x:v>2739.6958042244446</x:v>
      </x:c>
      <x:c r="Y297" s="28" t="n">
        <x:f>IF(F297="有效",X297/G297,"n.a.")</x:f>
        <x:v>14.650779701734997</x:v>
      </x:c>
    </x:row>
    <x:row r="298" ht="22" customHeight="1">
      <x:c r="A298" s="11" t="str">
        <x:v>lade_0828_20aoi</x:v>
      </x:c>
      <x:c r="B298" s="22" t="n">
        <x:v>20</x:v>
      </x:c>
      <x:c r="C298" s="22" t="n">
        <x:v>1</x:v>
      </x:c>
      <x:c r="D298" s="22" t="n">
        <x:v>2</x:v>
      </x:c>
      <x:c r="E298" s="22" t="n">
        <x:v>43</x:v>
      </x:c>
      <x:c r="F298" s="30" t="str">
        <x:v>有效</x:v>
      </x:c>
      <x:c r="G298" s="22" t="n">
        <x:v>187</x:v>
      </x:c>
      <x:c r="H298" s="22" t="n">
        <x:v>0</x:v>
      </x:c>
      <x:c r="I298" s="24" t="n">
        <x:v>59.477500000000006</x:v>
      </x:c>
      <x:c r="J298" s="24" t="n">
        <x:v>46.531</x:v>
      </x:c>
      <x:c r="K298" s="24" t="n">
        <x:v>60.63333333333333</x:v>
      </x:c>
      <x:c r="L298" s="24" t="n">
        <x:v>1717.95</x:v>
      </x:c>
      <x:c r="M298" s="10" t="n">
        <x:v>1</x:v>
      </x:c>
      <x:c r="N298" s="10" t="n">
        <x:v>5</x:v>
      </x:c>
      <x:c r="O298" s="28" t="n">
        <x:f>IF(F298="有效",I298*'参数'!$B$10+J298*'参数'!$B$11,"n.a.")</x:f>
        <x:v>95.62496742500001</x:v>
      </x:c>
      <x:c r="P298" s="28" t="n">
        <x:f>IF(F298="有效",K298*'参数'!$B$12+L298*'参数'!$B$13,"n.a.")</x:f>
        <x:v>1328.5722114583334</x:v>
      </x:c>
      <x:c r="Q298" s="28" t="n">
        <x:f>IF(F298="有效",M298*'参数'!$B$14+N298*'参数'!$B$15,"n.a.")</x:f>
        <x:v>400</x:v>
      </x:c>
      <x:c r="R298" s="28" t="n">
        <x:f>IF(F298="有效",IF(D298&lt;=2,G298*('参数'!$B$6+'参数'!$B$18),0),"n.a.")</x:f>
        <x:v>748</x:v>
      </x:c>
      <x:c r="S298" s="28" t="n">
        <x:f>IF(F298="有效",IF(D298&gt;=3,G298*'参数'!$B$16,0),"n.a.")</x:f>
        <x:v>0</x:v>
      </x:c>
      <x:c r="T298" s="28" t="n">
        <x:f>IF(F298="有效",IF(D298&gt;=3,G298*'参数'!$B$17,0),"n.a.")</x:f>
        <x:v>0</x:v>
      </x:c>
      <x:c r="U298" s="28" t="n">
        <x:f>IF(F298="有效",SUM(O298:T298),"n.a.")</x:f>
        <x:v>2572.1971788833334</x:v>
      </x:c>
      <x:c r="V298" s="28" t="n">
        <x:f>IF(F298="有效",H298*'参数'!$B$7,"n.a.")</x:f>
        <x:v>0</x:v>
      </x:c>
      <x:c r="W298" s="28" t="n">
        <x:f>IF(F298="有效",IF(D298&gt;=3,G298*'参数'!$B$7/'参数'!$B$8,0),"n.a.")</x:f>
        <x:v>0</x:v>
      </x:c>
      <x:c r="X298" s="28" t="n">
        <x:f>IF(F298="有效",U298+W298,"n.a.")</x:f>
        <x:v>2572.1971788833334</x:v>
      </x:c>
      <x:c r="Y298" s="28" t="n">
        <x:f>IF(F298="有效",X298/G298,"n.a.")</x:f>
        <x:v>13.75506512771836</x:v>
      </x:c>
    </x:row>
    <x:row r="299" ht="22" customHeight="1">
      <x:c r="A299" s="11" t="str">
        <x:v>lade_0828_20aoi</x:v>
      </x:c>
      <x:c r="B299" s="22" t="n">
        <x:v>20</x:v>
      </x:c>
      <x:c r="C299" s="22" t="n">
        <x:v>1</x:v>
      </x:c>
      <x:c r="D299" s="22" t="n">
        <x:v>2</x:v>
      </x:c>
      <x:c r="E299" s="22" t="n">
        <x:v>44</x:v>
      </x:c>
      <x:c r="F299" s="30" t="str">
        <x:v>有效</x:v>
      </x:c>
      <x:c r="G299" s="22" t="n">
        <x:v>187</x:v>
      </x:c>
      <x:c r="H299" s="22" t="n">
        <x:v>0</x:v>
      </x:c>
      <x:c r="I299" s="24" t="n">
        <x:v>59.477500000000006</x:v>
      </x:c>
      <x:c r="J299" s="24" t="n">
        <x:v>47.00629999999998</x:v>
      </x:c>
      <x:c r="K299" s="24" t="n">
        <x:v>60.63333333333333</x:v>
      </x:c>
      <x:c r="L299" s="24" t="n">
        <x:v>1711.9833333333333</x:v>
      </x:c>
      <x:c r="M299" s="10" t="n">
        <x:v>1</x:v>
      </x:c>
      <x:c r="N299" s="10" t="n">
        <x:v>5</x:v>
      </x:c>
      <x:c r="O299" s="28" t="n">
        <x:f>IF(F299="有效",I299*'参数'!$B$10+J299*'参数'!$B$11,"n.a.")</x:f>
        <x:v>96.05371179</x:v>
      </x:c>
      <x:c r="P299" s="28" t="n">
        <x:f>IF(F299="有效",K299*'参数'!$B$12+L299*'参数'!$B$13,"n.a.")</x:f>
        <x:v>1324.1838524305556</x:v>
      </x:c>
      <x:c r="Q299" s="28" t="n">
        <x:f>IF(F299="有效",M299*'参数'!$B$14+N299*'参数'!$B$15,"n.a.")</x:f>
        <x:v>400</x:v>
      </x:c>
      <x:c r="R299" s="28" t="n">
        <x:f>IF(F299="有效",IF(D299&lt;=2,G299*('参数'!$B$6+'参数'!$B$18),0),"n.a.")</x:f>
        <x:v>748</x:v>
      </x:c>
      <x:c r="S299" s="28" t="n">
        <x:f>IF(F299="有效",IF(D299&gt;=3,G299*'参数'!$B$16,0),"n.a.")</x:f>
        <x:v>0</x:v>
      </x:c>
      <x:c r="T299" s="28" t="n">
        <x:f>IF(F299="有效",IF(D299&gt;=3,G299*'参数'!$B$17,0),"n.a.")</x:f>
        <x:v>0</x:v>
      </x:c>
      <x:c r="U299" s="28" t="n">
        <x:f>IF(F299="有效",SUM(O299:T299),"n.a.")</x:f>
        <x:v>2568.2375642205557</x:v>
      </x:c>
      <x:c r="V299" s="28" t="n">
        <x:f>IF(F299="有效",H299*'参数'!$B$7,"n.a.")</x:f>
        <x:v>0</x:v>
      </x:c>
      <x:c r="W299" s="28" t="n">
        <x:f>IF(F299="有效",IF(D299&gt;=3,G299*'参数'!$B$7/'参数'!$B$8,0),"n.a.")</x:f>
        <x:v>0</x:v>
      </x:c>
      <x:c r="X299" s="28" t="n">
        <x:f>IF(F299="有效",U299+W299,"n.a.")</x:f>
        <x:v>2568.2375642205557</x:v>
      </x:c>
      <x:c r="Y299" s="28" t="n">
        <x:f>IF(F299="有效",X299/G299,"n.a.")</x:f>
        <x:v>13.733890717756982</x:v>
      </x:c>
    </x:row>
    <x:row r="300" ht="22" customHeight="1">
      <x:c r="A300" s="11" t="str">
        <x:v>lade_0828_20aoi</x:v>
      </x:c>
      <x:c r="B300" s="22" t="n">
        <x:v>20</x:v>
      </x:c>
      <x:c r="C300" s="22" t="n">
        <x:v>1</x:v>
      </x:c>
      <x:c r="D300" s="22" t="n">
        <x:v>3</x:v>
      </x:c>
      <x:c r="E300" s="22" t="n">
        <x:v>42</x:v>
      </x:c>
      <x:c r="F300" s="30" t="str">
        <x:v>有效</x:v>
      </x:c>
      <x:c r="G300" s="22" t="n">
        <x:v>187</x:v>
      </x:c>
      <x:c r="H300" s="22" t="n">
        <x:v>187</x:v>
      </x:c>
      <x:c r="I300" s="24" t="n">
        <x:v>63.013999999999996</x:v>
      </x:c>
      <x:c r="J300" s="24" t="n">
        <x:v>54.4283</x:v>
      </x:c>
      <x:c r="K300" s="24" t="n">
        <x:v>738.65</x:v>
      </x:c>
      <x:c r="L300" s="24" t="n">
        <x:v>2917.8333333333335</x:v>
      </x:c>
      <x:c r="M300" s="10" t="n">
        <x:v>1</x:v>
      </x:c>
      <x:c r="N300" s="10" t="n">
        <x:v>6</x:v>
      </x:c>
      <x:c r="O300" s="28" t="n">
        <x:f>IF(F300="有效",I300*'参数'!$B$10+J300*'参数'!$B$11,"n.a.")</x:f>
        <x:v>105.938826715</x:v>
      </x:c>
      <x:c r="P300" s="28" t="n">
        <x:f>IF(F300="有效",K300*'参数'!$B$12+L300*'参数'!$B$13,"n.a.")</x:f>
        <x:v>2938.530912847222</x:v>
      </x:c>
      <x:c r="Q300" s="28" t="n">
        <x:f>IF(F300="有效",M300*'参数'!$B$14+N300*'参数'!$B$15,"n.a.")</x:f>
        <x:v>460</x:v>
      </x:c>
      <x:c r="R300" s="28" t="n">
        <x:f>IF(F300="有效",IF(D300&lt;=2,G300*('参数'!$B$6+'参数'!$B$18),0),"n.a.")</x:f>
        <x:v>0</x:v>
      </x:c>
      <x:c r="S300" s="28" t="n">
        <x:f>IF(F300="有效",IF(D300&gt;=3,G300*'参数'!$B$16,0),"n.a.")</x:f>
        <x:v>149.6</x:v>
      </x:c>
      <x:c r="T300" s="28" t="n">
        <x:f>IF(F300="有效",IF(D300&gt;=3,G300*'参数'!$B$17,0),"n.a.")</x:f>
        <x:v>18.7</x:v>
      </x:c>
      <x:c r="U300" s="28" t="n">
        <x:f>IF(F300="有效",SUM(O300:T300),"n.a.")</x:f>
        <x:v>3672.769739562222</x:v>
      </x:c>
      <x:c r="V300" s="28" t="n">
        <x:f>IF(F300="有效",H300*'参数'!$B$7,"n.a.")</x:f>
        <x:v>6825.5</x:v>
      </x:c>
      <x:c r="W300" s="28" t="n">
        <x:f>IF(F300="有效",IF(D300&gt;=3,G300*'参数'!$B$7/'参数'!$B$8,0),"n.a.")</x:f>
        <x:v>136.51</x:v>
      </x:c>
      <x:c r="X300" s="28" t="n">
        <x:f>IF(F300="有效",U300+W300,"n.a.")</x:f>
        <x:v>3809.279739562222</x:v>
      </x:c>
      <x:c r="Y300" s="28" t="n">
        <x:f>IF(F300="有效",X300/G300,"n.a.")</x:f>
        <x:v>20.37047989070707</x:v>
      </x:c>
    </x:row>
    <x:row r="301" ht="22" customHeight="1">
      <x:c r="A301" s="11" t="str">
        <x:v>lade_0828_20aoi</x:v>
      </x:c>
      <x:c r="B301" s="22" t="n">
        <x:v>20</x:v>
      </x:c>
      <x:c r="C301" s="22" t="n">
        <x:v>1</x:v>
      </x:c>
      <x:c r="D301" s="22" t="n">
        <x:v>3</x:v>
      </x:c>
      <x:c r="E301" s="22" t="n">
        <x:v>43</x:v>
      </x:c>
      <x:c r="F301" s="30" t="str">
        <x:v>有效</x:v>
      </x:c>
      <x:c r="G301" s="22" t="n">
        <x:v>187</x:v>
      </x:c>
      <x:c r="H301" s="22" t="n">
        <x:v>187</x:v>
      </x:c>
      <x:c r="I301" s="24" t="n">
        <x:v>63.013999999999996</x:v>
      </x:c>
      <x:c r="J301" s="24" t="n">
        <x:v>54.4283</x:v>
      </x:c>
      <x:c r="K301" s="24" t="n">
        <x:v>738.65</x:v>
      </x:c>
      <x:c r="L301" s="24" t="n">
        <x:v>2917.8333333333335</x:v>
      </x:c>
      <x:c r="M301" s="10" t="n">
        <x:v>1</x:v>
      </x:c>
      <x:c r="N301" s="10" t="n">
        <x:v>6</x:v>
      </x:c>
      <x:c r="O301" s="28" t="n">
        <x:f>IF(F301="有效",I301*'参数'!$B$10+J301*'参数'!$B$11,"n.a.")</x:f>
        <x:v>105.938826715</x:v>
      </x:c>
      <x:c r="P301" s="28" t="n">
        <x:f>IF(F301="有效",K301*'参数'!$B$12+L301*'参数'!$B$13,"n.a.")</x:f>
        <x:v>2938.530912847222</x:v>
      </x:c>
      <x:c r="Q301" s="28" t="n">
        <x:f>IF(F301="有效",M301*'参数'!$B$14+N301*'参数'!$B$15,"n.a.")</x:f>
        <x:v>460</x:v>
      </x:c>
      <x:c r="R301" s="28" t="n">
        <x:f>IF(F301="有效",IF(D301&lt;=2,G301*('参数'!$B$6+'参数'!$B$18),0),"n.a.")</x:f>
        <x:v>0</x:v>
      </x:c>
      <x:c r="S301" s="28" t="n">
        <x:f>IF(F301="有效",IF(D301&gt;=3,G301*'参数'!$B$16,0),"n.a.")</x:f>
        <x:v>149.6</x:v>
      </x:c>
      <x:c r="T301" s="28" t="n">
        <x:f>IF(F301="有效",IF(D301&gt;=3,G301*'参数'!$B$17,0),"n.a.")</x:f>
        <x:v>18.7</x:v>
      </x:c>
      <x:c r="U301" s="28" t="n">
        <x:f>IF(F301="有效",SUM(O301:T301),"n.a.")</x:f>
        <x:v>3672.769739562222</x:v>
      </x:c>
      <x:c r="V301" s="28" t="n">
        <x:f>IF(F301="有效",H301*'参数'!$B$7,"n.a.")</x:f>
        <x:v>6825.5</x:v>
      </x:c>
      <x:c r="W301" s="28" t="n">
        <x:f>IF(F301="有效",IF(D301&gt;=3,G301*'参数'!$B$7/'参数'!$B$8,0),"n.a.")</x:f>
        <x:v>136.51</x:v>
      </x:c>
      <x:c r="X301" s="28" t="n">
        <x:f>IF(F301="有效",U301+W301,"n.a.")</x:f>
        <x:v>3809.279739562222</x:v>
      </x:c>
      <x:c r="Y301" s="28" t="n">
        <x:f>IF(F301="有效",X301/G301,"n.a.")</x:f>
        <x:v>20.37047989070707</x:v>
      </x:c>
    </x:row>
    <x:row r="302" ht="22" customHeight="1">
      <x:c r="A302" s="11" t="str">
        <x:v>lade_0828_20aoi</x:v>
      </x:c>
      <x:c r="B302" s="22" t="n">
        <x:v>20</x:v>
      </x:c>
      <x:c r="C302" s="22" t="n">
        <x:v>1</x:v>
      </x:c>
      <x:c r="D302" s="22" t="n">
        <x:v>3</x:v>
      </x:c>
      <x:c r="E302" s="22" t="n">
        <x:v>44</x:v>
      </x:c>
      <x:c r="F302" s="30" t="str">
        <x:v>有效</x:v>
      </x:c>
      <x:c r="G302" s="22" t="n">
        <x:v>187</x:v>
      </x:c>
      <x:c r="H302" s="22" t="n">
        <x:v>187</x:v>
      </x:c>
      <x:c r="I302" s="24" t="n">
        <x:v>63.013999999999996</x:v>
      </x:c>
      <x:c r="J302" s="24" t="n">
        <x:v>54.428299999999986</x:v>
      </x:c>
      <x:c r="K302" s="24" t="n">
        <x:v>738.65</x:v>
      </x:c>
      <x:c r="L302" s="24" t="n">
        <x:v>2917.8333333333335</x:v>
      </x:c>
      <x:c r="M302" s="10" t="n">
        <x:v>1</x:v>
      </x:c>
      <x:c r="N302" s="10" t="n">
        <x:v>6</x:v>
      </x:c>
      <x:c r="O302" s="28" t="n">
        <x:f>IF(F302="有效",I302*'参数'!$B$10+J302*'参数'!$B$11,"n.a.")</x:f>
        <x:v>105.93882671499999</x:v>
      </x:c>
      <x:c r="P302" s="28" t="n">
        <x:f>IF(F302="有效",K302*'参数'!$B$12+L302*'参数'!$B$13,"n.a.")</x:f>
        <x:v>2938.530912847222</x:v>
      </x:c>
      <x:c r="Q302" s="28" t="n">
        <x:f>IF(F302="有效",M302*'参数'!$B$14+N302*'参数'!$B$15,"n.a.")</x:f>
        <x:v>460</x:v>
      </x:c>
      <x:c r="R302" s="28" t="n">
        <x:f>IF(F302="有效",IF(D302&lt;=2,G302*('参数'!$B$6+'参数'!$B$18),0),"n.a.")</x:f>
        <x:v>0</x:v>
      </x:c>
      <x:c r="S302" s="28" t="n">
        <x:f>IF(F302="有效",IF(D302&gt;=3,G302*'参数'!$B$16,0),"n.a.")</x:f>
        <x:v>149.6</x:v>
      </x:c>
      <x:c r="T302" s="28" t="n">
        <x:f>IF(F302="有效",IF(D302&gt;=3,G302*'参数'!$B$17,0),"n.a.")</x:f>
        <x:v>18.7</x:v>
      </x:c>
      <x:c r="U302" s="28" t="n">
        <x:f>IF(F302="有效",SUM(O302:T302),"n.a.")</x:f>
        <x:v>3672.7697395622217</x:v>
      </x:c>
      <x:c r="V302" s="28" t="n">
        <x:f>IF(F302="有效",H302*'参数'!$B$7,"n.a.")</x:f>
        <x:v>6825.5</x:v>
      </x:c>
      <x:c r="W302" s="28" t="n">
        <x:f>IF(F302="有效",IF(D302&gt;=3,G302*'参数'!$B$7/'参数'!$B$8,0),"n.a.")</x:f>
        <x:v>136.51</x:v>
      </x:c>
      <x:c r="X302" s="28" t="n">
        <x:f>IF(F302="有效",U302+W302,"n.a.")</x:f>
        <x:v>3809.279739562222</x:v>
      </x:c>
      <x:c r="Y302" s="28" t="n">
        <x:f>IF(F302="有效",X302/G302,"n.a.")</x:f>
        <x:v>20.37047989070707</x:v>
      </x:c>
    </x:row>
    <x:row r="303" ht="22" customHeight="1">
      <x:c r="A303" s="11" t="str">
        <x:v>lade_0828_20aoi</x:v>
      </x:c>
      <x:c r="B303" s="22" t="n">
        <x:v>20</x:v>
      </x:c>
      <x:c r="C303" s="22" t="n">
        <x:v>1</x:v>
      </x:c>
      <x:c r="D303" s="22" t="n">
        <x:v>4</x:v>
      </x:c>
      <x:c r="E303" s="22" t="n">
        <x:v>42</x:v>
      </x:c>
      <x:c r="F303" s="30" t="str">
        <x:v>有效</x:v>
      </x:c>
      <x:c r="G303" s="22" t="n">
        <x:v>187</x:v>
      </x:c>
      <x:c r="H303" s="22" t="n">
        <x:v>187</x:v>
      </x:c>
      <x:c r="I303" s="24" t="n">
        <x:v>63.013999999999996</x:v>
      </x:c>
      <x:c r="J303" s="24" t="n">
        <x:v>54.827499999999986</x:v>
      </x:c>
      <x:c r="K303" s="24" t="n">
        <x:v>738.65</x:v>
      </x:c>
      <x:c r="L303" s="24" t="n">
        <x:v>2744.883333333333</x:v>
      </x:c>
      <x:c r="M303" s="10" t="n">
        <x:v>1</x:v>
      </x:c>
      <x:c r="N303" s="10" t="n">
        <x:v>6</x:v>
      </x:c>
      <x:c r="O303" s="28" t="n">
        <x:f>IF(F303="有效",I303*'参数'!$B$10+J303*'参数'!$B$11,"n.a.")</x:f>
        <x:v>106.29892507499999</x:v>
      </x:c>
      <x:c r="P303" s="28" t="n">
        <x:f>IF(F303="有效",K303*'参数'!$B$12+L303*'参数'!$B$13,"n.a.")</x:f>
        <x:v>2811.329790972222</x:v>
      </x:c>
      <x:c r="Q303" s="28" t="n">
        <x:f>IF(F303="有效",M303*'参数'!$B$14+N303*'参数'!$B$15,"n.a.")</x:f>
        <x:v>460</x:v>
      </x:c>
      <x:c r="R303" s="28" t="n">
        <x:f>IF(F303="有效",IF(D303&lt;=2,G303*('参数'!$B$6+'参数'!$B$18),0),"n.a.")</x:f>
        <x:v>0</x:v>
      </x:c>
      <x:c r="S303" s="28" t="n">
        <x:f>IF(F303="有效",IF(D303&gt;=3,G303*'参数'!$B$16,0),"n.a.")</x:f>
        <x:v>149.6</x:v>
      </x:c>
      <x:c r="T303" s="28" t="n">
        <x:f>IF(F303="有效",IF(D303&gt;=3,G303*'参数'!$B$17,0),"n.a.")</x:f>
        <x:v>18.7</x:v>
      </x:c>
      <x:c r="U303" s="28" t="n">
        <x:f>IF(F303="有效",SUM(O303:T303),"n.a.")</x:f>
        <x:v>3545.9287160472218</x:v>
      </x:c>
      <x:c r="V303" s="28" t="n">
        <x:f>IF(F303="有效",H303*'参数'!$B$7,"n.a.")</x:f>
        <x:v>6825.5</x:v>
      </x:c>
      <x:c r="W303" s="28" t="n">
        <x:f>IF(F303="有效",IF(D303&gt;=3,G303*'参数'!$B$7/'参数'!$B$8,0),"n.a.")</x:f>
        <x:v>136.51</x:v>
      </x:c>
      <x:c r="X303" s="28" t="n">
        <x:f>IF(F303="有效",U303+W303,"n.a.")</x:f>
        <x:v>3682.4387160472215</x:v>
      </x:c>
      <x:c r="Y303" s="28" t="n">
        <x:f>IF(F303="有效",X303/G303,"n.a.")</x:f>
        <x:v>19.692185647311344</x:v>
      </x:c>
    </x:row>
    <x:row r="304" ht="22" customHeight="1">
      <x:c r="A304" s="11" t="str">
        <x:v>lade_0828_20aoi</x:v>
      </x:c>
      <x:c r="B304" s="22" t="n">
        <x:v>20</x:v>
      </x:c>
      <x:c r="C304" s="22" t="n">
        <x:v>1</x:v>
      </x:c>
      <x:c r="D304" s="22" t="n">
        <x:v>4</x:v>
      </x:c>
      <x:c r="E304" s="22" t="n">
        <x:v>43</x:v>
      </x:c>
      <x:c r="F304" s="30" t="str">
        <x:v>有效</x:v>
      </x:c>
      <x:c r="G304" s="22" t="n">
        <x:v>187</x:v>
      </x:c>
      <x:c r="H304" s="22" t="n">
        <x:v>187</x:v>
      </x:c>
      <x:c r="I304" s="24" t="n">
        <x:v>63.013999999999996</x:v>
      </x:c>
      <x:c r="J304" s="24" t="n">
        <x:v>57.55339999999998</x:v>
      </x:c>
      <x:c r="K304" s="24" t="n">
        <x:v>738.65</x:v>
      </x:c>
      <x:c r="L304" s="24" t="n">
        <x:v>2772.8</x:v>
      </x:c>
      <x:c r="M304" s="10" t="n">
        <x:v>1</x:v>
      </x:c>
      <x:c r="N304" s="10" t="n">
        <x:v>6</x:v>
      </x:c>
      <x:c r="O304" s="28" t="n">
        <x:f>IF(F304="有效",I304*'参数'!$B$10+J304*'参数'!$B$11,"n.a.")</x:f>
        <x:v>108.75782316999998</x:v>
      </x:c>
      <x:c r="P304" s="28" t="n">
        <x:f>IF(F304="有效",K304*'参数'!$B$12+L304*'参数'!$B$13,"n.a.")</x:f>
        <x:v>2831.8619177083333</x:v>
      </x:c>
      <x:c r="Q304" s="28" t="n">
        <x:f>IF(F304="有效",M304*'参数'!$B$14+N304*'参数'!$B$15,"n.a.")</x:f>
        <x:v>460</x:v>
      </x:c>
      <x:c r="R304" s="28" t="n">
        <x:f>IF(F304="有效",IF(D304&lt;=2,G304*('参数'!$B$6+'参数'!$B$18),0),"n.a.")</x:f>
        <x:v>0</x:v>
      </x:c>
      <x:c r="S304" s="28" t="n">
        <x:f>IF(F304="有效",IF(D304&gt;=3,G304*'参数'!$B$16,0),"n.a.")</x:f>
        <x:v>149.6</x:v>
      </x:c>
      <x:c r="T304" s="28" t="n">
        <x:f>IF(F304="有效",IF(D304&gt;=3,G304*'参数'!$B$17,0),"n.a.")</x:f>
        <x:v>18.7</x:v>
      </x:c>
      <x:c r="U304" s="28" t="n">
        <x:f>IF(F304="有效",SUM(O304:T304),"n.a.")</x:f>
        <x:v>3568.919740878333</x:v>
      </x:c>
      <x:c r="V304" s="28" t="n">
        <x:f>IF(F304="有效",H304*'参数'!$B$7,"n.a.")</x:f>
        <x:v>6825.5</x:v>
      </x:c>
      <x:c r="W304" s="28" t="n">
        <x:f>IF(F304="有效",IF(D304&gt;=3,G304*'参数'!$B$7/'参数'!$B$8,0),"n.a.")</x:f>
        <x:v>136.51</x:v>
      </x:c>
      <x:c r="X304" s="28" t="n">
        <x:f>IF(F304="有效",U304+W304,"n.a.")</x:f>
        <x:v>3705.429740878333</x:v>
      </x:c>
      <x:c r="Y304" s="28" t="n">
        <x:f>IF(F304="有效",X304/G304,"n.a.")</x:f>
        <x:v>19.81513230416221</x:v>
      </x:c>
    </x:row>
    <x:row r="305" ht="22" customHeight="1">
      <x:c r="A305" s="11" t="str">
        <x:v>lade_0828_20aoi</x:v>
      </x:c>
      <x:c r="B305" s="22" t="n">
        <x:v>20</x:v>
      </x:c>
      <x:c r="C305" s="22" t="n">
        <x:v>1</x:v>
      </x:c>
      <x:c r="D305" s="22" t="n">
        <x:v>4</x:v>
      </x:c>
      <x:c r="E305" s="22" t="n">
        <x:v>44</x:v>
      </x:c>
      <x:c r="F305" s="30" t="str">
        <x:v>有效</x:v>
      </x:c>
      <x:c r="G305" s="22" t="n">
        <x:v>187</x:v>
      </x:c>
      <x:c r="H305" s="22" t="n">
        <x:v>187</x:v>
      </x:c>
      <x:c r="I305" s="24" t="n">
        <x:v>63.013999999999996</x:v>
      </x:c>
      <x:c r="J305" s="24" t="n">
        <x:v>58.30339999999999</x:v>
      </x:c>
      <x:c r="K305" s="24" t="n">
        <x:v>738.65</x:v>
      </x:c>
      <x:c r="L305" s="24" t="n">
        <x:v>2762.4666666666667</x:v>
      </x:c>
      <x:c r="M305" s="10" t="n">
        <x:v>1</x:v>
      </x:c>
      <x:c r="N305" s="10" t="n">
        <x:v>6</x:v>
      </x:c>
      <x:c r="O305" s="28" t="n">
        <x:f>IF(F305="有效",I305*'参数'!$B$10+J305*'参数'!$B$11,"n.a.")</x:f>
        <x:v>109.43436066999999</x:v>
      </x:c>
      <x:c r="P305" s="28" t="n">
        <x:f>IF(F305="有效",K305*'参数'!$B$12+L305*'参数'!$B$13,"n.a.")</x:f>
        <x:v>2824.2619663194446</x:v>
      </x:c>
      <x:c r="Q305" s="28" t="n">
        <x:f>IF(F305="有效",M305*'参数'!$B$14+N305*'参数'!$B$15,"n.a.")</x:f>
        <x:v>460</x:v>
      </x:c>
      <x:c r="R305" s="28" t="n">
        <x:f>IF(F305="有效",IF(D305&lt;=2,G305*('参数'!$B$6+'参数'!$B$18),0),"n.a.")</x:f>
        <x:v>0</x:v>
      </x:c>
      <x:c r="S305" s="28" t="n">
        <x:f>IF(F305="有效",IF(D305&gt;=3,G305*'参数'!$B$16,0),"n.a.")</x:f>
        <x:v>149.6</x:v>
      </x:c>
      <x:c r="T305" s="28" t="n">
        <x:f>IF(F305="有效",IF(D305&gt;=3,G305*'参数'!$B$17,0),"n.a.")</x:f>
        <x:v>18.7</x:v>
      </x:c>
      <x:c r="U305" s="28" t="n">
        <x:f>IF(F305="有效",SUM(O305:T305),"n.a.")</x:f>
        <x:v>3561.9963269894442</x:v>
      </x:c>
      <x:c r="V305" s="28" t="n">
        <x:f>IF(F305="有效",H305*'参数'!$B$7,"n.a.")</x:f>
        <x:v>6825.5</x:v>
      </x:c>
      <x:c r="W305" s="28" t="n">
        <x:f>IF(F305="有效",IF(D305&gt;=3,G305*'参数'!$B$7/'参数'!$B$8,0),"n.a.")</x:f>
        <x:v>136.51</x:v>
      </x:c>
      <x:c r="X305" s="28" t="n">
        <x:f>IF(F305="有效",U305+W305,"n.a.")</x:f>
        <x:v>3698.5063269894445</x:v>
      </x:c>
      <x:c r="Y305" s="28" t="n">
        <x:f>IF(F305="有效",X305/G305,"n.a.")</x:f>
        <x:v>19.778108700478313</x:v>
      </x:c>
    </x:row>
    <x:row r="306" ht="22" customHeight="1">
      <x:c r="A306" s="11" t="str">
        <x:v>lade_0828_20aoi</x:v>
      </x:c>
      <x:c r="B306" s="22" t="n">
        <x:v>20</x:v>
      </x:c>
      <x:c r="C306" s="22" t="n">
        <x:v>2</x:v>
      </x:c>
      <x:c r="D306" s="22" t="n">
        <x:v>5</x:v>
      </x:c>
      <x:c r="E306" s="22" t="n">
        <x:v>42</x:v>
      </x:c>
      <x:c r="F306" s="30" t="str">
        <x:v>有效</x:v>
      </x:c>
      <x:c r="G306" s="22" t="n">
        <x:v>187</x:v>
      </x:c>
      <x:c r="H306" s="22" t="n">
        <x:v>187</x:v>
      </x:c>
      <x:c r="I306" s="24" t="n">
        <x:v>215.81300000000002</x:v>
      </x:c>
      <x:c r="J306" s="24" t="n">
        <x:v>70.47039999999998</x:v>
      </x:c>
      <x:c r="K306" s="24" t="n">
        <x:v>1395.6</x:v>
      </x:c>
      <x:c r="L306" s="24" t="n">
        <x:v>2562.866666666667</x:v>
      </x:c>
      <x:c r="M306" s="10" t="n">
        <x:v>2</x:v>
      </x:c>
      <x:c r="N306" s="10" t="n">
        <x:v>6</x:v>
      </x:c>
      <x:c r="O306" s="28" t="n">
        <x:f>IF(F306="有效",I306*'参数'!$B$10+J306*'参数'!$B$11,"n.a.")</x:f>
        <x:v>258.24194097000003</x:v>
      </x:c>
      <x:c r="P306" s="28" t="n">
        <x:f>IF(F306="有效",K306*'参数'!$B$12+L306*'参数'!$B$13,"n.a.")</x:f>
        <x:v>3382.326615277778</x:v>
      </x:c>
      <x:c r="Q306" s="28" t="n">
        <x:f>IF(F306="有效",M306*'参数'!$B$14+N306*'参数'!$B$15,"n.a.")</x:f>
        <x:v>560</x:v>
      </x:c>
      <x:c r="R306" s="28" t="n">
        <x:f>IF(F306="有效",IF(D306&lt;=2,G306*('参数'!$B$6+'参数'!$B$18),0),"n.a.")</x:f>
        <x:v>0</x:v>
      </x:c>
      <x:c r="S306" s="28" t="n">
        <x:f>IF(F306="有效",IF(D306&gt;=3,G306*'参数'!$B$16,0),"n.a.")</x:f>
        <x:v>149.6</x:v>
      </x:c>
      <x:c r="T306" s="28" t="n">
        <x:f>IF(F306="有效",IF(D306&gt;=3,G306*'参数'!$B$17,0),"n.a.")</x:f>
        <x:v>18.7</x:v>
      </x:c>
      <x:c r="U306" s="28" t="n">
        <x:f>IF(F306="有效",SUM(O306:T306),"n.a.")</x:f>
        <x:v>4368.868556247778</x:v>
      </x:c>
      <x:c r="V306" s="28" t="n">
        <x:f>IF(F306="有效",H306*'参数'!$B$7,"n.a.")</x:f>
        <x:v>6825.5</x:v>
      </x:c>
      <x:c r="W306" s="28" t="n">
        <x:f>IF(F306="有效",IF(D306&gt;=3,G306*'参数'!$B$7/'参数'!$B$8,0),"n.a.")</x:f>
        <x:v>136.51</x:v>
      </x:c>
      <x:c r="X306" s="28" t="n">
        <x:f>IF(F306="有效",U306+W306,"n.a.")</x:f>
        <x:v>4505.378556247778</x:v>
      </x:c>
      <x:c r="Y306" s="28" t="n">
        <x:f>IF(F306="有效",X306/G306,"n.a.")</x:f>
        <x:v>24.09293345587047</x:v>
      </x:c>
    </x:row>
    <x:row r="307" ht="22" customHeight="1">
      <x:c r="A307" s="11" t="str">
        <x:v>lade_0828_20aoi</x:v>
      </x:c>
      <x:c r="B307" s="22" t="n">
        <x:v>20</x:v>
      </x:c>
      <x:c r="C307" s="22" t="n">
        <x:v>2</x:v>
      </x:c>
      <x:c r="D307" s="22" t="n">
        <x:v>5</x:v>
      </x:c>
      <x:c r="E307" s="22" t="n">
        <x:v>43</x:v>
      </x:c>
      <x:c r="F307" s="30" t="str">
        <x:v>有效</x:v>
      </x:c>
      <x:c r="G307" s="22" t="n">
        <x:v>187</x:v>
      </x:c>
      <x:c r="H307" s="22" t="n">
        <x:v>187</x:v>
      </x:c>
      <x:c r="I307" s="24" t="n">
        <x:v>216.14250000000004</x:v>
      </x:c>
      <x:c r="J307" s="24" t="n">
        <x:v>70.0335</x:v>
      </x:c>
      <x:c r="K307" s="24" t="n">
        <x:v>1398.2666666666667</x:v>
      </x:c>
      <x:c r="L307" s="24" t="n">
        <x:v>2463.9666666666667</x:v>
      </x:c>
      <x:c r="M307" s="10" t="n">
        <x:v>3</x:v>
      </x:c>
      <x:c r="N307" s="10" t="n">
        <x:v>6</x:v>
      </x:c>
      <x:c r="O307" s="28" t="n">
        <x:f>IF(F307="有效",I307*'参数'!$B$10+J307*'参数'!$B$11,"n.a.")</x:f>
        <x:v>258.1450608</x:v>
      </x:c>
      <x:c r="P307" s="28" t="n">
        <x:f>IF(F307="有效",K307*'参数'!$B$12+L307*'参数'!$B$13,"n.a.")</x:f>
        <x:v>3312.4488923611107</x:v>
      </x:c>
      <x:c r="Q307" s="28" t="n">
        <x:f>IF(F307="有效",M307*'参数'!$B$14+N307*'参数'!$B$15,"n.a.")</x:f>
        <x:v>660</x:v>
      </x:c>
      <x:c r="R307" s="28" t="n">
        <x:f>IF(F307="有效",IF(D307&lt;=2,G307*('参数'!$B$6+'参数'!$B$18),0),"n.a.")</x:f>
        <x:v>0</x:v>
      </x:c>
      <x:c r="S307" s="28" t="n">
        <x:f>IF(F307="有效",IF(D307&gt;=3,G307*'参数'!$B$16,0),"n.a.")</x:f>
        <x:v>149.6</x:v>
      </x:c>
      <x:c r="T307" s="28" t="n">
        <x:f>IF(F307="有效",IF(D307&gt;=3,G307*'参数'!$B$17,0),"n.a.")</x:f>
        <x:v>18.7</x:v>
      </x:c>
      <x:c r="U307" s="28" t="n">
        <x:f>IF(F307="有效",SUM(O307:T307),"n.a.")</x:f>
        <x:v>4398.893953161111</x:v>
      </x:c>
      <x:c r="V307" s="28" t="n">
        <x:f>IF(F307="有效",H307*'参数'!$B$7,"n.a.")</x:f>
        <x:v>6825.5</x:v>
      </x:c>
      <x:c r="W307" s="28" t="n">
        <x:f>IF(F307="有效",IF(D307&gt;=3,G307*'参数'!$B$7/'参数'!$B$8,0),"n.a.")</x:f>
        <x:v>136.51</x:v>
      </x:c>
      <x:c r="X307" s="28" t="n">
        <x:f>IF(F307="有效",U307+W307,"n.a.")</x:f>
        <x:v>4535.4039531611115</x:v>
      </x:c>
      <x:c r="Y307" s="28" t="n">
        <x:f>IF(F307="有效",X307/G307,"n.a.")</x:f>
        <x:v>24.253497075727868</x:v>
      </x:c>
    </x:row>
    <x:row r="308" ht="22" customHeight="1">
      <x:c r="A308" s="11" t="str">
        <x:v>lade_0828_20aoi</x:v>
      </x:c>
      <x:c r="B308" s="22" t="n">
        <x:v>20</x:v>
      </x:c>
      <x:c r="C308" s="22" t="n">
        <x:v>2</x:v>
      </x:c>
      <x:c r="D308" s="22" t="n">
        <x:v>5</x:v>
      </x:c>
      <x:c r="E308" s="22" t="n">
        <x:v>44</x:v>
      </x:c>
      <x:c r="F308" s="30" t="str">
        <x:v>有效</x:v>
      </x:c>
      <x:c r="G308" s="22" t="n">
        <x:v>187</x:v>
      </x:c>
      <x:c r="H308" s="22" t="n">
        <x:v>187</x:v>
      </x:c>
      <x:c r="I308" s="24" t="n">
        <x:v>169.9527</x:v>
      </x:c>
      <x:c r="J308" s="24" t="n">
        <x:v>70.03349999999999</x:v>
      </x:c>
      <x:c r="K308" s="24" t="n">
        <x:v>954.5</x:v>
      </x:c>
      <x:c r="L308" s="24" t="n">
        <x:v>2875</x:v>
      </x:c>
      <x:c r="M308" s="10" t="n">
        <x:v>3</x:v>
      </x:c>
      <x:c r="N308" s="10" t="n">
        <x:v>6</x:v>
      </x:c>
      <x:c r="O308" s="28" t="n">
        <x:f>IF(F308="有效",I308*'参数'!$B$10+J308*'参数'!$B$11,"n.a.")</x:f>
        <x:v>216.47955171</x:v>
      </x:c>
      <x:c r="P308" s="28" t="n">
        <x:f>IF(F308="有效",K308*'参数'!$B$12+L308*'参数'!$B$13,"n.a.")</x:f>
        <x:v>3138.6214479166665</x:v>
      </x:c>
      <x:c r="Q308" s="28" t="n">
        <x:f>IF(F308="有效",M308*'参数'!$B$14+N308*'参数'!$B$15,"n.a.")</x:f>
        <x:v>660</x:v>
      </x:c>
      <x:c r="R308" s="28" t="n">
        <x:f>IF(F308="有效",IF(D308&lt;=2,G308*('参数'!$B$6+'参数'!$B$18),0),"n.a.")</x:f>
        <x:v>0</x:v>
      </x:c>
      <x:c r="S308" s="28" t="n">
        <x:f>IF(F308="有效",IF(D308&gt;=3,G308*'参数'!$B$16,0),"n.a.")</x:f>
        <x:v>149.6</x:v>
      </x:c>
      <x:c r="T308" s="28" t="n">
        <x:f>IF(F308="有效",IF(D308&gt;=3,G308*'参数'!$B$17,0),"n.a.")</x:f>
        <x:v>18.7</x:v>
      </x:c>
      <x:c r="U308" s="28" t="n">
        <x:f>IF(F308="有效",SUM(O308:T308),"n.a.")</x:f>
        <x:v>4183.400999626667</x:v>
      </x:c>
      <x:c r="V308" s="28" t="n">
        <x:f>IF(F308="有效",H308*'参数'!$B$7,"n.a.")</x:f>
        <x:v>6825.5</x:v>
      </x:c>
      <x:c r="W308" s="28" t="n">
        <x:f>IF(F308="有效",IF(D308&gt;=3,G308*'参数'!$B$7/'参数'!$B$8,0),"n.a.")</x:f>
        <x:v>136.51</x:v>
      </x:c>
      <x:c r="X308" s="28" t="n">
        <x:f>IF(F308="有效",U308+W308,"n.a.")</x:f>
        <x:v>4319.910999626667</x:v>
      </x:c>
      <x:c r="Y308" s="28" t="n">
        <x:f>IF(F308="有效",X308/G308,"n.a.")</x:f>
        <x:v>23.101128340249556</x:v>
      </x:c>
    </x:row>
    <x:row r="309" ht="22" customHeight="1">
      <x:c r="A309" s="11" t="str">
        <x:v>lade_0828_20aoi</x:v>
      </x:c>
      <x:c r="B309" s="22" t="n">
        <x:v>20</x:v>
      </x:c>
      <x:c r="C309" s="22" t="n">
        <x:v>3</x:v>
      </x:c>
      <x:c r="D309" s="22" t="n">
        <x:v>5</x:v>
      </x:c>
      <x:c r="E309" s="22" t="n">
        <x:v>42</x:v>
      </x:c>
      <x:c r="F309" s="30" t="str">
        <x:v>有效</x:v>
      </x:c>
      <x:c r="G309" s="22" t="n">
        <x:v>187</x:v>
      </x:c>
      <x:c r="H309" s="22" t="n">
        <x:v>187</x:v>
      </x:c>
      <x:c r="I309" s="24" t="n">
        <x:v>272.9117</x:v>
      </x:c>
      <x:c r="J309" s="24" t="n">
        <x:v>85.01000000000002</x:v>
      </x:c>
      <x:c r="K309" s="24" t="n">
        <x:v>1017.25</x:v>
      </x:c>
      <x:c r="L309" s="24" t="n">
        <x:v>2394.366666666667</x:v>
      </x:c>
      <x:c r="M309" s="10" t="n">
        <x:v>3</x:v>
      </x:c>
      <x:c r="N309" s="10" t="n">
        <x:v>6</x:v>
      </x:c>
      <x:c r="O309" s="28" t="n">
        <x:f>IF(F309="有效",I309*'参数'!$B$10+J309*'参数'!$B$11,"n.a.")</x:f>
        <x:v>322.86326948500005</x:v>
      </x:c>
      <x:c r="P309" s="28" t="n">
        <x:f>IF(F309="有效",K309*'参数'!$B$12+L309*'参数'!$B$13,"n.a.")</x:f>
        <x:v>2852.4524725694446</x:v>
      </x:c>
      <x:c r="Q309" s="28" t="n">
        <x:f>IF(F309="有效",M309*'参数'!$B$14+N309*'参数'!$B$15,"n.a.")</x:f>
        <x:v>660</x:v>
      </x:c>
      <x:c r="R309" s="28" t="n">
        <x:f>IF(F309="有效",IF(D309&lt;=2,G309*('参数'!$B$6+'参数'!$B$18),0),"n.a.")</x:f>
        <x:v>0</x:v>
      </x:c>
      <x:c r="S309" s="28" t="n">
        <x:f>IF(F309="有效",IF(D309&gt;=3,G309*'参数'!$B$16,0),"n.a.")</x:f>
        <x:v>149.6</x:v>
      </x:c>
      <x:c r="T309" s="28" t="n">
        <x:f>IF(F309="有效",IF(D309&gt;=3,G309*'参数'!$B$17,0),"n.a.")</x:f>
        <x:v>18.7</x:v>
      </x:c>
      <x:c r="U309" s="28" t="n">
        <x:f>IF(F309="有效",SUM(O309:T309),"n.a.")</x:f>
        <x:v>4003.6157420544446</x:v>
      </x:c>
      <x:c r="V309" s="28" t="n">
        <x:f>IF(F309="有效",H309*'参数'!$B$7,"n.a.")</x:f>
        <x:v>6825.5</x:v>
      </x:c>
      <x:c r="W309" s="28" t="n">
        <x:f>IF(F309="有效",IF(D309&gt;=3,G309*'参数'!$B$7/'参数'!$B$8,0),"n.a.")</x:f>
        <x:v>136.51</x:v>
      </x:c>
      <x:c r="X309" s="28" t="n">
        <x:f>IF(F309="有效",U309+W309,"n.a.")</x:f>
        <x:v>4140.125742054444</x:v>
      </x:c>
      <x:c r="Y309" s="28" t="n">
        <x:f>IF(F309="有效",X309/G309,"n.a.")</x:f>
        <x:v>22.139709850558525</x:v>
      </x:c>
    </x:row>
    <x:row r="310" ht="22" customHeight="1">
      <x:c r="A310" s="11" t="str">
        <x:v>lade_0828_20aoi</x:v>
      </x:c>
      <x:c r="B310" s="22" t="n">
        <x:v>20</x:v>
      </x:c>
      <x:c r="C310" s="22" t="n">
        <x:v>3</x:v>
      </x:c>
      <x:c r="D310" s="22" t="n">
        <x:v>5</x:v>
      </x:c>
      <x:c r="E310" s="22" t="n">
        <x:v>43</x:v>
      </x:c>
      <x:c r="F310" s="30" t="str">
        <x:v>有效</x:v>
      </x:c>
      <x:c r="G310" s="22" t="n">
        <x:v>187</x:v>
      </x:c>
      <x:c r="H310" s="22" t="n">
        <x:v>187</x:v>
      </x:c>
      <x:c r="I310" s="24" t="n">
        <x:v>273.07000000000005</x:v>
      </x:c>
      <x:c r="J310" s="24" t="n">
        <x:v>85.4469</x:v>
      </x:c>
      <x:c r="K310" s="24" t="n">
        <x:v>973.8333333333334</x:v>
      </x:c>
      <x:c r="L310" s="24" t="n">
        <x:v>2100.85</x:v>
      </x:c>
      <x:c r="M310" s="10" t="n">
        <x:v>3</x:v>
      </x:c>
      <x:c r="N310" s="10" t="n">
        <x:v>6</x:v>
      </x:c>
      <x:c r="O310" s="28" t="n">
        <x:f>IF(F310="有效",I310*'参数'!$B$10+J310*'参数'!$B$11,"n.a.")</x:f>
        <x:v>323.40016964500006</x:v>
      </x:c>
      <x:c r="P310" s="28" t="n">
        <x:f>IF(F310="有效",K310*'参数'!$B$12+L310*'参数'!$B$13,"n.a.")</x:f>
        <x:v>2589.993709375</x:v>
      </x:c>
      <x:c r="Q310" s="28" t="n">
        <x:f>IF(F310="有效",M310*'参数'!$B$14+N310*'参数'!$B$15,"n.a.")</x:f>
        <x:v>660</x:v>
      </x:c>
      <x:c r="R310" s="28" t="n">
        <x:f>IF(F310="有效",IF(D310&lt;=2,G310*('参数'!$B$6+'参数'!$B$18),0),"n.a.")</x:f>
        <x:v>0</x:v>
      </x:c>
      <x:c r="S310" s="28" t="n">
        <x:f>IF(F310="有效",IF(D310&gt;=3,G310*'参数'!$B$16,0),"n.a.")</x:f>
        <x:v>149.6</x:v>
      </x:c>
      <x:c r="T310" s="28" t="n">
        <x:f>IF(F310="有效",IF(D310&gt;=3,G310*'参数'!$B$17,0),"n.a.")</x:f>
        <x:v>18.7</x:v>
      </x:c>
      <x:c r="U310" s="28" t="n">
        <x:f>IF(F310="有效",SUM(O310:T310),"n.a.")</x:f>
        <x:v>3741.6938790199997</x:v>
      </x:c>
      <x:c r="V310" s="28" t="n">
        <x:f>IF(F310="有效",H310*'参数'!$B$7,"n.a.")</x:f>
        <x:v>6825.5</x:v>
      </x:c>
      <x:c r="W310" s="28" t="n">
        <x:f>IF(F310="有效",IF(D310&gt;=3,G310*'参数'!$B$7/'参数'!$B$8,0),"n.a.")</x:f>
        <x:v>136.51</x:v>
      </x:c>
      <x:c r="X310" s="28" t="n">
        <x:f>IF(F310="有效",U310+W310,"n.a.")</x:f>
        <x:v>3878.2038790199995</x:v>
      </x:c>
      <x:c r="Y310" s="28" t="n">
        <x:f>IF(F310="有效",X310/G310,"n.a.")</x:f>
        <x:v>20.739058176577537</x:v>
      </x:c>
    </x:row>
    <x:row r="311" ht="22" customHeight="1">
      <x:c r="A311" s="11" t="str">
        <x:v>lade_0828_20aoi</x:v>
      </x:c>
      <x:c r="B311" s="22" t="n">
        <x:v>20</x:v>
      </x:c>
      <x:c r="C311" s="22" t="n">
        <x:v>3</x:v>
      </x:c>
      <x:c r="D311" s="22" t="n">
        <x:v>5</x:v>
      </x:c>
      <x:c r="E311" s="22" t="n">
        <x:v>44</x:v>
      </x:c>
      <x:c r="F311" s="30" t="str">
        <x:v>有效</x:v>
      </x:c>
      <x:c r="G311" s="22" t="n">
        <x:v>187</x:v>
      </x:c>
      <x:c r="H311" s="22" t="n">
        <x:v>187</x:v>
      </x:c>
      <x:c r="I311" s="24" t="n">
        <x:v>273.07000000000005</x:v>
      </x:c>
      <x:c r="J311" s="24" t="n">
        <x:v>85.00999999999999</x:v>
      </x:c>
      <x:c r="K311" s="24" t="n">
        <x:v>973.8333333333334</x:v>
      </x:c>
      <x:c r="L311" s="24" t="n">
        <x:v>1834.05</x:v>
      </x:c>
      <x:c r="M311" s="10" t="n">
        <x:v>2</x:v>
      </x:c>
      <x:c r="N311" s="10" t="n">
        <x:v>6</x:v>
      </x:c>
      <x:c r="O311" s="28" t="n">
        <x:f>IF(F311="有效",I311*'参数'!$B$10+J311*'参数'!$B$11,"n.a.")</x:f>
        <x:v>323.00606400000004</x:v>
      </x:c>
      <x:c r="P311" s="28" t="n">
        <x:f>IF(F311="有效",K311*'参数'!$B$12+L311*'参数'!$B$13,"n.a.")</x:f>
        <x:v>2393.767867708333</x:v>
      </x:c>
      <x:c r="Q311" s="28" t="n">
        <x:f>IF(F311="有效",M311*'参数'!$B$14+N311*'参数'!$B$15,"n.a.")</x:f>
        <x:v>560</x:v>
      </x:c>
      <x:c r="R311" s="28" t="n">
        <x:f>IF(F311="有效",IF(D311&lt;=2,G311*('参数'!$B$6+'参数'!$B$18),0),"n.a.")</x:f>
        <x:v>0</x:v>
      </x:c>
      <x:c r="S311" s="28" t="n">
        <x:f>IF(F311="有效",IF(D311&gt;=3,G311*'参数'!$B$16,0),"n.a.")</x:f>
        <x:v>149.6</x:v>
      </x:c>
      <x:c r="T311" s="28" t="n">
        <x:f>IF(F311="有效",IF(D311&gt;=3,G311*'参数'!$B$17,0),"n.a.")</x:f>
        <x:v>18.7</x:v>
      </x:c>
      <x:c r="U311" s="28" t="n">
        <x:f>IF(F311="有效",SUM(O311:T311),"n.a.")</x:f>
        <x:v>3445.073931708333</x:v>
      </x:c>
      <x:c r="V311" s="28" t="n">
        <x:f>IF(F311="有效",H311*'参数'!$B$7,"n.a.")</x:f>
        <x:v>6825.5</x:v>
      </x:c>
      <x:c r="W311" s="28" t="n">
        <x:f>IF(F311="有效",IF(D311&gt;=3,G311*'参数'!$B$7/'参数'!$B$8,0),"n.a.")</x:f>
        <x:v>136.51</x:v>
      </x:c>
      <x:c r="X311" s="28" t="n">
        <x:f>IF(F311="有效",U311+W311,"n.a.")</x:f>
        <x:v>3581.583931708333</x:v>
      </x:c>
      <x:c r="Y311" s="28" t="n">
        <x:f>IF(F311="有效",X311/G311,"n.a.")</x:f>
        <x:v>19.15285524977718</x:v>
      </x:c>
    </x:row>
    <x:row r="312" ht="22" customHeight="1">
      <x:c r="A312" s="11" t="str">
        <x:v>lade_0828_30aoi</x:v>
      </x:c>
      <x:c r="B312" s="22" t="n">
        <x:v>30</x:v>
      </x:c>
      <x:c r="C312" s="22" t="n">
        <x:v>1</x:v>
      </x:c>
      <x:c r="D312" s="22" t="n">
        <x:v>1</x:v>
      </x:c>
      <x:c r="E312" s="22" t="n">
        <x:v>42</x:v>
      </x:c>
      <x:c r="F312" s="30" t="str">
        <x:v>有效</x:v>
      </x:c>
      <x:c r="G312" s="22" t="n">
        <x:v>238</x:v>
      </x:c>
      <x:c r="H312" s="22" t="n">
        <x:v>0</x:v>
      </x:c>
      <x:c r="I312" s="24" t="n">
        <x:v>59.477500000000006</x:v>
      </x:c>
      <x:c r="J312" s="24" t="n">
        <x:v>63.87979999999998</x:v>
      </x:c>
      <x:c r="K312" s="24" t="n">
        <x:v>60.63333333333333</x:v>
      </x:c>
      <x:c r="L312" s="24" t="n">
        <x:v>2727.616666666667</x:v>
      </x:c>
      <x:c r="M312" s="10" t="n">
        <x:v>1</x:v>
      </x:c>
      <x:c r="N312" s="10" t="n">
        <x:v>6</x:v>
      </x:c>
      <x:c r="O312" s="28" t="n">
        <x:f>IF(F312="有效",I312*'参数'!$B$10+J312*'参数'!$B$11,"n.a.")</x:f>
        <x:v>111.274452465</x:v>
      </x:c>
      <x:c r="P312" s="28" t="n">
        <x:f>IF(F312="有效",K312*'参数'!$B$12+L312*'参数'!$B$13,"n.a.")</x:f>
        <x:v>2071.1610100694447</x:v>
      </x:c>
      <x:c r="Q312" s="28" t="n">
        <x:f>IF(F312="有效",M312*'参数'!$B$14+N312*'参数'!$B$15,"n.a.")</x:f>
        <x:v>460</x:v>
      </x:c>
      <x:c r="R312" s="28" t="n">
        <x:f>IF(F312="有效",IF(D312&lt;=2,G312*('参数'!$B$6+'参数'!$B$18),0),"n.a.")</x:f>
        <x:v>952</x:v>
      </x:c>
      <x:c r="S312" s="28" t="n">
        <x:f>IF(F312="有效",IF(D312&gt;=3,G312*'参数'!$B$16,0),"n.a.")</x:f>
        <x:v>0</x:v>
      </x:c>
      <x:c r="T312" s="28" t="n">
        <x:f>IF(F312="有效",IF(D312&gt;=3,G312*'参数'!$B$17,0),"n.a.")</x:f>
        <x:v>0</x:v>
      </x:c>
      <x:c r="U312" s="28" t="n">
        <x:f>IF(F312="有效",SUM(O312:T312),"n.a.")</x:f>
        <x:v>3594.435462534445</x:v>
      </x:c>
      <x:c r="V312" s="28" t="n">
        <x:f>IF(F312="有效",H312*'参数'!$B$7,"n.a.")</x:f>
        <x:v>0</x:v>
      </x:c>
      <x:c r="W312" s="28" t="n">
        <x:f>IF(F312="有效",IF(D312&gt;=3,G312*'参数'!$B$7/'参数'!$B$8,0),"n.a.")</x:f>
        <x:v>0</x:v>
      </x:c>
      <x:c r="X312" s="28" t="n">
        <x:f>IF(F312="有效",U312+W312,"n.a.")</x:f>
        <x:v>3594.435462534445</x:v>
      </x:c>
      <x:c r="Y312" s="28" t="n">
        <x:f>IF(F312="有效",X312/G312,"n.a.")</x:f>
        <x:v>15.102670010648929</x:v>
      </x:c>
    </x:row>
    <x:row r="313" ht="22" customHeight="1">
      <x:c r="A313" s="11" t="str">
        <x:v>lade_0828_30aoi</x:v>
      </x:c>
      <x:c r="B313" s="22" t="n">
        <x:v>30</x:v>
      </x:c>
      <x:c r="C313" s="22" t="n">
        <x:v>1</x:v>
      </x:c>
      <x:c r="D313" s="22" t="n">
        <x:v>1</x:v>
      </x:c>
      <x:c r="E313" s="22" t="n">
        <x:v>43</x:v>
      </x:c>
      <x:c r="F313" s="30" t="str">
        <x:v>有效</x:v>
      </x:c>
      <x:c r="G313" s="22" t="n">
        <x:v>238</x:v>
      </x:c>
      <x:c r="H313" s="22" t="n">
        <x:v>0</x:v>
      </x:c>
      <x:c r="I313" s="24" t="n">
        <x:v>59.477500000000006</x:v>
      </x:c>
      <x:c r="J313" s="24" t="n">
        <x:v>63.59099999999997</x:v>
      </x:c>
      <x:c r="K313" s="24" t="n">
        <x:v>60.63333333333333</x:v>
      </x:c>
      <x:c r="L313" s="24" t="n">
        <x:v>2727.616666666667</x:v>
      </x:c>
      <x:c r="M313" s="10" t="n">
        <x:v>1</x:v>
      </x:c>
      <x:c r="N313" s="10" t="n">
        <x:v>6</x:v>
      </x:c>
      <x:c r="O313" s="28" t="n">
        <x:f>IF(F313="有效",I313*'参数'!$B$10+J313*'参数'!$B$11,"n.a.")</x:f>
        <x:v>111.01394042499999</x:v>
      </x:c>
      <x:c r="P313" s="28" t="n">
        <x:f>IF(F313="有效",K313*'参数'!$B$12+L313*'参数'!$B$13,"n.a.")</x:f>
        <x:v>2071.1610100694447</x:v>
      </x:c>
      <x:c r="Q313" s="28" t="n">
        <x:f>IF(F313="有效",M313*'参数'!$B$14+N313*'参数'!$B$15,"n.a.")</x:f>
        <x:v>460</x:v>
      </x:c>
      <x:c r="R313" s="28" t="n">
        <x:f>IF(F313="有效",IF(D313&lt;=2,G313*('参数'!$B$6+'参数'!$B$18),0),"n.a.")</x:f>
        <x:v>952</x:v>
      </x:c>
      <x:c r="S313" s="28" t="n">
        <x:f>IF(F313="有效",IF(D313&gt;=3,G313*'参数'!$B$16,0),"n.a.")</x:f>
        <x:v>0</x:v>
      </x:c>
      <x:c r="T313" s="28" t="n">
        <x:f>IF(F313="有效",IF(D313&gt;=3,G313*'参数'!$B$17,0),"n.a.")</x:f>
        <x:v>0</x:v>
      </x:c>
      <x:c r="U313" s="28" t="n">
        <x:f>IF(F313="有效",SUM(O313:T313),"n.a.")</x:f>
        <x:v>3594.1749504944446</x:v>
      </x:c>
      <x:c r="V313" s="28" t="n">
        <x:f>IF(F313="有效",H313*'参数'!$B$7,"n.a.")</x:f>
        <x:v>0</x:v>
      </x:c>
      <x:c r="W313" s="28" t="n">
        <x:f>IF(F313="有效",IF(D313&gt;=3,G313*'参数'!$B$7/'参数'!$B$8,0),"n.a.")</x:f>
        <x:v>0</x:v>
      </x:c>
      <x:c r="X313" s="28" t="n">
        <x:f>IF(F313="有效",U313+W313,"n.a.")</x:f>
        <x:v>3594.1749504944446</x:v>
      </x:c>
      <x:c r="Y313" s="28" t="n">
        <x:f>IF(F313="有效",X313/G313,"n.a.")</x:f>
        <x:v>15.101575422245565</x:v>
      </x:c>
    </x:row>
    <x:row r="314" ht="22" customHeight="1">
      <x:c r="A314" s="11" t="str">
        <x:v>lade_0828_30aoi</x:v>
      </x:c>
      <x:c r="B314" s="22" t="n">
        <x:v>30</x:v>
      </x:c>
      <x:c r="C314" s="22" t="n">
        <x:v>1</x:v>
      </x:c>
      <x:c r="D314" s="22" t="n">
        <x:v>1</x:v>
      </x:c>
      <x:c r="E314" s="22" t="n">
        <x:v>44</x:v>
      </x:c>
      <x:c r="F314" s="30" t="str">
        <x:v>有效</x:v>
      </x:c>
      <x:c r="G314" s="22" t="n">
        <x:v>238</x:v>
      </x:c>
      <x:c r="H314" s="22" t="n">
        <x:v>0</x:v>
      </x:c>
      <x:c r="I314" s="24" t="n">
        <x:v>59.477500000000006</x:v>
      </x:c>
      <x:c r="J314" s="24" t="n">
        <x:v>63.59099999999999</x:v>
      </x:c>
      <x:c r="K314" s="24" t="n">
        <x:v>60.63333333333333</x:v>
      </x:c>
      <x:c r="L314" s="24" t="n">
        <x:v>2727.616666666667</x:v>
      </x:c>
      <x:c r="M314" s="10" t="n">
        <x:v>1</x:v>
      </x:c>
      <x:c r="N314" s="10" t="n">
        <x:v>6</x:v>
      </x:c>
      <x:c r="O314" s="28" t="n">
        <x:f>IF(F314="有效",I314*'参数'!$B$10+J314*'参数'!$B$11,"n.a.")</x:f>
        <x:v>111.013940425</x:v>
      </x:c>
      <x:c r="P314" s="28" t="n">
        <x:f>IF(F314="有效",K314*'参数'!$B$12+L314*'参数'!$B$13,"n.a.")</x:f>
        <x:v>2071.1610100694447</x:v>
      </x:c>
      <x:c r="Q314" s="28" t="n">
        <x:f>IF(F314="有效",M314*'参数'!$B$14+N314*'参数'!$B$15,"n.a.")</x:f>
        <x:v>460</x:v>
      </x:c>
      <x:c r="R314" s="28" t="n">
        <x:f>IF(F314="有效",IF(D314&lt;=2,G314*('参数'!$B$6+'参数'!$B$18),0),"n.a.")</x:f>
        <x:v>952</x:v>
      </x:c>
      <x:c r="S314" s="28" t="n">
        <x:f>IF(F314="有效",IF(D314&gt;=3,G314*'参数'!$B$16,0),"n.a.")</x:f>
        <x:v>0</x:v>
      </x:c>
      <x:c r="T314" s="28" t="n">
        <x:f>IF(F314="有效",IF(D314&gt;=3,G314*'参数'!$B$17,0),"n.a.")</x:f>
        <x:v>0</x:v>
      </x:c>
      <x:c r="U314" s="28" t="n">
        <x:f>IF(F314="有效",SUM(O314:T314),"n.a.")</x:f>
        <x:v>3594.1749504944446</x:v>
      </x:c>
      <x:c r="V314" s="28" t="n">
        <x:f>IF(F314="有效",H314*'参数'!$B$7,"n.a.")</x:f>
        <x:v>0</x:v>
      </x:c>
      <x:c r="W314" s="28" t="n">
        <x:f>IF(F314="有效",IF(D314&gt;=3,G314*'参数'!$B$7/'参数'!$B$8,0),"n.a.")</x:f>
        <x:v>0</x:v>
      </x:c>
      <x:c r="X314" s="28" t="n">
        <x:f>IF(F314="有效",U314+W314,"n.a.")</x:f>
        <x:v>3594.1749504944446</x:v>
      </x:c>
      <x:c r="Y314" s="28" t="n">
        <x:f>IF(F314="有效",X314/G314,"n.a.")</x:f>
        <x:v>15.101575422245565</x:v>
      </x:c>
    </x:row>
    <x:row r="315" ht="22" customHeight="1">
      <x:c r="A315" s="11" t="str">
        <x:v>lade_0828_30aoi</x:v>
      </x:c>
      <x:c r="B315" s="22" t="n">
        <x:v>30</x:v>
      </x:c>
      <x:c r="C315" s="22" t="n">
        <x:v>1</x:v>
      </x:c>
      <x:c r="D315" s="22" t="n">
        <x:v>2</x:v>
      </x:c>
      <x:c r="E315" s="22" t="n">
        <x:v>42</x:v>
      </x:c>
      <x:c r="F315" s="30" t="str">
        <x:v>有效</x:v>
      </x:c>
      <x:c r="G315" s="22" t="n">
        <x:v>238</x:v>
      </x:c>
      <x:c r="H315" s="22" t="n">
        <x:v>0</x:v>
      </x:c>
      <x:c r="I315" s="24" t="n">
        <x:v>59.477500000000006</x:v>
      </x:c>
      <x:c r="J315" s="24" t="n">
        <x:v>60.7024</x:v>
      </x:c>
      <x:c r="K315" s="24" t="n">
        <x:v>60.63333333333333</x:v>
      </x:c>
      <x:c r="L315" s="24" t="n">
        <x:v>2205.7833333333333</x:v>
      </x:c>
      <x:c r="M315" s="10" t="n">
        <x:v>1</x:v>
      </x:c>
      <x:c r="N315" s="10" t="n">
        <x:v>5</x:v>
      </x:c>
      <x:c r="O315" s="28" t="n">
        <x:f>IF(F315="有效",I315*'参数'!$B$10+J315*'参数'!$B$11,"n.a.")</x:f>
        <x:v>108.408278795</x:v>
      </x:c>
      <x:c r="P315" s="28" t="n">
        <x:f>IF(F315="有效",K315*'参数'!$B$12+L315*'参数'!$B$13,"n.a.")</x:f>
        <x:v>1687.3634649305557</x:v>
      </x:c>
      <x:c r="Q315" s="28" t="n">
        <x:f>IF(F315="有效",M315*'参数'!$B$14+N315*'参数'!$B$15,"n.a.")</x:f>
        <x:v>400</x:v>
      </x:c>
      <x:c r="R315" s="28" t="n">
        <x:f>IF(F315="有效",IF(D315&lt;=2,G315*('参数'!$B$6+'参数'!$B$18),0),"n.a.")</x:f>
        <x:v>952</x:v>
      </x:c>
      <x:c r="S315" s="28" t="n">
        <x:f>IF(F315="有效",IF(D315&gt;=3,G315*'参数'!$B$16,0),"n.a.")</x:f>
        <x:v>0</x:v>
      </x:c>
      <x:c r="T315" s="28" t="n">
        <x:f>IF(F315="有效",IF(D315&gt;=3,G315*'参数'!$B$17,0),"n.a.")</x:f>
        <x:v>0</x:v>
      </x:c>
      <x:c r="U315" s="28" t="n">
        <x:f>IF(F315="有效",SUM(O315:T315),"n.a.")</x:f>
        <x:v>3147.7717437255556</x:v>
      </x:c>
      <x:c r="V315" s="28" t="n">
        <x:f>IF(F315="有效",H315*'参数'!$B$7,"n.a.")</x:f>
        <x:v>0</x:v>
      </x:c>
      <x:c r="W315" s="28" t="n">
        <x:f>IF(F315="有效",IF(D315&gt;=3,G315*'参数'!$B$7/'参数'!$B$8,0),"n.a.")</x:f>
        <x:v>0</x:v>
      </x:c>
      <x:c r="X315" s="28" t="n">
        <x:f>IF(F315="有效",U315+W315,"n.a.")</x:f>
        <x:v>3147.7717437255556</x:v>
      </x:c>
      <x:c r="Y315" s="28" t="n">
        <x:f>IF(F315="有效",X315/G315,"n.a.")</x:f>
        <x:v>13.225931696325864</x:v>
      </x:c>
    </x:row>
    <x:row r="316" ht="22" customHeight="1">
      <x:c r="A316" s="11" t="str">
        <x:v>lade_0828_30aoi</x:v>
      </x:c>
      <x:c r="B316" s="22" t="n">
        <x:v>30</x:v>
      </x:c>
      <x:c r="C316" s="22" t="n">
        <x:v>1</x:v>
      </x:c>
      <x:c r="D316" s="22" t="n">
        <x:v>2</x:v>
      </x:c>
      <x:c r="E316" s="22" t="n">
        <x:v>43</x:v>
      </x:c>
      <x:c r="F316" s="30" t="str">
        <x:v>有效</x:v>
      </x:c>
      <x:c r="G316" s="22" t="n">
        <x:v>238</x:v>
      </x:c>
      <x:c r="H316" s="22" t="n">
        <x:v>0</x:v>
      </x:c>
      <x:c r="I316" s="24" t="n">
        <x:v>59.477500000000006</x:v>
      </x:c>
      <x:c r="J316" s="24" t="n">
        <x:v>58.570399999999985</x:v>
      </x:c>
      <x:c r="K316" s="24" t="n">
        <x:v>60.63333333333333</x:v>
      </x:c>
      <x:c r="L316" s="24" t="n">
        <x:v>1981.8833333333334</x:v>
      </x:c>
      <x:c r="M316" s="10" t="n">
        <x:v>1</x:v>
      </x:c>
      <x:c r="N316" s="10" t="n">
        <x:v>5</x:v>
      </x:c>
      <x:c r="O316" s="28" t="n">
        <x:f>IF(F316="有效",I316*'参数'!$B$10+J316*'参数'!$B$11,"n.a.")</x:f>
        <x:v>106.485108195</x:v>
      </x:c>
      <x:c r="P316" s="28" t="n">
        <x:f>IF(F316="有效",K316*'参数'!$B$12+L316*'参数'!$B$13,"n.a.")</x:f>
        <x:v>1522.6896795138891</x:v>
      </x:c>
      <x:c r="Q316" s="28" t="n">
        <x:f>IF(F316="有效",M316*'参数'!$B$14+N316*'参数'!$B$15,"n.a.")</x:f>
        <x:v>400</x:v>
      </x:c>
      <x:c r="R316" s="28" t="n">
        <x:f>IF(F316="有效",IF(D316&lt;=2,G316*('参数'!$B$6+'参数'!$B$18),0),"n.a.")</x:f>
        <x:v>952</x:v>
      </x:c>
      <x:c r="S316" s="28" t="n">
        <x:f>IF(F316="有效",IF(D316&gt;=3,G316*'参数'!$B$16,0),"n.a.")</x:f>
        <x:v>0</x:v>
      </x:c>
      <x:c r="T316" s="28" t="n">
        <x:f>IF(F316="有效",IF(D316&gt;=3,G316*'参数'!$B$17,0),"n.a.")</x:f>
        <x:v>0</x:v>
      </x:c>
      <x:c r="U316" s="28" t="n">
        <x:f>IF(F316="有效",SUM(O316:T316),"n.a.")</x:f>
        <x:v>2981.174787708889</x:v>
      </x:c>
      <x:c r="V316" s="28" t="n">
        <x:f>IF(F316="有效",H316*'参数'!$B$7,"n.a.")</x:f>
        <x:v>0</x:v>
      </x:c>
      <x:c r="W316" s="28" t="n">
        <x:f>IF(F316="有效",IF(D316&gt;=3,G316*'参数'!$B$7/'参数'!$B$8,0),"n.a.")</x:f>
        <x:v>0</x:v>
      </x:c>
      <x:c r="X316" s="28" t="n">
        <x:f>IF(F316="有效",U316+W316,"n.a.")</x:f>
        <x:v>2981.174787708889</x:v>
      </x:c>
      <x:c r="Y316" s="28" t="n">
        <x:f>IF(F316="有效",X316/G316,"n.a.")</x:f>
        <x:v>12.525944486171804</x:v>
      </x:c>
    </x:row>
    <x:row r="317" ht="22" customHeight="1">
      <x:c r="A317" s="11" t="str">
        <x:v>lade_0828_30aoi</x:v>
      </x:c>
      <x:c r="B317" s="22" t="n">
        <x:v>30</x:v>
      </x:c>
      <x:c r="C317" s="22" t="n">
        <x:v>1</x:v>
      </x:c>
      <x:c r="D317" s="22" t="n">
        <x:v>2</x:v>
      </x:c>
      <x:c r="E317" s="22" t="n">
        <x:v>44</x:v>
      </x:c>
      <x:c r="F317" s="30" t="str">
        <x:v>有效</x:v>
      </x:c>
      <x:c r="G317" s="22" t="n">
        <x:v>238</x:v>
      </x:c>
      <x:c r="H317" s="22" t="n">
        <x:v>0</x:v>
      </x:c>
      <x:c r="I317" s="24" t="n">
        <x:v>59.477500000000006</x:v>
      </x:c>
      <x:c r="J317" s="24" t="n">
        <x:v>59.032000000000004</x:v>
      </x:c>
      <x:c r="K317" s="24" t="n">
        <x:v>60.63333333333333</x:v>
      </x:c>
      <x:c r="L317" s="24" t="n">
        <x:v>2221</x:v>
      </x:c>
      <x:c r="M317" s="10" t="n">
        <x:v>1</x:v>
      </x:c>
      <x:c r="N317" s="10" t="n">
        <x:v>5</x:v>
      </x:c>
      <x:c r="O317" s="28" t="n">
        <x:f>IF(F317="有效",I317*'参数'!$B$10+J317*'参数'!$B$11,"n.a.")</x:f>
        <x:v>106.90149447500002</x:v>
      </x:c>
      <x:c r="P317" s="28" t="n">
        <x:f>IF(F317="有效",K317*'参数'!$B$12+L317*'参数'!$B$13,"n.a.")</x:f>
        <x:v>1698.5550062500001</x:v>
      </x:c>
      <x:c r="Q317" s="28" t="n">
        <x:f>IF(F317="有效",M317*'参数'!$B$14+N317*'参数'!$B$15,"n.a.")</x:f>
        <x:v>400</x:v>
      </x:c>
      <x:c r="R317" s="28" t="n">
        <x:f>IF(F317="有效",IF(D317&lt;=2,G317*('参数'!$B$6+'参数'!$B$18),0),"n.a.")</x:f>
        <x:v>952</x:v>
      </x:c>
      <x:c r="S317" s="28" t="n">
        <x:f>IF(F317="有效",IF(D317&gt;=3,G317*'参数'!$B$16,0),"n.a.")</x:f>
        <x:v>0</x:v>
      </x:c>
      <x:c r="T317" s="28" t="n">
        <x:f>IF(F317="有效",IF(D317&gt;=3,G317*'参数'!$B$17,0),"n.a.")</x:f>
        <x:v>0</x:v>
      </x:c>
      <x:c r="U317" s="28" t="n">
        <x:f>IF(F317="有效",SUM(O317:T317),"n.a.")</x:f>
        <x:v>3157.4565007250003</x:v>
      </x:c>
      <x:c r="V317" s="28" t="n">
        <x:f>IF(F317="有效",H317*'参数'!$B$7,"n.a.")</x:f>
        <x:v>0</x:v>
      </x:c>
      <x:c r="W317" s="28" t="n">
        <x:f>IF(F317="有效",IF(D317&gt;=3,G317*'参数'!$B$7/'参数'!$B$8,0),"n.a.")</x:f>
        <x:v>0</x:v>
      </x:c>
      <x:c r="X317" s="28" t="n">
        <x:f>IF(F317="有效",U317+W317,"n.a.")</x:f>
        <x:v>3157.4565007250003</x:v>
      </x:c>
      <x:c r="Y317" s="28" t="n">
        <x:f>IF(F317="有效",X317/G317,"n.a.")</x:f>
        <x:v>13.266623952626052</x:v>
      </x:c>
    </x:row>
    <x:row r="318" ht="22" customHeight="1">
      <x:c r="A318" s="11" t="str">
        <x:v>lade_0828_30aoi</x:v>
      </x:c>
      <x:c r="B318" s="22" t="n">
        <x:v>30</x:v>
      </x:c>
      <x:c r="C318" s="22" t="n">
        <x:v>1</x:v>
      </x:c>
      <x:c r="D318" s="22" t="n">
        <x:v>3</x:v>
      </x:c>
      <x:c r="E318" s="22" t="n">
        <x:v>42</x:v>
      </x:c>
      <x:c r="F318" s="30" t="str">
        <x:v>有效</x:v>
      </x:c>
      <x:c r="G318" s="22" t="n">
        <x:v>238</x:v>
      </x:c>
      <x:c r="H318" s="22" t="n">
        <x:v>238</x:v>
      </x:c>
      <x:c r="I318" s="24" t="n">
        <x:v>63.013999999999996</x:v>
      </x:c>
      <x:c r="J318" s="24" t="n">
        <x:v>76.24740000000001</x:v>
      </x:c>
      <x:c r="K318" s="24" t="n">
        <x:v>738.65</x:v>
      </x:c>
      <x:c r="L318" s="24" t="n">
        <x:v>3233.65</x:v>
      </x:c>
      <x:c r="M318" s="10" t="n">
        <x:v>1</x:v>
      </x:c>
      <x:c r="N318" s="10" t="n">
        <x:v>6</x:v>
      </x:c>
      <x:c r="O318" s="28" t="n">
        <x:f>IF(F318="有效",I318*'参数'!$B$10+J318*'参数'!$B$11,"n.a.")</x:f>
        <x:v>125.62074587000001</x:v>
      </x:c>
      <x:c r="P318" s="28" t="n">
        <x:f>IF(F318="有效",K318*'参数'!$B$12+L318*'参数'!$B$13,"n.a.")</x:f>
        <x:v>3170.807491666667</x:v>
      </x:c>
      <x:c r="Q318" s="28" t="n">
        <x:f>IF(F318="有效",M318*'参数'!$B$14+N318*'参数'!$B$15,"n.a.")</x:f>
        <x:v>460</x:v>
      </x:c>
      <x:c r="R318" s="28" t="n">
        <x:f>IF(F318="有效",IF(D318&lt;=2,G318*('参数'!$B$6+'参数'!$B$18),0),"n.a.")</x:f>
        <x:v>0</x:v>
      </x:c>
      <x:c r="S318" s="28" t="n">
        <x:f>IF(F318="有效",IF(D318&gt;=3,G318*'参数'!$B$16,0),"n.a.")</x:f>
        <x:v>190.4</x:v>
      </x:c>
      <x:c r="T318" s="28" t="n">
        <x:f>IF(F318="有效",IF(D318&gt;=3,G318*'参数'!$B$17,0),"n.a.")</x:f>
        <x:v>23.8</x:v>
      </x:c>
      <x:c r="U318" s="28" t="n">
        <x:f>IF(F318="有效",SUM(O318:T318),"n.a.")</x:f>
        <x:v>3970.6282375366673</x:v>
      </x:c>
      <x:c r="V318" s="28" t="n">
        <x:f>IF(F318="有效",H318*'参数'!$B$7,"n.a.")</x:f>
        <x:v>8687</x:v>
      </x:c>
      <x:c r="W318" s="28" t="n">
        <x:f>IF(F318="有效",IF(D318&gt;=3,G318*'参数'!$B$7/'参数'!$B$8,0),"n.a.")</x:f>
        <x:v>173.74</x:v>
      </x:c>
      <x:c r="X318" s="28" t="n">
        <x:f>IF(F318="有效",U318+W318,"n.a.")</x:f>
        <x:v>4144.368237536667</x:v>
      </x:c>
      <x:c r="Y318" s="28" t="n">
        <x:f>IF(F318="有效",X318/G318,"n.a.")</x:f>
        <x:v>17.41331192242297</x:v>
      </x:c>
    </x:row>
    <x:row r="319" ht="22" customHeight="1">
      <x:c r="A319" s="11" t="str">
        <x:v>lade_0828_30aoi</x:v>
      </x:c>
      <x:c r="B319" s="22" t="n">
        <x:v>30</x:v>
      </x:c>
      <x:c r="C319" s="22" t="n">
        <x:v>1</x:v>
      </x:c>
      <x:c r="D319" s="22" t="n">
        <x:v>3</x:v>
      </x:c>
      <x:c r="E319" s="22" t="n">
        <x:v>43</x:v>
      </x:c>
      <x:c r="F319" s="30" t="str">
        <x:v>有效</x:v>
      </x:c>
      <x:c r="G319" s="22" t="n">
        <x:v>238</x:v>
      </x:c>
      <x:c r="H319" s="22" t="n">
        <x:v>238</x:v>
      </x:c>
      <x:c r="I319" s="24" t="n">
        <x:v>63.013999999999996</x:v>
      </x:c>
      <x:c r="J319" s="24" t="n">
        <x:v>80.47200000000001</x:v>
      </x:c>
      <x:c r="K319" s="24" t="n">
        <x:v>738.65</x:v>
      </x:c>
      <x:c r="L319" s="24" t="n">
        <x:v>3232.5666666666666</x:v>
      </x:c>
      <x:c r="M319" s="10" t="n">
        <x:v>1</x:v>
      </x:c>
      <x:c r="N319" s="10" t="n">
        <x:v>6</x:v>
      </x:c>
      <x:c r="O319" s="28" t="n">
        <x:f>IF(F319="有效",I319*'参数'!$B$10+J319*'参数'!$B$11,"n.a.")</x:f>
        <x:v>129.4315463</x:v>
      </x:c>
      <x:c r="P319" s="28" t="n">
        <x:f>IF(F319="有效",K319*'参数'!$B$12+L319*'参数'!$B$13,"n.a.")</x:f>
        <x:v>3170.0107225694446</x:v>
      </x:c>
      <x:c r="Q319" s="28" t="n">
        <x:f>IF(F319="有效",M319*'参数'!$B$14+N319*'参数'!$B$15,"n.a.")</x:f>
        <x:v>460</x:v>
      </x:c>
      <x:c r="R319" s="28" t="n">
        <x:f>IF(F319="有效",IF(D319&lt;=2,G319*('参数'!$B$6+'参数'!$B$18),0),"n.a.")</x:f>
        <x:v>0</x:v>
      </x:c>
      <x:c r="S319" s="28" t="n">
        <x:f>IF(F319="有效",IF(D319&gt;=3,G319*'参数'!$B$16,0),"n.a.")</x:f>
        <x:v>190.4</x:v>
      </x:c>
      <x:c r="T319" s="28" t="n">
        <x:f>IF(F319="有效",IF(D319&gt;=3,G319*'参数'!$B$17,0),"n.a.")</x:f>
        <x:v>23.8</x:v>
      </x:c>
      <x:c r="U319" s="28" t="n">
        <x:f>IF(F319="有效",SUM(O319:T319),"n.a.")</x:f>
        <x:v>3973.6422688694447</x:v>
      </x:c>
      <x:c r="V319" s="28" t="n">
        <x:f>IF(F319="有效",H319*'参数'!$B$7,"n.a.")</x:f>
        <x:v>8687</x:v>
      </x:c>
      <x:c r="W319" s="28" t="n">
        <x:f>IF(F319="有效",IF(D319&gt;=3,G319*'参数'!$B$7/'参数'!$B$8,0),"n.a.")</x:f>
        <x:v>173.74</x:v>
      </x:c>
      <x:c r="X319" s="28" t="n">
        <x:f>IF(F319="有效",U319+W319,"n.a.")</x:f>
        <x:v>4147.3822688694445</x:v>
      </x:c>
      <x:c r="Y319" s="28" t="n">
        <x:f>IF(F319="有效",X319/G319,"n.a.")</x:f>
        <x:v>17.425975919619514</x:v>
      </x:c>
    </x:row>
    <x:row r="320" ht="22" customHeight="1">
      <x:c r="A320" s="11" t="str">
        <x:v>lade_0828_30aoi</x:v>
      </x:c>
      <x:c r="B320" s="22" t="n">
        <x:v>30</x:v>
      </x:c>
      <x:c r="C320" s="22" t="n">
        <x:v>1</x:v>
      </x:c>
      <x:c r="D320" s="22" t="n">
        <x:v>3</x:v>
      </x:c>
      <x:c r="E320" s="22" t="n">
        <x:v>44</x:v>
      </x:c>
      <x:c r="F320" s="30" t="str">
        <x:v>有效</x:v>
      </x:c>
      <x:c r="G320" s="22" t="n">
        <x:v>238</x:v>
      </x:c>
      <x:c r="H320" s="22" t="n">
        <x:v>238</x:v>
      </x:c>
      <x:c r="I320" s="24" t="n">
        <x:v>63.013999999999996</x:v>
      </x:c>
      <x:c r="J320" s="24" t="n">
        <x:v>83.0331</x:v>
      </x:c>
      <x:c r="K320" s="24" t="n">
        <x:v>738.65</x:v>
      </x:c>
      <x:c r="L320" s="24" t="n">
        <x:v>3244.4</x:v>
      </x:c>
      <x:c r="M320" s="10" t="n">
        <x:v>1</x:v>
      </x:c>
      <x:c r="N320" s="10" t="n">
        <x:v>6</x:v>
      </x:c>
      <x:c r="O320" s="28" t="n">
        <x:f>IF(F320="有效",I320*'参数'!$B$10+J320*'参数'!$B$11,"n.a.")</x:f>
        <x:v>131.741786555</x:v>
      </x:c>
      <x:c r="P320" s="28" t="n">
        <x:f>IF(F320="有效",K320*'参数'!$B$12+L320*'参数'!$B$13,"n.a.")</x:f>
        <x:v>3178.7138927083333</x:v>
      </x:c>
      <x:c r="Q320" s="28" t="n">
        <x:f>IF(F320="有效",M320*'参数'!$B$14+N320*'参数'!$B$15,"n.a.")</x:f>
        <x:v>460</x:v>
      </x:c>
      <x:c r="R320" s="28" t="n">
        <x:f>IF(F320="有效",IF(D320&lt;=2,G320*('参数'!$B$6+'参数'!$B$18),0),"n.a.")</x:f>
        <x:v>0</x:v>
      </x:c>
      <x:c r="S320" s="28" t="n">
        <x:f>IF(F320="有效",IF(D320&gt;=3,G320*'参数'!$B$16,0),"n.a.")</x:f>
        <x:v>190.4</x:v>
      </x:c>
      <x:c r="T320" s="28" t="n">
        <x:f>IF(F320="有效",IF(D320&gt;=3,G320*'参数'!$B$17,0),"n.a.")</x:f>
        <x:v>23.8</x:v>
      </x:c>
      <x:c r="U320" s="28" t="n">
        <x:f>IF(F320="有效",SUM(O320:T320),"n.a.")</x:f>
        <x:v>3984.6556792633337</x:v>
      </x:c>
      <x:c r="V320" s="28" t="n">
        <x:f>IF(F320="有效",H320*'参数'!$B$7,"n.a.")</x:f>
        <x:v>8687</x:v>
      </x:c>
      <x:c r="W320" s="28" t="n">
        <x:f>IF(F320="有效",IF(D320&gt;=3,G320*'参数'!$B$7/'参数'!$B$8,0),"n.a.")</x:f>
        <x:v>173.74</x:v>
      </x:c>
      <x:c r="X320" s="28" t="n">
        <x:f>IF(F320="有效",U320+W320,"n.a.")</x:f>
        <x:v>4158.3956792633335</x:v>
      </x:c>
      <x:c r="Y320" s="28" t="n">
        <x:f>IF(F320="有效",X320/G320,"n.a.")</x:f>
        <x:v>17.472250753207284</x:v>
      </x:c>
    </x:row>
    <x:row r="321" ht="22" customHeight="1">
      <x:c r="A321" s="11" t="str">
        <x:v>lade_0828_30aoi</x:v>
      </x:c>
      <x:c r="B321" s="22" t="n">
        <x:v>30</x:v>
      </x:c>
      <x:c r="C321" s="22" t="n">
        <x:v>1</x:v>
      </x:c>
      <x:c r="D321" s="22" t="n">
        <x:v>4</x:v>
      </x:c>
      <x:c r="E321" s="22" t="n">
        <x:v>42</x:v>
      </x:c>
      <x:c r="F321" s="30" t="str">
        <x:v>有效</x:v>
      </x:c>
      <x:c r="G321" s="22" t="n">
        <x:v>238</x:v>
      </x:c>
      <x:c r="H321" s="22" t="n">
        <x:v>238</x:v>
      </x:c>
      <x:c r="I321" s="24" t="n">
        <x:v>63.013999999999996</x:v>
      </x:c>
      <x:c r="J321" s="24" t="n">
        <x:v>76.78849999999998</x:v>
      </x:c>
      <x:c r="K321" s="24" t="n">
        <x:v>738.65</x:v>
      </x:c>
      <x:c r="L321" s="24" t="n">
        <x:v>3006.8333333333335</x:v>
      </x:c>
      <x:c r="M321" s="10" t="n">
        <x:v>1</x:v>
      </x:c>
      <x:c r="N321" s="10" t="n">
        <x:v>6</x:v>
      </x:c>
      <x:c r="O321" s="28" t="n">
        <x:f>IF(F321="有效",I321*'参数'!$B$10+J321*'参数'!$B$11,"n.a.")</x:f>
        <x:v>126.10884512499999</x:v>
      </x:c>
      <x:c r="P321" s="28" t="n">
        <x:f>IF(F321="有效",K321*'参数'!$B$12+L321*'参数'!$B$13,"n.a.")</x:f>
        <x:v>3003.988558680556</x:v>
      </x:c>
      <x:c r="Q321" s="28" t="n">
        <x:f>IF(F321="有效",M321*'参数'!$B$14+N321*'参数'!$B$15,"n.a.")</x:f>
        <x:v>460</x:v>
      </x:c>
      <x:c r="R321" s="28" t="n">
        <x:f>IF(F321="有效",IF(D321&lt;=2,G321*('参数'!$B$6+'参数'!$B$18),0),"n.a.")</x:f>
        <x:v>0</x:v>
      </x:c>
      <x:c r="S321" s="28" t="n">
        <x:f>IF(F321="有效",IF(D321&gt;=3,G321*'参数'!$B$16,0),"n.a.")</x:f>
        <x:v>190.4</x:v>
      </x:c>
      <x:c r="T321" s="28" t="n">
        <x:f>IF(F321="有效",IF(D321&gt;=3,G321*'参数'!$B$17,0),"n.a.")</x:f>
        <x:v>23.8</x:v>
      </x:c>
      <x:c r="U321" s="28" t="n">
        <x:f>IF(F321="有效",SUM(O321:T321),"n.a.")</x:f>
        <x:v>3804.297403805556</x:v>
      </x:c>
      <x:c r="V321" s="28" t="n">
        <x:f>IF(F321="有效",H321*'参数'!$B$7,"n.a.")</x:f>
        <x:v>8687</x:v>
      </x:c>
      <x:c r="W321" s="28" t="n">
        <x:f>IF(F321="有效",IF(D321&gt;=3,G321*'参数'!$B$7/'参数'!$B$8,0),"n.a.")</x:f>
        <x:v>173.74</x:v>
      </x:c>
      <x:c r="X321" s="28" t="n">
        <x:f>IF(F321="有效",U321+W321,"n.a.")</x:f>
        <x:v>3978.037403805556</x:v>
      </x:c>
      <x:c r="Y321" s="28" t="n">
        <x:f>IF(F321="有效",X321/G321,"n.a.")</x:f>
        <x:v>16.71444287313259</x:v>
      </x:c>
    </x:row>
    <x:row r="322" ht="22" customHeight="1">
      <x:c r="A322" s="11" t="str">
        <x:v>lade_0828_30aoi</x:v>
      </x:c>
      <x:c r="B322" s="22" t="n">
        <x:v>30</x:v>
      </x:c>
      <x:c r="C322" s="22" t="n">
        <x:v>1</x:v>
      </x:c>
      <x:c r="D322" s="22" t="n">
        <x:v>4</x:v>
      </x:c>
      <x:c r="E322" s="22" t="n">
        <x:v>43</x:v>
      </x:c>
      <x:c r="F322" s="30" t="str">
        <x:v>有效</x:v>
      </x:c>
      <x:c r="G322" s="22" t="n">
        <x:v>238</x:v>
      </x:c>
      <x:c r="H322" s="22" t="n">
        <x:v>238</x:v>
      </x:c>
      <x:c r="I322" s="24" t="n">
        <x:v>63.013999999999996</x:v>
      </x:c>
      <x:c r="J322" s="24" t="n">
        <x:v>81.3078</x:v>
      </x:c>
      <x:c r="K322" s="24" t="n">
        <x:v>738.65</x:v>
      </x:c>
      <x:c r="L322" s="24" t="n">
        <x:v>3252.9666666666667</x:v>
      </x:c>
      <x:c r="M322" s="10" t="n">
        <x:v>1</x:v>
      </x:c>
      <x:c r="N322" s="10" t="n">
        <x:v>6</x:v>
      </x:c>
      <x:c r="O322" s="28" t="n">
        <x:f>IF(F322="有效",I322*'参数'!$B$10+J322*'参数'!$B$11,"n.a.")</x:f>
        <x:v>130.18547969</x:v>
      </x:c>
      <x:c r="P322" s="28" t="n">
        <x:f>IF(F322="有效",K322*'参数'!$B$12+L322*'参数'!$B$13,"n.a.")</x:f>
        <x:v>3185.0144975694443</x:v>
      </x:c>
      <x:c r="Q322" s="28" t="n">
        <x:f>IF(F322="有效",M322*'参数'!$B$14+N322*'参数'!$B$15,"n.a.")</x:f>
        <x:v>460</x:v>
      </x:c>
      <x:c r="R322" s="28" t="n">
        <x:f>IF(F322="有效",IF(D322&lt;=2,G322*('参数'!$B$6+'参数'!$B$18),0),"n.a.")</x:f>
        <x:v>0</x:v>
      </x:c>
      <x:c r="S322" s="28" t="n">
        <x:f>IF(F322="有效",IF(D322&gt;=3,G322*'参数'!$B$16,0),"n.a.")</x:f>
        <x:v>190.4</x:v>
      </x:c>
      <x:c r="T322" s="28" t="n">
        <x:f>IF(F322="有效",IF(D322&gt;=3,G322*'参数'!$B$17,0),"n.a.")</x:f>
        <x:v>23.8</x:v>
      </x:c>
      <x:c r="U322" s="28" t="n">
        <x:f>IF(F322="有效",SUM(O322:T322),"n.a.")</x:f>
        <x:v>3989.3999772594448</x:v>
      </x:c>
      <x:c r="V322" s="28" t="n">
        <x:f>IF(F322="有效",H322*'参数'!$B$7,"n.a.")</x:f>
        <x:v>8687</x:v>
      </x:c>
      <x:c r="W322" s="28" t="n">
        <x:f>IF(F322="有效",IF(D322&gt;=3,G322*'参数'!$B$7/'参数'!$B$8,0),"n.a.")</x:f>
        <x:v>173.74</x:v>
      </x:c>
      <x:c r="X322" s="28" t="n">
        <x:f>IF(F322="有效",U322+W322,"n.a.")</x:f>
        <x:v>4163.139977259445</x:v>
      </x:c>
      <x:c r="Y322" s="28" t="n">
        <x:f>IF(F322="有效",X322/G322,"n.a.")</x:f>
        <x:v>17.49218477840103</x:v>
      </x:c>
    </x:row>
    <x:row r="323" ht="22" customHeight="1">
      <x:c r="A323" s="11" t="str">
        <x:v>lade_0828_30aoi</x:v>
      </x:c>
      <x:c r="B323" s="22" t="n">
        <x:v>30</x:v>
      </x:c>
      <x:c r="C323" s="22" t="n">
        <x:v>1</x:v>
      </x:c>
      <x:c r="D323" s="22" t="n">
        <x:v>4</x:v>
      </x:c>
      <x:c r="E323" s="22" t="n">
        <x:v>44</x:v>
      </x:c>
      <x:c r="F323" s="30" t="str">
        <x:v>有效</x:v>
      </x:c>
      <x:c r="G323" s="22" t="n">
        <x:v>238</x:v>
      </x:c>
      <x:c r="H323" s="22" t="n">
        <x:v>238</x:v>
      </x:c>
      <x:c r="I323" s="24" t="n">
        <x:v>63.013999999999996</x:v>
      </x:c>
      <x:c r="J323" s="24" t="n">
        <x:v>76.62209999999999</x:v>
      </x:c>
      <x:c r="K323" s="24" t="n">
        <x:v>738.65</x:v>
      </x:c>
      <x:c r="L323" s="24" t="n">
        <x:v>3242.1</x:v>
      </x:c>
      <x:c r="M323" s="10" t="n">
        <x:v>1</x:v>
      </x:c>
      <x:c r="N323" s="10" t="n">
        <x:v>6</x:v>
      </x:c>
      <x:c r="O323" s="28" t="n">
        <x:f>IF(F323="有效",I323*'参数'!$B$10+J323*'参数'!$B$11,"n.a.")</x:f>
        <x:v>125.958744005</x:v>
      </x:c>
      <x:c r="P323" s="28" t="n">
        <x:f>IF(F323="有效",K323*'参数'!$B$12+L323*'参数'!$B$13,"n.a.")</x:f>
        <x:v>3177.022290625</x:v>
      </x:c>
      <x:c r="Q323" s="28" t="n">
        <x:f>IF(F323="有效",M323*'参数'!$B$14+N323*'参数'!$B$15,"n.a.")</x:f>
        <x:v>460</x:v>
      </x:c>
      <x:c r="R323" s="28" t="n">
        <x:f>IF(F323="有效",IF(D323&lt;=2,G323*('参数'!$B$6+'参数'!$B$18),0),"n.a.")</x:f>
        <x:v>0</x:v>
      </x:c>
      <x:c r="S323" s="28" t="n">
        <x:f>IF(F323="有效",IF(D323&gt;=3,G323*'参数'!$B$16,0),"n.a.")</x:f>
        <x:v>190.4</x:v>
      </x:c>
      <x:c r="T323" s="28" t="n">
        <x:f>IF(F323="有效",IF(D323&gt;=3,G323*'参数'!$B$17,0),"n.a.")</x:f>
        <x:v>23.8</x:v>
      </x:c>
      <x:c r="U323" s="28" t="n">
        <x:f>IF(F323="有效",SUM(O323:T323),"n.a.")</x:f>
        <x:v>3977.1810346300003</x:v>
      </x:c>
      <x:c r="V323" s="28" t="n">
        <x:f>IF(F323="有效",H323*'参数'!$B$7,"n.a.")</x:f>
        <x:v>8687</x:v>
      </x:c>
      <x:c r="W323" s="28" t="n">
        <x:f>IF(F323="有效",IF(D323&gt;=3,G323*'参数'!$B$7/'参数'!$B$8,0),"n.a.")</x:f>
        <x:v>173.74</x:v>
      </x:c>
      <x:c r="X323" s="28" t="n">
        <x:f>IF(F323="有效",U323+W323,"n.a.")</x:f>
        <x:v>4150.921034630001</x:v>
      </x:c>
      <x:c r="Y323" s="28" t="n">
        <x:f>IF(F323="有效",X323/G323,"n.a.")</x:f>
        <x:v>17.44084468331933</x:v>
      </x:c>
    </x:row>
    <x:row r="324" ht="22" customHeight="1">
      <x:c r="A324" s="11" t="str">
        <x:v>lade_0828_30aoi</x:v>
      </x:c>
      <x:c r="B324" s="22" t="n">
        <x:v>30</x:v>
      </x:c>
      <x:c r="C324" s="22" t="n">
        <x:v>2</x:v>
      </x:c>
      <x:c r="D324" s="22" t="n">
        <x:v>5</x:v>
      </x:c>
      <x:c r="E324" s="22" t="n">
        <x:v>42</x:v>
      </x:c>
      <x:c r="F324" s="30" t="str">
        <x:v>有效</x:v>
      </x:c>
      <x:c r="G324" s="22" t="n">
        <x:v>238</x:v>
      </x:c>
      <x:c r="H324" s="22" t="n">
        <x:v>238</x:v>
      </x:c>
      <x:c r="I324" s="24" t="n">
        <x:v>216.47200000000004</x:v>
      </x:c>
      <x:c r="J324" s="24" t="n">
        <x:v>93.95769999999996</x:v>
      </x:c>
      <x:c r="K324" s="24" t="n">
        <x:v>1400.9333333333334</x:v>
      </x:c>
      <x:c r="L324" s="24" t="n">
        <x:v>2473.85</x:v>
      </x:c>
      <x:c r="M324" s="10" t="n">
        <x:v>2</x:v>
      </x:c>
      <x:c r="N324" s="10" t="n">
        <x:v>6</x:v>
      </x:c>
      <x:c r="O324" s="28" t="n">
        <x:f>IF(F324="有效",I324*'参数'!$B$10+J324*'参数'!$B$11,"n.a.")</x:f>
        <x:v>280.023110885</x:v>
      </x:c>
      <x:c r="P324" s="28" t="n">
        <x:f>IF(F324="有效",K324*'参数'!$B$12+L324*'参数'!$B$13,"n.a.")</x:f>
        <x:v>3322.5790447916665</x:v>
      </x:c>
      <x:c r="Q324" s="28" t="n">
        <x:f>IF(F324="有效",M324*'参数'!$B$14+N324*'参数'!$B$15,"n.a.")</x:f>
        <x:v>560</x:v>
      </x:c>
      <x:c r="R324" s="28" t="n">
        <x:f>IF(F324="有效",IF(D324&lt;=2,G324*('参数'!$B$6+'参数'!$B$18),0),"n.a.")</x:f>
        <x:v>0</x:v>
      </x:c>
      <x:c r="S324" s="28" t="n">
        <x:f>IF(F324="有效",IF(D324&gt;=3,G324*'参数'!$B$16,0),"n.a.")</x:f>
        <x:v>190.4</x:v>
      </x:c>
      <x:c r="T324" s="28" t="n">
        <x:f>IF(F324="有效",IF(D324&gt;=3,G324*'参数'!$B$17,0),"n.a.")</x:f>
        <x:v>23.8</x:v>
      </x:c>
      <x:c r="U324" s="28" t="n">
        <x:f>IF(F324="有效",SUM(O324:T324),"n.a.")</x:f>
        <x:v>4376.802155676666</x:v>
      </x:c>
      <x:c r="V324" s="28" t="n">
        <x:f>IF(F324="有效",H324*'参数'!$B$7,"n.a.")</x:f>
        <x:v>8687</x:v>
      </x:c>
      <x:c r="W324" s="28" t="n">
        <x:f>IF(F324="有效",IF(D324&gt;=3,G324*'参数'!$B$7/'参数'!$B$8,0),"n.a.")</x:f>
        <x:v>173.74</x:v>
      </x:c>
      <x:c r="X324" s="28" t="n">
        <x:f>IF(F324="有效",U324+W324,"n.a.")</x:f>
        <x:v>4550.542155676666</x:v>
      </x:c>
      <x:c r="Y324" s="28" t="n">
        <x:f>IF(F324="有效",X324/G324,"n.a.")</x:f>
        <x:v>19.119925023851536</x:v>
      </x:c>
    </x:row>
    <x:row r="325" ht="22" customHeight="1">
      <x:c r="A325" s="11" t="str">
        <x:v>lade_0828_30aoi</x:v>
      </x:c>
      <x:c r="B325" s="22" t="n">
        <x:v>30</x:v>
      </x:c>
      <x:c r="C325" s="22" t="n">
        <x:v>2</x:v>
      </x:c>
      <x:c r="D325" s="22" t="n">
        <x:v>5</x:v>
      </x:c>
      <x:c r="E325" s="22" t="n">
        <x:v>43</x:v>
      </x:c>
      <x:c r="F325" s="30" t="str">
        <x:v>有效</x:v>
      </x:c>
      <x:c r="G325" s="22" t="n">
        <x:v>238</x:v>
      </x:c>
      <x:c r="H325" s="22" t="n">
        <x:v>238</x:v>
      </x:c>
      <x:c r="I325" s="24" t="n">
        <x:v>260.0485</x:v>
      </x:c>
      <x:c r="J325" s="24" t="n">
        <x:v>90.55879999999998</x:v>
      </x:c>
      <x:c r="K325" s="24" t="n">
        <x:v>1640.2333333333333</x:v>
      </x:c>
      <x:c r="L325" s="24" t="n">
        <x:v>2387.5</x:v>
      </x:c>
      <x:c r="M325" s="10" t="n">
        <x:v>3</x:v>
      </x:c>
      <x:c r="N325" s="10" t="n">
        <x:v>5</x:v>
      </x:c>
      <x:c r="O325" s="28" t="n">
        <x:f>IF(F325="有效",I325*'参数'!$B$10+J325*'参数'!$B$11,"n.a.")</x:f>
        <x:v>316.265314965</x:v>
      </x:c>
      <x:c r="P325" s="28" t="n">
        <x:f>IF(F325="有效",K325*'参数'!$B$12+L325*'参数'!$B$13,"n.a.")</x:f>
        <x:v>3515.8243625</x:v>
      </x:c>
      <x:c r="Q325" s="28" t="n">
        <x:f>IF(F325="有效",M325*'参数'!$B$14+N325*'参数'!$B$15,"n.a.")</x:f>
        <x:v>600</x:v>
      </x:c>
      <x:c r="R325" s="28" t="n">
        <x:f>IF(F325="有效",IF(D325&lt;=2,G325*('参数'!$B$6+'参数'!$B$18),0),"n.a.")</x:f>
        <x:v>0</x:v>
      </x:c>
      <x:c r="S325" s="28" t="n">
        <x:f>IF(F325="有效",IF(D325&gt;=3,G325*'参数'!$B$16,0),"n.a.")</x:f>
        <x:v>190.4</x:v>
      </x:c>
      <x:c r="T325" s="28" t="n">
        <x:f>IF(F325="有效",IF(D325&gt;=3,G325*'参数'!$B$17,0),"n.a.")</x:f>
        <x:v>23.8</x:v>
      </x:c>
      <x:c r="U325" s="28" t="n">
        <x:f>IF(F325="有效",SUM(O325:T325),"n.a.")</x:f>
        <x:v>4646.289677465</x:v>
      </x:c>
      <x:c r="V325" s="28" t="n">
        <x:f>IF(F325="有效",H325*'参数'!$B$7,"n.a.")</x:f>
        <x:v>8687</x:v>
      </x:c>
      <x:c r="W325" s="28" t="n">
        <x:f>IF(F325="有效",IF(D325&gt;=3,G325*'参数'!$B$7/'参数'!$B$8,0),"n.a.")</x:f>
        <x:v>173.74</x:v>
      </x:c>
      <x:c r="X325" s="28" t="n">
        <x:f>IF(F325="有效",U325+W325,"n.a.")</x:f>
        <x:v>4820.029677465</x:v>
      </x:c>
      <x:c r="Y325" s="28" t="n">
        <x:f>IF(F325="有效",X325/G325,"n.a.")</x:f>
        <x:v>20.252225535567224</x:v>
      </x:c>
    </x:row>
    <x:row r="326" ht="22" customHeight="1">
      <x:c r="A326" s="11" t="str">
        <x:v>lade_0828_30aoi</x:v>
      </x:c>
      <x:c r="B326" s="22" t="n">
        <x:v>30</x:v>
      </x:c>
      <x:c r="C326" s="22" t="n">
        <x:v>2</x:v>
      </x:c>
      <x:c r="D326" s="22" t="n">
        <x:v>5</x:v>
      </x:c>
      <x:c r="E326" s="22" t="n">
        <x:v>44</x:v>
      </x:c>
      <x:c r="F326" s="30" t="str">
        <x:v>有效</x:v>
      </x:c>
      <x:c r="G326" s="22" t="n">
        <x:v>238</x:v>
      </x:c>
      <x:c r="H326" s="22" t="n">
        <x:v>238</x:v>
      </x:c>
      <x:c r="I326" s="24" t="n">
        <x:v>214.8265</x:v>
      </x:c>
      <x:c r="J326" s="24" t="n">
        <x:v>93.6882</x:v>
      </x:c>
      <x:c r="K326" s="24" t="n">
        <x:v>1393.4166666666667</x:v>
      </x:c>
      <x:c r="L326" s="24" t="n">
        <x:v>2014.6</x:v>
      </x:c>
      <x:c r="M326" s="10" t="n">
        <x:v>2</x:v>
      </x:c>
      <x:c r="N326" s="10" t="n">
        <x:v>5</x:v>
      </x:c>
      <x:c r="O326" s="28" t="n">
        <x:f>IF(F326="有效",I326*'参数'!$B$10+J326*'参数'!$B$11,"n.a.")</x:f>
        <x:v>278.295685135</x:v>
      </x:c>
      <x:c r="P326" s="28" t="n">
        <x:f>IF(F326="有效",K326*'参数'!$B$12+L326*'参数'!$B$13,"n.a.")</x:f>
        <x:v>2976.745323958333</x:v>
      </x:c>
      <x:c r="Q326" s="28" t="n">
        <x:f>IF(F326="有效",M326*'参数'!$B$14+N326*'参数'!$B$15,"n.a.")</x:f>
        <x:v>500</x:v>
      </x:c>
      <x:c r="R326" s="28" t="n">
        <x:f>IF(F326="有效",IF(D326&lt;=2,G326*('参数'!$B$6+'参数'!$B$18),0),"n.a.")</x:f>
        <x:v>0</x:v>
      </x:c>
      <x:c r="S326" s="28" t="n">
        <x:f>IF(F326="有效",IF(D326&gt;=3,G326*'参数'!$B$16,0),"n.a.")</x:f>
        <x:v>190.4</x:v>
      </x:c>
      <x:c r="T326" s="28" t="n">
        <x:f>IF(F326="有效",IF(D326&gt;=3,G326*'参数'!$B$17,0),"n.a.")</x:f>
        <x:v>23.8</x:v>
      </x:c>
      <x:c r="U326" s="28" t="n">
        <x:f>IF(F326="有效",SUM(O326:T326),"n.a.")</x:f>
        <x:v>3969.241009093333</x:v>
      </x:c>
      <x:c r="V326" s="28" t="n">
        <x:f>IF(F326="有效",H326*'参数'!$B$7,"n.a.")</x:f>
        <x:v>8687</x:v>
      </x:c>
      <x:c r="W326" s="28" t="n">
        <x:f>IF(F326="有效",IF(D326&gt;=3,G326*'参数'!$B$7/'参数'!$B$8,0),"n.a.")</x:f>
        <x:v>173.74</x:v>
      </x:c>
      <x:c r="X326" s="28" t="n">
        <x:f>IF(F326="有效",U326+W326,"n.a.")</x:f>
        <x:v>4142.981009093333</x:v>
      </x:c>
      <x:c r="Y326" s="28" t="n">
        <x:f>IF(F326="有效",X326/G326,"n.a.")</x:f>
        <x:v>17.407483231484594</x:v>
      </x:c>
    </x:row>
    <x:row r="327" ht="22" customHeight="1">
      <x:c r="A327" s="11" t="str">
        <x:v>lade_0828_30aoi</x:v>
      </x:c>
      <x:c r="B327" s="22" t="n">
        <x:v>30</x:v>
      </x:c>
      <x:c r="C327" s="22" t="n">
        <x:v>3</x:v>
      </x:c>
      <x:c r="D327" s="22" t="n">
        <x:v>5</x:v>
      </x:c>
      <x:c r="E327" s="22" t="n">
        <x:v>42</x:v>
      </x:c>
      <x:c r="F327" s="30" t="str">
        <x:v>有效</x:v>
      </x:c>
      <x:c r="G327" s="22" t="n">
        <x:v>238</x:v>
      </x:c>
      <x:c r="H327" s="22" t="n">
        <x:v>238</x:v>
      </x:c>
      <x:c r="I327" s="24" t="n">
        <x:v>318.29200000000003</x:v>
      </x:c>
      <x:c r="J327" s="24" t="n">
        <x:v>101.29670000000004</x:v>
      </x:c>
      <x:c r="K327" s="24" t="n">
        <x:v>1366.4166666666667</x:v>
      </x:c>
      <x:c r="L327" s="24" t="n">
        <x:v>2364.0666666666666</x:v>
      </x:c>
      <x:c r="M327" s="10" t="n">
        <x:v>3</x:v>
      </x:c>
      <x:c r="N327" s="10" t="n">
        <x:v>6</x:v>
      </x:c>
      <x:c r="O327" s="28" t="n">
        <x:f>IF(F327="有效",I327*'参数'!$B$10+J327*'参数'!$B$11,"n.a.")</x:f>
        <x:v>378.4899868350001</x:v>
      </x:c>
      <x:c r="P327" s="28" t="n">
        <x:f>IF(F327="有效",K327*'参数'!$B$12+L327*'参数'!$B$13,"n.a.")</x:f>
        <x:v>3204.8014642361113</x:v>
      </x:c>
      <x:c r="Q327" s="28" t="n">
        <x:f>IF(F327="有效",M327*'参数'!$B$14+N327*'参数'!$B$15,"n.a.")</x:f>
        <x:v>660</x:v>
      </x:c>
      <x:c r="R327" s="28" t="n">
        <x:f>IF(F327="有效",IF(D327&lt;=2,G327*('参数'!$B$6+'参数'!$B$18),0),"n.a.")</x:f>
        <x:v>0</x:v>
      </x:c>
      <x:c r="S327" s="28" t="n">
        <x:f>IF(F327="有效",IF(D327&gt;=3,G327*'参数'!$B$16,0),"n.a.")</x:f>
        <x:v>190.4</x:v>
      </x:c>
      <x:c r="T327" s="28" t="n">
        <x:f>IF(F327="有效",IF(D327&gt;=3,G327*'参数'!$B$17,0),"n.a.")</x:f>
        <x:v>23.8</x:v>
      </x:c>
      <x:c r="U327" s="28" t="n">
        <x:f>IF(F327="有效",SUM(O327:T327),"n.a.")</x:f>
        <x:v>4457.491451071111</x:v>
      </x:c>
      <x:c r="V327" s="28" t="n">
        <x:f>IF(F327="有效",H327*'参数'!$B$7,"n.a.")</x:f>
        <x:v>8687</x:v>
      </x:c>
      <x:c r="W327" s="28" t="n">
        <x:f>IF(F327="有效",IF(D327&gt;=3,G327*'参数'!$B$7/'参数'!$B$8,0),"n.a.")</x:f>
        <x:v>173.74</x:v>
      </x:c>
      <x:c r="X327" s="28" t="n">
        <x:f>IF(F327="有效",U327+W327,"n.a.")</x:f>
        <x:v>4631.231451071111</x:v>
      </x:c>
      <x:c r="Y327" s="28" t="n">
        <x:f>IF(F327="有效",X327/G327,"n.a.")</x:f>
        <x:v>19.458955676769374</x:v>
      </x:c>
    </x:row>
    <x:row r="328" ht="22" customHeight="1">
      <x:c r="A328" s="11" t="str">
        <x:v>lade_0828_30aoi</x:v>
      </x:c>
      <x:c r="B328" s="22" t="n">
        <x:v>30</x:v>
      </x:c>
      <x:c r="C328" s="22" t="n">
        <x:v>3</x:v>
      </x:c>
      <x:c r="D328" s="22" t="n">
        <x:v>5</x:v>
      </x:c>
      <x:c r="E328" s="22" t="n">
        <x:v>43</x:v>
      </x:c>
      <x:c r="F328" s="30" t="str">
        <x:v>有效</x:v>
      </x:c>
      <x:c r="G328" s="22" t="n">
        <x:v>238</x:v>
      </x:c>
      <x:c r="H328" s="22" t="n">
        <x:v>238</x:v>
      </x:c>
      <x:c r="I328" s="24" t="n">
        <x:v>226.86150000000004</x:v>
      </x:c>
      <x:c r="J328" s="24" t="n">
        <x:v>101.6114</x:v>
      </x:c>
      <x:c r="K328" s="24" t="n">
        <x:v>915.6</x:v>
      </x:c>
      <x:c r="L328" s="24" t="n">
        <x:v>2545.4333333333334</x:v>
      </x:c>
      <x:c r="M328" s="10" t="n">
        <x:v>3</x:v>
      </x:c>
      <x:c r="N328" s="10" t="n">
        <x:v>6</x:v>
      </x:c>
      <x:c r="O328" s="28" t="n">
        <x:f>IF(F328="有效",I328*'参数'!$B$10+J328*'参数'!$B$11,"n.a.")</x:f>
        <x:v>296.29897944500004</x:v>
      </x:c>
      <x:c r="P328" s="28" t="n">
        <x:f>IF(F328="有效",K328*'参数'!$B$12+L328*'参数'!$B$13,"n.a.")</x:f>
        <x:v>2854.4947618055558</x:v>
      </x:c>
      <x:c r="Q328" s="28" t="n">
        <x:f>IF(F328="有效",M328*'参数'!$B$14+N328*'参数'!$B$15,"n.a.")</x:f>
        <x:v>660</x:v>
      </x:c>
      <x:c r="R328" s="28" t="n">
        <x:f>IF(F328="有效",IF(D328&lt;=2,G328*('参数'!$B$6+'参数'!$B$18),0),"n.a.")</x:f>
        <x:v>0</x:v>
      </x:c>
      <x:c r="S328" s="28" t="n">
        <x:f>IF(F328="有效",IF(D328&gt;=3,G328*'参数'!$B$16,0),"n.a.")</x:f>
        <x:v>190.4</x:v>
      </x:c>
      <x:c r="T328" s="28" t="n">
        <x:f>IF(F328="有效",IF(D328&gt;=3,G328*'参数'!$B$17,0),"n.a.")</x:f>
        <x:v>23.8</x:v>
      </x:c>
      <x:c r="U328" s="28" t="n">
        <x:f>IF(F328="有效",SUM(O328:T328),"n.a.")</x:f>
        <x:v>4024.993741250556</x:v>
      </x:c>
      <x:c r="V328" s="28" t="n">
        <x:f>IF(F328="有效",H328*'参数'!$B$7,"n.a.")</x:f>
        <x:v>8687</x:v>
      </x:c>
      <x:c r="W328" s="28" t="n">
        <x:f>IF(F328="有效",IF(D328&gt;=3,G328*'参数'!$B$7/'参数'!$B$8,0),"n.a.")</x:f>
        <x:v>173.74</x:v>
      </x:c>
      <x:c r="X328" s="28" t="n">
        <x:f>IF(F328="有效",U328+W328,"n.a.")</x:f>
        <x:v>4198.733741250556</x:v>
      </x:c>
      <x:c r="Y328" s="28" t="n">
        <x:f>IF(F328="有效",X328/G328,"n.a.")</x:f>
        <x:v>17.64173840861578</x:v>
      </x:c>
    </x:row>
    <x:row r="329" ht="22" customHeight="1">
      <x:c r="A329" s="11" t="str">
        <x:v>lade_0828_30aoi</x:v>
      </x:c>
      <x:c r="B329" s="22" t="n">
        <x:v>30</x:v>
      </x:c>
      <x:c r="C329" s="22" t="n">
        <x:v>3</x:v>
      </x:c>
      <x:c r="D329" s="22" t="n">
        <x:v>5</x:v>
      </x:c>
      <x:c r="E329" s="22" t="n">
        <x:v>44</x:v>
      </x:c>
      <x:c r="F329" s="30" t="str">
        <x:v>有效</x:v>
      </x:c>
      <x:c r="G329" s="22" t="n">
        <x:v>238</x:v>
      </x:c>
      <x:c r="H329" s="22" t="n">
        <x:v>238</x:v>
      </x:c>
      <x:c r="I329" s="24" t="n">
        <x:v>319.31730000000005</x:v>
      </x:c>
      <x:c r="J329" s="24" t="n">
        <x:v>101.29669999999999</x:v>
      </x:c>
      <x:c r="K329" s="24" t="n">
        <x:v>1214.1333333333334</x:v>
      </x:c>
      <x:c r="L329" s="24" t="n">
        <x:v>2411.633333333333</x:v>
      </x:c>
      <x:c r="M329" s="10" t="n">
        <x:v>3</x:v>
      </x:c>
      <x:c r="N329" s="10" t="n">
        <x:v>6</x:v>
      </x:c>
      <x:c r="O329" s="28" t="n">
        <x:f>IF(F329="有效",I329*'参数'!$B$10+J329*'参数'!$B$11,"n.a.")</x:f>
        <x:v>379.4148587000001</x:v>
      </x:c>
      <x:c r="P329" s="28" t="n">
        <x:f>IF(F329="有效",K329*'参数'!$B$12+L329*'参数'!$B$13,"n.a.")</x:f>
        <x:v>3076.3952576388892</x:v>
      </x:c>
      <x:c r="Q329" s="28" t="n">
        <x:f>IF(F329="有效",M329*'参数'!$B$14+N329*'参数'!$B$15,"n.a.")</x:f>
        <x:v>660</x:v>
      </x:c>
      <x:c r="R329" s="28" t="n">
        <x:f>IF(F329="有效",IF(D329&lt;=2,G329*('参数'!$B$6+'参数'!$B$18),0),"n.a.")</x:f>
        <x:v>0</x:v>
      </x:c>
      <x:c r="S329" s="28" t="n">
        <x:f>IF(F329="有效",IF(D329&gt;=3,G329*'参数'!$B$16,0),"n.a.")</x:f>
        <x:v>190.4</x:v>
      </x:c>
      <x:c r="T329" s="28" t="n">
        <x:f>IF(F329="有效",IF(D329&gt;=3,G329*'参数'!$B$17,0),"n.a.")</x:f>
        <x:v>23.8</x:v>
      </x:c>
      <x:c r="U329" s="28" t="n">
        <x:f>IF(F329="有效",SUM(O329:T329),"n.a.")</x:f>
        <x:v>4330.010116338889</x:v>
      </x:c>
      <x:c r="V329" s="28" t="n">
        <x:f>IF(F329="有效",H329*'参数'!$B$7,"n.a.")</x:f>
        <x:v>8687</x:v>
      </x:c>
      <x:c r="W329" s="28" t="n">
        <x:f>IF(F329="有效",IF(D329&gt;=3,G329*'参数'!$B$7/'参数'!$B$8,0),"n.a.")</x:f>
        <x:v>173.74</x:v>
      </x:c>
      <x:c r="X329" s="28" t="n">
        <x:f>IF(F329="有效",U329+W329,"n.a.")</x:f>
        <x:v>4503.750116338889</x:v>
      </x:c>
      <x:c r="Y329" s="28" t="n">
        <x:f>IF(F329="有效",X329/G329,"n.a.")</x:f>
        <x:v>18.923319816549952</x:v>
      </x:c>
    </x:row>
    <x:row r="330" ht="22" customHeight="1">
      <x:c r="A330" s="11" t="str">
        <x:v>lade_0829_10aoi</x:v>
      </x:c>
      <x:c r="B330" s="22" t="n">
        <x:v>10</x:v>
      </x:c>
      <x:c r="C330" s="22" t="n">
        <x:v>1</x:v>
      </x:c>
      <x:c r="D330" s="22" t="n">
        <x:v>1</x:v>
      </x:c>
      <x:c r="E330" s="22" t="n">
        <x:v>42</x:v>
      </x:c>
      <x:c r="F330" s="30" t="str">
        <x:v>有效</x:v>
      </x:c>
      <x:c r="G330" s="22" t="n">
        <x:v>116</x:v>
      </x:c>
      <x:c r="H330" s="22" t="n">
        <x:v>0</x:v>
      </x:c>
      <x:c r="I330" s="24" t="n">
        <x:v>59.477500000000006</x:v>
      </x:c>
      <x:c r="J330" s="24" t="n">
        <x:v>37.6999</x:v>
      </x:c>
      <x:c r="K330" s="24" t="n">
        <x:v>60.63333333333333</x:v>
      </x:c>
      <x:c r="L330" s="24" t="n">
        <x:v>1207.25</x:v>
      </x:c>
      <x:c r="M330" s="10" t="n">
        <x:v>1</x:v>
      </x:c>
      <x:c r="N330" s="10" t="n">
        <x:v>3</x:v>
      </x:c>
      <x:c r="O330" s="28" t="n">
        <x:f>IF(F330="有效",I330*'参数'!$B$10+J330*'参数'!$B$11,"n.a.")</x:f>
        <x:v>87.65887367000002</x:v>
      </x:c>
      <x:c r="P330" s="28" t="n">
        <x:f>IF(F330="有效",K330*'参数'!$B$12+L330*'参数'!$B$13,"n.a.")</x:f>
        <x:v>952.9630010416666</x:v>
      </x:c>
      <x:c r="Q330" s="28" t="n">
        <x:f>IF(F330="有效",M330*'参数'!$B$14+N330*'参数'!$B$15,"n.a.")</x:f>
        <x:v>280</x:v>
      </x:c>
      <x:c r="R330" s="28" t="n">
        <x:f>IF(F330="有效",IF(D330&lt;=2,G330*('参数'!$B$6+'参数'!$B$18),0),"n.a.")</x:f>
        <x:v>464</x:v>
      </x:c>
      <x:c r="S330" s="28" t="n">
        <x:f>IF(F330="有效",IF(D330&gt;=3,G330*'参数'!$B$16,0),"n.a.")</x:f>
        <x:v>0</x:v>
      </x:c>
      <x:c r="T330" s="28" t="n">
        <x:f>IF(F330="有效",IF(D330&gt;=3,G330*'参数'!$B$17,0),"n.a.")</x:f>
        <x:v>0</x:v>
      </x:c>
      <x:c r="U330" s="28" t="n">
        <x:f>IF(F330="有效",SUM(O330:T330),"n.a.")</x:f>
        <x:v>1784.6218747116666</x:v>
      </x:c>
      <x:c r="V330" s="28" t="n">
        <x:f>IF(F330="有效",H330*'参数'!$B$7,"n.a.")</x:f>
        <x:v>0</x:v>
      </x:c>
      <x:c r="W330" s="28" t="n">
        <x:f>IF(F330="有效",IF(D330&gt;=3,G330*'参数'!$B$7/'参数'!$B$8,0),"n.a.")</x:f>
        <x:v>0</x:v>
      </x:c>
      <x:c r="X330" s="28" t="n">
        <x:f>IF(F330="有效",U330+W330,"n.a.")</x:f>
        <x:v>1784.6218747116666</x:v>
      </x:c>
      <x:c r="Y330" s="28" t="n">
        <x:f>IF(F330="有效",X330/G330,"n.a.")</x:f>
        <x:v>15.384671333721263</x:v>
      </x:c>
    </x:row>
    <x:row r="331" ht="22" customHeight="1">
      <x:c r="A331" s="11" t="str">
        <x:v>lade_0829_10aoi</x:v>
      </x:c>
      <x:c r="B331" s="22" t="n">
        <x:v>10</x:v>
      </x:c>
      <x:c r="C331" s="22" t="n">
        <x:v>1</x:v>
      </x:c>
      <x:c r="D331" s="22" t="n">
        <x:v>1</x:v>
      </x:c>
      <x:c r="E331" s="22" t="n">
        <x:v>43</x:v>
      </x:c>
      <x:c r="F331" s="30" t="str">
        <x:v>有效</x:v>
      </x:c>
      <x:c r="G331" s="22" t="n">
        <x:v>116</x:v>
      </x:c>
      <x:c r="H331" s="22" t="n">
        <x:v>0</x:v>
      </x:c>
      <x:c r="I331" s="24" t="n">
        <x:v>59.477500000000006</x:v>
      </x:c>
      <x:c r="J331" s="24" t="n">
        <x:v>37.6999</x:v>
      </x:c>
      <x:c r="K331" s="24" t="n">
        <x:v>60.63333333333333</x:v>
      </x:c>
      <x:c r="L331" s="24" t="n">
        <x:v>1207.25</x:v>
      </x:c>
      <x:c r="M331" s="10" t="n">
        <x:v>1</x:v>
      </x:c>
      <x:c r="N331" s="10" t="n">
        <x:v>3</x:v>
      </x:c>
      <x:c r="O331" s="28" t="n">
        <x:f>IF(F331="有效",I331*'参数'!$B$10+J331*'参数'!$B$11,"n.a.")</x:f>
        <x:v>87.65887367000002</x:v>
      </x:c>
      <x:c r="P331" s="28" t="n">
        <x:f>IF(F331="有效",K331*'参数'!$B$12+L331*'参数'!$B$13,"n.a.")</x:f>
        <x:v>952.9630010416666</x:v>
      </x:c>
      <x:c r="Q331" s="28" t="n">
        <x:f>IF(F331="有效",M331*'参数'!$B$14+N331*'参数'!$B$15,"n.a.")</x:f>
        <x:v>280</x:v>
      </x:c>
      <x:c r="R331" s="28" t="n">
        <x:f>IF(F331="有效",IF(D331&lt;=2,G331*('参数'!$B$6+'参数'!$B$18),0),"n.a.")</x:f>
        <x:v>464</x:v>
      </x:c>
      <x:c r="S331" s="28" t="n">
        <x:f>IF(F331="有效",IF(D331&gt;=3,G331*'参数'!$B$16,0),"n.a.")</x:f>
        <x:v>0</x:v>
      </x:c>
      <x:c r="T331" s="28" t="n">
        <x:f>IF(F331="有效",IF(D331&gt;=3,G331*'参数'!$B$17,0),"n.a.")</x:f>
        <x:v>0</x:v>
      </x:c>
      <x:c r="U331" s="28" t="n">
        <x:f>IF(F331="有效",SUM(O331:T331),"n.a.")</x:f>
        <x:v>1784.6218747116666</x:v>
      </x:c>
      <x:c r="V331" s="28" t="n">
        <x:f>IF(F331="有效",H331*'参数'!$B$7,"n.a.")</x:f>
        <x:v>0</x:v>
      </x:c>
      <x:c r="W331" s="28" t="n">
        <x:f>IF(F331="有效",IF(D331&gt;=3,G331*'参数'!$B$7/'参数'!$B$8,0),"n.a.")</x:f>
        <x:v>0</x:v>
      </x:c>
      <x:c r="X331" s="28" t="n">
        <x:f>IF(F331="有效",U331+W331,"n.a.")</x:f>
        <x:v>1784.6218747116666</x:v>
      </x:c>
      <x:c r="Y331" s="28" t="n">
        <x:f>IF(F331="有效",X331/G331,"n.a.")</x:f>
        <x:v>15.384671333721263</x:v>
      </x:c>
    </x:row>
    <x:row r="332" ht="22" customHeight="1">
      <x:c r="A332" s="11" t="str">
        <x:v>lade_0829_10aoi</x:v>
      </x:c>
      <x:c r="B332" s="22" t="n">
        <x:v>10</x:v>
      </x:c>
      <x:c r="C332" s="22" t="n">
        <x:v>1</x:v>
      </x:c>
      <x:c r="D332" s="22" t="n">
        <x:v>1</x:v>
      </x:c>
      <x:c r="E332" s="22" t="n">
        <x:v>44</x:v>
      </x:c>
      <x:c r="F332" s="30" t="str">
        <x:v>有效</x:v>
      </x:c>
      <x:c r="G332" s="22" t="n">
        <x:v>116</x:v>
      </x:c>
      <x:c r="H332" s="22" t="n">
        <x:v>0</x:v>
      </x:c>
      <x:c r="I332" s="24" t="n">
        <x:v>59.477500000000006</x:v>
      </x:c>
      <x:c r="J332" s="24" t="n">
        <x:v>37.6999</x:v>
      </x:c>
      <x:c r="K332" s="24" t="n">
        <x:v>60.63333333333333</x:v>
      </x:c>
      <x:c r="L332" s="24" t="n">
        <x:v>1207.25</x:v>
      </x:c>
      <x:c r="M332" s="10" t="n">
        <x:v>1</x:v>
      </x:c>
      <x:c r="N332" s="10" t="n">
        <x:v>3</x:v>
      </x:c>
      <x:c r="O332" s="28" t="n">
        <x:f>IF(F332="有效",I332*'参数'!$B$10+J332*'参数'!$B$11,"n.a.")</x:f>
        <x:v>87.65887367000002</x:v>
      </x:c>
      <x:c r="P332" s="28" t="n">
        <x:f>IF(F332="有效",K332*'参数'!$B$12+L332*'参数'!$B$13,"n.a.")</x:f>
        <x:v>952.9630010416666</x:v>
      </x:c>
      <x:c r="Q332" s="28" t="n">
        <x:f>IF(F332="有效",M332*'参数'!$B$14+N332*'参数'!$B$15,"n.a.")</x:f>
        <x:v>280</x:v>
      </x:c>
      <x:c r="R332" s="28" t="n">
        <x:f>IF(F332="有效",IF(D332&lt;=2,G332*('参数'!$B$6+'参数'!$B$18),0),"n.a.")</x:f>
        <x:v>464</x:v>
      </x:c>
      <x:c r="S332" s="28" t="n">
        <x:f>IF(F332="有效",IF(D332&gt;=3,G332*'参数'!$B$16,0),"n.a.")</x:f>
        <x:v>0</x:v>
      </x:c>
      <x:c r="T332" s="28" t="n">
        <x:f>IF(F332="有效",IF(D332&gt;=3,G332*'参数'!$B$17,0),"n.a.")</x:f>
        <x:v>0</x:v>
      </x:c>
      <x:c r="U332" s="28" t="n">
        <x:f>IF(F332="有效",SUM(O332:T332),"n.a.")</x:f>
        <x:v>1784.6218747116666</x:v>
      </x:c>
      <x:c r="V332" s="28" t="n">
        <x:f>IF(F332="有效",H332*'参数'!$B$7,"n.a.")</x:f>
        <x:v>0</x:v>
      </x:c>
      <x:c r="W332" s="28" t="n">
        <x:f>IF(F332="有效",IF(D332&gt;=3,G332*'参数'!$B$7/'参数'!$B$8,0),"n.a.")</x:f>
        <x:v>0</x:v>
      </x:c>
      <x:c r="X332" s="28" t="n">
        <x:f>IF(F332="有效",U332+W332,"n.a.")</x:f>
        <x:v>1784.6218747116666</x:v>
      </x:c>
      <x:c r="Y332" s="28" t="n">
        <x:f>IF(F332="有效",X332/G332,"n.a.")</x:f>
        <x:v>15.384671333721263</x:v>
      </x:c>
    </x:row>
    <x:row r="333" ht="22" customHeight="1">
      <x:c r="A333" s="11" t="str">
        <x:v>lade_0829_10aoi</x:v>
      </x:c>
      <x:c r="B333" s="22" t="n">
        <x:v>10</x:v>
      </x:c>
      <x:c r="C333" s="22" t="n">
        <x:v>1</x:v>
      </x:c>
      <x:c r="D333" s="22" t="n">
        <x:v>2</x:v>
      </x:c>
      <x:c r="E333" s="22" t="n">
        <x:v>42</x:v>
      </x:c>
      <x:c r="F333" s="30" t="str">
        <x:v>有效</x:v>
      </x:c>
      <x:c r="G333" s="22" t="n">
        <x:v>116</x:v>
      </x:c>
      <x:c r="H333" s="22" t="n">
        <x:v>0</x:v>
      </x:c>
      <x:c r="I333" s="24" t="n">
        <x:v>59.477500000000006</x:v>
      </x:c>
      <x:c r="J333" s="24" t="n">
        <x:v>37.6999</x:v>
      </x:c>
      <x:c r="K333" s="24" t="n">
        <x:v>60.63333333333333</x:v>
      </x:c>
      <x:c r="L333" s="24" t="n">
        <x:v>1207.25</x:v>
      </x:c>
      <x:c r="M333" s="10" t="n">
        <x:v>1</x:v>
      </x:c>
      <x:c r="N333" s="10" t="n">
        <x:v>3</x:v>
      </x:c>
      <x:c r="O333" s="28" t="n">
        <x:f>IF(F333="有效",I333*'参数'!$B$10+J333*'参数'!$B$11,"n.a.")</x:f>
        <x:v>87.65887367000002</x:v>
      </x:c>
      <x:c r="P333" s="28" t="n">
        <x:f>IF(F333="有效",K333*'参数'!$B$12+L333*'参数'!$B$13,"n.a.")</x:f>
        <x:v>952.9630010416666</x:v>
      </x:c>
      <x:c r="Q333" s="28" t="n">
        <x:f>IF(F333="有效",M333*'参数'!$B$14+N333*'参数'!$B$15,"n.a.")</x:f>
        <x:v>280</x:v>
      </x:c>
      <x:c r="R333" s="28" t="n">
        <x:f>IF(F333="有效",IF(D333&lt;=2,G333*('参数'!$B$6+'参数'!$B$18),0),"n.a.")</x:f>
        <x:v>464</x:v>
      </x:c>
      <x:c r="S333" s="28" t="n">
        <x:f>IF(F333="有效",IF(D333&gt;=3,G333*'参数'!$B$16,0),"n.a.")</x:f>
        <x:v>0</x:v>
      </x:c>
      <x:c r="T333" s="28" t="n">
        <x:f>IF(F333="有效",IF(D333&gt;=3,G333*'参数'!$B$17,0),"n.a.")</x:f>
        <x:v>0</x:v>
      </x:c>
      <x:c r="U333" s="28" t="n">
        <x:f>IF(F333="有效",SUM(O333:T333),"n.a.")</x:f>
        <x:v>1784.6218747116666</x:v>
      </x:c>
      <x:c r="V333" s="28" t="n">
        <x:f>IF(F333="有效",H333*'参数'!$B$7,"n.a.")</x:f>
        <x:v>0</x:v>
      </x:c>
      <x:c r="W333" s="28" t="n">
        <x:f>IF(F333="有效",IF(D333&gt;=3,G333*'参数'!$B$7/'参数'!$B$8,0),"n.a.")</x:f>
        <x:v>0</x:v>
      </x:c>
      <x:c r="X333" s="28" t="n">
        <x:f>IF(F333="有效",U333+W333,"n.a.")</x:f>
        <x:v>1784.6218747116666</x:v>
      </x:c>
      <x:c r="Y333" s="28" t="n">
        <x:f>IF(F333="有效",X333/G333,"n.a.")</x:f>
        <x:v>15.384671333721263</x:v>
      </x:c>
    </x:row>
    <x:row r="334" ht="22" customHeight="1">
      <x:c r="A334" s="11" t="str">
        <x:v>lade_0829_10aoi</x:v>
      </x:c>
      <x:c r="B334" s="22" t="n">
        <x:v>10</x:v>
      </x:c>
      <x:c r="C334" s="22" t="n">
        <x:v>1</x:v>
      </x:c>
      <x:c r="D334" s="22" t="n">
        <x:v>2</x:v>
      </x:c>
      <x:c r="E334" s="22" t="n">
        <x:v>43</x:v>
      </x:c>
      <x:c r="F334" s="30" t="str">
        <x:v>有效</x:v>
      </x:c>
      <x:c r="G334" s="22" t="n">
        <x:v>116</x:v>
      </x:c>
      <x:c r="H334" s="22" t="n">
        <x:v>0</x:v>
      </x:c>
      <x:c r="I334" s="24" t="n">
        <x:v>59.477500000000006</x:v>
      </x:c>
      <x:c r="J334" s="24" t="n">
        <x:v>37.6999</x:v>
      </x:c>
      <x:c r="K334" s="24" t="n">
        <x:v>60.63333333333333</x:v>
      </x:c>
      <x:c r="L334" s="24" t="n">
        <x:v>1207.25</x:v>
      </x:c>
      <x:c r="M334" s="10" t="n">
        <x:v>1</x:v>
      </x:c>
      <x:c r="N334" s="10" t="n">
        <x:v>3</x:v>
      </x:c>
      <x:c r="O334" s="28" t="n">
        <x:f>IF(F334="有效",I334*'参数'!$B$10+J334*'参数'!$B$11,"n.a.")</x:f>
        <x:v>87.65887367000002</x:v>
      </x:c>
      <x:c r="P334" s="28" t="n">
        <x:f>IF(F334="有效",K334*'参数'!$B$12+L334*'参数'!$B$13,"n.a.")</x:f>
        <x:v>952.9630010416666</x:v>
      </x:c>
      <x:c r="Q334" s="28" t="n">
        <x:f>IF(F334="有效",M334*'参数'!$B$14+N334*'参数'!$B$15,"n.a.")</x:f>
        <x:v>280</x:v>
      </x:c>
      <x:c r="R334" s="28" t="n">
        <x:f>IF(F334="有效",IF(D334&lt;=2,G334*('参数'!$B$6+'参数'!$B$18),0),"n.a.")</x:f>
        <x:v>464</x:v>
      </x:c>
      <x:c r="S334" s="28" t="n">
        <x:f>IF(F334="有效",IF(D334&gt;=3,G334*'参数'!$B$16,0),"n.a.")</x:f>
        <x:v>0</x:v>
      </x:c>
      <x:c r="T334" s="28" t="n">
        <x:f>IF(F334="有效",IF(D334&gt;=3,G334*'参数'!$B$17,0),"n.a.")</x:f>
        <x:v>0</x:v>
      </x:c>
      <x:c r="U334" s="28" t="n">
        <x:f>IF(F334="有效",SUM(O334:T334),"n.a.")</x:f>
        <x:v>1784.6218747116666</x:v>
      </x:c>
      <x:c r="V334" s="28" t="n">
        <x:f>IF(F334="有效",H334*'参数'!$B$7,"n.a.")</x:f>
        <x:v>0</x:v>
      </x:c>
      <x:c r="W334" s="28" t="n">
        <x:f>IF(F334="有效",IF(D334&gt;=3,G334*'参数'!$B$7/'参数'!$B$8,0),"n.a.")</x:f>
        <x:v>0</x:v>
      </x:c>
      <x:c r="X334" s="28" t="n">
        <x:f>IF(F334="有效",U334+W334,"n.a.")</x:f>
        <x:v>1784.6218747116666</x:v>
      </x:c>
      <x:c r="Y334" s="28" t="n">
        <x:f>IF(F334="有效",X334/G334,"n.a.")</x:f>
        <x:v>15.384671333721263</x:v>
      </x:c>
    </x:row>
    <x:row r="335" ht="22" customHeight="1">
      <x:c r="A335" s="11" t="str">
        <x:v>lade_0829_10aoi</x:v>
      </x:c>
      <x:c r="B335" s="22" t="n">
        <x:v>10</x:v>
      </x:c>
      <x:c r="C335" s="22" t="n">
        <x:v>1</x:v>
      </x:c>
      <x:c r="D335" s="22" t="n">
        <x:v>2</x:v>
      </x:c>
      <x:c r="E335" s="22" t="n">
        <x:v>44</x:v>
      </x:c>
      <x:c r="F335" s="30" t="str">
        <x:v>有效</x:v>
      </x:c>
      <x:c r="G335" s="22" t="n">
        <x:v>116</x:v>
      </x:c>
      <x:c r="H335" s="22" t="n">
        <x:v>0</x:v>
      </x:c>
      <x:c r="I335" s="24" t="n">
        <x:v>59.477500000000006</x:v>
      </x:c>
      <x:c r="J335" s="24" t="n">
        <x:v>37.6999</x:v>
      </x:c>
      <x:c r="K335" s="24" t="n">
        <x:v>60.63333333333333</x:v>
      </x:c>
      <x:c r="L335" s="24" t="n">
        <x:v>1207.25</x:v>
      </x:c>
      <x:c r="M335" s="10" t="n">
        <x:v>1</x:v>
      </x:c>
      <x:c r="N335" s="10" t="n">
        <x:v>3</x:v>
      </x:c>
      <x:c r="O335" s="28" t="n">
        <x:f>IF(F335="有效",I335*'参数'!$B$10+J335*'参数'!$B$11,"n.a.")</x:f>
        <x:v>87.65887367000002</x:v>
      </x:c>
      <x:c r="P335" s="28" t="n">
        <x:f>IF(F335="有效",K335*'参数'!$B$12+L335*'参数'!$B$13,"n.a.")</x:f>
        <x:v>952.9630010416666</x:v>
      </x:c>
      <x:c r="Q335" s="28" t="n">
        <x:f>IF(F335="有效",M335*'参数'!$B$14+N335*'参数'!$B$15,"n.a.")</x:f>
        <x:v>280</x:v>
      </x:c>
      <x:c r="R335" s="28" t="n">
        <x:f>IF(F335="有效",IF(D335&lt;=2,G335*('参数'!$B$6+'参数'!$B$18),0),"n.a.")</x:f>
        <x:v>464</x:v>
      </x:c>
      <x:c r="S335" s="28" t="n">
        <x:f>IF(F335="有效",IF(D335&gt;=3,G335*'参数'!$B$16,0),"n.a.")</x:f>
        <x:v>0</x:v>
      </x:c>
      <x:c r="T335" s="28" t="n">
        <x:f>IF(F335="有效",IF(D335&gt;=3,G335*'参数'!$B$17,0),"n.a.")</x:f>
        <x:v>0</x:v>
      </x:c>
      <x:c r="U335" s="28" t="n">
        <x:f>IF(F335="有效",SUM(O335:T335),"n.a.")</x:f>
        <x:v>1784.6218747116666</x:v>
      </x:c>
      <x:c r="V335" s="28" t="n">
        <x:f>IF(F335="有效",H335*'参数'!$B$7,"n.a.")</x:f>
        <x:v>0</x:v>
      </x:c>
      <x:c r="W335" s="28" t="n">
        <x:f>IF(F335="有效",IF(D335&gt;=3,G335*'参数'!$B$7/'参数'!$B$8,0),"n.a.")</x:f>
        <x:v>0</x:v>
      </x:c>
      <x:c r="X335" s="28" t="n">
        <x:f>IF(F335="有效",U335+W335,"n.a.")</x:f>
        <x:v>1784.6218747116666</x:v>
      </x:c>
      <x:c r="Y335" s="28" t="n">
        <x:f>IF(F335="有效",X335/G335,"n.a.")</x:f>
        <x:v>15.384671333721263</x:v>
      </x:c>
    </x:row>
    <x:row r="336" ht="22" customHeight="1">
      <x:c r="A336" s="11" t="str">
        <x:v>lade_0829_10aoi</x:v>
      </x:c>
      <x:c r="B336" s="22" t="n">
        <x:v>10</x:v>
      </x:c>
      <x:c r="C336" s="22" t="n">
        <x:v>1</x:v>
      </x:c>
      <x:c r="D336" s="22" t="n">
        <x:v>3</x:v>
      </x:c>
      <x:c r="E336" s="22" t="n">
        <x:v>42</x:v>
      </x:c>
      <x:c r="F336" s="30" t="str">
        <x:v>有效</x:v>
      </x:c>
      <x:c r="G336" s="22" t="n">
        <x:v>116</x:v>
      </x:c>
      <x:c r="H336" s="22" t="n">
        <x:v>116</x:v>
      </x:c>
      <x:c r="I336" s="24" t="n">
        <x:v>63.013999999999996</x:v>
      </x:c>
      <x:c r="J336" s="24" t="n">
        <x:v>39.4994</x:v>
      </x:c>
      <x:c r="K336" s="24" t="n">
        <x:v>738.65</x:v>
      </x:c>
      <x:c r="L336" s="24" t="n">
        <x:v>1423.25</x:v>
      </x:c>
      <x:c r="M336" s="10" t="n">
        <x:v>1</x:v>
      </x:c>
      <x:c r="N336" s="10" t="n">
        <x:v>3</x:v>
      </x:c>
      <x:c r="O336" s="28" t="n">
        <x:f>IF(F336="有效",I336*'参数'!$B$10+J336*'参数'!$B$11,"n.a.")</x:f>
        <x:v>92.47221247</x:v>
      </x:c>
      <x:c r="P336" s="28" t="n">
        <x:f>IF(F336="有效",K336*'参数'!$B$12+L336*'参数'!$B$13,"n.a.")</x:f>
        <x:v>1839.2960083333332</x:v>
      </x:c>
      <x:c r="Q336" s="28" t="n">
        <x:f>IF(F336="有效",M336*'参数'!$B$14+N336*'参数'!$B$15,"n.a.")</x:f>
        <x:v>280</x:v>
      </x:c>
      <x:c r="R336" s="28" t="n">
        <x:f>IF(F336="有效",IF(D336&lt;=2,G336*('参数'!$B$6+'参数'!$B$18),0),"n.a.")</x:f>
        <x:v>0</x:v>
      </x:c>
      <x:c r="S336" s="28" t="n">
        <x:f>IF(F336="有效",IF(D336&gt;=3,G336*'参数'!$B$16,0),"n.a.")</x:f>
        <x:v>92.80000000000001</x:v>
      </x:c>
      <x:c r="T336" s="28" t="n">
        <x:f>IF(F336="有效",IF(D336&gt;=3,G336*'参数'!$B$17,0),"n.a.")</x:f>
        <x:v>11.600000000000001</x:v>
      </x:c>
      <x:c r="U336" s="28" t="n">
        <x:f>IF(F336="有效",SUM(O336:T336),"n.a.")</x:f>
        <x:v>2316.168220803333</x:v>
      </x:c>
      <x:c r="V336" s="28" t="n">
        <x:f>IF(F336="有效",H336*'参数'!$B$7,"n.a.")</x:f>
        <x:v>4234</x:v>
      </x:c>
      <x:c r="W336" s="28" t="n">
        <x:f>IF(F336="有效",IF(D336&gt;=3,G336*'参数'!$B$7/'参数'!$B$8,0),"n.a.")</x:f>
        <x:v>84.68</x:v>
      </x:c>
      <x:c r="X336" s="28" t="n">
        <x:f>IF(F336="有效",U336+W336,"n.a.")</x:f>
        <x:v>2400.848220803333</x:v>
      </x:c>
      <x:c r="Y336" s="28" t="n">
        <x:f>IF(F336="有效",X336/G336,"n.a.")</x:f>
        <x:v>20.696967420718387</x:v>
      </x:c>
    </x:row>
    <x:row r="337" ht="22" customHeight="1">
      <x:c r="A337" s="11" t="str">
        <x:v>lade_0829_10aoi</x:v>
      </x:c>
      <x:c r="B337" s="22" t="n">
        <x:v>10</x:v>
      </x:c>
      <x:c r="C337" s="22" t="n">
        <x:v>1</x:v>
      </x:c>
      <x:c r="D337" s="22" t="n">
        <x:v>3</x:v>
      </x:c>
      <x:c r="E337" s="22" t="n">
        <x:v>43</x:v>
      </x:c>
      <x:c r="F337" s="30" t="str">
        <x:v>有效</x:v>
      </x:c>
      <x:c r="G337" s="22" t="n">
        <x:v>116</x:v>
      </x:c>
      <x:c r="H337" s="22" t="n">
        <x:v>116</x:v>
      </x:c>
      <x:c r="I337" s="24" t="n">
        <x:v>63.013999999999996</x:v>
      </x:c>
      <x:c r="J337" s="24" t="n">
        <x:v>39.4994</x:v>
      </x:c>
      <x:c r="K337" s="24" t="n">
        <x:v>738.65</x:v>
      </x:c>
      <x:c r="L337" s="24" t="n">
        <x:v>1423.25</x:v>
      </x:c>
      <x:c r="M337" s="10" t="n">
        <x:v>1</x:v>
      </x:c>
      <x:c r="N337" s="10" t="n">
        <x:v>3</x:v>
      </x:c>
      <x:c r="O337" s="28" t="n">
        <x:f>IF(F337="有效",I337*'参数'!$B$10+J337*'参数'!$B$11,"n.a.")</x:f>
        <x:v>92.47221247</x:v>
      </x:c>
      <x:c r="P337" s="28" t="n">
        <x:f>IF(F337="有效",K337*'参数'!$B$12+L337*'参数'!$B$13,"n.a.")</x:f>
        <x:v>1839.2960083333332</x:v>
      </x:c>
      <x:c r="Q337" s="28" t="n">
        <x:f>IF(F337="有效",M337*'参数'!$B$14+N337*'参数'!$B$15,"n.a.")</x:f>
        <x:v>280</x:v>
      </x:c>
      <x:c r="R337" s="28" t="n">
        <x:f>IF(F337="有效",IF(D337&lt;=2,G337*('参数'!$B$6+'参数'!$B$18),0),"n.a.")</x:f>
        <x:v>0</x:v>
      </x:c>
      <x:c r="S337" s="28" t="n">
        <x:f>IF(F337="有效",IF(D337&gt;=3,G337*'参数'!$B$16,0),"n.a.")</x:f>
        <x:v>92.80000000000001</x:v>
      </x:c>
      <x:c r="T337" s="28" t="n">
        <x:f>IF(F337="有效",IF(D337&gt;=3,G337*'参数'!$B$17,0),"n.a.")</x:f>
        <x:v>11.600000000000001</x:v>
      </x:c>
      <x:c r="U337" s="28" t="n">
        <x:f>IF(F337="有效",SUM(O337:T337),"n.a.")</x:f>
        <x:v>2316.168220803333</x:v>
      </x:c>
      <x:c r="V337" s="28" t="n">
        <x:f>IF(F337="有效",H337*'参数'!$B$7,"n.a.")</x:f>
        <x:v>4234</x:v>
      </x:c>
      <x:c r="W337" s="28" t="n">
        <x:f>IF(F337="有效",IF(D337&gt;=3,G337*'参数'!$B$7/'参数'!$B$8,0),"n.a.")</x:f>
        <x:v>84.68</x:v>
      </x:c>
      <x:c r="X337" s="28" t="n">
        <x:f>IF(F337="有效",U337+W337,"n.a.")</x:f>
        <x:v>2400.848220803333</x:v>
      </x:c>
      <x:c r="Y337" s="28" t="n">
        <x:f>IF(F337="有效",X337/G337,"n.a.")</x:f>
        <x:v>20.696967420718387</x:v>
      </x:c>
    </x:row>
    <x:row r="338" ht="22" customHeight="1">
      <x:c r="A338" s="11" t="str">
        <x:v>lade_0829_10aoi</x:v>
      </x:c>
      <x:c r="B338" s="22" t="n">
        <x:v>10</x:v>
      </x:c>
      <x:c r="C338" s="22" t="n">
        <x:v>1</x:v>
      </x:c>
      <x:c r="D338" s="22" t="n">
        <x:v>3</x:v>
      </x:c>
      <x:c r="E338" s="22" t="n">
        <x:v>44</x:v>
      </x:c>
      <x:c r="F338" s="30" t="str">
        <x:v>有效</x:v>
      </x:c>
      <x:c r="G338" s="22" t="n">
        <x:v>116</x:v>
      </x:c>
      <x:c r="H338" s="22" t="n">
        <x:v>116</x:v>
      </x:c>
      <x:c r="I338" s="24" t="n">
        <x:v>63.013999999999996</x:v>
      </x:c>
      <x:c r="J338" s="24" t="n">
        <x:v>39.4994</x:v>
      </x:c>
      <x:c r="K338" s="24" t="n">
        <x:v>738.65</x:v>
      </x:c>
      <x:c r="L338" s="24" t="n">
        <x:v>1423.25</x:v>
      </x:c>
      <x:c r="M338" s="10" t="n">
        <x:v>1</x:v>
      </x:c>
      <x:c r="N338" s="10" t="n">
        <x:v>3</x:v>
      </x:c>
      <x:c r="O338" s="28" t="n">
        <x:f>IF(F338="有效",I338*'参数'!$B$10+J338*'参数'!$B$11,"n.a.")</x:f>
        <x:v>92.47221247</x:v>
      </x:c>
      <x:c r="P338" s="28" t="n">
        <x:f>IF(F338="有效",K338*'参数'!$B$12+L338*'参数'!$B$13,"n.a.")</x:f>
        <x:v>1839.2960083333332</x:v>
      </x:c>
      <x:c r="Q338" s="28" t="n">
        <x:f>IF(F338="有效",M338*'参数'!$B$14+N338*'参数'!$B$15,"n.a.")</x:f>
        <x:v>280</x:v>
      </x:c>
      <x:c r="R338" s="28" t="n">
        <x:f>IF(F338="有效",IF(D338&lt;=2,G338*('参数'!$B$6+'参数'!$B$18),0),"n.a.")</x:f>
        <x:v>0</x:v>
      </x:c>
      <x:c r="S338" s="28" t="n">
        <x:f>IF(F338="有效",IF(D338&gt;=3,G338*'参数'!$B$16,0),"n.a.")</x:f>
        <x:v>92.80000000000001</x:v>
      </x:c>
      <x:c r="T338" s="28" t="n">
        <x:f>IF(F338="有效",IF(D338&gt;=3,G338*'参数'!$B$17,0),"n.a.")</x:f>
        <x:v>11.600000000000001</x:v>
      </x:c>
      <x:c r="U338" s="28" t="n">
        <x:f>IF(F338="有效",SUM(O338:T338),"n.a.")</x:f>
        <x:v>2316.168220803333</x:v>
      </x:c>
      <x:c r="V338" s="28" t="n">
        <x:f>IF(F338="有效",H338*'参数'!$B$7,"n.a.")</x:f>
        <x:v>4234</x:v>
      </x:c>
      <x:c r="W338" s="28" t="n">
        <x:f>IF(F338="有效",IF(D338&gt;=3,G338*'参数'!$B$7/'参数'!$B$8,0),"n.a.")</x:f>
        <x:v>84.68</x:v>
      </x:c>
      <x:c r="X338" s="28" t="n">
        <x:f>IF(F338="有效",U338+W338,"n.a.")</x:f>
        <x:v>2400.848220803333</x:v>
      </x:c>
      <x:c r="Y338" s="28" t="n">
        <x:f>IF(F338="有效",X338/G338,"n.a.")</x:f>
        <x:v>20.696967420718387</x:v>
      </x:c>
    </x:row>
    <x:row r="339" ht="22" customHeight="1">
      <x:c r="A339" s="11" t="str">
        <x:v>lade_0829_10aoi</x:v>
      </x:c>
      <x:c r="B339" s="22" t="n">
        <x:v>10</x:v>
      </x:c>
      <x:c r="C339" s="22" t="n">
        <x:v>1</x:v>
      </x:c>
      <x:c r="D339" s="22" t="n">
        <x:v>4</x:v>
      </x:c>
      <x:c r="E339" s="22" t="n">
        <x:v>42</x:v>
      </x:c>
      <x:c r="F339" s="30" t="str">
        <x:v>有效</x:v>
      </x:c>
      <x:c r="G339" s="22" t="n">
        <x:v>116</x:v>
      </x:c>
      <x:c r="H339" s="22" t="n">
        <x:v>116</x:v>
      </x:c>
      <x:c r="I339" s="24" t="n">
        <x:v>63.013999999999996</x:v>
      </x:c>
      <x:c r="J339" s="24" t="n">
        <x:v>43.171</x:v>
      </x:c>
      <x:c r="K339" s="24" t="n">
        <x:v>738.65</x:v>
      </x:c>
      <x:c r="L339" s="24" t="n">
        <x:v>1423.25</x:v>
      </x:c>
      <x:c r="M339" s="10" t="n">
        <x:v>1</x:v>
      </x:c>
      <x:c r="N339" s="10" t="n">
        <x:v>3</x:v>
      </x:c>
      <x:c r="O339" s="28" t="n">
        <x:f>IF(F339="有效",I339*'参数'!$B$10+J339*'参数'!$B$11,"n.a.")</x:f>
        <x:v>95.78417925</x:v>
      </x:c>
      <x:c r="P339" s="28" t="n">
        <x:f>IF(F339="有效",K339*'参数'!$B$12+L339*'参数'!$B$13,"n.a.")</x:f>
        <x:v>1839.2960083333332</x:v>
      </x:c>
      <x:c r="Q339" s="28" t="n">
        <x:f>IF(F339="有效",M339*'参数'!$B$14+N339*'参数'!$B$15,"n.a.")</x:f>
        <x:v>280</x:v>
      </x:c>
      <x:c r="R339" s="28" t="n">
        <x:f>IF(F339="有效",IF(D339&lt;=2,G339*('参数'!$B$6+'参数'!$B$18),0),"n.a.")</x:f>
        <x:v>0</x:v>
      </x:c>
      <x:c r="S339" s="28" t="n">
        <x:f>IF(F339="有效",IF(D339&gt;=3,G339*'参数'!$B$16,0),"n.a.")</x:f>
        <x:v>92.80000000000001</x:v>
      </x:c>
      <x:c r="T339" s="28" t="n">
        <x:f>IF(F339="有效",IF(D339&gt;=3,G339*'参数'!$B$17,0),"n.a.")</x:f>
        <x:v>11.600000000000001</x:v>
      </x:c>
      <x:c r="U339" s="28" t="n">
        <x:f>IF(F339="有效",SUM(O339:T339),"n.a.")</x:f>
        <x:v>2319.480187583333</x:v>
      </x:c>
      <x:c r="V339" s="28" t="n">
        <x:f>IF(F339="有效",H339*'参数'!$B$7,"n.a.")</x:f>
        <x:v>4234</x:v>
      </x:c>
      <x:c r="W339" s="28" t="n">
        <x:f>IF(F339="有效",IF(D339&gt;=3,G339*'参数'!$B$7/'参数'!$B$8,0),"n.a.")</x:f>
        <x:v>84.68</x:v>
      </x:c>
      <x:c r="X339" s="28" t="n">
        <x:f>IF(F339="有效",U339+W339,"n.a.")</x:f>
        <x:v>2404.160187583333</x:v>
      </x:c>
      <x:c r="Y339" s="28" t="n">
        <x:f>IF(F339="有效",X339/G339,"n.a.")</x:f>
        <x:v>20.72551885847701</x:v>
      </x:c>
    </x:row>
    <x:row r="340" ht="22" customHeight="1">
      <x:c r="A340" s="11" t="str">
        <x:v>lade_0829_10aoi</x:v>
      </x:c>
      <x:c r="B340" s="22" t="n">
        <x:v>10</x:v>
      </x:c>
      <x:c r="C340" s="22" t="n">
        <x:v>1</x:v>
      </x:c>
      <x:c r="D340" s="22" t="n">
        <x:v>4</x:v>
      </x:c>
      <x:c r="E340" s="22" t="n">
        <x:v>43</x:v>
      </x:c>
      <x:c r="F340" s="30" t="str">
        <x:v>有效</x:v>
      </x:c>
      <x:c r="G340" s="22" t="n">
        <x:v>116</x:v>
      </x:c>
      <x:c r="H340" s="22" t="n">
        <x:v>116</x:v>
      </x:c>
      <x:c r="I340" s="24" t="n">
        <x:v>63.013999999999996</x:v>
      </x:c>
      <x:c r="J340" s="24" t="n">
        <x:v>45.02479999999999</x:v>
      </x:c>
      <x:c r="K340" s="24" t="n">
        <x:v>738.65</x:v>
      </x:c>
      <x:c r="L340" s="24" t="n">
        <x:v>1411.7166666666667</x:v>
      </x:c>
      <x:c r="M340" s="10" t="n">
        <x:v>1</x:v>
      </x:c>
      <x:c r="N340" s="10" t="n">
        <x:v>3</x:v>
      </x:c>
      <x:c r="O340" s="28" t="n">
        <x:f>IF(F340="有效",I340*'参数'!$B$10+J340*'参数'!$B$11,"n.a.")</x:f>
        <x:v>97.45639953999999</x:v>
      </x:c>
      <x:c r="P340" s="28" t="n">
        <x:f>IF(F340="有效",K340*'参数'!$B$12+L340*'参数'!$B$13,"n.a.")</x:f>
        <x:v>1830.8134819444444</x:v>
      </x:c>
      <x:c r="Q340" s="28" t="n">
        <x:f>IF(F340="有效",M340*'参数'!$B$14+N340*'参数'!$B$15,"n.a.")</x:f>
        <x:v>280</x:v>
      </x:c>
      <x:c r="R340" s="28" t="n">
        <x:f>IF(F340="有效",IF(D340&lt;=2,G340*('参数'!$B$6+'参数'!$B$18),0),"n.a.")</x:f>
        <x:v>0</x:v>
      </x:c>
      <x:c r="S340" s="28" t="n">
        <x:f>IF(F340="有效",IF(D340&gt;=3,G340*'参数'!$B$16,0),"n.a.")</x:f>
        <x:v>92.80000000000001</x:v>
      </x:c>
      <x:c r="T340" s="28" t="n">
        <x:f>IF(F340="有效",IF(D340&gt;=3,G340*'参数'!$B$17,0),"n.a.")</x:f>
        <x:v>11.600000000000001</x:v>
      </x:c>
      <x:c r="U340" s="28" t="n">
        <x:f>IF(F340="有效",SUM(O340:T340),"n.a.")</x:f>
        <x:v>2312.6698814844444</x:v>
      </x:c>
      <x:c r="V340" s="28" t="n">
        <x:f>IF(F340="有效",H340*'参数'!$B$7,"n.a.")</x:f>
        <x:v>4234</x:v>
      </x:c>
      <x:c r="W340" s="28" t="n">
        <x:f>IF(F340="有效",IF(D340&gt;=3,G340*'参数'!$B$7/'参数'!$B$8,0),"n.a.")</x:f>
        <x:v>84.68</x:v>
      </x:c>
      <x:c r="X340" s="28" t="n">
        <x:f>IF(F340="有效",U340+W340,"n.a.")</x:f>
        <x:v>2397.3498814844443</x:v>
      </x:c>
      <x:c r="Y340" s="28" t="n">
        <x:f>IF(F340="有效",X340/G340,"n.a.")</x:f>
        <x:v>20.66680932314176</x:v>
      </x:c>
    </x:row>
    <x:row r="341" ht="22" customHeight="1">
      <x:c r="A341" s="11" t="str">
        <x:v>lade_0829_10aoi</x:v>
      </x:c>
      <x:c r="B341" s="22" t="n">
        <x:v>10</x:v>
      </x:c>
      <x:c r="C341" s="22" t="n">
        <x:v>1</x:v>
      </x:c>
      <x:c r="D341" s="22" t="n">
        <x:v>4</x:v>
      </x:c>
      <x:c r="E341" s="22" t="n">
        <x:v>44</x:v>
      </x:c>
      <x:c r="F341" s="30" t="str">
        <x:v>有效</x:v>
      </x:c>
      <x:c r="G341" s="22" t="n">
        <x:v>116</x:v>
      </x:c>
      <x:c r="H341" s="22" t="n">
        <x:v>116</x:v>
      </x:c>
      <x:c r="I341" s="24" t="n">
        <x:v>51.137299999999996</x:v>
      </x:c>
      <x:c r="J341" s="24" t="n">
        <x:v>41.815400000000004</x:v>
      </x:c>
      <x:c r="K341" s="24" t="n">
        <x:v>731.4</x:v>
      </x:c>
      <x:c r="L341" s="24" t="n">
        <x:v>872.5666666666667</x:v>
      </x:c>
      <x:c r="M341" s="10" t="n">
        <x:v>1</x:v>
      </x:c>
      <x:c r="N341" s="10" t="n">
        <x:v>2</x:v>
      </x:c>
      <x:c r="O341" s="28" t="n">
        <x:f>IF(F341="有效",I341*'参数'!$B$10+J341*'参数'!$B$11,"n.a.")</x:f>
        <x:v>83.847983035</x:v>
      </x:c>
      <x:c r="P341" s="28" t="n">
        <x:f>IF(F341="有效",K341*'参数'!$B$12+L341*'参数'!$B$13,"n.a.")</x:f>
        <x:v>1426.501092361111</x:v>
      </x:c>
      <x:c r="Q341" s="28" t="n">
        <x:f>IF(F341="有效",M341*'参数'!$B$14+N341*'参数'!$B$15,"n.a.")</x:f>
        <x:v>220</x:v>
      </x:c>
      <x:c r="R341" s="28" t="n">
        <x:f>IF(F341="有效",IF(D341&lt;=2,G341*('参数'!$B$6+'参数'!$B$18),0),"n.a.")</x:f>
        <x:v>0</x:v>
      </x:c>
      <x:c r="S341" s="28" t="n">
        <x:f>IF(F341="有效",IF(D341&gt;=3,G341*'参数'!$B$16,0),"n.a.")</x:f>
        <x:v>92.80000000000001</x:v>
      </x:c>
      <x:c r="T341" s="28" t="n">
        <x:f>IF(F341="有效",IF(D341&gt;=3,G341*'参数'!$B$17,0),"n.a.")</x:f>
        <x:v>11.600000000000001</x:v>
      </x:c>
      <x:c r="U341" s="28" t="n">
        <x:f>IF(F341="有效",SUM(O341:T341),"n.a.")</x:f>
        <x:v>1834.7490753961108</x:v>
      </x:c>
      <x:c r="V341" s="28" t="n">
        <x:f>IF(F341="有效",H341*'参数'!$B$7,"n.a.")</x:f>
        <x:v>4234</x:v>
      </x:c>
      <x:c r="W341" s="28" t="n">
        <x:f>IF(F341="有效",IF(D341&gt;=3,G341*'参数'!$B$7/'参数'!$B$8,0),"n.a.")</x:f>
        <x:v>84.68</x:v>
      </x:c>
      <x:c r="X341" s="28" t="n">
        <x:f>IF(F341="有效",U341+W341,"n.a.")</x:f>
        <x:v>1919.4290753961109</x:v>
      </x:c>
      <x:c r="Y341" s="28" t="n">
        <x:f>IF(F341="有效",X341/G341,"n.a.")</x:f>
        <x:v>16.546802374104406</x:v>
      </x:c>
    </x:row>
    <x:row r="342" ht="22" customHeight="1">
      <x:c r="A342" s="11" t="str">
        <x:v>lade_0829_10aoi</x:v>
      </x:c>
      <x:c r="B342" s="22" t="n">
        <x:v>10</x:v>
      </x:c>
      <x:c r="C342" s="22" t="n">
        <x:v>2</x:v>
      </x:c>
      <x:c r="D342" s="22" t="n">
        <x:v>5</x:v>
      </x:c>
      <x:c r="E342" s="22" t="n">
        <x:v>42</x:v>
      </x:c>
      <x:c r="F342" s="30" t="str">
        <x:v>有效</x:v>
      </x:c>
      <x:c r="G342" s="22" t="n">
        <x:v>116</x:v>
      </x:c>
      <x:c r="H342" s="22" t="n">
        <x:v>116</x:v>
      </x:c>
      <x:c r="I342" s="24" t="n">
        <x:v>110.61480000000002</x:v>
      </x:c>
      <x:c r="J342" s="24" t="n">
        <x:v>42.8073</x:v>
      </x:c>
      <x:c r="K342" s="24" t="n">
        <x:v>697.8</x:v>
      </x:c>
      <x:c r="L342" s="24" t="n">
        <x:v>1326.6333333333334</x:v>
      </x:c>
      <x:c r="M342" s="10" t="n">
        <x:v>2</x:v>
      </x:c>
      <x:c r="N342" s="10" t="n">
        <x:v>3</x:v>
      </x:c>
      <x:c r="O342" s="28" t="n">
        <x:f>IF(F342="有效",I342*'参数'!$B$10+J342*'参数'!$B$11,"n.a.")</x:f>
        <x:v>138.39440530500002</x:v>
      </x:c>
      <x:c r="P342" s="28" t="n">
        <x:f>IF(F342="有效",K342*'参数'!$B$12+L342*'参数'!$B$13,"n.a.")</x:f>
        <x:v>1724.4069659722222</x:v>
      </x:c>
      <x:c r="Q342" s="28" t="n">
        <x:f>IF(F342="有效",M342*'参数'!$B$14+N342*'参数'!$B$15,"n.a.")</x:f>
        <x:v>380</x:v>
      </x:c>
      <x:c r="R342" s="28" t="n">
        <x:f>IF(F342="有效",IF(D342&lt;=2,G342*('参数'!$B$6+'参数'!$B$18),0),"n.a.")</x:f>
        <x:v>0</x:v>
      </x:c>
      <x:c r="S342" s="28" t="n">
        <x:f>IF(F342="有效",IF(D342&gt;=3,G342*'参数'!$B$16,0),"n.a.")</x:f>
        <x:v>92.80000000000001</x:v>
      </x:c>
      <x:c r="T342" s="28" t="n">
        <x:f>IF(F342="有效",IF(D342&gt;=3,G342*'参数'!$B$17,0),"n.a.")</x:f>
        <x:v>11.600000000000001</x:v>
      </x:c>
      <x:c r="U342" s="28" t="n">
        <x:f>IF(F342="有效",SUM(O342:T342),"n.a.")</x:f>
        <x:v>2347.2013712772223</x:v>
      </x:c>
      <x:c r="V342" s="28" t="n">
        <x:f>IF(F342="有效",H342*'参数'!$B$7,"n.a.")</x:f>
        <x:v>4234</x:v>
      </x:c>
      <x:c r="W342" s="28" t="n">
        <x:f>IF(F342="有效",IF(D342&gt;=3,G342*'参数'!$B$7/'参数'!$B$8,0),"n.a.")</x:f>
        <x:v>84.68</x:v>
      </x:c>
      <x:c r="X342" s="28" t="n">
        <x:f>IF(F342="有效",U342+W342,"n.a.")</x:f>
        <x:v>2431.881371277222</x:v>
      </x:c>
      <x:c r="Y342" s="28" t="n">
        <x:f>IF(F342="有效",X342/G342,"n.a.")</x:f>
        <x:v>20.96449457997605</x:v>
      </x:c>
    </x:row>
    <x:row r="343" ht="22" customHeight="1">
      <x:c r="A343" s="11" t="str">
        <x:v>lade_0829_10aoi</x:v>
      </x:c>
      <x:c r="B343" s="22" t="n">
        <x:v>10</x:v>
      </x:c>
      <x:c r="C343" s="22" t="n">
        <x:v>2</x:v>
      </x:c>
      <x:c r="D343" s="22" t="n">
        <x:v>5</x:v>
      </x:c>
      <x:c r="E343" s="22" t="n">
        <x:v>43</x:v>
      </x:c>
      <x:c r="F343" s="30" t="str">
        <x:v>有效</x:v>
      </x:c>
      <x:c r="G343" s="22" t="n">
        <x:v>116</x:v>
      </x:c>
      <x:c r="H343" s="22" t="n">
        <x:v>116</x:v>
      </x:c>
      <x:c r="I343" s="24" t="n">
        <x:v>110.61480000000002</x:v>
      </x:c>
      <x:c r="J343" s="24" t="n">
        <x:v>42.8073</x:v>
      </x:c>
      <x:c r="K343" s="24" t="n">
        <x:v>697.8</x:v>
      </x:c>
      <x:c r="L343" s="24" t="n">
        <x:v>1386.0833333333333</x:v>
      </x:c>
      <x:c r="M343" s="10" t="n">
        <x:v>2</x:v>
      </x:c>
      <x:c r="N343" s="10" t="n">
        <x:v>3</x:v>
      </x:c>
      <x:c r="O343" s="28" t="n">
        <x:f>IF(F343="有效",I343*'参数'!$B$10+J343*'参数'!$B$11,"n.a.")</x:f>
        <x:v>138.39440530500002</x:v>
      </x:c>
      <x:c r="P343" s="28" t="n">
        <x:f>IF(F343="有效",K343*'参数'!$B$12+L343*'参数'!$B$13,"n.a.")</x:f>
        <x:v>1768.1312024305553</x:v>
      </x:c>
      <x:c r="Q343" s="28" t="n">
        <x:f>IF(F343="有效",M343*'参数'!$B$14+N343*'参数'!$B$15,"n.a.")</x:f>
        <x:v>380</x:v>
      </x:c>
      <x:c r="R343" s="28" t="n">
        <x:f>IF(F343="有效",IF(D343&lt;=2,G343*('参数'!$B$6+'参数'!$B$18),0),"n.a.")</x:f>
        <x:v>0</x:v>
      </x:c>
      <x:c r="S343" s="28" t="n">
        <x:f>IF(F343="有效",IF(D343&gt;=3,G343*'参数'!$B$16,0),"n.a.")</x:f>
        <x:v>92.80000000000001</x:v>
      </x:c>
      <x:c r="T343" s="28" t="n">
        <x:f>IF(F343="有效",IF(D343&gt;=3,G343*'参数'!$B$17,0),"n.a.")</x:f>
        <x:v>11.600000000000001</x:v>
      </x:c>
      <x:c r="U343" s="28" t="n">
        <x:f>IF(F343="有效",SUM(O343:T343),"n.a.")</x:f>
        <x:v>2390.9256077355553</x:v>
      </x:c>
      <x:c r="V343" s="28" t="n">
        <x:f>IF(F343="有效",H343*'参数'!$B$7,"n.a.")</x:f>
        <x:v>4234</x:v>
      </x:c>
      <x:c r="W343" s="28" t="n">
        <x:f>IF(F343="有效",IF(D343&gt;=3,G343*'参数'!$B$7/'参数'!$B$8,0),"n.a.")</x:f>
        <x:v>84.68</x:v>
      </x:c>
      <x:c r="X343" s="28" t="n">
        <x:f>IF(F343="有效",U343+W343,"n.a.")</x:f>
        <x:v>2475.605607735555</x:v>
      </x:c>
      <x:c r="Y343" s="28" t="n">
        <x:f>IF(F343="有效",X343/G343,"n.a.")</x:f>
        <x:v>21.341427652892715</x:v>
      </x:c>
    </x:row>
    <x:row r="344" ht="22" customHeight="1">
      <x:c r="A344" s="11" t="str">
        <x:v>lade_0829_10aoi</x:v>
      </x:c>
      <x:c r="B344" s="22" t="n">
        <x:v>10</x:v>
      </x:c>
      <x:c r="C344" s="22" t="n">
        <x:v>2</x:v>
      </x:c>
      <x:c r="D344" s="22" t="n">
        <x:v>5</x:v>
      </x:c>
      <x:c r="E344" s="22" t="n">
        <x:v>44</x:v>
      </x:c>
      <x:c r="F344" s="30" t="str">
        <x:v>有效</x:v>
      </x:c>
      <x:c r="G344" s="22" t="n">
        <x:v>116</x:v>
      </x:c>
      <x:c r="H344" s="22" t="n">
        <x:v>116</x:v>
      </x:c>
      <x:c r="I344" s="24" t="n">
        <x:v>110.61480000000002</x:v>
      </x:c>
      <x:c r="J344" s="24" t="n">
        <x:v>42.8073</x:v>
      </x:c>
      <x:c r="K344" s="24" t="n">
        <x:v>697.8</x:v>
      </x:c>
      <x:c r="L344" s="24" t="n">
        <x:v>1326.6333333333334</x:v>
      </x:c>
      <x:c r="M344" s="10" t="n">
        <x:v>2</x:v>
      </x:c>
      <x:c r="N344" s="10" t="n">
        <x:v>3</x:v>
      </x:c>
      <x:c r="O344" s="28" t="n">
        <x:f>IF(F344="有效",I344*'参数'!$B$10+J344*'参数'!$B$11,"n.a.")</x:f>
        <x:v>138.39440530500002</x:v>
      </x:c>
      <x:c r="P344" s="28" t="n">
        <x:f>IF(F344="有效",K344*'参数'!$B$12+L344*'参数'!$B$13,"n.a.")</x:f>
        <x:v>1724.4069659722222</x:v>
      </x:c>
      <x:c r="Q344" s="28" t="n">
        <x:f>IF(F344="有效",M344*'参数'!$B$14+N344*'参数'!$B$15,"n.a.")</x:f>
        <x:v>380</x:v>
      </x:c>
      <x:c r="R344" s="28" t="n">
        <x:f>IF(F344="有效",IF(D344&lt;=2,G344*('参数'!$B$6+'参数'!$B$18),0),"n.a.")</x:f>
        <x:v>0</x:v>
      </x:c>
      <x:c r="S344" s="28" t="n">
        <x:f>IF(F344="有效",IF(D344&gt;=3,G344*'参数'!$B$16,0),"n.a.")</x:f>
        <x:v>92.80000000000001</x:v>
      </x:c>
      <x:c r="T344" s="28" t="n">
        <x:f>IF(F344="有效",IF(D344&gt;=3,G344*'参数'!$B$17,0),"n.a.")</x:f>
        <x:v>11.600000000000001</x:v>
      </x:c>
      <x:c r="U344" s="28" t="n">
        <x:f>IF(F344="有效",SUM(O344:T344),"n.a.")</x:f>
        <x:v>2347.2013712772223</x:v>
      </x:c>
      <x:c r="V344" s="28" t="n">
        <x:f>IF(F344="有效",H344*'参数'!$B$7,"n.a.")</x:f>
        <x:v>4234</x:v>
      </x:c>
      <x:c r="W344" s="28" t="n">
        <x:f>IF(F344="有效",IF(D344&gt;=3,G344*'参数'!$B$7/'参数'!$B$8,0),"n.a.")</x:f>
        <x:v>84.68</x:v>
      </x:c>
      <x:c r="X344" s="28" t="n">
        <x:f>IF(F344="有效",U344+W344,"n.a.")</x:f>
        <x:v>2431.881371277222</x:v>
      </x:c>
      <x:c r="Y344" s="28" t="n">
        <x:f>IF(F344="有效",X344/G344,"n.a.")</x:f>
        <x:v>20.96449457997605</x:v>
      </x:c>
    </x:row>
    <x:row r="345" ht="22" customHeight="1">
      <x:c r="A345" s="11" t="str">
        <x:v>lade_0829_10aoi</x:v>
      </x:c>
      <x:c r="B345" s="22" t="n">
        <x:v>10</x:v>
      </x:c>
      <x:c r="C345" s="22" t="n">
        <x:v>3</x:v>
      </x:c>
      <x:c r="D345" s="22" t="n">
        <x:v>5</x:v>
      </x:c>
      <x:c r="E345" s="22" t="n">
        <x:v>42</x:v>
      </x:c>
      <x:c r="F345" s="30" t="str">
        <x:v>有效</x:v>
      </x:c>
      <x:c r="G345" s="22" t="n">
        <x:v>116</x:v>
      </x:c>
      <x:c r="H345" s="22" t="n">
        <x:v>116</x:v>
      </x:c>
      <x:c r="I345" s="24" t="n">
        <x:v>264.07280000000003</x:v>
      </x:c>
      <x:c r="J345" s="24" t="n">
        <x:v>54.30369999999999</x:v>
      </x:c>
      <x:c r="K345" s="24" t="n">
        <x:v>1120.0833333333333</x:v>
      </x:c>
      <x:c r="L345" s="24" t="n">
        <x:v>775.8833333333333</x:v>
      </x:c>
      <x:c r="M345" s="10" t="n">
        <x:v>3</x:v>
      </x:c>
      <x:c r="N345" s="10" t="n">
        <x:v>3</x:v>
      </x:c>
      <x:c r="O345" s="28" t="n">
        <x:f>IF(F345="有效",I345*'参数'!$B$10+J345*'参数'!$B$11,"n.a.")</x:f>
        <x:v>287.191521825</x:v>
      </x:c>
      <x:c r="P345" s="28" t="n">
        <x:f>IF(F345="有效",K345*'参数'!$B$12+L345*'参数'!$B$13,"n.a.")</x:f>
        <x:v>1772.4254388888885</x:v>
      </x:c>
      <x:c r="Q345" s="28" t="n">
        <x:f>IF(F345="有效",M345*'参数'!$B$14+N345*'参数'!$B$15,"n.a.")</x:f>
        <x:v>480</x:v>
      </x:c>
      <x:c r="R345" s="28" t="n">
        <x:f>IF(F345="有效",IF(D345&lt;=2,G345*('参数'!$B$6+'参数'!$B$18),0),"n.a.")</x:f>
        <x:v>0</x:v>
      </x:c>
      <x:c r="S345" s="28" t="n">
        <x:f>IF(F345="有效",IF(D345&gt;=3,G345*'参数'!$B$16,0),"n.a.")</x:f>
        <x:v>92.80000000000001</x:v>
      </x:c>
      <x:c r="T345" s="28" t="n">
        <x:f>IF(F345="有效",IF(D345&gt;=3,G345*'参数'!$B$17,0),"n.a.")</x:f>
        <x:v>11.600000000000001</x:v>
      </x:c>
      <x:c r="U345" s="28" t="n">
        <x:f>IF(F345="有效",SUM(O345:T345),"n.a.")</x:f>
        <x:v>2644.0169607138887</x:v>
      </x:c>
      <x:c r="V345" s="28" t="n">
        <x:f>IF(F345="有效",H345*'参数'!$B$7,"n.a.")</x:f>
        <x:v>4234</x:v>
      </x:c>
      <x:c r="W345" s="28" t="n">
        <x:f>IF(F345="有效",IF(D345&gt;=3,G345*'参数'!$B$7/'参数'!$B$8,0),"n.a.")</x:f>
        <x:v>84.68</x:v>
      </x:c>
      <x:c r="X345" s="28" t="n">
        <x:f>IF(F345="有效",U345+W345,"n.a.")</x:f>
        <x:v>2728.6969607138885</x:v>
      </x:c>
      <x:c r="Y345" s="28" t="n">
        <x:f>IF(F345="有效",X345/G345,"n.a.")</x:f>
        <x:v>23.523249661326624</x:v>
      </x:c>
    </x:row>
    <x:row r="346" ht="22" customHeight="1">
      <x:c r="A346" s="11" t="str">
        <x:v>lade_0829_10aoi</x:v>
      </x:c>
      <x:c r="B346" s="22" t="n">
        <x:v>10</x:v>
      </x:c>
      <x:c r="C346" s="22" t="n">
        <x:v>3</x:v>
      </x:c>
      <x:c r="D346" s="22" t="n">
        <x:v>5</x:v>
      </x:c>
      <x:c r="E346" s="22" t="n">
        <x:v>43</x:v>
      </x:c>
      <x:c r="F346" s="30" t="str">
        <x:v>有效</x:v>
      </x:c>
      <x:c r="G346" s="22" t="n">
        <x:v>116</x:v>
      </x:c>
      <x:c r="H346" s="22" t="n">
        <x:v>116</x:v>
      </x:c>
      <x:c r="I346" s="24" t="n">
        <x:v>264.07280000000003</x:v>
      </x:c>
      <x:c r="J346" s="24" t="n">
        <x:v>54.3037</x:v>
      </x:c>
      <x:c r="K346" s="24" t="n">
        <x:v>1120.0833333333333</x:v>
      </x:c>
      <x:c r="L346" s="24" t="n">
        <x:v>775.8833333333333</x:v>
      </x:c>
      <x:c r="M346" s="10" t="n">
        <x:v>3</x:v>
      </x:c>
      <x:c r="N346" s="10" t="n">
        <x:v>3</x:v>
      </x:c>
      <x:c r="O346" s="28" t="n">
        <x:f>IF(F346="有效",I346*'参数'!$B$10+J346*'参数'!$B$11,"n.a.")</x:f>
        <x:v>287.19152182500005</x:v>
      </x:c>
      <x:c r="P346" s="28" t="n">
        <x:f>IF(F346="有效",K346*'参数'!$B$12+L346*'参数'!$B$13,"n.a.")</x:f>
        <x:v>1772.4254388888885</x:v>
      </x:c>
      <x:c r="Q346" s="28" t="n">
        <x:f>IF(F346="有效",M346*'参数'!$B$14+N346*'参数'!$B$15,"n.a.")</x:f>
        <x:v>480</x:v>
      </x:c>
      <x:c r="R346" s="28" t="n">
        <x:f>IF(F346="有效",IF(D346&lt;=2,G346*('参数'!$B$6+'参数'!$B$18),0),"n.a.")</x:f>
        <x:v>0</x:v>
      </x:c>
      <x:c r="S346" s="28" t="n">
        <x:f>IF(F346="有效",IF(D346&gt;=3,G346*'参数'!$B$16,0),"n.a.")</x:f>
        <x:v>92.80000000000001</x:v>
      </x:c>
      <x:c r="T346" s="28" t="n">
        <x:f>IF(F346="有效",IF(D346&gt;=3,G346*'参数'!$B$17,0),"n.a.")</x:f>
        <x:v>11.600000000000001</x:v>
      </x:c>
      <x:c r="U346" s="28" t="n">
        <x:f>IF(F346="有效",SUM(O346:T346),"n.a.")</x:f>
        <x:v>2644.0169607138887</x:v>
      </x:c>
      <x:c r="V346" s="28" t="n">
        <x:f>IF(F346="有效",H346*'参数'!$B$7,"n.a.")</x:f>
        <x:v>4234</x:v>
      </x:c>
      <x:c r="W346" s="28" t="n">
        <x:f>IF(F346="有效",IF(D346&gt;=3,G346*'参数'!$B$7/'参数'!$B$8,0),"n.a.")</x:f>
        <x:v>84.68</x:v>
      </x:c>
      <x:c r="X346" s="28" t="n">
        <x:f>IF(F346="有效",U346+W346,"n.a.")</x:f>
        <x:v>2728.6969607138885</x:v>
      </x:c>
      <x:c r="Y346" s="28" t="n">
        <x:f>IF(F346="有效",X346/G346,"n.a.")</x:f>
        <x:v>23.523249661326624</x:v>
      </x:c>
    </x:row>
    <x:row r="347" ht="22" customHeight="1">
      <x:c r="A347" s="11" t="str">
        <x:v>lade_0829_10aoi</x:v>
      </x:c>
      <x:c r="B347" s="22" t="n">
        <x:v>10</x:v>
      </x:c>
      <x:c r="C347" s="22" t="n">
        <x:v>3</x:v>
      </x:c>
      <x:c r="D347" s="22" t="n">
        <x:v>5</x:v>
      </x:c>
      <x:c r="E347" s="22" t="n">
        <x:v>44</x:v>
      </x:c>
      <x:c r="F347" s="30" t="str">
        <x:v>有效</x:v>
      </x:c>
      <x:c r="G347" s="22" t="n">
        <x:v>116</x:v>
      </x:c>
      <x:c r="H347" s="22" t="n">
        <x:v>116</x:v>
      </x:c>
      <x:c r="I347" s="24" t="n">
        <x:v>175.211</x:v>
      </x:c>
      <x:c r="J347" s="24" t="n">
        <x:v>54.30369999999999</x:v>
      </x:c>
      <x:c r="K347" s="24" t="n">
        <x:v>674.5666666666667</x:v>
      </x:c>
      <x:c r="L347" s="24" t="n">
        <x:v>869.0833333333334</x:v>
      </x:c>
      <x:c r="M347" s="10" t="n">
        <x:v>3</x:v>
      </x:c>
      <x:c r="N347" s="10" t="n">
        <x:v>3</x:v>
      </x:c>
      <x:c r="O347" s="28" t="n">
        <x:f>IF(F347="有效",I347*'参数'!$B$10+J347*'参数'!$B$11,"n.a.")</x:f>
        <x:v>207.033735135</x:v>
      </x:c>
      <x:c r="P347" s="28" t="n">
        <x:f>IF(F347="有效",K347*'参数'!$B$12+L347*'参数'!$B$13,"n.a.")</x:f>
        <x:v>1362.9605586805556</x:v>
      </x:c>
      <x:c r="Q347" s="28" t="n">
        <x:f>IF(F347="有效",M347*'参数'!$B$14+N347*'参数'!$B$15,"n.a.")</x:f>
        <x:v>480</x:v>
      </x:c>
      <x:c r="R347" s="28" t="n">
        <x:f>IF(F347="有效",IF(D347&lt;=2,G347*('参数'!$B$6+'参数'!$B$18),0),"n.a.")</x:f>
        <x:v>0</x:v>
      </x:c>
      <x:c r="S347" s="28" t="n">
        <x:f>IF(F347="有效",IF(D347&gt;=3,G347*'参数'!$B$16,0),"n.a.")</x:f>
        <x:v>92.80000000000001</x:v>
      </x:c>
      <x:c r="T347" s="28" t="n">
        <x:f>IF(F347="有效",IF(D347&gt;=3,G347*'参数'!$B$17,0),"n.a.")</x:f>
        <x:v>11.600000000000001</x:v>
      </x:c>
      <x:c r="U347" s="28" t="n">
        <x:f>IF(F347="有效",SUM(O347:T347),"n.a.")</x:f>
        <x:v>2154.3942938155556</x:v>
      </x:c>
      <x:c r="V347" s="28" t="n">
        <x:f>IF(F347="有效",H347*'参数'!$B$7,"n.a.")</x:f>
        <x:v>4234</x:v>
      </x:c>
      <x:c r="W347" s="28" t="n">
        <x:f>IF(F347="有效",IF(D347&gt;=3,G347*'参数'!$B$7/'参数'!$B$8,0),"n.a.")</x:f>
        <x:v>84.68</x:v>
      </x:c>
      <x:c r="X347" s="28" t="n">
        <x:f>IF(F347="有效",U347+W347,"n.a.")</x:f>
        <x:v>2239.0742938155554</x:v>
      </x:c>
      <x:c r="Y347" s="28" t="n">
        <x:f>IF(F347="有效",X347/G347,"n.a.")</x:f>
        <x:v>19.302364601858237</x:v>
      </x:c>
    </x:row>
    <x:row r="348" ht="22" customHeight="1">
      <x:c r="A348" s="11" t="str">
        <x:v>lade_0829_20aoi</x:v>
      </x:c>
      <x:c r="B348" s="22" t="n">
        <x:v>20</x:v>
      </x:c>
      <x:c r="C348" s="22" t="n">
        <x:v>1</x:v>
      </x:c>
      <x:c r="D348" s="22" t="n">
        <x:v>1</x:v>
      </x:c>
      <x:c r="E348" s="22" t="n">
        <x:v>42</x:v>
      </x:c>
      <x:c r="F348" s="30" t="str">
        <x:v>有效</x:v>
      </x:c>
      <x:c r="G348" s="22" t="n">
        <x:v>178</x:v>
      </x:c>
      <x:c r="H348" s="22" t="n">
        <x:v>0</x:v>
      </x:c>
      <x:c r="I348" s="24" t="n">
        <x:v>59.477500000000006</x:v>
      </x:c>
      <x:c r="J348" s="24" t="n">
        <x:v>51.029399999999995</x:v>
      </x:c>
      <x:c r="K348" s="24" t="n">
        <x:v>60.63333333333333</x:v>
      </x:c>
      <x:c r="L348" s="24" t="n">
        <x:v>2450.733333333333</x:v>
      </x:c>
      <x:c r="M348" s="10" t="n">
        <x:v>1</x:v>
      </x:c>
      <x:c r="N348" s="10" t="n">
        <x:v>6</x:v>
      </x:c>
      <x:c r="O348" s="28" t="n">
        <x:f>IF(F348="有效",I348*'参数'!$B$10+J348*'参数'!$B$11,"n.a.")</x:f>
        <x:v>99.682749145</x:v>
      </x:c>
      <x:c r="P348" s="28" t="n">
        <x:f>IF(F348="有效",K348*'参数'!$B$12+L348*'参数'!$B$13,"n.a.")</x:f>
        <x:v>1867.5190868055556</x:v>
      </x:c>
      <x:c r="Q348" s="28" t="n">
        <x:f>IF(F348="有效",M348*'参数'!$B$14+N348*'参数'!$B$15,"n.a.")</x:f>
        <x:v>460</x:v>
      </x:c>
      <x:c r="R348" s="28" t="n">
        <x:f>IF(F348="有效",IF(D348&lt;=2,G348*('参数'!$B$6+'参数'!$B$18),0),"n.a.")</x:f>
        <x:v>712</x:v>
      </x:c>
      <x:c r="S348" s="28" t="n">
        <x:f>IF(F348="有效",IF(D348&gt;=3,G348*'参数'!$B$16,0),"n.a.")</x:f>
        <x:v>0</x:v>
      </x:c>
      <x:c r="T348" s="28" t="n">
        <x:f>IF(F348="有效",IF(D348&gt;=3,G348*'参数'!$B$17,0),"n.a.")</x:f>
        <x:v>0</x:v>
      </x:c>
      <x:c r="U348" s="28" t="n">
        <x:f>IF(F348="有效",SUM(O348:T348),"n.a.")</x:f>
        <x:v>3139.2018359505555</x:v>
      </x:c>
      <x:c r="V348" s="28" t="n">
        <x:f>IF(F348="有效",H348*'参数'!$B$7,"n.a.")</x:f>
        <x:v>0</x:v>
      </x:c>
      <x:c r="W348" s="28" t="n">
        <x:f>IF(F348="有效",IF(D348&gt;=3,G348*'参数'!$B$7/'参数'!$B$8,0),"n.a.")</x:f>
        <x:v>0</x:v>
      </x:c>
      <x:c r="X348" s="28" t="n">
        <x:f>IF(F348="有效",U348+W348,"n.a.")</x:f>
        <x:v>3139.2018359505555</x:v>
      </x:c>
      <x:c r="Y348" s="28" t="n">
        <x:f>IF(F348="有效",X348/G348,"n.a.")</x:f>
        <x:v>17.63596537050874</x:v>
      </x:c>
    </x:row>
    <x:row r="349" ht="22" customHeight="1">
      <x:c r="A349" s="11" t="str">
        <x:v>lade_0829_20aoi</x:v>
      </x:c>
      <x:c r="B349" s="22" t="n">
        <x:v>20</x:v>
      </x:c>
      <x:c r="C349" s="22" t="n">
        <x:v>1</x:v>
      </x:c>
      <x:c r="D349" s="22" t="n">
        <x:v>1</x:v>
      </x:c>
      <x:c r="E349" s="22" t="n">
        <x:v>43</x:v>
      </x:c>
      <x:c r="F349" s="30" t="str">
        <x:v>有效</x:v>
      </x:c>
      <x:c r="G349" s="22" t="n">
        <x:v>178</x:v>
      </x:c>
      <x:c r="H349" s="22" t="n">
        <x:v>0</x:v>
      </x:c>
      <x:c r="I349" s="24" t="n">
        <x:v>59.477500000000006</x:v>
      </x:c>
      <x:c r="J349" s="24" t="n">
        <x:v>51.02940000000001</x:v>
      </x:c>
      <x:c r="K349" s="24" t="n">
        <x:v>60.63333333333333</x:v>
      </x:c>
      <x:c r="L349" s="24" t="n">
        <x:v>2450.733333333333</x:v>
      </x:c>
      <x:c r="M349" s="10" t="n">
        <x:v>1</x:v>
      </x:c>
      <x:c r="N349" s="10" t="n">
        <x:v>6</x:v>
      </x:c>
      <x:c r="O349" s="28" t="n">
        <x:f>IF(F349="有效",I349*'参数'!$B$10+J349*'参数'!$B$11,"n.a.")</x:f>
        <x:v>99.68274914500002</x:v>
      </x:c>
      <x:c r="P349" s="28" t="n">
        <x:f>IF(F349="有效",K349*'参数'!$B$12+L349*'参数'!$B$13,"n.a.")</x:f>
        <x:v>1867.5190868055556</x:v>
      </x:c>
      <x:c r="Q349" s="28" t="n">
        <x:f>IF(F349="有效",M349*'参数'!$B$14+N349*'参数'!$B$15,"n.a.")</x:f>
        <x:v>460</x:v>
      </x:c>
      <x:c r="R349" s="28" t="n">
        <x:f>IF(F349="有效",IF(D349&lt;=2,G349*('参数'!$B$6+'参数'!$B$18),0),"n.a.")</x:f>
        <x:v>712</x:v>
      </x:c>
      <x:c r="S349" s="28" t="n">
        <x:f>IF(F349="有效",IF(D349&gt;=3,G349*'参数'!$B$16,0),"n.a.")</x:f>
        <x:v>0</x:v>
      </x:c>
      <x:c r="T349" s="28" t="n">
        <x:f>IF(F349="有效",IF(D349&gt;=3,G349*'参数'!$B$17,0),"n.a.")</x:f>
        <x:v>0</x:v>
      </x:c>
      <x:c r="U349" s="28" t="n">
        <x:f>IF(F349="有效",SUM(O349:T349),"n.a.")</x:f>
        <x:v>3139.2018359505555</x:v>
      </x:c>
      <x:c r="V349" s="28" t="n">
        <x:f>IF(F349="有效",H349*'参数'!$B$7,"n.a.")</x:f>
        <x:v>0</x:v>
      </x:c>
      <x:c r="W349" s="28" t="n">
        <x:f>IF(F349="有效",IF(D349&gt;=3,G349*'参数'!$B$7/'参数'!$B$8,0),"n.a.")</x:f>
        <x:v>0</x:v>
      </x:c>
      <x:c r="X349" s="28" t="n">
        <x:f>IF(F349="有效",U349+W349,"n.a.")</x:f>
        <x:v>3139.2018359505555</x:v>
      </x:c>
      <x:c r="Y349" s="28" t="n">
        <x:f>IF(F349="有效",X349/G349,"n.a.")</x:f>
        <x:v>17.63596537050874</x:v>
      </x:c>
    </x:row>
    <x:row r="350" ht="22" customHeight="1">
      <x:c r="A350" s="11" t="str">
        <x:v>lade_0829_20aoi</x:v>
      </x:c>
      <x:c r="B350" s="22" t="n">
        <x:v>20</x:v>
      </x:c>
      <x:c r="C350" s="22" t="n">
        <x:v>1</x:v>
      </x:c>
      <x:c r="D350" s="22" t="n">
        <x:v>1</x:v>
      </x:c>
      <x:c r="E350" s="22" t="n">
        <x:v>44</x:v>
      </x:c>
      <x:c r="F350" s="30" t="str">
        <x:v>有效</x:v>
      </x:c>
      <x:c r="G350" s="22" t="n">
        <x:v>178</x:v>
      </x:c>
      <x:c r="H350" s="22" t="n">
        <x:v>0</x:v>
      </x:c>
      <x:c r="I350" s="24" t="n">
        <x:v>59.477500000000006</x:v>
      </x:c>
      <x:c r="J350" s="24" t="n">
        <x:v>51.12129999999999</x:v>
      </x:c>
      <x:c r="K350" s="24" t="n">
        <x:v>60.63333333333333</x:v>
      </x:c>
      <x:c r="L350" s="24" t="n">
        <x:v>2001.4666666666667</x:v>
      </x:c>
      <x:c r="M350" s="10" t="n">
        <x:v>1</x:v>
      </x:c>
      <x:c r="N350" s="10" t="n">
        <x:v>6</x:v>
      </x:c>
      <x:c r="O350" s="28" t="n">
        <x:f>IF(F350="有效",I350*'参数'!$B$10+J350*'参数'!$B$11,"n.a.")</x:f>
        <x:v>99.76564754</x:v>
      </x:c>
      <x:c r="P350" s="28" t="n">
        <x:f>IF(F350="有效",K350*'参数'!$B$12+L350*'参数'!$B$13,"n.a.")</x:f>
        <x:v>1537.0928131944445</x:v>
      </x:c>
      <x:c r="Q350" s="28" t="n">
        <x:f>IF(F350="有效",M350*'参数'!$B$14+N350*'参数'!$B$15,"n.a.")</x:f>
        <x:v>460</x:v>
      </x:c>
      <x:c r="R350" s="28" t="n">
        <x:f>IF(F350="有效",IF(D350&lt;=2,G350*('参数'!$B$6+'参数'!$B$18),0),"n.a.")</x:f>
        <x:v>712</x:v>
      </x:c>
      <x:c r="S350" s="28" t="n">
        <x:f>IF(F350="有效",IF(D350&gt;=3,G350*'参数'!$B$16,0),"n.a.")</x:f>
        <x:v>0</x:v>
      </x:c>
      <x:c r="T350" s="28" t="n">
        <x:f>IF(F350="有效",IF(D350&gt;=3,G350*'参数'!$B$17,0),"n.a.")</x:f>
        <x:v>0</x:v>
      </x:c>
      <x:c r="U350" s="28" t="n">
        <x:f>IF(F350="有效",SUM(O350:T350),"n.a.")</x:f>
        <x:v>2808.8584607344446</x:v>
      </x:c>
      <x:c r="V350" s="28" t="n">
        <x:f>IF(F350="有效",H350*'参数'!$B$7,"n.a.")</x:f>
        <x:v>0</x:v>
      </x:c>
      <x:c r="W350" s="28" t="n">
        <x:f>IF(F350="有效",IF(D350&gt;=3,G350*'参数'!$B$7/'参数'!$B$8,0),"n.a.")</x:f>
        <x:v>0</x:v>
      </x:c>
      <x:c r="X350" s="28" t="n">
        <x:f>IF(F350="有效",U350+W350,"n.a.")</x:f>
        <x:v>2808.8584607344446</x:v>
      </x:c>
      <x:c r="Y350" s="28" t="n">
        <x:f>IF(F350="有效",X350/G350,"n.a.")</x:f>
        <x:v>15.780103711991263</x:v>
      </x:c>
    </x:row>
    <x:row r="351" ht="22" customHeight="1">
      <x:c r="A351" s="11" t="str">
        <x:v>lade_0829_20aoi</x:v>
      </x:c>
      <x:c r="B351" s="22" t="n">
        <x:v>20</x:v>
      </x:c>
      <x:c r="C351" s="22" t="n">
        <x:v>1</x:v>
      </x:c>
      <x:c r="D351" s="22" t="n">
        <x:v>2</x:v>
      </x:c>
      <x:c r="E351" s="22" t="n">
        <x:v>42</x:v>
      </x:c>
      <x:c r="F351" s="30" t="str">
        <x:v>有效</x:v>
      </x:c>
      <x:c r="G351" s="22" t="n">
        <x:v>178</x:v>
      </x:c>
      <x:c r="H351" s="22" t="n">
        <x:v>0</x:v>
      </x:c>
      <x:c r="I351" s="24" t="n">
        <x:v>59.477500000000006</x:v>
      </x:c>
      <x:c r="J351" s="24" t="n">
        <x:v>49.5987</x:v>
      </x:c>
      <x:c r="K351" s="24" t="n">
        <x:v>60.63333333333333</x:v>
      </x:c>
      <x:c r="L351" s="24" t="n">
        <x:v>2196.15</x:v>
      </x:c>
      <x:c r="M351" s="10" t="n">
        <x:v>1</x:v>
      </x:c>
      <x:c r="N351" s="10" t="n">
        <x:v>5</x:v>
      </x:c>
      <x:c r="O351" s="28" t="n">
        <x:f>IF(F351="有效",I351*'参数'!$B$10+J351*'参数'!$B$11,"n.a.")</x:f>
        <x:v>98.39218621</x:v>
      </x:c>
      <x:c r="P351" s="28" t="n">
        <x:f>IF(F351="有效",K351*'参数'!$B$12+L351*'参数'!$B$13,"n.a.")</x:f>
        <x:v>1680.2783489583335</x:v>
      </x:c>
      <x:c r="Q351" s="28" t="n">
        <x:f>IF(F351="有效",M351*'参数'!$B$14+N351*'参数'!$B$15,"n.a.")</x:f>
        <x:v>400</x:v>
      </x:c>
      <x:c r="R351" s="28" t="n">
        <x:f>IF(F351="有效",IF(D351&lt;=2,G351*('参数'!$B$6+'参数'!$B$18),0),"n.a.")</x:f>
        <x:v>712</x:v>
      </x:c>
      <x:c r="S351" s="28" t="n">
        <x:f>IF(F351="有效",IF(D351&gt;=3,G351*'参数'!$B$16,0),"n.a.")</x:f>
        <x:v>0</x:v>
      </x:c>
      <x:c r="T351" s="28" t="n">
        <x:f>IF(F351="有效",IF(D351&gt;=3,G351*'参数'!$B$17,0),"n.a.")</x:f>
        <x:v>0</x:v>
      </x:c>
      <x:c r="U351" s="28" t="n">
        <x:f>IF(F351="有效",SUM(O351:T351),"n.a.")</x:f>
        <x:v>2890.6705351683336</x:v>
      </x:c>
      <x:c r="V351" s="28" t="n">
        <x:f>IF(F351="有效",H351*'参数'!$B$7,"n.a.")</x:f>
        <x:v>0</x:v>
      </x:c>
      <x:c r="W351" s="28" t="n">
        <x:f>IF(F351="有效",IF(D351&gt;=3,G351*'参数'!$B$7/'参数'!$B$8,0),"n.a.")</x:f>
        <x:v>0</x:v>
      </x:c>
      <x:c r="X351" s="28" t="n">
        <x:f>IF(F351="有效",U351+W351,"n.a.")</x:f>
        <x:v>2890.6705351683336</x:v>
      </x:c>
      <x:c r="Y351" s="28" t="n">
        <x:f>IF(F351="有效",X351/G351,"n.a.")</x:f>
        <x:v>16.239722107687268</x:v>
      </x:c>
    </x:row>
    <x:row r="352" ht="22" customHeight="1">
      <x:c r="A352" s="11" t="str">
        <x:v>lade_0829_20aoi</x:v>
      </x:c>
      <x:c r="B352" s="22" t="n">
        <x:v>20</x:v>
      </x:c>
      <x:c r="C352" s="22" t="n">
        <x:v>1</x:v>
      </x:c>
      <x:c r="D352" s="22" t="n">
        <x:v>2</x:v>
      </x:c>
      <x:c r="E352" s="22" t="n">
        <x:v>43</x:v>
      </x:c>
      <x:c r="F352" s="30" t="str">
        <x:v>有效</x:v>
      </x:c>
      <x:c r="G352" s="22" t="n">
        <x:v>178</x:v>
      </x:c>
      <x:c r="H352" s="22" t="n">
        <x:v>0</x:v>
      </x:c>
      <x:c r="I352" s="24" t="n">
        <x:v>59.477500000000006</x:v>
      </x:c>
      <x:c r="J352" s="24" t="n">
        <x:v>46.624199999999995</x:v>
      </x:c>
      <x:c r="K352" s="24" t="n">
        <x:v>60.63333333333333</x:v>
      </x:c>
      <x:c r="L352" s="24" t="n">
        <x:v>2194.3</x:v>
      </x:c>
      <x:c r="M352" s="10" t="n">
        <x:v>1</x:v>
      </x:c>
      <x:c r="N352" s="10" t="n">
        <x:v>5</x:v>
      </x:c>
      <x:c r="O352" s="28" t="n">
        <x:f>IF(F352="有效",I352*'参数'!$B$10+J352*'参数'!$B$11,"n.a.")</x:f>
        <x:v>95.70903848500001</x:v>
      </x:c>
      <x:c r="P352" s="28" t="n">
        <x:f>IF(F352="有效",K352*'参数'!$B$12+L352*'参数'!$B$13,"n.a.")</x:f>
        <x:v>1678.9177125000003</x:v>
      </x:c>
      <x:c r="Q352" s="28" t="n">
        <x:f>IF(F352="有效",M352*'参数'!$B$14+N352*'参数'!$B$15,"n.a.")</x:f>
        <x:v>400</x:v>
      </x:c>
      <x:c r="R352" s="28" t="n">
        <x:f>IF(F352="有效",IF(D352&lt;=2,G352*('参数'!$B$6+'参数'!$B$18),0),"n.a.")</x:f>
        <x:v>712</x:v>
      </x:c>
      <x:c r="S352" s="28" t="n">
        <x:f>IF(F352="有效",IF(D352&gt;=3,G352*'参数'!$B$16,0),"n.a.")</x:f>
        <x:v>0</x:v>
      </x:c>
      <x:c r="T352" s="28" t="n">
        <x:f>IF(F352="有效",IF(D352&gt;=3,G352*'参数'!$B$17,0),"n.a.")</x:f>
        <x:v>0</x:v>
      </x:c>
      <x:c r="U352" s="28" t="n">
        <x:f>IF(F352="有效",SUM(O352:T352),"n.a.")</x:f>
        <x:v>2886.6267509850004</x:v>
      </x:c>
      <x:c r="V352" s="28" t="n">
        <x:f>IF(F352="有效",H352*'参数'!$B$7,"n.a.")</x:f>
        <x:v>0</x:v>
      </x:c>
      <x:c r="W352" s="28" t="n">
        <x:f>IF(F352="有效",IF(D352&gt;=3,G352*'参数'!$B$7/'参数'!$B$8,0),"n.a.")</x:f>
        <x:v>0</x:v>
      </x:c>
      <x:c r="X352" s="28" t="n">
        <x:f>IF(F352="有效",U352+W352,"n.a.")</x:f>
        <x:v>2886.6267509850004</x:v>
      </x:c>
      <x:c r="Y352" s="28" t="n">
        <x:f>IF(F352="有效",X352/G352,"n.a.")</x:f>
        <x:v>16.217004219016857</x:v>
      </x:c>
    </x:row>
    <x:row r="353" ht="22" customHeight="1">
      <x:c r="A353" s="11" t="str">
        <x:v>lade_0829_20aoi</x:v>
      </x:c>
      <x:c r="B353" s="22" t="n">
        <x:v>20</x:v>
      </x:c>
      <x:c r="C353" s="22" t="n">
        <x:v>1</x:v>
      </x:c>
      <x:c r="D353" s="22" t="n">
        <x:v>2</x:v>
      </x:c>
      <x:c r="E353" s="22" t="n">
        <x:v>44</x:v>
      </x:c>
      <x:c r="F353" s="30" t="str">
        <x:v>有效</x:v>
      </x:c>
      <x:c r="G353" s="22" t="n">
        <x:v>178</x:v>
      </x:c>
      <x:c r="H353" s="22" t="n">
        <x:v>0</x:v>
      </x:c>
      <x:c r="I353" s="24" t="n">
        <x:v>59.477500000000006</x:v>
      </x:c>
      <x:c r="J353" s="24" t="n">
        <x:v>46.624199999999995</x:v>
      </x:c>
      <x:c r="K353" s="24" t="n">
        <x:v>60.63333333333333</x:v>
      </x:c>
      <x:c r="L353" s="24" t="n">
        <x:v>2194.3</x:v>
      </x:c>
      <x:c r="M353" s="10" t="n">
        <x:v>1</x:v>
      </x:c>
      <x:c r="N353" s="10" t="n">
        <x:v>5</x:v>
      </x:c>
      <x:c r="O353" s="28" t="n">
        <x:f>IF(F353="有效",I353*'参数'!$B$10+J353*'参数'!$B$11,"n.a.")</x:f>
        <x:v>95.70903848500001</x:v>
      </x:c>
      <x:c r="P353" s="28" t="n">
        <x:f>IF(F353="有效",K353*'参数'!$B$12+L353*'参数'!$B$13,"n.a.")</x:f>
        <x:v>1678.9177125000003</x:v>
      </x:c>
      <x:c r="Q353" s="28" t="n">
        <x:f>IF(F353="有效",M353*'参数'!$B$14+N353*'参数'!$B$15,"n.a.")</x:f>
        <x:v>400</x:v>
      </x:c>
      <x:c r="R353" s="28" t="n">
        <x:f>IF(F353="有效",IF(D353&lt;=2,G353*('参数'!$B$6+'参数'!$B$18),0),"n.a.")</x:f>
        <x:v>712</x:v>
      </x:c>
      <x:c r="S353" s="28" t="n">
        <x:f>IF(F353="有效",IF(D353&gt;=3,G353*'参数'!$B$16,0),"n.a.")</x:f>
        <x:v>0</x:v>
      </x:c>
      <x:c r="T353" s="28" t="n">
        <x:f>IF(F353="有效",IF(D353&gt;=3,G353*'参数'!$B$17,0),"n.a.")</x:f>
        <x:v>0</x:v>
      </x:c>
      <x:c r="U353" s="28" t="n">
        <x:f>IF(F353="有效",SUM(O353:T353),"n.a.")</x:f>
        <x:v>2886.6267509850004</x:v>
      </x:c>
      <x:c r="V353" s="28" t="n">
        <x:f>IF(F353="有效",H353*'参数'!$B$7,"n.a.")</x:f>
        <x:v>0</x:v>
      </x:c>
      <x:c r="W353" s="28" t="n">
        <x:f>IF(F353="有效",IF(D353&gt;=3,G353*'参数'!$B$7/'参数'!$B$8,0),"n.a.")</x:f>
        <x:v>0</x:v>
      </x:c>
      <x:c r="X353" s="28" t="n">
        <x:f>IF(F353="有效",U353+W353,"n.a.")</x:f>
        <x:v>2886.6267509850004</x:v>
      </x:c>
      <x:c r="Y353" s="28" t="n">
        <x:f>IF(F353="有效",X353/G353,"n.a.")</x:f>
        <x:v>16.217004219016857</x:v>
      </x:c>
    </x:row>
    <x:row r="354" ht="22" customHeight="1">
      <x:c r="A354" s="11" t="str">
        <x:v>lade_0829_20aoi</x:v>
      </x:c>
      <x:c r="B354" s="22" t="n">
        <x:v>20</x:v>
      </x:c>
      <x:c r="C354" s="22" t="n">
        <x:v>1</x:v>
      </x:c>
      <x:c r="D354" s="22" t="n">
        <x:v>3</x:v>
      </x:c>
      <x:c r="E354" s="22" t="n">
        <x:v>42</x:v>
      </x:c>
      <x:c r="F354" s="30" t="str">
        <x:v>有效</x:v>
      </x:c>
      <x:c r="G354" s="22" t="n">
        <x:v>178</x:v>
      </x:c>
      <x:c r="H354" s="22" t="n">
        <x:v>178</x:v>
      </x:c>
      <x:c r="I354" s="24" t="n">
        <x:v>63.013999999999996</x:v>
      </x:c>
      <x:c r="J354" s="24" t="n">
        <x:v>60.3911</x:v>
      </x:c>
      <x:c r="K354" s="24" t="n">
        <x:v>738.65</x:v>
      </x:c>
      <x:c r="L354" s="24" t="n">
        <x:v>2931.6833333333334</x:v>
      </x:c>
      <x:c r="M354" s="10" t="n">
        <x:v>1</x:v>
      </x:c>
      <x:c r="N354" s="10" t="n">
        <x:v>6</x:v>
      </x:c>
      <x:c r="O354" s="28" t="n">
        <x:f>IF(F354="有效",I354*'参数'!$B$10+J354*'参数'!$B$11,"n.a.")</x:f>
        <x:v>111.31757045500001</x:v>
      </x:c>
      <x:c r="P354" s="28" t="n">
        <x:f>IF(F354="有效",K354*'参数'!$B$12+L354*'参数'!$B$13,"n.a.")</x:f>
        <x:v>2948.7172993055556</x:v>
      </x:c>
      <x:c r="Q354" s="28" t="n">
        <x:f>IF(F354="有效",M354*'参数'!$B$14+N354*'参数'!$B$15,"n.a.")</x:f>
        <x:v>460</x:v>
      </x:c>
      <x:c r="R354" s="28" t="n">
        <x:f>IF(F354="有效",IF(D354&lt;=2,G354*('参数'!$B$6+'参数'!$B$18),0),"n.a.")</x:f>
        <x:v>0</x:v>
      </x:c>
      <x:c r="S354" s="28" t="n">
        <x:f>IF(F354="有效",IF(D354&gt;=3,G354*'参数'!$B$16,0),"n.a.")</x:f>
        <x:v>142.4</x:v>
      </x:c>
      <x:c r="T354" s="28" t="n">
        <x:f>IF(F354="有效",IF(D354&gt;=3,G354*'参数'!$B$17,0),"n.a.")</x:f>
        <x:v>17.8</x:v>
      </x:c>
      <x:c r="U354" s="28" t="n">
        <x:f>IF(F354="有效",SUM(O354:T354),"n.a.")</x:f>
        <x:v>3680.2348697605557</x:v>
      </x:c>
      <x:c r="V354" s="28" t="n">
        <x:f>IF(F354="有效",H354*'参数'!$B$7,"n.a.")</x:f>
        <x:v>6497</x:v>
      </x:c>
      <x:c r="W354" s="28" t="n">
        <x:f>IF(F354="有效",IF(D354&gt;=3,G354*'参数'!$B$7/'参数'!$B$8,0),"n.a.")</x:f>
        <x:v>129.94</x:v>
      </x:c>
      <x:c r="X354" s="28" t="n">
        <x:f>IF(F354="有效",U354+W354,"n.a.")</x:f>
        <x:v>3810.174869760556</x:v>
      </x:c>
      <x:c r="Y354" s="28" t="n">
        <x:f>IF(F354="有效",X354/G354,"n.a.")</x:f>
        <x:v>21.405476796407616</x:v>
      </x:c>
    </x:row>
    <x:row r="355" ht="22" customHeight="1">
      <x:c r="A355" s="11" t="str">
        <x:v>lade_0829_20aoi</x:v>
      </x:c>
      <x:c r="B355" s="22" t="n">
        <x:v>20</x:v>
      </x:c>
      <x:c r="C355" s="22" t="n">
        <x:v>1</x:v>
      </x:c>
      <x:c r="D355" s="22" t="n">
        <x:v>3</x:v>
      </x:c>
      <x:c r="E355" s="22" t="n">
        <x:v>43</x:v>
      </x:c>
      <x:c r="F355" s="30" t="str">
        <x:v>有效</x:v>
      </x:c>
      <x:c r="G355" s="22" t="n">
        <x:v>178</x:v>
      </x:c>
      <x:c r="H355" s="22" t="n">
        <x:v>178</x:v>
      </x:c>
      <x:c r="I355" s="24" t="n">
        <x:v>63.013999999999996</x:v>
      </x:c>
      <x:c r="J355" s="24" t="n">
        <x:v>60.368100000000005</x:v>
      </x:c>
      <x:c r="K355" s="24" t="n">
        <x:v>738.65</x:v>
      </x:c>
      <x:c r="L355" s="24" t="n">
        <x:v>2924.233333333333</x:v>
      </x:c>
      <x:c r="M355" s="10" t="n">
        <x:v>1</x:v>
      </x:c>
      <x:c r="N355" s="10" t="n">
        <x:v>6</x:v>
      </x:c>
      <x:c r="O355" s="28" t="n">
        <x:f>IF(F355="有效",I355*'参数'!$B$10+J355*'参数'!$B$11,"n.a.")</x:f>
        <x:v>111.296823305</x:v>
      </x:c>
      <x:c r="P355" s="28" t="n">
        <x:f>IF(F355="有效",K355*'参数'!$B$12+L355*'参数'!$B$13,"n.a.")</x:f>
        <x:v>2943.2379795138886</x:v>
      </x:c>
      <x:c r="Q355" s="28" t="n">
        <x:f>IF(F355="有效",M355*'参数'!$B$14+N355*'参数'!$B$15,"n.a.")</x:f>
        <x:v>460</x:v>
      </x:c>
      <x:c r="R355" s="28" t="n">
        <x:f>IF(F355="有效",IF(D355&lt;=2,G355*('参数'!$B$6+'参数'!$B$18),0),"n.a.")</x:f>
        <x:v>0</x:v>
      </x:c>
      <x:c r="S355" s="28" t="n">
        <x:f>IF(F355="有效",IF(D355&gt;=3,G355*'参数'!$B$16,0),"n.a.")</x:f>
        <x:v>142.4</x:v>
      </x:c>
      <x:c r="T355" s="28" t="n">
        <x:f>IF(F355="有效",IF(D355&gt;=3,G355*'参数'!$B$17,0),"n.a.")</x:f>
        <x:v>17.8</x:v>
      </x:c>
      <x:c r="U355" s="28" t="n">
        <x:f>IF(F355="有效",SUM(O355:T355),"n.a.")</x:f>
        <x:v>3674.734802818889</x:v>
      </x:c>
      <x:c r="V355" s="28" t="n">
        <x:f>IF(F355="有效",H355*'参数'!$B$7,"n.a.")</x:f>
        <x:v>6497</x:v>
      </x:c>
      <x:c r="W355" s="28" t="n">
        <x:f>IF(F355="有效",IF(D355&gt;=3,G355*'参数'!$B$7/'参数'!$B$8,0),"n.a.")</x:f>
        <x:v>129.94</x:v>
      </x:c>
      <x:c r="X355" s="28" t="n">
        <x:f>IF(F355="有效",U355+W355,"n.a.")</x:f>
        <x:v>3804.674802818889</x:v>
      </x:c>
      <x:c r="Y355" s="28" t="n">
        <x:f>IF(F355="有效",X355/G355,"n.a.")</x:f>
        <x:v>21.374577543926343</x:v>
      </x:c>
    </x:row>
    <x:row r="356" ht="22" customHeight="1">
      <x:c r="A356" s="11" t="str">
        <x:v>lade_0829_20aoi</x:v>
      </x:c>
      <x:c r="B356" s="22" t="n">
        <x:v>20</x:v>
      </x:c>
      <x:c r="C356" s="22" t="n">
        <x:v>1</x:v>
      </x:c>
      <x:c r="D356" s="22" t="n">
        <x:v>3</x:v>
      </x:c>
      <x:c r="E356" s="22" t="n">
        <x:v>44</x:v>
      </x:c>
      <x:c r="F356" s="30" t="str">
        <x:v>有效</x:v>
      </x:c>
      <x:c r="G356" s="22" t="n">
        <x:v>178</x:v>
      </x:c>
      <x:c r="H356" s="22" t="n">
        <x:v>178</x:v>
      </x:c>
      <x:c r="I356" s="24" t="n">
        <x:v>63.013999999999996</x:v>
      </x:c>
      <x:c r="J356" s="24" t="n">
        <x:v>59.607099999999996</x:v>
      </x:c>
      <x:c r="K356" s="24" t="n">
        <x:v>738.65</x:v>
      </x:c>
      <x:c r="L356" s="24" t="n">
        <x:v>2924.233333333333</x:v>
      </x:c>
      <x:c r="M356" s="10" t="n">
        <x:v>1</x:v>
      </x:c>
      <x:c r="N356" s="10" t="n">
        <x:v>6</x:v>
      </x:c>
      <x:c r="O356" s="28" t="n">
        <x:f>IF(F356="有效",I356*'参数'!$B$10+J356*'参数'!$B$11,"n.a.")</x:f>
        <x:v>110.610363255</x:v>
      </x:c>
      <x:c r="P356" s="28" t="n">
        <x:f>IF(F356="有效",K356*'参数'!$B$12+L356*'参数'!$B$13,"n.a.")</x:f>
        <x:v>2943.2379795138886</x:v>
      </x:c>
      <x:c r="Q356" s="28" t="n">
        <x:f>IF(F356="有效",M356*'参数'!$B$14+N356*'参数'!$B$15,"n.a.")</x:f>
        <x:v>460</x:v>
      </x:c>
      <x:c r="R356" s="28" t="n">
        <x:f>IF(F356="有效",IF(D356&lt;=2,G356*('参数'!$B$6+'参数'!$B$18),0),"n.a.")</x:f>
        <x:v>0</x:v>
      </x:c>
      <x:c r="S356" s="28" t="n">
        <x:f>IF(F356="有效",IF(D356&gt;=3,G356*'参数'!$B$16,0),"n.a.")</x:f>
        <x:v>142.4</x:v>
      </x:c>
      <x:c r="T356" s="28" t="n">
        <x:f>IF(F356="有效",IF(D356&gt;=3,G356*'参数'!$B$17,0),"n.a.")</x:f>
        <x:v>17.8</x:v>
      </x:c>
      <x:c r="U356" s="28" t="n">
        <x:f>IF(F356="有效",SUM(O356:T356),"n.a.")</x:f>
        <x:v>3674.0483427688887</x:v>
      </x:c>
      <x:c r="V356" s="28" t="n">
        <x:f>IF(F356="有效",H356*'参数'!$B$7,"n.a.")</x:f>
        <x:v>6497</x:v>
      </x:c>
      <x:c r="W356" s="28" t="n">
        <x:f>IF(F356="有效",IF(D356&gt;=3,G356*'参数'!$B$7/'参数'!$B$8,0),"n.a.")</x:f>
        <x:v>129.94</x:v>
      </x:c>
      <x:c r="X356" s="28" t="n">
        <x:f>IF(F356="有效",U356+W356,"n.a.")</x:f>
        <x:v>3803.9883427688887</x:v>
      </x:c>
      <x:c r="Y356" s="28" t="n">
        <x:f>IF(F356="有效",X356/G356,"n.a.")</x:f>
        <x:v>21.37072102679151</x:v>
      </x:c>
    </x:row>
    <x:row r="357" ht="22" customHeight="1">
      <x:c r="A357" s="11" t="str">
        <x:v>lade_0829_20aoi</x:v>
      </x:c>
      <x:c r="B357" s="22" t="n">
        <x:v>20</x:v>
      </x:c>
      <x:c r="C357" s="22" t="n">
        <x:v>1</x:v>
      </x:c>
      <x:c r="D357" s="22" t="n">
        <x:v>4</x:v>
      </x:c>
      <x:c r="E357" s="22" t="n">
        <x:v>42</x:v>
      </x:c>
      <x:c r="F357" s="30" t="str">
        <x:v>有效</x:v>
      </x:c>
      <x:c r="G357" s="22" t="n">
        <x:v>178</x:v>
      </x:c>
      <x:c r="H357" s="22" t="n">
        <x:v>178</x:v>
      </x:c>
      <x:c r="I357" s="24" t="n">
        <x:v>63.013999999999996</x:v>
      </x:c>
      <x:c r="J357" s="24" t="n">
        <x:v>57.43679999999998</x:v>
      </x:c>
      <x:c r="K357" s="24" t="n">
        <x:v>738.65</x:v>
      </x:c>
      <x:c r="L357" s="24" t="n">
        <x:v>3106.633333333333</x:v>
      </x:c>
      <x:c r="M357" s="10" t="n">
        <x:v>1</x:v>
      </x:c>
      <x:c r="N357" s="10" t="n">
        <x:v>6</x:v>
      </x:c>
      <x:c r="O357" s="28" t="n">
        <x:f>IF(F357="有效",I357*'参数'!$B$10+J357*'参数'!$B$11,"n.a.")</x:f>
        <x:v>108.65264413999998</x:v>
      </x:c>
      <x:c r="P357" s="28" t="n">
        <x:f>IF(F357="有效",K357*'参数'!$B$12+L357*'参数'!$B$13,"n.a.")</x:f>
        <x:v>3077.389379513889</x:v>
      </x:c>
      <x:c r="Q357" s="28" t="n">
        <x:f>IF(F357="有效",M357*'参数'!$B$14+N357*'参数'!$B$15,"n.a.")</x:f>
        <x:v>460</x:v>
      </x:c>
      <x:c r="R357" s="28" t="n">
        <x:f>IF(F357="有效",IF(D357&lt;=2,G357*('参数'!$B$6+'参数'!$B$18),0),"n.a.")</x:f>
        <x:v>0</x:v>
      </x:c>
      <x:c r="S357" s="28" t="n">
        <x:f>IF(F357="有效",IF(D357&gt;=3,G357*'参数'!$B$16,0),"n.a.")</x:f>
        <x:v>142.4</x:v>
      </x:c>
      <x:c r="T357" s="28" t="n">
        <x:f>IF(F357="有效",IF(D357&gt;=3,G357*'参数'!$B$17,0),"n.a.")</x:f>
        <x:v>17.8</x:v>
      </x:c>
      <x:c r="U357" s="28" t="n">
        <x:f>IF(F357="有效",SUM(O357:T357),"n.a.")</x:f>
        <x:v>3806.242023653889</x:v>
      </x:c>
      <x:c r="V357" s="28" t="n">
        <x:f>IF(F357="有效",H357*'参数'!$B$7,"n.a.")</x:f>
        <x:v>6497</x:v>
      </x:c>
      <x:c r="W357" s="28" t="n">
        <x:f>IF(F357="有效",IF(D357&gt;=3,G357*'参数'!$B$7/'参数'!$B$8,0),"n.a.")</x:f>
        <x:v>129.94</x:v>
      </x:c>
      <x:c r="X357" s="28" t="n">
        <x:f>IF(F357="有效",U357+W357,"n.a.")</x:f>
        <x:v>3936.1820236538892</x:v>
      </x:c>
      <x:c r="Y357" s="28" t="n">
        <x:f>IF(F357="有效",X357/G357,"n.a.")</x:f>
        <x:v>22.113382155358927</x:v>
      </x:c>
    </x:row>
    <x:row r="358" ht="22" customHeight="1">
      <x:c r="A358" s="11" t="str">
        <x:v>lade_0829_20aoi</x:v>
      </x:c>
      <x:c r="B358" s="22" t="n">
        <x:v>20</x:v>
      </x:c>
      <x:c r="C358" s="22" t="n">
        <x:v>1</x:v>
      </x:c>
      <x:c r="D358" s="22" t="n">
        <x:v>4</x:v>
      </x:c>
      <x:c r="E358" s="22" t="n">
        <x:v>43</x:v>
      </x:c>
      <x:c r="F358" s="30" t="str">
        <x:v>有效</x:v>
      </x:c>
      <x:c r="G358" s="22" t="n">
        <x:v>178</x:v>
      </x:c>
      <x:c r="H358" s="22" t="n">
        <x:v>178</x:v>
      </x:c>
      <x:c r="I358" s="24" t="n">
        <x:v>63.013999999999996</x:v>
      </x:c>
      <x:c r="J358" s="24" t="n">
        <x:v>51.354499999999994</x:v>
      </x:c>
      <x:c r="K358" s="24" t="n">
        <x:v>738.65</x:v>
      </x:c>
      <x:c r="L358" s="24" t="n">
        <x:v>2927.6</x:v>
      </x:c>
      <x:c r="M358" s="10" t="n">
        <x:v>1</x:v>
      </x:c>
      <x:c r="N358" s="10" t="n">
        <x:v>6</x:v>
      </x:c>
      <x:c r="O358" s="28" t="n">
        <x:f>IF(F358="有效",I358*'参数'!$B$10+J358*'参数'!$B$11,"n.a.")</x:f>
        <x:v>103.166105425</x:v>
      </x:c>
      <x:c r="P358" s="28" t="n">
        <x:f>IF(F358="有效",K358*'参数'!$B$12+L358*'参数'!$B$13,"n.a.")</x:f>
        <x:v>2945.7140927083333</x:v>
      </x:c>
      <x:c r="Q358" s="28" t="n">
        <x:f>IF(F358="有效",M358*'参数'!$B$14+N358*'参数'!$B$15,"n.a.")</x:f>
        <x:v>460</x:v>
      </x:c>
      <x:c r="R358" s="28" t="n">
        <x:f>IF(F358="有效",IF(D358&lt;=2,G358*('参数'!$B$6+'参数'!$B$18),0),"n.a.")</x:f>
        <x:v>0</x:v>
      </x:c>
      <x:c r="S358" s="28" t="n">
        <x:f>IF(F358="有效",IF(D358&gt;=3,G358*'参数'!$B$16,0),"n.a.")</x:f>
        <x:v>142.4</x:v>
      </x:c>
      <x:c r="T358" s="28" t="n">
        <x:f>IF(F358="有效",IF(D358&gt;=3,G358*'参数'!$B$17,0),"n.a.")</x:f>
        <x:v>17.8</x:v>
      </x:c>
      <x:c r="U358" s="28" t="n">
        <x:f>IF(F358="有效",SUM(O358:T358),"n.a.")</x:f>
        <x:v>3669.0801981333334</x:v>
      </x:c>
      <x:c r="V358" s="28" t="n">
        <x:f>IF(F358="有效",H358*'参数'!$B$7,"n.a.")</x:f>
        <x:v>6497</x:v>
      </x:c>
      <x:c r="W358" s="28" t="n">
        <x:f>IF(F358="有效",IF(D358&gt;=3,G358*'参数'!$B$7/'参数'!$B$8,0),"n.a.")</x:f>
        <x:v>129.94</x:v>
      </x:c>
      <x:c r="X358" s="28" t="n">
        <x:f>IF(F358="有效",U358+W358,"n.a.")</x:f>
        <x:v>3799.0201981333335</x:v>
      </x:c>
      <x:c r="Y358" s="28" t="n">
        <x:f>IF(F358="有效",X358/G358,"n.a.")</x:f>
        <x:v>21.34281010187266</x:v>
      </x:c>
    </x:row>
    <x:row r="359" ht="22" customHeight="1">
      <x:c r="A359" s="11" t="str">
        <x:v>lade_0829_20aoi</x:v>
      </x:c>
      <x:c r="B359" s="22" t="n">
        <x:v>20</x:v>
      </x:c>
      <x:c r="C359" s="22" t="n">
        <x:v>1</x:v>
      </x:c>
      <x:c r="D359" s="22" t="n">
        <x:v>4</x:v>
      </x:c>
      <x:c r="E359" s="22" t="n">
        <x:v>44</x:v>
      </x:c>
      <x:c r="F359" s="30" t="str">
        <x:v>有效</x:v>
      </x:c>
      <x:c r="G359" s="22" t="n">
        <x:v>178</x:v>
      </x:c>
      <x:c r="H359" s="22" t="n">
        <x:v>178</x:v>
      </x:c>
      <x:c r="I359" s="24" t="n">
        <x:v>63.013999999999996</x:v>
      </x:c>
      <x:c r="J359" s="24" t="n">
        <x:v>55.77579999999999</x:v>
      </x:c>
      <x:c r="K359" s="24" t="n">
        <x:v>738.65</x:v>
      </x:c>
      <x:c r="L359" s="24" t="n">
        <x:v>2890.9166666666665</x:v>
      </x:c>
      <x:c r="M359" s="10" t="n">
        <x:v>1</x:v>
      </x:c>
      <x:c r="N359" s="10" t="n">
        <x:v>6</x:v>
      </x:c>
      <x:c r="O359" s="28" t="n">
        <x:f>IF(F359="有效",I359*'参数'!$B$10+J359*'参数'!$B$11,"n.a.")</x:f>
        <x:v>107.15433909</x:v>
      </x:c>
      <x:c r="P359" s="28" t="n">
        <x:f>IF(F359="有效",K359*'参数'!$B$12+L359*'参数'!$B$13,"n.a.")</x:f>
        <x:v>2918.7342652777775</x:v>
      </x:c>
      <x:c r="Q359" s="28" t="n">
        <x:f>IF(F359="有效",M359*'参数'!$B$14+N359*'参数'!$B$15,"n.a.")</x:f>
        <x:v>460</x:v>
      </x:c>
      <x:c r="R359" s="28" t="n">
        <x:f>IF(F359="有效",IF(D359&lt;=2,G359*('参数'!$B$6+'参数'!$B$18),0),"n.a.")</x:f>
        <x:v>0</x:v>
      </x:c>
      <x:c r="S359" s="28" t="n">
        <x:f>IF(F359="有效",IF(D359&gt;=3,G359*'参数'!$B$16,0),"n.a.")</x:f>
        <x:v>142.4</x:v>
      </x:c>
      <x:c r="T359" s="28" t="n">
        <x:f>IF(F359="有效",IF(D359&gt;=3,G359*'参数'!$B$17,0),"n.a.")</x:f>
        <x:v>17.8</x:v>
      </x:c>
      <x:c r="U359" s="28" t="n">
        <x:f>IF(F359="有效",SUM(O359:T359),"n.a.")</x:f>
        <x:v>3646.088604367778</x:v>
      </x:c>
      <x:c r="V359" s="28" t="n">
        <x:f>IF(F359="有效",H359*'参数'!$B$7,"n.a.")</x:f>
        <x:v>6497</x:v>
      </x:c>
      <x:c r="W359" s="28" t="n">
        <x:f>IF(F359="有效",IF(D359&gt;=3,G359*'参数'!$B$7/'参数'!$B$8,0),"n.a.")</x:f>
        <x:v>129.94</x:v>
      </x:c>
      <x:c r="X359" s="28" t="n">
        <x:f>IF(F359="有效",U359+W359,"n.a.")</x:f>
        <x:v>3776.028604367778</x:v>
      </x:c>
      <x:c r="Y359" s="28" t="n">
        <x:f>IF(F359="有效",X359/G359,"n.a.")</x:f>
        <x:v>21.213643844762796</x:v>
      </x:c>
    </x:row>
    <x:row r="360" ht="22" customHeight="1">
      <x:c r="A360" s="11" t="str">
        <x:v>lade_0829_20aoi</x:v>
      </x:c>
      <x:c r="B360" s="22" t="n">
        <x:v>20</x:v>
      </x:c>
      <x:c r="C360" s="22" t="n">
        <x:v>2</x:v>
      </x:c>
      <x:c r="D360" s="22" t="n">
        <x:v>5</x:v>
      </x:c>
      <x:c r="E360" s="22" t="n">
        <x:v>42</x:v>
      </x:c>
      <x:c r="F360" s="30" t="str">
        <x:v>有效</x:v>
      </x:c>
      <x:c r="G360" s="22" t="n">
        <x:v>178</x:v>
      </x:c>
      <x:c r="H360" s="22" t="n">
        <x:v>178</x:v>
      </x:c>
      <x:c r="I360" s="24" t="n">
        <x:v>167.38400000000001</x:v>
      </x:c>
      <x:c r="J360" s="24" t="n">
        <x:v>74.60709999999999</x:v>
      </x:c>
      <x:c r="K360" s="24" t="n">
        <x:v>949.2</x:v>
      </x:c>
      <x:c r="L360" s="24" t="n">
        <x:v>2578.2833333333333</x:v>
      </x:c>
      <x:c r="M360" s="10" t="n">
        <x:v>2</x:v>
      </x:c>
      <x:c r="N360" s="10" t="n">
        <x:v>6</x:v>
      </x:c>
      <x:c r="O360" s="28" t="n">
        <x:f>IF(F360="有效",I360*'参数'!$B$10+J360*'参数'!$B$11,"n.a.")</x:f>
        <x:v>218.28807175499998</x:v>
      </x:c>
      <x:c r="P360" s="28" t="n">
        <x:f>IF(F360="有效",K360*'参数'!$B$12+L360*'参数'!$B$13,"n.a.")</x:f>
        <x:v>2914.7059524305555</x:v>
      </x:c>
      <x:c r="Q360" s="28" t="n">
        <x:f>IF(F360="有效",M360*'参数'!$B$14+N360*'参数'!$B$15,"n.a.")</x:f>
        <x:v>560</x:v>
      </x:c>
      <x:c r="R360" s="28" t="n">
        <x:f>IF(F360="有效",IF(D360&lt;=2,G360*('参数'!$B$6+'参数'!$B$18),0),"n.a.")</x:f>
        <x:v>0</x:v>
      </x:c>
      <x:c r="S360" s="28" t="n">
        <x:f>IF(F360="有效",IF(D360&gt;=3,G360*'参数'!$B$16,0),"n.a.")</x:f>
        <x:v>142.4</x:v>
      </x:c>
      <x:c r="T360" s="28" t="n">
        <x:f>IF(F360="有效",IF(D360&gt;=3,G360*'参数'!$B$17,0),"n.a.")</x:f>
        <x:v>17.8</x:v>
      </x:c>
      <x:c r="U360" s="28" t="n">
        <x:f>IF(F360="有效",SUM(O360:T360),"n.a.")</x:f>
        <x:v>3853.194024185556</x:v>
      </x:c>
      <x:c r="V360" s="28" t="n">
        <x:f>IF(F360="有效",H360*'参数'!$B$7,"n.a.")</x:f>
        <x:v>6497</x:v>
      </x:c>
      <x:c r="W360" s="28" t="n">
        <x:f>IF(F360="有效",IF(D360&gt;=3,G360*'参数'!$B$7/'参数'!$B$8,0),"n.a.")</x:f>
        <x:v>129.94</x:v>
      </x:c>
      <x:c r="X360" s="28" t="n">
        <x:f>IF(F360="有效",U360+W360,"n.a.")</x:f>
        <x:v>3983.134024185556</x:v>
      </x:c>
      <x:c r="Y360" s="28" t="n">
        <x:f>IF(F360="有效",X360/G360,"n.a.")</x:f>
        <x:v>22.377157439244698</x:v>
      </x:c>
    </x:row>
    <x:row r="361" ht="22" customHeight="1">
      <x:c r="A361" s="11" t="str">
        <x:v>lade_0829_20aoi</x:v>
      </x:c>
      <x:c r="B361" s="22" t="n">
        <x:v>20</x:v>
      </x:c>
      <x:c r="C361" s="22" t="n">
        <x:v>2</x:v>
      </x:c>
      <x:c r="D361" s="22" t="n">
        <x:v>5</x:v>
      </x:c>
      <x:c r="E361" s="22" t="n">
        <x:v>43</x:v>
      </x:c>
      <x:c r="F361" s="30" t="str">
        <x:v>有效</x:v>
      </x:c>
      <x:c r="G361" s="22" t="n">
        <x:v>178</x:v>
      </x:c>
      <x:c r="H361" s="22" t="n">
        <x:v>178</x:v>
      </x:c>
      <x:c r="I361" s="24" t="n">
        <x:v>169.4097</x:v>
      </x:c>
      <x:c r="J361" s="24" t="n">
        <x:v>73.692</x:v>
      </x:c>
      <x:c r="K361" s="24" t="n">
        <x:v>949.2</x:v>
      </x:c>
      <x:c r="L361" s="24" t="n">
        <x:v>2946.7</x:v>
      </x:c>
      <x:c r="M361" s="10" t="n">
        <x:v>2</x:v>
      </x:c>
      <x:c r="N361" s="10" t="n">
        <x:v>6</x:v>
      </x:c>
      <x:c r="O361" s="28" t="n">
        <x:f>IF(F361="有效",I361*'参数'!$B$10+J361*'参数'!$B$11,"n.a.")</x:f>
        <x:v>219.289888485</x:v>
      </x:c>
      <x:c r="P361" s="28" t="n">
        <x:f>IF(F361="有效",K361*'参数'!$B$12+L361*'参数'!$B$13,"n.a.")</x:f>
        <x:v>3185.668735416666</x:v>
      </x:c>
      <x:c r="Q361" s="28" t="n">
        <x:f>IF(F361="有效",M361*'参数'!$B$14+N361*'参数'!$B$15,"n.a.")</x:f>
        <x:v>560</x:v>
      </x:c>
      <x:c r="R361" s="28" t="n">
        <x:f>IF(F361="有效",IF(D361&lt;=2,G361*('参数'!$B$6+'参数'!$B$18),0),"n.a.")</x:f>
        <x:v>0</x:v>
      </x:c>
      <x:c r="S361" s="28" t="n">
        <x:f>IF(F361="有效",IF(D361&gt;=3,G361*'参数'!$B$16,0),"n.a.")</x:f>
        <x:v>142.4</x:v>
      </x:c>
      <x:c r="T361" s="28" t="n">
        <x:f>IF(F361="有效",IF(D361&gt;=3,G361*'参数'!$B$17,0),"n.a.")</x:f>
        <x:v>17.8</x:v>
      </x:c>
      <x:c r="U361" s="28" t="n">
        <x:f>IF(F361="有效",SUM(O361:T361),"n.a.")</x:f>
        <x:v>4125.158623901666</x:v>
      </x:c>
      <x:c r="V361" s="28" t="n">
        <x:f>IF(F361="有效",H361*'参数'!$B$7,"n.a.")</x:f>
        <x:v>6497</x:v>
      </x:c>
      <x:c r="W361" s="28" t="n">
        <x:f>IF(F361="有效",IF(D361&gt;=3,G361*'参数'!$B$7/'参数'!$B$8,0),"n.a.")</x:f>
        <x:v>129.94</x:v>
      </x:c>
      <x:c r="X361" s="28" t="n">
        <x:f>IF(F361="有效",U361+W361,"n.a.")</x:f>
        <x:v>4255.098623901666</x:v>
      </x:c>
      <x:c r="Y361" s="28" t="n">
        <x:f>IF(F361="有效",X361/G361,"n.a.")</x:f>
        <x:v>23.90504844888576</x:v>
      </x:c>
    </x:row>
    <x:row r="362" ht="22" customHeight="1">
      <x:c r="A362" s="11" t="str">
        <x:v>lade_0829_20aoi</x:v>
      </x:c>
      <x:c r="B362" s="22" t="n">
        <x:v>20</x:v>
      </x:c>
      <x:c r="C362" s="22" t="n">
        <x:v>2</x:v>
      </x:c>
      <x:c r="D362" s="22" t="n">
        <x:v>5</x:v>
      </x:c>
      <x:c r="E362" s="22" t="n">
        <x:v>44</x:v>
      </x:c>
      <x:c r="F362" s="30" t="str">
        <x:v>有效</x:v>
      </x:c>
      <x:c r="G362" s="22" t="n">
        <x:v>178</x:v>
      </x:c>
      <x:c r="H362" s="22" t="n">
        <x:v>178</x:v>
      </x:c>
      <x:c r="I362" s="24" t="n">
        <x:v>124.5172</x:v>
      </x:c>
      <x:c r="J362" s="24" t="n">
        <x:v>73.82649999999998</x:v>
      </x:c>
      <x:c r="K362" s="24" t="n">
        <x:v>705.05</x:v>
      </x:c>
      <x:c r="L362" s="24" t="n">
        <x:v>2792.4166666666665</x:v>
      </x:c>
      <x:c r="M362" s="10" t="n">
        <x:v>2</x:v>
      </x:c>
      <x:c r="N362" s="10" t="n">
        <x:v>6</x:v>
      </x:c>
      <x:c r="O362" s="28" t="n">
        <x:f>IF(F362="有效",I362*'参数'!$B$10+J362*'参数'!$B$11,"n.a.")</x:f>
        <x:v>178.915934585</x:v>
      </x:c>
      <x:c r="P362" s="28" t="n">
        <x:f>IF(F362="有效",K362*'参数'!$B$12+L362*'参数'!$B$13,"n.a.")</x:f>
        <x:v>2810.238867361111</x:v>
      </x:c>
      <x:c r="Q362" s="28" t="n">
        <x:f>IF(F362="有效",M362*'参数'!$B$14+N362*'参数'!$B$15,"n.a.")</x:f>
        <x:v>560</x:v>
      </x:c>
      <x:c r="R362" s="28" t="n">
        <x:f>IF(F362="有效",IF(D362&lt;=2,G362*('参数'!$B$6+'参数'!$B$18),0),"n.a.")</x:f>
        <x:v>0</x:v>
      </x:c>
      <x:c r="S362" s="28" t="n">
        <x:f>IF(F362="有效",IF(D362&gt;=3,G362*'参数'!$B$16,0),"n.a.")</x:f>
        <x:v>142.4</x:v>
      </x:c>
      <x:c r="T362" s="28" t="n">
        <x:f>IF(F362="有效",IF(D362&gt;=3,G362*'参数'!$B$17,0),"n.a.")</x:f>
        <x:v>17.8</x:v>
      </x:c>
      <x:c r="U362" s="28" t="n">
        <x:f>IF(F362="有效",SUM(O362:T362),"n.a.")</x:f>
        <x:v>3709.354801946111</x:v>
      </x:c>
      <x:c r="V362" s="28" t="n">
        <x:f>IF(F362="有效",H362*'参数'!$B$7,"n.a.")</x:f>
        <x:v>6497</x:v>
      </x:c>
      <x:c r="W362" s="28" t="n">
        <x:f>IF(F362="有效",IF(D362&gt;=3,G362*'参数'!$B$7/'参数'!$B$8,0),"n.a.")</x:f>
        <x:v>129.94</x:v>
      </x:c>
      <x:c r="X362" s="28" t="n">
        <x:f>IF(F362="有效",U362+W362,"n.a.")</x:f>
        <x:v>3839.294801946111</x:v>
      </x:c>
      <x:c r="Y362" s="28" t="n">
        <x:f>IF(F362="有效",X362/G362,"n.a.")</x:f>
        <x:v>21.569071921045566</x:v>
      </x:c>
    </x:row>
    <x:row r="363" ht="22" customHeight="1">
      <x:c r="A363" s="11" t="str">
        <x:v>lade_0829_20aoi</x:v>
      </x:c>
      <x:c r="B363" s="22" t="n">
        <x:v>20</x:v>
      </x:c>
      <x:c r="C363" s="22" t="n">
        <x:v>3</x:v>
      </x:c>
      <x:c r="D363" s="22" t="n">
        <x:v>5</x:v>
      </x:c>
      <x:c r="E363" s="22" t="n">
        <x:v>42</x:v>
      </x:c>
      <x:c r="F363" s="30" t="str">
        <x:v>有效</x:v>
      </x:c>
      <x:c r="G363" s="22" t="n">
        <x:v>178</x:v>
      </x:c>
      <x:c r="H363" s="22" t="n">
        <x:v>178</x:v>
      </x:c>
      <x:c r="I363" s="24" t="n">
        <x:v>272.0835</x:v>
      </x:c>
      <x:c r="J363" s="24" t="n">
        <x:v>80.74609999999998</x:v>
      </x:c>
      <x:c r="K363" s="24" t="n">
        <x:v>1016.65</x:v>
      </x:c>
      <x:c r="L363" s="24" t="n">
        <x:v>2290.95</x:v>
      </x:c>
      <x:c r="M363" s="10" t="n">
        <x:v>3</x:v>
      </x:c>
      <x:c r="N363" s="10" t="n">
        <x:v>6</x:v>
      </x:c>
      <x:c r="O363" s="28" t="n">
        <x:f>IF(F363="有效",I363*'参数'!$B$10+J363*'参数'!$B$11,"n.a.")</x:f>
        <x:v>318.26994068</x:v>
      </x:c>
      <x:c r="P363" s="28" t="n">
        <x:f>IF(F363="有效",K363*'参数'!$B$12+L363*'参数'!$B$13,"n.a.")</x:f>
        <x:v>2775.7479062499997</x:v>
      </x:c>
      <x:c r="Q363" s="28" t="n">
        <x:f>IF(F363="有效",M363*'参数'!$B$14+N363*'参数'!$B$15,"n.a.")</x:f>
        <x:v>660</x:v>
      </x:c>
      <x:c r="R363" s="28" t="n">
        <x:f>IF(F363="有效",IF(D363&lt;=2,G363*('参数'!$B$6+'参数'!$B$18),0),"n.a.")</x:f>
        <x:v>0</x:v>
      </x:c>
      <x:c r="S363" s="28" t="n">
        <x:f>IF(F363="有效",IF(D363&gt;=3,G363*'参数'!$B$16,0),"n.a.")</x:f>
        <x:v>142.4</x:v>
      </x:c>
      <x:c r="T363" s="28" t="n">
        <x:f>IF(F363="有效",IF(D363&gt;=3,G363*'参数'!$B$17,0),"n.a.")</x:f>
        <x:v>17.8</x:v>
      </x:c>
      <x:c r="U363" s="28" t="n">
        <x:f>IF(F363="有效",SUM(O363:T363),"n.a.")</x:f>
        <x:v>3914.21784693</x:v>
      </x:c>
      <x:c r="V363" s="28" t="n">
        <x:f>IF(F363="有效",H363*'参数'!$B$7,"n.a.")</x:f>
        <x:v>6497</x:v>
      </x:c>
      <x:c r="W363" s="28" t="n">
        <x:f>IF(F363="有效",IF(D363&gt;=3,G363*'参数'!$B$7/'参数'!$B$8,0),"n.a.")</x:f>
        <x:v>129.94</x:v>
      </x:c>
      <x:c r="X363" s="28" t="n">
        <x:f>IF(F363="有效",U363+W363,"n.a.")</x:f>
        <x:v>4044.1578469300002</x:v>
      </x:c>
      <x:c r="Y363" s="28" t="n">
        <x:f>IF(F363="有效",X363/G363,"n.a.")</x:f>
        <x:v>22.719987904101124</x:v>
      </x:c>
    </x:row>
    <x:row r="364" ht="22" customHeight="1">
      <x:c r="A364" s="11" t="str">
        <x:v>lade_0829_20aoi</x:v>
      </x:c>
      <x:c r="B364" s="22" t="n">
        <x:v>20</x:v>
      </x:c>
      <x:c r="C364" s="22" t="n">
        <x:v>3</x:v>
      </x:c>
      <x:c r="D364" s="22" t="n">
        <x:v>5</x:v>
      </x:c>
      <x:c r="E364" s="22" t="n">
        <x:v>43</x:v>
      </x:c>
      <x:c r="F364" s="30" t="str">
        <x:v>有效</x:v>
      </x:c>
      <x:c r="G364" s="22" t="n">
        <x:v>178</x:v>
      </x:c>
      <x:c r="H364" s="22" t="n">
        <x:v>178</x:v>
      </x:c>
      <x:c r="I364" s="24" t="n">
        <x:v>320.51250000000005</x:v>
      </x:c>
      <x:c r="J364" s="24" t="n">
        <x:v>81.1605</x:v>
      </x:c>
      <x:c r="K364" s="24" t="n">
        <x:v>1178.05</x:v>
      </x:c>
      <x:c r="L364" s="24" t="n">
        <x:v>1822.15</x:v>
      </x:c>
      <x:c r="M364" s="10" t="n">
        <x:v>3</x:v>
      </x:c>
      <x:c r="N364" s="10" t="n">
        <x:v>6</x:v>
      </x:c>
      <x:c r="O364" s="28" t="n">
        <x:f>IF(F364="有效",I364*'参数'!$B$10+J364*'参数'!$B$11,"n.a.")</x:f>
        <x:v>362.3291296500001</x:v>
      </x:c>
      <x:c r="P364" s="28" t="n">
        <x:f>IF(F364="有效",K364*'参数'!$B$12+L364*'参数'!$B$13,"n.a.")</x:f>
        <x:v>2604.1273854166666</x:v>
      </x:c>
      <x:c r="Q364" s="28" t="n">
        <x:f>IF(F364="有效",M364*'参数'!$B$14+N364*'参数'!$B$15,"n.a.")</x:f>
        <x:v>660</x:v>
      </x:c>
      <x:c r="R364" s="28" t="n">
        <x:f>IF(F364="有效",IF(D364&lt;=2,G364*('参数'!$B$6+'参数'!$B$18),0),"n.a.")</x:f>
        <x:v>0</x:v>
      </x:c>
      <x:c r="S364" s="28" t="n">
        <x:f>IF(F364="有效",IF(D364&gt;=3,G364*'参数'!$B$16,0),"n.a.")</x:f>
        <x:v>142.4</x:v>
      </x:c>
      <x:c r="T364" s="28" t="n">
        <x:f>IF(F364="有效",IF(D364&gt;=3,G364*'参数'!$B$17,0),"n.a.")</x:f>
        <x:v>17.8</x:v>
      </x:c>
      <x:c r="U364" s="28" t="n">
        <x:f>IF(F364="有效",SUM(O364:T364),"n.a.")</x:f>
        <x:v>3786.656515066667</x:v>
      </x:c>
      <x:c r="V364" s="28" t="n">
        <x:f>IF(F364="有效",H364*'参数'!$B$7,"n.a.")</x:f>
        <x:v>6497</x:v>
      </x:c>
      <x:c r="W364" s="28" t="n">
        <x:f>IF(F364="有效",IF(D364&gt;=3,G364*'参数'!$B$7/'参数'!$B$8,0),"n.a.")</x:f>
        <x:v>129.94</x:v>
      </x:c>
      <x:c r="X364" s="28" t="n">
        <x:f>IF(F364="有效",U364+W364,"n.a.")</x:f>
        <x:v>3916.596515066667</x:v>
      </x:c>
      <x:c r="Y364" s="28" t="n">
        <x:f>IF(F364="有效",X364/G364,"n.a.")</x:f>
        <x:v>22.003351208239703</x:v>
      </x:c>
    </x:row>
    <x:row r="365" ht="22" customHeight="1">
      <x:c r="A365" s="11" t="str">
        <x:v>lade_0829_20aoi</x:v>
      </x:c>
      <x:c r="B365" s="22" t="n">
        <x:v>20</x:v>
      </x:c>
      <x:c r="C365" s="22" t="n">
        <x:v>3</x:v>
      </x:c>
      <x:c r="D365" s="22" t="n">
        <x:v>5</x:v>
      </x:c>
      <x:c r="E365" s="22" t="n">
        <x:v>44</x:v>
      </x:c>
      <x:c r="F365" s="30" t="str">
        <x:v>有效</x:v>
      </x:c>
      <x:c r="G365" s="22" t="n">
        <x:v>178</x:v>
      </x:c>
      <x:c r="H365" s="22" t="n">
        <x:v>178</x:v>
      </x:c>
      <x:c r="I365" s="24" t="n">
        <x:v>275.6775</x:v>
      </x:c>
      <x:c r="J365" s="24" t="n">
        <x:v>80.88059999999997</x:v>
      </x:c>
      <x:c r="K365" s="24" t="n">
        <x:v>1117.4166666666667</x:v>
      </x:c>
      <x:c r="L365" s="24" t="n">
        <x:v>1734.9</x:v>
      </x:c>
      <x:c r="M365" s="10" t="n">
        <x:v>2</x:v>
      </x:c>
      <x:c r="N365" s="10" t="n">
        <x:v>6</x:v>
      </x:c>
      <x:c r="O365" s="28" t="n">
        <x:f>IF(F365="有效",I365*'参数'!$B$10+J365*'参数'!$B$11,"n.a.")</x:f>
        <x:v>321.633234105</x:v>
      </x:c>
      <x:c r="P365" s="28" t="n">
        <x:f>IF(F365="有效",K365*'参数'!$B$12+L365*'参数'!$B$13,"n.a.")</x:f>
        <x:v>2474.9010510416665</x:v>
      </x:c>
      <x:c r="Q365" s="28" t="n">
        <x:f>IF(F365="有效",M365*'参数'!$B$14+N365*'参数'!$B$15,"n.a.")</x:f>
        <x:v>560</x:v>
      </x:c>
      <x:c r="R365" s="28" t="n">
        <x:f>IF(F365="有效",IF(D365&lt;=2,G365*('参数'!$B$6+'参数'!$B$18),0),"n.a.")</x:f>
        <x:v>0</x:v>
      </x:c>
      <x:c r="S365" s="28" t="n">
        <x:f>IF(F365="有效",IF(D365&gt;=3,G365*'参数'!$B$16,0),"n.a.")</x:f>
        <x:v>142.4</x:v>
      </x:c>
      <x:c r="T365" s="28" t="n">
        <x:f>IF(F365="有效",IF(D365&gt;=3,G365*'参数'!$B$17,0),"n.a.")</x:f>
        <x:v>17.8</x:v>
      </x:c>
      <x:c r="U365" s="28" t="n">
        <x:f>IF(F365="有效",SUM(O365:T365),"n.a.")</x:f>
        <x:v>3516.734285146667</x:v>
      </x:c>
      <x:c r="V365" s="28" t="n">
        <x:f>IF(F365="有效",H365*'参数'!$B$7,"n.a.")</x:f>
        <x:v>6497</x:v>
      </x:c>
      <x:c r="W365" s="28" t="n">
        <x:f>IF(F365="有效",IF(D365&gt;=3,G365*'参数'!$B$7/'参数'!$B$8,0),"n.a.")</x:f>
        <x:v>129.94</x:v>
      </x:c>
      <x:c r="X365" s="28" t="n">
        <x:f>IF(F365="有效",U365+W365,"n.a.")</x:f>
        <x:v>3646.674285146667</x:v>
      </x:c>
      <x:c r="Y365" s="28" t="n">
        <x:f>IF(F365="有效",X365/G365,"n.a.")</x:f>
        <x:v>20.48693418621723</x:v>
      </x:c>
    </x:row>
    <x:row r="366" ht="22" customHeight="1">
      <x:c r="A366" s="11" t="str">
        <x:v>lade_0829_30aoi</x:v>
      </x:c>
      <x:c r="B366" s="22" t="n">
        <x:v>30</x:v>
      </x:c>
      <x:c r="C366" s="22" t="n">
        <x:v>1</x:v>
      </x:c>
      <x:c r="D366" s="22" t="n">
        <x:v>1</x:v>
      </x:c>
      <x:c r="E366" s="22" t="n">
        <x:v>42</x:v>
      </x:c>
      <x:c r="F366" s="30" t="str">
        <x:v>有效</x:v>
      </x:c>
      <x:c r="G366" s="22" t="n">
        <x:v>235</x:v>
      </x:c>
      <x:c r="H366" s="22" t="n">
        <x:v>0</x:v>
      </x:c>
      <x:c r="I366" s="24" t="n">
        <x:v>59.477500000000006</x:v>
      </x:c>
      <x:c r="J366" s="24" t="n">
        <x:v>62.9395</x:v>
      </x:c>
      <x:c r="K366" s="24" t="n">
        <x:v>60.63333333333333</x:v>
      </x:c>
      <x:c r="L366" s="24" t="n">
        <x:v>2478.1833333333334</x:v>
      </x:c>
      <x:c r="M366" s="10" t="n">
        <x:v>1</x:v>
      </x:c>
      <x:c r="N366" s="10" t="n">
        <x:v>6</x:v>
      </x:c>
      <x:c r="O366" s="28" t="n">
        <x:f>IF(F366="有效",I366*'参数'!$B$10+J366*'参数'!$B$11,"n.a.")</x:f>
        <x:v>110.42625485000002</x:v>
      </x:c>
      <x:c r="P366" s="28" t="n">
        <x:f>IF(F366="有效",K366*'参数'!$B$12+L366*'参数'!$B$13,"n.a.")</x:f>
        <x:v>1887.7079899305556</x:v>
      </x:c>
      <x:c r="Q366" s="28" t="n">
        <x:f>IF(F366="有效",M366*'参数'!$B$14+N366*'参数'!$B$15,"n.a.")</x:f>
        <x:v>460</x:v>
      </x:c>
      <x:c r="R366" s="28" t="n">
        <x:f>IF(F366="有效",IF(D366&lt;=2,G366*('参数'!$B$6+'参数'!$B$18),0),"n.a.")</x:f>
        <x:v>940</x:v>
      </x:c>
      <x:c r="S366" s="28" t="n">
        <x:f>IF(F366="有效",IF(D366&gt;=3,G366*'参数'!$B$16,0),"n.a.")</x:f>
        <x:v>0</x:v>
      </x:c>
      <x:c r="T366" s="28" t="n">
        <x:f>IF(F366="有效",IF(D366&gt;=3,G366*'参数'!$B$17,0),"n.a.")</x:f>
        <x:v>0</x:v>
      </x:c>
      <x:c r="U366" s="28" t="n">
        <x:f>IF(F366="有效",SUM(O366:T366),"n.a.")</x:f>
        <x:v>3398.1342447805555</x:v>
      </x:c>
      <x:c r="V366" s="28" t="n">
        <x:f>IF(F366="有效",H366*'参数'!$B$7,"n.a.")</x:f>
        <x:v>0</x:v>
      </x:c>
      <x:c r="W366" s="28" t="n">
        <x:f>IF(F366="有效",IF(D366&gt;=3,G366*'参数'!$B$7/'参数'!$B$8,0),"n.a.")</x:f>
        <x:v>0</x:v>
      </x:c>
      <x:c r="X366" s="28" t="n">
        <x:f>IF(F366="有效",U366+W366,"n.a.")</x:f>
        <x:v>3398.1342447805555</x:v>
      </x:c>
      <x:c r="Y366" s="28" t="n">
        <x:f>IF(F366="有效",X366/G366,"n.a.")</x:f>
        <x:v>14.460145722470449</x:v>
      </x:c>
    </x:row>
    <x:row r="367" ht="22" customHeight="1">
      <x:c r="A367" s="11" t="str">
        <x:v>lade_0829_30aoi</x:v>
      </x:c>
      <x:c r="B367" s="22" t="n">
        <x:v>30</x:v>
      </x:c>
      <x:c r="C367" s="22" t="n">
        <x:v>1</x:v>
      </x:c>
      <x:c r="D367" s="22" t="n">
        <x:v>1</x:v>
      </x:c>
      <x:c r="E367" s="22" t="n">
        <x:v>43</x:v>
      </x:c>
      <x:c r="F367" s="30" t="str">
        <x:v>有效</x:v>
      </x:c>
      <x:c r="G367" s="22" t="n">
        <x:v>235</x:v>
      </x:c>
      <x:c r="H367" s="22" t="n">
        <x:v>0</x:v>
      </x:c>
      <x:c r="I367" s="24" t="n">
        <x:v>59.477500000000006</x:v>
      </x:c>
      <x:c r="J367" s="24" t="n">
        <x:v>63.6231</x:v>
      </x:c>
      <x:c r="K367" s="24" t="n">
        <x:v>60.63333333333333</x:v>
      </x:c>
      <x:c r="L367" s="24" t="n">
        <x:v>2479.133333333333</x:v>
      </x:c>
      <x:c r="M367" s="10" t="n">
        <x:v>1</x:v>
      </x:c>
      <x:c r="N367" s="10" t="n">
        <x:v>6</x:v>
      </x:c>
      <x:c r="O367" s="28" t="n">
        <x:f>IF(F367="有效",I367*'参数'!$B$10+J367*'参数'!$B$11,"n.a.")</x:f>
        <x:v>111.04289623000001</x:v>
      </x:c>
      <x:c r="P367" s="28" t="n">
        <x:f>IF(F367="有效",K367*'参数'!$B$12+L367*'参数'!$B$13,"n.a.")</x:f>
        <x:v>1888.4066951388888</x:v>
      </x:c>
      <x:c r="Q367" s="28" t="n">
        <x:f>IF(F367="有效",M367*'参数'!$B$14+N367*'参数'!$B$15,"n.a.")</x:f>
        <x:v>460</x:v>
      </x:c>
      <x:c r="R367" s="28" t="n">
        <x:f>IF(F367="有效",IF(D367&lt;=2,G367*('参数'!$B$6+'参数'!$B$18),0),"n.a.")</x:f>
        <x:v>940</x:v>
      </x:c>
      <x:c r="S367" s="28" t="n">
        <x:f>IF(F367="有效",IF(D367&gt;=3,G367*'参数'!$B$16,0),"n.a.")</x:f>
        <x:v>0</x:v>
      </x:c>
      <x:c r="T367" s="28" t="n">
        <x:f>IF(F367="有效",IF(D367&gt;=3,G367*'参数'!$B$17,0),"n.a.")</x:f>
        <x:v>0</x:v>
      </x:c>
      <x:c r="U367" s="28" t="n">
        <x:f>IF(F367="有效",SUM(O367:T367),"n.a.")</x:f>
        <x:v>3399.449591368889</x:v>
      </x:c>
      <x:c r="V367" s="28" t="n">
        <x:f>IF(F367="有效",H367*'参数'!$B$7,"n.a.")</x:f>
        <x:v>0</x:v>
      </x:c>
      <x:c r="W367" s="28" t="n">
        <x:f>IF(F367="有效",IF(D367&gt;=3,G367*'参数'!$B$7/'参数'!$B$8,0),"n.a.")</x:f>
        <x:v>0</x:v>
      </x:c>
      <x:c r="X367" s="28" t="n">
        <x:f>IF(F367="有效",U367+W367,"n.a.")</x:f>
        <x:v>3399.449591368889</x:v>
      </x:c>
      <x:c r="Y367" s="28" t="n">
        <x:f>IF(F367="有效",X367/G367,"n.a.")</x:f>
        <x:v>14.465742941995272</x:v>
      </x:c>
    </x:row>
    <x:row r="368" ht="22" customHeight="1">
      <x:c r="A368" s="11" t="str">
        <x:v>lade_0829_30aoi</x:v>
      </x:c>
      <x:c r="B368" s="22" t="n">
        <x:v>30</x:v>
      </x:c>
      <x:c r="C368" s="22" t="n">
        <x:v>1</x:v>
      </x:c>
      <x:c r="D368" s="22" t="n">
        <x:v>1</x:v>
      </x:c>
      <x:c r="E368" s="22" t="n">
        <x:v>44</x:v>
      </x:c>
      <x:c r="F368" s="30" t="str">
        <x:v>有效</x:v>
      </x:c>
      <x:c r="G368" s="22" t="n">
        <x:v>235</x:v>
      </x:c>
      <x:c r="H368" s="22" t="n">
        <x:v>0</x:v>
      </x:c>
      <x:c r="I368" s="24" t="n">
        <x:v>59.477500000000006</x:v>
      </x:c>
      <x:c r="J368" s="24" t="n">
        <x:v>63.52949999999999</x:v>
      </x:c>
      <x:c r="K368" s="24" t="n">
        <x:v>60.63333333333333</x:v>
      </x:c>
      <x:c r="L368" s="24" t="n">
        <x:v>2469.95</x:v>
      </x:c>
      <x:c r="M368" s="10" t="n">
        <x:v>1</x:v>
      </x:c>
      <x:c r="N368" s="10" t="n">
        <x:v>6</x:v>
      </x:c>
      <x:c r="O368" s="28" t="n">
        <x:f>IF(F368="有效",I368*'参数'!$B$10+J368*'参数'!$B$11,"n.a.")</x:f>
        <x:v>110.95846435</x:v>
      </x:c>
      <x:c r="P368" s="28" t="n">
        <x:f>IF(F368="有效",K368*'参数'!$B$12+L368*'参数'!$B$13,"n.a.")</x:f>
        <x:v>1881.6525447916667</x:v>
      </x:c>
      <x:c r="Q368" s="28" t="n">
        <x:f>IF(F368="有效",M368*'参数'!$B$14+N368*'参数'!$B$15,"n.a.")</x:f>
        <x:v>460</x:v>
      </x:c>
      <x:c r="R368" s="28" t="n">
        <x:f>IF(F368="有效",IF(D368&lt;=2,G368*('参数'!$B$6+'参数'!$B$18),0),"n.a.")</x:f>
        <x:v>940</x:v>
      </x:c>
      <x:c r="S368" s="28" t="n">
        <x:f>IF(F368="有效",IF(D368&gt;=3,G368*'参数'!$B$16,0),"n.a.")</x:f>
        <x:v>0</x:v>
      </x:c>
      <x:c r="T368" s="28" t="n">
        <x:f>IF(F368="有效",IF(D368&gt;=3,G368*'参数'!$B$17,0),"n.a.")</x:f>
        <x:v>0</x:v>
      </x:c>
      <x:c r="U368" s="28" t="n">
        <x:f>IF(F368="有效",SUM(O368:T368),"n.a.")</x:f>
        <x:v>3392.6110091416667</x:v>
      </x:c>
      <x:c r="V368" s="28" t="n">
        <x:f>IF(F368="有效",H368*'参数'!$B$7,"n.a.")</x:f>
        <x:v>0</x:v>
      </x:c>
      <x:c r="W368" s="28" t="n">
        <x:f>IF(F368="有效",IF(D368&gt;=3,G368*'参数'!$B$7/'参数'!$B$8,0),"n.a.")</x:f>
        <x:v>0</x:v>
      </x:c>
      <x:c r="X368" s="28" t="n">
        <x:f>IF(F368="有效",U368+W368,"n.a.")</x:f>
        <x:v>3392.6110091416667</x:v>
      </x:c>
      <x:c r="Y368" s="28" t="n">
        <x:f>IF(F368="有效",X368/G368,"n.a.")</x:f>
        <x:v>14.436642592092198</x:v>
      </x:c>
    </x:row>
    <x:row r="369" ht="22" customHeight="1">
      <x:c r="A369" s="11" t="str">
        <x:v>lade_0829_30aoi</x:v>
      </x:c>
      <x:c r="B369" s="22" t="n">
        <x:v>30</x:v>
      </x:c>
      <x:c r="C369" s="22" t="n">
        <x:v>1</x:v>
      </x:c>
      <x:c r="D369" s="22" t="n">
        <x:v>2</x:v>
      </x:c>
      <x:c r="E369" s="22" t="n">
        <x:v>42</x:v>
      </x:c>
      <x:c r="F369" s="30" t="str">
        <x:v>有效</x:v>
      </x:c>
      <x:c r="G369" s="22" t="n">
        <x:v>235</x:v>
      </x:c>
      <x:c r="H369" s="22" t="n">
        <x:v>0</x:v>
      </x:c>
      <x:c r="I369" s="24" t="n">
        <x:v>59.477500000000006</x:v>
      </x:c>
      <x:c r="J369" s="24" t="n">
        <x:v>58.2146</x:v>
      </x:c>
      <x:c r="K369" s="24" t="n">
        <x:v>60.63333333333333</x:v>
      </x:c>
      <x:c r="L369" s="24" t="n">
        <x:v>1982.1</x:v>
      </x:c>
      <x:c r="M369" s="10" t="n">
        <x:v>1</x:v>
      </x:c>
      <x:c r="N369" s="10" t="n">
        <x:v>5</x:v>
      </x:c>
      <x:c r="O369" s="28" t="n">
        <x:f>IF(F369="有效",I369*'参数'!$B$10+J369*'参数'!$B$11,"n.a.")</x:f>
        <x:v>106.164158805</x:v>
      </x:c>
      <x:c r="P369" s="28" t="n">
        <x:f>IF(F369="有效",K369*'参数'!$B$12+L369*'参数'!$B$13,"n.a.")</x:f>
        <x:v>1522.8490333333334</x:v>
      </x:c>
      <x:c r="Q369" s="28" t="n">
        <x:f>IF(F369="有效",M369*'参数'!$B$14+N369*'参数'!$B$15,"n.a.")</x:f>
        <x:v>400</x:v>
      </x:c>
      <x:c r="R369" s="28" t="n">
        <x:f>IF(F369="有效",IF(D369&lt;=2,G369*('参数'!$B$6+'参数'!$B$18),0),"n.a.")</x:f>
        <x:v>940</x:v>
      </x:c>
      <x:c r="S369" s="28" t="n">
        <x:f>IF(F369="有效",IF(D369&gt;=3,G369*'参数'!$B$16,0),"n.a.")</x:f>
        <x:v>0</x:v>
      </x:c>
      <x:c r="T369" s="28" t="n">
        <x:f>IF(F369="有效",IF(D369&gt;=3,G369*'参数'!$B$17,0),"n.a.")</x:f>
        <x:v>0</x:v>
      </x:c>
      <x:c r="U369" s="28" t="n">
        <x:f>IF(F369="有效",SUM(O369:T369),"n.a.")</x:f>
        <x:v>2969.0131921383336</x:v>
      </x:c>
      <x:c r="V369" s="28" t="n">
        <x:f>IF(F369="有效",H369*'参数'!$B$7,"n.a.")</x:f>
        <x:v>0</x:v>
      </x:c>
      <x:c r="W369" s="28" t="n">
        <x:f>IF(F369="有效",IF(D369&gt;=3,G369*'参数'!$B$7/'参数'!$B$8,0),"n.a.")</x:f>
        <x:v>0</x:v>
      </x:c>
      <x:c r="X369" s="28" t="n">
        <x:f>IF(F369="有效",U369+W369,"n.a.")</x:f>
        <x:v>2969.0131921383336</x:v>
      </x:c>
      <x:c r="Y369" s="28" t="n">
        <x:f>IF(F369="有效",X369/G369,"n.a.")</x:f>
        <x:v>12.634098689950356</x:v>
      </x:c>
    </x:row>
    <x:row r="370" ht="22" customHeight="1">
      <x:c r="A370" s="11" t="str">
        <x:v>lade_0829_30aoi</x:v>
      </x:c>
      <x:c r="B370" s="22" t="n">
        <x:v>30</x:v>
      </x:c>
      <x:c r="C370" s="22" t="n">
        <x:v>1</x:v>
      </x:c>
      <x:c r="D370" s="22" t="n">
        <x:v>2</x:v>
      </x:c>
      <x:c r="E370" s="22" t="n">
        <x:v>43</x:v>
      </x:c>
      <x:c r="F370" s="30" t="str">
        <x:v>有效</x:v>
      </x:c>
      <x:c r="G370" s="22" t="n">
        <x:v>235</x:v>
      </x:c>
      <x:c r="H370" s="22" t="n">
        <x:v>0</x:v>
      </x:c>
      <x:c r="I370" s="24" t="n">
        <x:v>59.477500000000006</x:v>
      </x:c>
      <x:c r="J370" s="24" t="n">
        <x:v>59.937400000000004</x:v>
      </x:c>
      <x:c r="K370" s="24" t="n">
        <x:v>60.63333333333333</x:v>
      </x:c>
      <x:c r="L370" s="24" t="n">
        <x:v>1978</x:v>
      </x:c>
      <x:c r="M370" s="10" t="n">
        <x:v>1</x:v>
      </x:c>
      <x:c r="N370" s="10" t="n">
        <x:v>5</x:v>
      </x:c>
      <x:c r="O370" s="28" t="n">
        <x:f>IF(F370="有效",I370*'参数'!$B$10+J370*'参数'!$B$11,"n.a.")</x:f>
        <x:v>107.718210545</x:v>
      </x:c>
      <x:c r="P370" s="28" t="n">
        <x:f>IF(F370="有效",K370*'参数'!$B$12+L370*'参数'!$B$13,"n.a.")</x:f>
        <x:v>1519.83356875</x:v>
      </x:c>
      <x:c r="Q370" s="28" t="n">
        <x:f>IF(F370="有效",M370*'参数'!$B$14+N370*'参数'!$B$15,"n.a.")</x:f>
        <x:v>400</x:v>
      </x:c>
      <x:c r="R370" s="28" t="n">
        <x:f>IF(F370="有效",IF(D370&lt;=2,G370*('参数'!$B$6+'参数'!$B$18),0),"n.a.")</x:f>
        <x:v>940</x:v>
      </x:c>
      <x:c r="S370" s="28" t="n">
        <x:f>IF(F370="有效",IF(D370&gt;=3,G370*'参数'!$B$16,0),"n.a.")</x:f>
        <x:v>0</x:v>
      </x:c>
      <x:c r="T370" s="28" t="n">
        <x:f>IF(F370="有效",IF(D370&gt;=3,G370*'参数'!$B$17,0),"n.a.")</x:f>
        <x:v>0</x:v>
      </x:c>
      <x:c r="U370" s="28" t="n">
        <x:f>IF(F370="有效",SUM(O370:T370),"n.a.")</x:f>
        <x:v>2967.551779295</x:v>
      </x:c>
      <x:c r="V370" s="28" t="n">
        <x:f>IF(F370="有效",H370*'参数'!$B$7,"n.a.")</x:f>
        <x:v>0</x:v>
      </x:c>
      <x:c r="W370" s="28" t="n">
        <x:f>IF(F370="有效",IF(D370&gt;=3,G370*'参数'!$B$7/'参数'!$B$8,0),"n.a.")</x:f>
        <x:v>0</x:v>
      </x:c>
      <x:c r="X370" s="28" t="n">
        <x:f>IF(F370="有效",U370+W370,"n.a.")</x:f>
        <x:v>2967.551779295</x:v>
      </x:c>
      <x:c r="Y370" s="28" t="n">
        <x:f>IF(F370="有效",X370/G370,"n.a.")</x:f>
        <x:v>12.627879911893617</x:v>
      </x:c>
    </x:row>
    <x:row r="371" ht="22" customHeight="1">
      <x:c r="A371" s="11" t="str">
        <x:v>lade_0829_30aoi</x:v>
      </x:c>
      <x:c r="B371" s="22" t="n">
        <x:v>30</x:v>
      </x:c>
      <x:c r="C371" s="22" t="n">
        <x:v>1</x:v>
      </x:c>
      <x:c r="D371" s="22" t="n">
        <x:v>2</x:v>
      </x:c>
      <x:c r="E371" s="22" t="n">
        <x:v>44</x:v>
      </x:c>
      <x:c r="F371" s="30" t="str">
        <x:v>有效</x:v>
      </x:c>
      <x:c r="G371" s="22" t="n">
        <x:v>235</x:v>
      </x:c>
      <x:c r="H371" s="22" t="n">
        <x:v>0</x:v>
      </x:c>
      <x:c r="I371" s="24" t="n">
        <x:v>59.477500000000006</x:v>
      </x:c>
      <x:c r="J371" s="24" t="n">
        <x:v>59.53820000000001</x:v>
      </x:c>
      <x:c r="K371" s="24" t="n">
        <x:v>60.63333333333333</x:v>
      </x:c>
      <x:c r="L371" s="24" t="n">
        <x:v>1979.1333333333334</x:v>
      </x:c>
      <x:c r="M371" s="10" t="n">
        <x:v>1</x:v>
      </x:c>
      <x:c r="N371" s="10" t="n">
        <x:v>5</x:v>
      </x:c>
      <x:c r="O371" s="28" t="n">
        <x:f>IF(F371="有效",I371*'参数'!$B$10+J371*'参数'!$B$11,"n.a.")</x:f>
        <x:v>107.35811218500001</x:v>
      </x:c>
      <x:c r="P371" s="28" t="n">
        <x:f>IF(F371="有效",K371*'参数'!$B$12+L371*'参数'!$B$13,"n.a.")</x:f>
        <x:v>1520.6671118055558</x:v>
      </x:c>
      <x:c r="Q371" s="28" t="n">
        <x:f>IF(F371="有效",M371*'参数'!$B$14+N371*'参数'!$B$15,"n.a.")</x:f>
        <x:v>400</x:v>
      </x:c>
      <x:c r="R371" s="28" t="n">
        <x:f>IF(F371="有效",IF(D371&lt;=2,G371*('参数'!$B$6+'参数'!$B$18),0),"n.a.")</x:f>
        <x:v>940</x:v>
      </x:c>
      <x:c r="S371" s="28" t="n">
        <x:f>IF(F371="有效",IF(D371&gt;=3,G371*'参数'!$B$16,0),"n.a.")</x:f>
        <x:v>0</x:v>
      </x:c>
      <x:c r="T371" s="28" t="n">
        <x:f>IF(F371="有效",IF(D371&gt;=3,G371*'参数'!$B$17,0),"n.a.")</x:f>
        <x:v>0</x:v>
      </x:c>
      <x:c r="U371" s="28" t="n">
        <x:f>IF(F371="有效",SUM(O371:T371),"n.a.")</x:f>
        <x:v>2968.025223990556</x:v>
      </x:c>
      <x:c r="V371" s="28" t="n">
        <x:f>IF(F371="有效",H371*'参数'!$B$7,"n.a.")</x:f>
        <x:v>0</x:v>
      </x:c>
      <x:c r="W371" s="28" t="n">
        <x:f>IF(F371="有效",IF(D371&gt;=3,G371*'参数'!$B$7/'参数'!$B$8,0),"n.a.")</x:f>
        <x:v>0</x:v>
      </x:c>
      <x:c r="X371" s="28" t="n">
        <x:f>IF(F371="有效",U371+W371,"n.a.")</x:f>
        <x:v>2968.025223990556</x:v>
      </x:c>
      <x:c r="Y371" s="28" t="n">
        <x:f>IF(F371="有效",X371/G371,"n.a.")</x:f>
        <x:v>12.629894570172578</x:v>
      </x:c>
    </x:row>
    <x:row r="372" ht="22" customHeight="1">
      <x:c r="A372" s="11" t="str">
        <x:v>lade_0829_30aoi</x:v>
      </x:c>
      <x:c r="B372" s="22" t="n">
        <x:v>30</x:v>
      </x:c>
      <x:c r="C372" s="22" t="n">
        <x:v>1</x:v>
      </x:c>
      <x:c r="D372" s="22" t="n">
        <x:v>3</x:v>
      </x:c>
      <x:c r="E372" s="22" t="n">
        <x:v>42</x:v>
      </x:c>
      <x:c r="F372" s="30" t="str">
        <x:v>有效</x:v>
      </x:c>
      <x:c r="G372" s="22" t="n">
        <x:v>235</x:v>
      </x:c>
      <x:c r="H372" s="22" t="n">
        <x:v>235</x:v>
      </x:c>
      <x:c r="I372" s="24" t="n">
        <x:v>63.013999999999996</x:v>
      </x:c>
      <x:c r="J372" s="24" t="n">
        <x:v>79.36670000000002</x:v>
      </x:c>
      <x:c r="K372" s="24" t="n">
        <x:v>738.65</x:v>
      </x:c>
      <x:c r="L372" s="24" t="n">
        <x:v>3311.366666666667</x:v>
      </x:c>
      <x:c r="M372" s="10" t="n">
        <x:v>1</x:v>
      </x:c>
      <x:c r="N372" s="10" t="n">
        <x:v>6</x:v>
      </x:c>
      <x:c r="O372" s="28" t="n">
        <x:f>IF(F372="有效",I372*'参数'!$B$10+J372*'参数'!$B$11,"n.a.")</x:f>
        <x:v>128.43451043500002</x:v>
      </x:c>
      <x:c r="P372" s="28" t="n">
        <x:f>IF(F372="有效",K372*'参数'!$B$12+L372*'参数'!$B$13,"n.a.")</x:f>
        <x:v>3227.9664809027777</x:v>
      </x:c>
      <x:c r="Q372" s="28" t="n">
        <x:f>IF(F372="有效",M372*'参数'!$B$14+N372*'参数'!$B$15,"n.a.")</x:f>
        <x:v>460</x:v>
      </x:c>
      <x:c r="R372" s="28" t="n">
        <x:f>IF(F372="有效",IF(D372&lt;=2,G372*('参数'!$B$6+'参数'!$B$18),0),"n.a.")</x:f>
        <x:v>0</x:v>
      </x:c>
      <x:c r="S372" s="28" t="n">
        <x:f>IF(F372="有效",IF(D372&gt;=3,G372*'参数'!$B$16,0),"n.a.")</x:f>
        <x:v>188</x:v>
      </x:c>
      <x:c r="T372" s="28" t="n">
        <x:f>IF(F372="有效",IF(D372&gt;=3,G372*'参数'!$B$17,0),"n.a.")</x:f>
        <x:v>23.5</x:v>
      </x:c>
      <x:c r="U372" s="28" t="n">
        <x:f>IF(F372="有效",SUM(O372:T372),"n.a.")</x:f>
        <x:v>4027.9009913377777</x:v>
      </x:c>
      <x:c r="V372" s="28" t="n">
        <x:f>IF(F372="有效",H372*'参数'!$B$7,"n.a.")</x:f>
        <x:v>8577.5</x:v>
      </x:c>
      <x:c r="W372" s="28" t="n">
        <x:f>IF(F372="有效",IF(D372&gt;=3,G372*'参数'!$B$7/'参数'!$B$8,0),"n.a.")</x:f>
        <x:v>171.55</x:v>
      </x:c>
      <x:c r="X372" s="28" t="n">
        <x:f>IF(F372="有效",U372+W372,"n.a.")</x:f>
        <x:v>4199.450991337778</x:v>
      </x:c>
      <x:c r="Y372" s="28" t="n">
        <x:f>IF(F372="有效",X372/G372,"n.a.")</x:f>
        <x:v>17.87000421845863</x:v>
      </x:c>
    </x:row>
    <x:row r="373" ht="22" customHeight="1">
      <x:c r="A373" s="11" t="str">
        <x:v>lade_0829_30aoi</x:v>
      </x:c>
      <x:c r="B373" s="22" t="n">
        <x:v>30</x:v>
      </x:c>
      <x:c r="C373" s="22" t="n">
        <x:v>1</x:v>
      </x:c>
      <x:c r="D373" s="22" t="n">
        <x:v>3</x:v>
      </x:c>
      <x:c r="E373" s="22" t="n">
        <x:v>43</x:v>
      </x:c>
      <x:c r="F373" s="30" t="str">
        <x:v>有效</x:v>
      </x:c>
      <x:c r="G373" s="22" t="n">
        <x:v>235</x:v>
      </x:c>
      <x:c r="H373" s="22" t="n">
        <x:v>235</x:v>
      </x:c>
      <x:c r="I373" s="24" t="n">
        <x:v>63.013999999999996</x:v>
      </x:c>
      <x:c r="J373" s="24" t="n">
        <x:v>78.73639999999999</x:v>
      </x:c>
      <x:c r="K373" s="24" t="n">
        <x:v>738.65</x:v>
      </x:c>
      <x:c r="L373" s="24" t="n">
        <x:v>3310.516666666667</x:v>
      </x:c>
      <x:c r="M373" s="10" t="n">
        <x:v>1</x:v>
      </x:c>
      <x:c r="N373" s="10" t="n">
        <x:v>6</x:v>
      </x:c>
      <x:c r="O373" s="28" t="n">
        <x:f>IF(F373="有效",I373*'参数'!$B$10+J373*'参数'!$B$11,"n.a.")</x:f>
        <x:v>127.86594832</x:v>
      </x:c>
      <x:c r="P373" s="28" t="n">
        <x:f>IF(F373="有效",K373*'参数'!$B$12+L373*'参数'!$B$13,"n.a.")</x:f>
        <x:v>3227.3413236111114</x:v>
      </x:c>
      <x:c r="Q373" s="28" t="n">
        <x:f>IF(F373="有效",M373*'参数'!$B$14+N373*'参数'!$B$15,"n.a.")</x:f>
        <x:v>460</x:v>
      </x:c>
      <x:c r="R373" s="28" t="n">
        <x:f>IF(F373="有效",IF(D373&lt;=2,G373*('参数'!$B$6+'参数'!$B$18),0),"n.a.")</x:f>
        <x:v>0</x:v>
      </x:c>
      <x:c r="S373" s="28" t="n">
        <x:f>IF(F373="有效",IF(D373&gt;=3,G373*'参数'!$B$16,0),"n.a.")</x:f>
        <x:v>188</x:v>
      </x:c>
      <x:c r="T373" s="28" t="n">
        <x:f>IF(F373="有效",IF(D373&gt;=3,G373*'参数'!$B$17,0),"n.a.")</x:f>
        <x:v>23.5</x:v>
      </x:c>
      <x:c r="U373" s="28" t="n">
        <x:f>IF(F373="有效",SUM(O373:T373),"n.a.")</x:f>
        <x:v>4026.7072719311113</x:v>
      </x:c>
      <x:c r="V373" s="28" t="n">
        <x:f>IF(F373="有效",H373*'参数'!$B$7,"n.a.")</x:f>
        <x:v>8577.5</x:v>
      </x:c>
      <x:c r="W373" s="28" t="n">
        <x:f>IF(F373="有效",IF(D373&gt;=3,G373*'参数'!$B$7/'参数'!$B$8,0),"n.a.")</x:f>
        <x:v>171.55</x:v>
      </x:c>
      <x:c r="X373" s="28" t="n">
        <x:f>IF(F373="有效",U373+W373,"n.a.")</x:f>
        <x:v>4198.257271931111</x:v>
      </x:c>
      <x:c r="Y373" s="28" t="n">
        <x:f>IF(F373="有效",X373/G373,"n.a.")</x:f>
        <x:v>17.864924561408984</x:v>
      </x:c>
    </x:row>
    <x:row r="374" ht="22" customHeight="1">
      <x:c r="A374" s="11" t="str">
        <x:v>lade_0829_30aoi</x:v>
      </x:c>
      <x:c r="B374" s="22" t="n">
        <x:v>30</x:v>
      </x:c>
      <x:c r="C374" s="22" t="n">
        <x:v>1</x:v>
      </x:c>
      <x:c r="D374" s="22" t="n">
        <x:v>3</x:v>
      </x:c>
      <x:c r="E374" s="22" t="n">
        <x:v>44</x:v>
      </x:c>
      <x:c r="F374" s="30" t="str">
        <x:v>有效</x:v>
      </x:c>
      <x:c r="G374" s="22" t="n">
        <x:v>235</x:v>
      </x:c>
      <x:c r="H374" s="22" t="n">
        <x:v>235</x:v>
      </x:c>
      <x:c r="I374" s="24" t="n">
        <x:v>63.013999999999996</x:v>
      </x:c>
      <x:c r="J374" s="24" t="n">
        <x:v>78.80890000000002</x:v>
      </x:c>
      <x:c r="K374" s="24" t="n">
        <x:v>738.65</x:v>
      </x:c>
      <x:c r="L374" s="24" t="n">
        <x:v>3312.0833333333335</x:v>
      </x:c>
      <x:c r="M374" s="10" t="n">
        <x:v>1</x:v>
      </x:c>
      <x:c r="N374" s="10" t="n">
        <x:v>6</x:v>
      </x:c>
      <x:c r="O374" s="28" t="n">
        <x:f>IF(F374="有效",I374*'参数'!$B$10+J374*'参数'!$B$11,"n.a.")</x:f>
        <x:v>127.93134694500003</x:v>
      </x:c>
      <x:c r="P374" s="28" t="n">
        <x:f>IF(F374="有效",K374*'参数'!$B$12+L374*'参数'!$B$13,"n.a.")</x:f>
        <x:v>3228.4935743055557</x:v>
      </x:c>
      <x:c r="Q374" s="28" t="n">
        <x:f>IF(F374="有效",M374*'参数'!$B$14+N374*'参数'!$B$15,"n.a.")</x:f>
        <x:v>460</x:v>
      </x:c>
      <x:c r="R374" s="28" t="n">
        <x:f>IF(F374="有效",IF(D374&lt;=2,G374*('参数'!$B$6+'参数'!$B$18),0),"n.a.")</x:f>
        <x:v>0</x:v>
      </x:c>
      <x:c r="S374" s="28" t="n">
        <x:f>IF(F374="有效",IF(D374&gt;=3,G374*'参数'!$B$16,0),"n.a.")</x:f>
        <x:v>188</x:v>
      </x:c>
      <x:c r="T374" s="28" t="n">
        <x:f>IF(F374="有效",IF(D374&gt;=3,G374*'参数'!$B$17,0),"n.a.")</x:f>
        <x:v>23.5</x:v>
      </x:c>
      <x:c r="U374" s="28" t="n">
        <x:f>IF(F374="有效",SUM(O374:T374),"n.a.")</x:f>
        <x:v>4027.9249212505556</x:v>
      </x:c>
      <x:c r="V374" s="28" t="n">
        <x:f>IF(F374="有效",H374*'参数'!$B$7,"n.a.")</x:f>
        <x:v>8577.5</x:v>
      </x:c>
      <x:c r="W374" s="28" t="n">
        <x:f>IF(F374="有效",IF(D374&gt;=3,G374*'参数'!$B$7/'参数'!$B$8,0),"n.a.")</x:f>
        <x:v>171.55</x:v>
      </x:c>
      <x:c r="X374" s="28" t="n">
        <x:f>IF(F374="有效",U374+W374,"n.a.")</x:f>
        <x:v>4199.474921250556</x:v>
      </x:c>
      <x:c r="Y374" s="28" t="n">
        <x:f>IF(F374="有效",X374/G374,"n.a.")</x:f>
        <x:v>17.870106047874707</x:v>
      </x:c>
    </x:row>
    <x:row r="375" ht="22" customHeight="1">
      <x:c r="A375" s="11" t="str">
        <x:v>lade_0829_30aoi</x:v>
      </x:c>
      <x:c r="B375" s="22" t="n">
        <x:v>30</x:v>
      </x:c>
      <x:c r="C375" s="22" t="n">
        <x:v>1</x:v>
      </x:c>
      <x:c r="D375" s="22" t="n">
        <x:v>4</x:v>
      </x:c>
      <x:c r="E375" s="22" t="n">
        <x:v>42</x:v>
      </x:c>
      <x:c r="F375" s="30" t="str">
        <x:v>有效</x:v>
      </x:c>
      <x:c r="G375" s="22" t="n">
        <x:v>235</x:v>
      </x:c>
      <x:c r="H375" s="22" t="n">
        <x:v>235</x:v>
      </x:c>
      <x:c r="I375" s="24" t="n">
        <x:v>63.013999999999996</x:v>
      </x:c>
      <x:c r="J375" s="24" t="n">
        <x:v>83.32619999999997</x:v>
      </x:c>
      <x:c r="K375" s="24" t="n">
        <x:v>738.65</x:v>
      </x:c>
      <x:c r="L375" s="24" t="n">
        <x:v>3310.516666666667</x:v>
      </x:c>
      <x:c r="M375" s="10" t="n">
        <x:v>1</x:v>
      </x:c>
      <x:c r="N375" s="10" t="n">
        <x:v>6</x:v>
      </x:c>
      <x:c r="O375" s="28" t="n">
        <x:f>IF(F375="有效",I375*'参数'!$B$10+J375*'参数'!$B$11,"n.a.")</x:f>
        <x:v>132.00617740999996</x:v>
      </x:c>
      <x:c r="P375" s="28" t="n">
        <x:f>IF(F375="有效",K375*'参数'!$B$12+L375*'参数'!$B$13,"n.a.")</x:f>
        <x:v>3227.3413236111114</x:v>
      </x:c>
      <x:c r="Q375" s="28" t="n">
        <x:f>IF(F375="有效",M375*'参数'!$B$14+N375*'参数'!$B$15,"n.a.")</x:f>
        <x:v>460</x:v>
      </x:c>
      <x:c r="R375" s="28" t="n">
        <x:f>IF(F375="有效",IF(D375&lt;=2,G375*('参数'!$B$6+'参数'!$B$18),0),"n.a.")</x:f>
        <x:v>0</x:v>
      </x:c>
      <x:c r="S375" s="28" t="n">
        <x:f>IF(F375="有效",IF(D375&gt;=3,G375*'参数'!$B$16,0),"n.a.")</x:f>
        <x:v>188</x:v>
      </x:c>
      <x:c r="T375" s="28" t="n">
        <x:f>IF(F375="有效",IF(D375&gt;=3,G375*'参数'!$B$17,0),"n.a.")</x:f>
        <x:v>23.5</x:v>
      </x:c>
      <x:c r="U375" s="28" t="n">
        <x:f>IF(F375="有效",SUM(O375:T375),"n.a.")</x:f>
        <x:v>4030.8475010211114</x:v>
      </x:c>
      <x:c r="V375" s="28" t="n">
        <x:f>IF(F375="有效",H375*'参数'!$B$7,"n.a.")</x:f>
        <x:v>8577.5</x:v>
      </x:c>
      <x:c r="W375" s="28" t="n">
        <x:f>IF(F375="有效",IF(D375&gt;=3,G375*'参数'!$B$7/'参数'!$B$8,0),"n.a.")</x:f>
        <x:v>171.55</x:v>
      </x:c>
      <x:c r="X375" s="28" t="n">
        <x:f>IF(F375="有效",U375+W375,"n.a.")</x:f>
        <x:v>4202.397501021112</x:v>
      </x:c>
      <x:c r="Y375" s="28" t="n">
        <x:f>IF(F375="有效",X375/G375,"n.a.")</x:f>
        <x:v>17.882542557536645</x:v>
      </x:c>
    </x:row>
    <x:row r="376" ht="22" customHeight="1">
      <x:c r="A376" s="11" t="str">
        <x:v>lade_0829_30aoi</x:v>
      </x:c>
      <x:c r="B376" s="22" t="n">
        <x:v>30</x:v>
      </x:c>
      <x:c r="C376" s="22" t="n">
        <x:v>1</x:v>
      </x:c>
      <x:c r="D376" s="22" t="n">
        <x:v>4</x:v>
      </x:c>
      <x:c r="E376" s="22" t="n">
        <x:v>43</x:v>
      </x:c>
      <x:c r="F376" s="30" t="str">
        <x:v>有效</x:v>
      </x:c>
      <x:c r="G376" s="22" t="n">
        <x:v>235</x:v>
      </x:c>
      <x:c r="H376" s="22" t="n">
        <x:v>235</x:v>
      </x:c>
      <x:c r="I376" s="24" t="n">
        <x:v>63.013999999999996</x:v>
      </x:c>
      <x:c r="J376" s="24" t="n">
        <x:v>82.35919999999999</x:v>
      </x:c>
      <x:c r="K376" s="24" t="n">
        <x:v>738.65</x:v>
      </x:c>
      <x:c r="L376" s="24" t="n">
        <x:v>2872.633333333333</x:v>
      </x:c>
      <x:c r="M376" s="10" t="n">
        <x:v>1</x:v>
      </x:c>
      <x:c r="N376" s="10" t="n">
        <x:v>6</x:v>
      </x:c>
      <x:c r="O376" s="28" t="n">
        <x:f>IF(F376="有效",I376*'参数'!$B$10+J376*'参数'!$B$11,"n.a.")</x:f>
        <x:v>131.13389506</x:v>
      </x:c>
      <x:c r="P376" s="28" t="n">
        <x:f>IF(F376="有效",K376*'参数'!$B$12+L376*'参数'!$B$13,"n.a.")</x:f>
        <x:v>2905.287254513889</x:v>
      </x:c>
      <x:c r="Q376" s="28" t="n">
        <x:f>IF(F376="有效",M376*'参数'!$B$14+N376*'参数'!$B$15,"n.a.")</x:f>
        <x:v>460</x:v>
      </x:c>
      <x:c r="R376" s="28" t="n">
        <x:f>IF(F376="有效",IF(D376&lt;=2,G376*('参数'!$B$6+'参数'!$B$18),0),"n.a.")</x:f>
        <x:v>0</x:v>
      </x:c>
      <x:c r="S376" s="28" t="n">
        <x:f>IF(F376="有效",IF(D376&gt;=3,G376*'参数'!$B$16,0),"n.a.")</x:f>
        <x:v>188</x:v>
      </x:c>
      <x:c r="T376" s="28" t="n">
        <x:f>IF(F376="有效",IF(D376&gt;=3,G376*'参数'!$B$17,0),"n.a.")</x:f>
        <x:v>23.5</x:v>
      </x:c>
      <x:c r="U376" s="28" t="n">
        <x:f>IF(F376="有效",SUM(O376:T376),"n.a.")</x:f>
        <x:v>3707.921149573889</x:v>
      </x:c>
      <x:c r="V376" s="28" t="n">
        <x:f>IF(F376="有效",H376*'参数'!$B$7,"n.a.")</x:f>
        <x:v>8577.5</x:v>
      </x:c>
      <x:c r="W376" s="28" t="n">
        <x:f>IF(F376="有效",IF(D376&gt;=3,G376*'参数'!$B$7/'参数'!$B$8,0),"n.a.")</x:f>
        <x:v>171.55</x:v>
      </x:c>
      <x:c r="X376" s="28" t="n">
        <x:f>IF(F376="有效",U376+W376,"n.a.")</x:f>
        <x:v>3879.4711495738893</x:v>
      </x:c>
      <x:c r="Y376" s="28" t="n">
        <x:f>IF(F376="有效",X376/G376,"n.a.")</x:f>
        <x:v>16.508387870527187</x:v>
      </x:c>
    </x:row>
    <x:row r="377" ht="22" customHeight="1">
      <x:c r="A377" s="11" t="str">
        <x:v>lade_0829_30aoi</x:v>
      </x:c>
      <x:c r="B377" s="22" t="n">
        <x:v>30</x:v>
      </x:c>
      <x:c r="C377" s="22" t="n">
        <x:v>1</x:v>
      </x:c>
      <x:c r="D377" s="22" t="n">
        <x:v>4</x:v>
      </x:c>
      <x:c r="E377" s="22" t="n">
        <x:v>44</x:v>
      </x:c>
      <x:c r="F377" s="30" t="str">
        <x:v>有效</x:v>
      </x:c>
      <x:c r="G377" s="22" t="n">
        <x:v>235</x:v>
      </x:c>
      <x:c r="H377" s="22" t="n">
        <x:v>235</x:v>
      </x:c>
      <x:c r="I377" s="24" t="n">
        <x:v>63.013999999999996</x:v>
      </x:c>
      <x:c r="J377" s="24" t="n">
        <x:v>87.56849999999999</x:v>
      </x:c>
      <x:c r="K377" s="24" t="n">
        <x:v>738.65</x:v>
      </x:c>
      <x:c r="L377" s="24" t="n">
        <x:v>3126.7166666666667</x:v>
      </x:c>
      <x:c r="M377" s="10" t="n">
        <x:v>1</x:v>
      </x:c>
      <x:c r="N377" s="10" t="n">
        <x:v>6</x:v>
      </x:c>
      <x:c r="O377" s="28" t="n">
        <x:f>IF(F377="有效",I377*'参数'!$B$10+J377*'参数'!$B$11,"n.a.")</x:f>
        <x:v>135.83294412499998</x:v>
      </x:c>
      <x:c r="P377" s="28" t="n">
        <x:f>IF(F377="有效",K377*'参数'!$B$12+L377*'参数'!$B$13,"n.a.")</x:f>
        <x:v>3092.1602527777777</x:v>
      </x:c>
      <x:c r="Q377" s="28" t="n">
        <x:f>IF(F377="有效",M377*'参数'!$B$14+N377*'参数'!$B$15,"n.a.")</x:f>
        <x:v>460</x:v>
      </x:c>
      <x:c r="R377" s="28" t="n">
        <x:f>IF(F377="有效",IF(D377&lt;=2,G377*('参数'!$B$6+'参数'!$B$18),0),"n.a.")</x:f>
        <x:v>0</x:v>
      </x:c>
      <x:c r="S377" s="28" t="n">
        <x:f>IF(F377="有效",IF(D377&gt;=3,G377*'参数'!$B$16,0),"n.a.")</x:f>
        <x:v>188</x:v>
      </x:c>
      <x:c r="T377" s="28" t="n">
        <x:f>IF(F377="有效",IF(D377&gt;=3,G377*'参数'!$B$17,0),"n.a.")</x:f>
        <x:v>23.5</x:v>
      </x:c>
      <x:c r="U377" s="28" t="n">
        <x:f>IF(F377="有效",SUM(O377:T377),"n.a.")</x:f>
        <x:v>3899.4931969027775</x:v>
      </x:c>
      <x:c r="V377" s="28" t="n">
        <x:f>IF(F377="有效",H377*'参数'!$B$7,"n.a.")</x:f>
        <x:v>8577.5</x:v>
      </x:c>
      <x:c r="W377" s="28" t="n">
        <x:f>IF(F377="有效",IF(D377&gt;=3,G377*'参数'!$B$7/'参数'!$B$8,0),"n.a.")</x:f>
        <x:v>171.55</x:v>
      </x:c>
      <x:c r="X377" s="28" t="n">
        <x:f>IF(F377="有效",U377+W377,"n.a.")</x:f>
        <x:v>4071.0431969027777</x:v>
      </x:c>
      <x:c r="Y377" s="28" t="n">
        <x:f>IF(F377="有效",X377/G377,"n.a.")</x:f>
        <x:v>17.323588071926714</x:v>
      </x:c>
    </x:row>
    <x:row r="378" ht="22" customHeight="1">
      <x:c r="A378" s="11" t="str">
        <x:v>lade_0829_30aoi</x:v>
      </x:c>
      <x:c r="B378" s="22" t="n">
        <x:v>30</x:v>
      </x:c>
      <x:c r="C378" s="22" t="n">
        <x:v>2</x:v>
      </x:c>
      <x:c r="D378" s="22" t="n">
        <x:v>5</x:v>
      </x:c>
      <x:c r="E378" s="22" t="n">
        <x:v>42</x:v>
      </x:c>
      <x:c r="F378" s="30" t="str">
        <x:v>有效</x:v>
      </x:c>
      <x:c r="G378" s="22" t="n">
        <x:v>235</x:v>
      </x:c>
      <x:c r="H378" s="22" t="n">
        <x:v>235</x:v>
      </x:c>
      <x:c r="I378" s="24" t="n">
        <x:v>170.9205</x:v>
      </x:c>
      <x:c r="J378" s="24" t="n">
        <x:v>92.09</x:v>
      </x:c>
      <x:c r="K378" s="24" t="n">
        <x:v>1151.45</x:v>
      </x:c>
      <x:c r="L378" s="24" t="n">
        <x:v>2757.1666666666665</x:v>
      </x:c>
      <x:c r="M378" s="10" t="n">
        <x:v>2</x:v>
      </x:c>
      <x:c r="N378" s="10" t="n">
        <x:v>6</x:v>
      </x:c>
      <x:c r="O378" s="28" t="n">
        <x:f>IF(F378="有效",I378*'参数'!$B$10+J378*'参数'!$B$11,"n.a.")</x:f>
        <x:v>237.24862152500003</x:v>
      </x:c>
      <x:c r="P378" s="28" t="n">
        <x:f>IF(F378="有效",K378*'参数'!$B$12+L378*'参数'!$B$13,"n.a.")</x:f>
        <x:v>3263.272526736111</x:v>
      </x:c>
      <x:c r="Q378" s="28" t="n">
        <x:f>IF(F378="有效",M378*'参数'!$B$14+N378*'参数'!$B$15,"n.a.")</x:f>
        <x:v>560</x:v>
      </x:c>
      <x:c r="R378" s="28" t="n">
        <x:f>IF(F378="有效",IF(D378&lt;=2,G378*('参数'!$B$6+'参数'!$B$18),0),"n.a.")</x:f>
        <x:v>0</x:v>
      </x:c>
      <x:c r="S378" s="28" t="n">
        <x:f>IF(F378="有效",IF(D378&gt;=3,G378*'参数'!$B$16,0),"n.a.")</x:f>
        <x:v>188</x:v>
      </x:c>
      <x:c r="T378" s="28" t="n">
        <x:f>IF(F378="有效",IF(D378&gt;=3,G378*'参数'!$B$17,0),"n.a.")</x:f>
        <x:v>23.5</x:v>
      </x:c>
      <x:c r="U378" s="28" t="n">
        <x:f>IF(F378="有效",SUM(O378:T378),"n.a.")</x:f>
        <x:v>4272.021148261111</x:v>
      </x:c>
      <x:c r="V378" s="28" t="n">
        <x:f>IF(F378="有效",H378*'参数'!$B$7,"n.a.")</x:f>
        <x:v>8577.5</x:v>
      </x:c>
      <x:c r="W378" s="28" t="n">
        <x:f>IF(F378="有效",IF(D378&gt;=3,G378*'参数'!$B$7/'参数'!$B$8,0),"n.a.")</x:f>
        <x:v>171.55</x:v>
      </x:c>
      <x:c r="X378" s="28" t="n">
        <x:f>IF(F378="有效",U378+W378,"n.a.")</x:f>
        <x:v>4443.571148261111</x:v>
      </x:c>
      <x:c r="Y378" s="28" t="n">
        <x:f>IF(F378="有效",X378/G378,"n.a.")</x:f>
        <x:v>18.908813396855795</x:v>
      </x:c>
    </x:row>
    <x:row r="379" ht="22" customHeight="1">
      <x:c r="A379" s="11" t="str">
        <x:v>lade_0829_30aoi</x:v>
      </x:c>
      <x:c r="B379" s="22" t="n">
        <x:v>30</x:v>
      </x:c>
      <x:c r="C379" s="22" t="n">
        <x:v>2</x:v>
      </x:c>
      <x:c r="D379" s="22" t="n">
        <x:v>5</x:v>
      </x:c>
      <x:c r="E379" s="22" t="n">
        <x:v>43</x:v>
      </x:c>
      <x:c r="F379" s="30" t="str">
        <x:v>有效</x:v>
      </x:c>
      <x:c r="G379" s="22" t="n">
        <x:v>235</x:v>
      </x:c>
      <x:c r="H379" s="22" t="n">
        <x:v>235</x:v>
      </x:c>
      <x:c r="I379" s="24" t="n">
        <x:v>215.81300000000002</x:v>
      </x:c>
      <x:c r="J379" s="24" t="n">
        <x:v>93.55169999999998</x:v>
      </x:c>
      <x:c r="K379" s="24" t="n">
        <x:v>1395.6</x:v>
      </x:c>
      <x:c r="L379" s="24" t="n">
        <x:v>2556.55</x:v>
      </x:c>
      <x:c r="M379" s="10" t="n">
        <x:v>3</x:v>
      </x:c>
      <x:c r="N379" s="10" t="n">
        <x:v>6</x:v>
      </x:c>
      <x:c r="O379" s="28" t="n">
        <x:f>IF(F379="有效",I379*'参数'!$B$10+J379*'参数'!$B$11,"n.a.")</x:f>
        <x:v>279.062427635</x:v>
      </x:c>
      <x:c r="P379" s="28" t="n">
        <x:f>IF(F379="有效",K379*'参数'!$B$12+L379*'参数'!$B$13,"n.a.")</x:f>
        <x:v>3377.680838541666</x:v>
      </x:c>
      <x:c r="Q379" s="28" t="n">
        <x:f>IF(F379="有效",M379*'参数'!$B$14+N379*'参数'!$B$15,"n.a.")</x:f>
        <x:v>660</x:v>
      </x:c>
      <x:c r="R379" s="28" t="n">
        <x:f>IF(F379="有效",IF(D379&lt;=2,G379*('参数'!$B$6+'参数'!$B$18),0),"n.a.")</x:f>
        <x:v>0</x:v>
      </x:c>
      <x:c r="S379" s="28" t="n">
        <x:f>IF(F379="有效",IF(D379&gt;=3,G379*'参数'!$B$16,0),"n.a.")</x:f>
        <x:v>188</x:v>
      </x:c>
      <x:c r="T379" s="28" t="n">
        <x:f>IF(F379="有效",IF(D379&gt;=3,G379*'参数'!$B$17,0),"n.a.")</x:f>
        <x:v>23.5</x:v>
      </x:c>
      <x:c r="U379" s="28" t="n">
        <x:f>IF(F379="有效",SUM(O379:T379),"n.a.")</x:f>
        <x:v>4528.243266176666</x:v>
      </x:c>
      <x:c r="V379" s="28" t="n">
        <x:f>IF(F379="有效",H379*'参数'!$B$7,"n.a.")</x:f>
        <x:v>8577.5</x:v>
      </x:c>
      <x:c r="W379" s="28" t="n">
        <x:f>IF(F379="有效",IF(D379&gt;=3,G379*'参数'!$B$7/'参数'!$B$8,0),"n.a.")</x:f>
        <x:v>171.55</x:v>
      </x:c>
      <x:c r="X379" s="28" t="n">
        <x:f>IF(F379="有效",U379+W379,"n.a.")</x:f>
        <x:v>4699.793266176666</x:v>
      </x:c>
      <x:c r="Y379" s="28" t="n">
        <x:f>IF(F379="有效",X379/G379,"n.a.")</x:f>
        <x:v>19.999120281602835</x:v>
      </x:c>
    </x:row>
    <x:row r="380" ht="22" customHeight="1">
      <x:c r="A380" s="11" t="str">
        <x:v>lade_0829_30aoi</x:v>
      </x:c>
      <x:c r="B380" s="22" t="n">
        <x:v>30</x:v>
      </x:c>
      <x:c r="C380" s="22" t="n">
        <x:v>2</x:v>
      </x:c>
      <x:c r="D380" s="22" t="n">
        <x:v>5</x:v>
      </x:c>
      <x:c r="E380" s="22" t="n">
        <x:v>44</x:v>
      </x:c>
      <x:c r="F380" s="30" t="str">
        <x:v>有效</x:v>
      </x:c>
      <x:c r="G380" s="22" t="n">
        <x:v>235</x:v>
      </x:c>
      <x:c r="H380" s="22" t="n">
        <x:v>235</x:v>
      </x:c>
      <x:c r="I380" s="24" t="n">
        <x:v>214.8265</x:v>
      </x:c>
      <x:c r="J380" s="24" t="n">
        <x:v>87.75609999999999</x:v>
      </x:c>
      <x:c r="K380" s="24" t="n">
        <x:v>1393.4166666666667</x:v>
      </x:c>
      <x:c r="L380" s="24" t="n">
        <x:v>3203.016666666667</x:v>
      </x:c>
      <x:c r="M380" s="10" t="n">
        <x:v>3</x:v>
      </x:c>
      <x:c r="N380" s="10" t="n">
        <x:v>6</x:v>
      </x:c>
      <x:c r="O380" s="28" t="n">
        <x:f>IF(F380="有效",I380*'参数'!$B$10+J380*'参数'!$B$11,"n.a.")</x:f>
        <x:v>272.94463433</x:v>
      </x:c>
      <x:c r="P380" s="28" t="n">
        <x:f>IF(F380="有效",K380*'参数'!$B$12+L380*'参数'!$B$13,"n.a.")</x:f>
        <x:v>3850.8010236111113</x:v>
      </x:c>
      <x:c r="Q380" s="28" t="n">
        <x:f>IF(F380="有效",M380*'参数'!$B$14+N380*'参数'!$B$15,"n.a.")</x:f>
        <x:v>660</x:v>
      </x:c>
      <x:c r="R380" s="28" t="n">
        <x:f>IF(F380="有效",IF(D380&lt;=2,G380*('参数'!$B$6+'参数'!$B$18),0),"n.a.")</x:f>
        <x:v>0</x:v>
      </x:c>
      <x:c r="S380" s="28" t="n">
        <x:f>IF(F380="有效",IF(D380&gt;=3,G380*'参数'!$B$16,0),"n.a.")</x:f>
        <x:v>188</x:v>
      </x:c>
      <x:c r="T380" s="28" t="n">
        <x:f>IF(F380="有效",IF(D380&gt;=3,G380*'参数'!$B$17,0),"n.a.")</x:f>
        <x:v>23.5</x:v>
      </x:c>
      <x:c r="U380" s="28" t="n">
        <x:f>IF(F380="有效",SUM(O380:T380),"n.a.")</x:f>
        <x:v>4995.245657941111</x:v>
      </x:c>
      <x:c r="V380" s="28" t="n">
        <x:f>IF(F380="有效",H380*'参数'!$B$7,"n.a.")</x:f>
        <x:v>8577.5</x:v>
      </x:c>
      <x:c r="W380" s="28" t="n">
        <x:f>IF(F380="有效",IF(D380&gt;=3,G380*'参数'!$B$7/'参数'!$B$8,0),"n.a.")</x:f>
        <x:v>171.55</x:v>
      </x:c>
      <x:c r="X380" s="28" t="n">
        <x:f>IF(F380="有效",U380+W380,"n.a.")</x:f>
        <x:v>5166.795657941111</x:v>
      </x:c>
      <x:c r="Y380" s="28" t="n">
        <x:f>IF(F380="有效",X380/G380,"n.a.")</x:f>
        <x:v>21.98636450187707</x:v>
      </x:c>
    </x:row>
    <x:row r="381" ht="22" customHeight="1">
      <x:c r="A381" s="11" t="str">
        <x:v>lade_0829_30aoi</x:v>
      </x:c>
      <x:c r="B381" s="22" t="n">
        <x:v>30</x:v>
      </x:c>
      <x:c r="C381" s="22" t="n">
        <x:v>3</x:v>
      </x:c>
      <x:c r="D381" s="22" t="n">
        <x:v>5</x:v>
      </x:c>
      <x:c r="E381" s="22" t="n">
        <x:v>42</x:v>
      </x:c>
      <x:c r="F381" s="30" t="str">
        <x:v>有效</x:v>
      </x:c>
      <x:c r="G381" s="22" t="n">
        <x:v>235</x:v>
      </x:c>
      <x:c r="H381" s="22" t="n">
        <x:v>235</x:v>
      </x:c>
      <x:c r="I381" s="24" t="n">
        <x:v>366.721</x:v>
      </x:c>
      <x:c r="J381" s="24" t="n">
        <x:v>101.63480000000001</x:v>
      </x:c>
      <x:c r="K381" s="24" t="n">
        <x:v>1572.8166666666666</x:v>
      </x:c>
      <x:c r="L381" s="24" t="n">
        <x:v>2220.35</x:v>
      </x:c>
      <x:c r="M381" s="10" t="n">
        <x:v>3</x:v>
      </x:c>
      <x:c r="N381" s="10" t="n">
        <x:v>6</x:v>
      </x:c>
      <x:c r="O381" s="28" t="n">
        <x:f>IF(F381="有效",I381*'参数'!$B$10+J381*'参数'!$B$11,"n.a.")</x:f>
        <x:v>422.48034939</x:v>
      </x:c>
      <x:c r="P381" s="28" t="n">
        <x:f>IF(F381="有效",K381*'参数'!$B$12+L381*'参数'!$B$13,"n.a.")</x:f>
        <x:v>3320.5551499999997</x:v>
      </x:c>
      <x:c r="Q381" s="28" t="n">
        <x:f>IF(F381="有效",M381*'参数'!$B$14+N381*'参数'!$B$15,"n.a.")</x:f>
        <x:v>660</x:v>
      </x:c>
      <x:c r="R381" s="28" t="n">
        <x:f>IF(F381="有效",IF(D381&lt;=2,G381*('参数'!$B$6+'参数'!$B$18),0),"n.a.")</x:f>
        <x:v>0</x:v>
      </x:c>
      <x:c r="S381" s="28" t="n">
        <x:f>IF(F381="有效",IF(D381&gt;=3,G381*'参数'!$B$16,0),"n.a.")</x:f>
        <x:v>188</x:v>
      </x:c>
      <x:c r="T381" s="28" t="n">
        <x:f>IF(F381="有效",IF(D381&gt;=3,G381*'参数'!$B$17,0),"n.a.")</x:f>
        <x:v>23.5</x:v>
      </x:c>
      <x:c r="U381" s="28" t="n">
        <x:f>IF(F381="有效",SUM(O381:T381),"n.a.")</x:f>
        <x:v>4614.53549939</x:v>
      </x:c>
      <x:c r="V381" s="28" t="n">
        <x:f>IF(F381="有效",H381*'参数'!$B$7,"n.a.")</x:f>
        <x:v>8577.5</x:v>
      </x:c>
      <x:c r="W381" s="28" t="n">
        <x:f>IF(F381="有效",IF(D381&gt;=3,G381*'参数'!$B$7/'参数'!$B$8,0),"n.a.")</x:f>
        <x:v>171.55</x:v>
      </x:c>
      <x:c r="X381" s="28" t="n">
        <x:f>IF(F381="有效",U381+W381,"n.a.")</x:f>
        <x:v>4786.08549939</x:v>
      </x:c>
      <x:c r="Y381" s="28" t="n">
        <x:f>IF(F381="有效",X381/G381,"n.a.")</x:f>
        <x:v>20.366321274</x:v>
      </x:c>
    </x:row>
    <x:row r="382" ht="22" customHeight="1">
      <x:c r="A382" s="11" t="str">
        <x:v>lade_0829_30aoi</x:v>
      </x:c>
      <x:c r="B382" s="22" t="n">
        <x:v>30</x:v>
      </x:c>
      <x:c r="C382" s="22" t="n">
        <x:v>3</x:v>
      </x:c>
      <x:c r="D382" s="22" t="n">
        <x:v>5</x:v>
      </x:c>
      <x:c r="E382" s="22" t="n">
        <x:v>43</x:v>
      </x:c>
      <x:c r="F382" s="30" t="str">
        <x:v>有效</x:v>
      </x:c>
      <x:c r="G382" s="22" t="n">
        <x:v>235</x:v>
      </x:c>
      <x:c r="H382" s="22" t="n">
        <x:v>235</x:v>
      </x:c>
      <x:c r="I382" s="24" t="n">
        <x:v>321.88599999999997</x:v>
      </x:c>
      <x:c r="J382" s="24" t="n">
        <x:v>96.80199999999999</x:v>
      </x:c>
      <x:c r="K382" s="24" t="n">
        <x:v>1371.7166666666667</x:v>
      </x:c>
      <x:c r="L382" s="24" t="n">
        <x:v>2028.2</x:v>
      </x:c>
      <x:c r="M382" s="10" t="n">
        <x:v>3</x:v>
      </x:c>
      <x:c r="N382" s="10" t="n">
        <x:v>6</x:v>
      </x:c>
      <x:c r="O382" s="28" t="n">
        <x:f>IF(F382="有效",I382*'参数'!$B$10+J382*'参数'!$B$11,"n.a.")</x:f>
        <x:v>377.67751039999996</x:v>
      </x:c>
      <x:c r="P382" s="28" t="n">
        <x:f>IF(F382="有效",K382*'参数'!$B$12+L382*'参数'!$B$13,"n.a.")</x:f>
        <x:v>2963.465096875</x:v>
      </x:c>
      <x:c r="Q382" s="28" t="n">
        <x:f>IF(F382="有效",M382*'参数'!$B$14+N382*'参数'!$B$15,"n.a.")</x:f>
        <x:v>660</x:v>
      </x:c>
      <x:c r="R382" s="28" t="n">
        <x:f>IF(F382="有效",IF(D382&lt;=2,G382*('参数'!$B$6+'参数'!$B$18),0),"n.a.")</x:f>
        <x:v>0</x:v>
      </x:c>
      <x:c r="S382" s="28" t="n">
        <x:f>IF(F382="有效",IF(D382&gt;=3,G382*'参数'!$B$16,0),"n.a.")</x:f>
        <x:v>188</x:v>
      </x:c>
      <x:c r="T382" s="28" t="n">
        <x:f>IF(F382="有效",IF(D382&gt;=3,G382*'参数'!$B$17,0),"n.a.")</x:f>
        <x:v>23.5</x:v>
      </x:c>
      <x:c r="U382" s="28" t="n">
        <x:f>IF(F382="有效",SUM(O382:T382),"n.a.")</x:f>
        <x:v>4212.642607275</x:v>
      </x:c>
      <x:c r="V382" s="28" t="n">
        <x:f>IF(F382="有效",H382*'参数'!$B$7,"n.a.")</x:f>
        <x:v>8577.5</x:v>
      </x:c>
      <x:c r="W382" s="28" t="n">
        <x:f>IF(F382="有效",IF(D382&gt;=3,G382*'参数'!$B$7/'参数'!$B$8,0),"n.a.")</x:f>
        <x:v>171.55</x:v>
      </x:c>
      <x:c r="X382" s="28" t="n">
        <x:f>IF(F382="有效",U382+W382,"n.a.")</x:f>
        <x:v>4384.192607275</x:v>
      </x:c>
      <x:c r="Y382" s="28" t="n">
        <x:f>IF(F382="有效",X382/G382,"n.a.")</x:f>
        <x:v>18.656138754361702</x:v>
      </x:c>
    </x:row>
    <x:row r="383" ht="22" customHeight="1">
      <x:c r="A383" s="12" t="str">
        <x:v>lade_0829_30aoi</x:v>
      </x:c>
      <x:c r="B383" s="23" t="n">
        <x:v>30</x:v>
      </x:c>
      <x:c r="C383" s="23" t="n">
        <x:v>3</x:v>
      </x:c>
      <x:c r="D383" s="23" t="n">
        <x:v>5</x:v>
      </x:c>
      <x:c r="E383" s="23" t="n">
        <x:v>44</x:v>
      </x:c>
      <x:c r="F383" s="31" t="str">
        <x:v>有效</x:v>
      </x:c>
      <x:c r="G383" s="23" t="n">
        <x:v>235</x:v>
      </x:c>
      <x:c r="H383" s="23" t="n">
        <x:v>235</x:v>
      </x:c>
      <x:c r="I383" s="25" t="n">
        <x:v>411.943</x:v>
      </x:c>
      <x:c r="J383" s="25" t="n">
        <x:v>96.51299999999998</x:v>
      </x:c>
      <x:c r="K383" s="25" t="n">
        <x:v>1774.6333333333334</x:v>
      </x:c>
      <x:c r="L383" s="25" t="n">
        <x:v>2141.8</x:v>
      </x:c>
      <x:c r="M383" s="13" t="n">
        <x:v>3</x:v>
      </x:c>
      <x:c r="N383" s="13" t="n">
        <x:v>6</x:v>
      </x:c>
      <x:c r="O383" s="29" t="n">
        <x:f>IF(F383="有效",I383*'参数'!$B$10+J383*'参数'!$B$11,"n.a.")</x:f>
        <x:v>458.65273479999996</x:v>
      </x:c>
      <x:c r="P383" s="29" t="n">
        <x:f>IF(F383="有效",K383*'参数'!$B$12+L383*'参数'!$B$13,"n.a.")</x:f>
        <x:v>3479.31993125</x:v>
      </x:c>
      <x:c r="Q383" s="29" t="n">
        <x:f>IF(F383="有效",M383*'参数'!$B$14+N383*'参数'!$B$15,"n.a.")</x:f>
        <x:v>660</x:v>
      </x:c>
      <x:c r="R383" s="29" t="n">
        <x:f>IF(F383="有效",IF(D383&lt;=2,G383*('参数'!$B$6+'参数'!$B$18),0),"n.a.")</x:f>
        <x:v>0</x:v>
      </x:c>
      <x:c r="S383" s="29" t="n">
        <x:f>IF(F383="有效",IF(D383&gt;=3,G383*'参数'!$B$16,0),"n.a.")</x:f>
        <x:v>188</x:v>
      </x:c>
      <x:c r="T383" s="29" t="n">
        <x:f>IF(F383="有效",IF(D383&gt;=3,G383*'参数'!$B$17,0),"n.a.")</x:f>
        <x:v>23.5</x:v>
      </x:c>
      <x:c r="U383" s="29" t="n">
        <x:f>IF(F383="有效",SUM(O383:T383),"n.a.")</x:f>
        <x:v>4809.47266605</x:v>
      </x:c>
      <x:c r="V383" s="29" t="n">
        <x:f>IF(F383="有效",H383*'参数'!$B$7,"n.a.")</x:f>
        <x:v>8577.5</x:v>
      </x:c>
      <x:c r="W383" s="29" t="n">
        <x:f>IF(F383="有效",IF(D383&gt;=3,G383*'参数'!$B$7/'参数'!$B$8,0),"n.a.")</x:f>
        <x:v>171.55</x:v>
      </x:c>
      <x:c r="X383" s="29" t="n">
        <x:f>IF(F383="有效",U383+W383,"n.a.")</x:f>
        <x:v>4981.02266605</x:v>
      </x:c>
      <x:c r="Y383" s="29" t="n">
        <x:f>IF(F383="有效",X383/G383,"n.a.")</x:f>
        <x:v>21.19584113212766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s="2" t="str">
        <x:v>单批次一次性与循环包装对照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0" customHeight="1">
      <x:c r="A5" s="9" t="str">
        <x:v>案例</x:v>
      </x:c>
      <x:c r="B5" s="9" t="str">
        <x:v>AOI数</x:v>
      </x:c>
      <x:c r="C5" s="9" t="str">
        <x:v>种子</x:v>
      </x:c>
      <x:c r="D5" s="9" t="str">
        <x:v>包装对照</x:v>
      </x:c>
      <x:c r="E5" s="9" t="str">
        <x:v>配对状态</x:v>
      </x:c>
      <x:c r="F5" s="9" t="str">
        <x:v>一次性运营费</x:v>
      </x:c>
      <x:c r="G5" s="9" t="str">
        <x:v>循环运营费</x:v>
      </x:c>
      <x:c r="H5" s="9" t="str">
        <x:v>初始箱池投入</x:v>
      </x:c>
      <x:c r="I5" s="9" t="str">
        <x:v>配送件数</x:v>
      </x:c>
      <x:c r="J5" s="9" t="str">
        <x:v>寿命周期</x:v>
      </x:c>
      <x:c r="K5" s="9" t="str">
        <x:v>评价周期</x:v>
      </x:c>
      <x:c r="L5" s="9" t="str">
        <x:v>一次性累计费</x:v>
      </x:c>
      <x:c r="M5" s="9" t="str">
        <x:v>循环累计费</x:v>
      </x:c>
      <x:c r="N5" s="9" t="str">
        <x:v>累计节省</x:v>
      </x:c>
      <x:c r="O5" s="9" t="str">
        <x:v>节省比例</x:v>
      </x:c>
      <x:c r="P5" s="9" t="str">
        <x:v>一次性元/件</x:v>
      </x:c>
      <x:c r="Q5" s="9" t="str">
        <x:v>循环元/件</x:v>
      </x:c>
      <x:c r="R5" s="9" t="str">
        <x:v>首次回本周期</x:v>
      </x:c>
    </x:row>
    <x:row r="6" ht="22" customHeight="1">
      <x:c r="A6" s="11" t="str">
        <x:v>lade_0823_10aoi</x:v>
      </x:c>
      <x:c r="B6" s="10" t="n">
        <x:v>10</x:v>
      </x:c>
      <x:c r="C6" s="10" t="n">
        <x:v>42</x:v>
      </x:c>
      <x:c r="D6" s="11" t="str">
        <x:v>M1 / M3</x:v>
      </x:c>
      <x:c r="E6" s="11" t="str">
        <x:v>有效</x:v>
      </x:c>
      <x:c r="F6" s="26" t="n">
        <x:f>IF(E6="有效",'成本明细'!U6,"n.a.")</x:f>
        <x:v>1844.3413821266668</x:v>
      </x:c>
      <x:c r="G6" s="26" t="n">
        <x:f>IF(E6="有效",'成本明细'!U12,"n.a.")</x:f>
        <x:v>2305.6772459783333</x:v>
      </x:c>
      <x:c r="H6" s="26" t="n">
        <x:f>IF(E6="有效",'成本明细'!V12,"n.a.")</x:f>
        <x:v>4781.5</x:v>
      </x:c>
      <x:c r="I6" s="22" t="n">
        <x:f>IF(E6="有效",'成本明细'!G6,"n.a.")</x:f>
        <x:v>131</x:v>
      </x:c>
      <x:c r="J6" s="22" t="n">
        <x:f>IF(E6="有效",'参数'!$B$8,"n.a.")</x:f>
        <x:v>50</x:v>
      </x:c>
      <x:c r="K6" s="22" t="n">
        <x:f>IF(E6="有效",'参数'!$B$9,"n.a.")</x:f>
        <x:v>300</x:v>
      </x:c>
      <x:c r="L6" s="26" t="n">
        <x:f>IF(E6="有效",F6*K6,"n.a.")</x:f>
        <x:v>553302.4146380001</x:v>
      </x:c>
      <x:c r="M6" s="26" t="n">
        <x:f>IF(E6="有效",G6*K6+H6*ROUNDUP(K6/J6,0),"n.a.")</x:f>
        <x:v>720392.1737934999</x:v>
      </x:c>
      <x:c r="N6" s="26" t="n">
        <x:f>IF(E6="有效",L6-M6,"n.a.")</x:f>
        <x:v>-167089.75915549987</x:v>
      </x:c>
      <x:c r="O6" s="32" t="n">
        <x:f>IF(E6="有效",N6/L6,"n.a.")</x:f>
        <x:v>-0.301986318394831</x:v>
      </x:c>
      <x:c r="P6" s="26" t="n">
        <x:f>IF(E6="有效",L6/(K6*I6),"n.a.")</x:f>
        <x:v>14.078941848295168</x:v>
      </x:c>
      <x:c r="Q6" s="26" t="n">
        <x:f>IF(E6="有效",M6/(K6*I6),"n.a.")</x:f>
        <x:v>18.33058966395674</x:v>
      </x:c>
      <x:c r="R6" s="10" t="str">
        <x:f>IF(E6="有效",IF(F6-G6&lt;=0,"未回本",IF(ROUNDUP(H6/(F6-G6),0)&gt;MIN(J6,K6),"未回本",MAX(1,ROUNDUP(H6/(F6-G6),0)))),"n.a.")</x:f>
        <x:v>未回本</x:v>
      </x:c>
    </x:row>
    <x:row r="7" ht="22" customHeight="1">
      <x:c r="A7" s="11" t="str">
        <x:v>lade_0823_10aoi</x:v>
      </x:c>
      <x:c r="B7" s="10" t="n">
        <x:v>10</x:v>
      </x:c>
      <x:c r="C7" s="10" t="n">
        <x:v>42</x:v>
      </x:c>
      <x:c r="D7" s="11" t="str">
        <x:v>M2 / M4</x:v>
      </x:c>
      <x:c r="E7" s="11" t="str">
        <x:v>有效</x:v>
      </x:c>
      <x:c r="F7" s="26" t="n">
        <x:f>IF(E7="有效",'成本明细'!U9,"n.a.")</x:f>
        <x:v>1844.3413821266668</x:v>
      </x:c>
      <x:c r="G7" s="26" t="n">
        <x:f>IF(E7="有效",'成本明细'!U15,"n.a.")</x:f>
        <x:v>2297.9809467122222</x:v>
      </x:c>
      <x:c r="H7" s="26" t="n">
        <x:f>IF(E7="有效",'成本明细'!V15,"n.a.")</x:f>
        <x:v>4781.5</x:v>
      </x:c>
      <x:c r="I7" s="22" t="n">
        <x:f>IF(E7="有效",'成本明细'!G9,"n.a.")</x:f>
        <x:v>131</x:v>
      </x:c>
      <x:c r="J7" s="22" t="n">
        <x:f>IF(E7="有效",'参数'!$B$8,"n.a.")</x:f>
        <x:v>50</x:v>
      </x:c>
      <x:c r="K7" s="22" t="n">
        <x:f>IF(E7="有效",'参数'!$B$9,"n.a.")</x:f>
        <x:v>300</x:v>
      </x:c>
      <x:c r="L7" s="26" t="n">
        <x:f>IF(E7="有效",F7*K7,"n.a.")</x:f>
        <x:v>553302.4146380001</x:v>
      </x:c>
      <x:c r="M7" s="26" t="n">
        <x:f>IF(E7="有效",G7*K7+H7*ROUNDUP(K7/J7,0),"n.a.")</x:f>
        <x:v>718083.2840136667</x:v>
      </x:c>
      <x:c r="N7" s="26" t="n">
        <x:f>IF(E7="有效",L7-M7,"n.a.")</x:f>
        <x:v>-164780.8693756666</x:v>
      </x:c>
      <x:c r="O7" s="32" t="n">
        <x:f>IF(E7="有效",N7/L7,"n.a.")</x:f>
        <x:v>-0.297813392850409</x:v>
      </x:c>
      <x:c r="P7" s="26" t="n">
        <x:f>IF(E7="有效",L7/(K7*I7),"n.a.")</x:f>
        <x:v>14.078941848295168</x:v>
      </x:c>
      <x:c r="Q7" s="26" t="n">
        <x:f>IF(E7="有效",M7/(K7*I7),"n.a.")</x:f>
        <x:v>18.27183928787956</x:v>
      </x:c>
      <x:c r="R7" s="10" t="str">
        <x:f>IF(E7="有效",IF(F7-G7&lt;=0,"未回本",IF(ROUNDUP(H7/(F7-G7),0)&gt;MIN(J7,K7),"未回本",MAX(1,ROUNDUP(H7/(F7-G7),0)))),"n.a.")</x:f>
        <x:v>未回本</x:v>
      </x:c>
    </x:row>
    <x:row r="8" ht="22" customHeight="1">
      <x:c r="A8" s="11" t="str">
        <x:v>lade_0823_10aoi</x:v>
      </x:c>
      <x:c r="B8" s="10" t="n">
        <x:v>10</x:v>
      </x:c>
      <x:c r="C8" s="10" t="n">
        <x:v>43</x:v>
      </x:c>
      <x:c r="D8" s="11" t="str">
        <x:v>M1 / M3</x:v>
      </x:c>
      <x:c r="E8" s="11" t="str">
        <x:v>有效</x:v>
      </x:c>
      <x:c r="F8" s="26" t="n">
        <x:f>IF(E8="有效",'成本明细'!U7,"n.a.")</x:f>
        <x:v>1844.3413821266668</x:v>
      </x:c>
      <x:c r="G8" s="26" t="n">
        <x:f>IF(E8="有效",'成本明细'!U13,"n.a.")</x:f>
        <x:v>2305.6772459783333</x:v>
      </x:c>
      <x:c r="H8" s="26" t="n">
        <x:f>IF(E8="有效",'成本明细'!V13,"n.a.")</x:f>
        <x:v>4781.5</x:v>
      </x:c>
      <x:c r="I8" s="22" t="n">
        <x:f>IF(E8="有效",'成本明细'!G7,"n.a.")</x:f>
        <x:v>131</x:v>
      </x:c>
      <x:c r="J8" s="22" t="n">
        <x:f>IF(E8="有效",'参数'!$B$8,"n.a.")</x:f>
        <x:v>50</x:v>
      </x:c>
      <x:c r="K8" s="22" t="n">
        <x:f>IF(E8="有效",'参数'!$B$9,"n.a.")</x:f>
        <x:v>300</x:v>
      </x:c>
      <x:c r="L8" s="26" t="n">
        <x:f>IF(E8="有效",F8*K8,"n.a.")</x:f>
        <x:v>553302.4146380001</x:v>
      </x:c>
      <x:c r="M8" s="26" t="n">
        <x:f>IF(E8="有效",G8*K8+H8*ROUNDUP(K8/J8,0),"n.a.")</x:f>
        <x:v>720392.1737934999</x:v>
      </x:c>
      <x:c r="N8" s="26" t="n">
        <x:f>IF(E8="有效",L8-M8,"n.a.")</x:f>
        <x:v>-167089.75915549987</x:v>
      </x:c>
      <x:c r="O8" s="32" t="n">
        <x:f>IF(E8="有效",N8/L8,"n.a.")</x:f>
        <x:v>-0.301986318394831</x:v>
      </x:c>
      <x:c r="P8" s="26" t="n">
        <x:f>IF(E8="有效",L8/(K8*I8),"n.a.")</x:f>
        <x:v>14.078941848295168</x:v>
      </x:c>
      <x:c r="Q8" s="26" t="n">
        <x:f>IF(E8="有效",M8/(K8*I8),"n.a.")</x:f>
        <x:v>18.33058966395674</x:v>
      </x:c>
      <x:c r="R8" s="10" t="str">
        <x:f>IF(E8="有效",IF(F8-G8&lt;=0,"未回本",IF(ROUNDUP(H8/(F8-G8),0)&gt;MIN(J8,K8),"未回本",MAX(1,ROUNDUP(H8/(F8-G8),0)))),"n.a.")</x:f>
        <x:v>未回本</x:v>
      </x:c>
    </x:row>
    <x:row r="9" ht="22" customHeight="1">
      <x:c r="A9" s="11" t="str">
        <x:v>lade_0823_10aoi</x:v>
      </x:c>
      <x:c r="B9" s="10" t="n">
        <x:v>10</x:v>
      </x:c>
      <x:c r="C9" s="10" t="n">
        <x:v>43</x:v>
      </x:c>
      <x:c r="D9" s="11" t="str">
        <x:v>M2 / M4</x:v>
      </x:c>
      <x:c r="E9" s="11" t="str">
        <x:v>有效</x:v>
      </x:c>
      <x:c r="F9" s="26" t="n">
        <x:f>IF(E9="有效",'成本明细'!U10,"n.a.")</x:f>
        <x:v>1844.3413821266668</x:v>
      </x:c>
      <x:c r="G9" s="26" t="n">
        <x:f>IF(E9="有效",'成本明细'!U16,"n.a.")</x:f>
        <x:v>2304.1988675672224</x:v>
      </x:c>
      <x:c r="H9" s="26" t="n">
        <x:f>IF(E9="有效",'成本明细'!V16,"n.a.")</x:f>
        <x:v>4781.5</x:v>
      </x:c>
      <x:c r="I9" s="22" t="n">
        <x:f>IF(E9="有效",'成本明细'!G10,"n.a.")</x:f>
        <x:v>131</x:v>
      </x:c>
      <x:c r="J9" s="22" t="n">
        <x:f>IF(E9="有效",'参数'!$B$8,"n.a.")</x:f>
        <x:v>50</x:v>
      </x:c>
      <x:c r="K9" s="22" t="n">
        <x:f>IF(E9="有效",'参数'!$B$9,"n.a.")</x:f>
        <x:v>300</x:v>
      </x:c>
      <x:c r="L9" s="26" t="n">
        <x:f>IF(E9="有效",F9*K9,"n.a.")</x:f>
        <x:v>553302.4146380001</x:v>
      </x:c>
      <x:c r="M9" s="26" t="n">
        <x:f>IF(E9="有效",G9*K9+H9*ROUNDUP(K9/J9,0),"n.a.")</x:f>
        <x:v>719948.6602701667</x:v>
      </x:c>
      <x:c r="N9" s="26" t="n">
        <x:f>IF(E9="有效",L9-M9,"n.a.")</x:f>
        <x:v>-166646.24563216663</x:v>
      </x:c>
      <x:c r="O9" s="32" t="n">
        <x:f>IF(E9="有效",N9/L9,"n.a.")</x:f>
        <x:v>-0.3011847431412268</x:v>
      </x:c>
      <x:c r="P9" s="26" t="n">
        <x:f>IF(E9="有效",L9/(K9*I9),"n.a.")</x:f>
        <x:v>14.078941848295168</x:v>
      </x:c>
      <x:c r="Q9" s="26" t="n">
        <x:f>IF(E9="有效",M9/(K9*I9),"n.a.")</x:f>
        <x:v>18.319304332574216</x:v>
      </x:c>
      <x:c r="R9" s="10" t="str">
        <x:f>IF(E9="有效",IF(F9-G9&lt;=0,"未回本",IF(ROUNDUP(H9/(F9-G9),0)&gt;MIN(J9,K9),"未回本",MAX(1,ROUNDUP(H9/(F9-G9),0)))),"n.a.")</x:f>
        <x:v>未回本</x:v>
      </x:c>
    </x:row>
    <x:row r="10" ht="22" customHeight="1">
      <x:c r="A10" s="11" t="str">
        <x:v>lade_0823_10aoi</x:v>
      </x:c>
      <x:c r="B10" s="10" t="n">
        <x:v>10</x:v>
      </x:c>
      <x:c r="C10" s="10" t="n">
        <x:v>44</x:v>
      </x:c>
      <x:c r="D10" s="11" t="str">
        <x:v>M1 / M3</x:v>
      </x:c>
      <x:c r="E10" s="11" t="str">
        <x:v>有效</x:v>
      </x:c>
      <x:c r="F10" s="26" t="n">
        <x:f>IF(E10="有效",'成本明细'!U8,"n.a.")</x:f>
        <x:v>1844.3413821266668</x:v>
      </x:c>
      <x:c r="G10" s="26" t="n">
        <x:f>IF(E10="有效",'成本明细'!U14,"n.a.")</x:f>
        <x:v>2305.6772459783333</x:v>
      </x:c>
      <x:c r="H10" s="26" t="n">
        <x:f>IF(E10="有效",'成本明细'!V14,"n.a.")</x:f>
        <x:v>4781.5</x:v>
      </x:c>
      <x:c r="I10" s="22" t="n">
        <x:f>IF(E10="有效",'成本明细'!G8,"n.a.")</x:f>
        <x:v>131</x:v>
      </x:c>
      <x:c r="J10" s="22" t="n">
        <x:f>IF(E10="有效",'参数'!$B$8,"n.a.")</x:f>
        <x:v>50</x:v>
      </x:c>
      <x:c r="K10" s="22" t="n">
        <x:f>IF(E10="有效",'参数'!$B$9,"n.a.")</x:f>
        <x:v>300</x:v>
      </x:c>
      <x:c r="L10" s="26" t="n">
        <x:f>IF(E10="有效",F10*K10,"n.a.")</x:f>
        <x:v>553302.4146380001</x:v>
      </x:c>
      <x:c r="M10" s="26" t="n">
        <x:f>IF(E10="有效",G10*K10+H10*ROUNDUP(K10/J10,0),"n.a.")</x:f>
        <x:v>720392.1737934999</x:v>
      </x:c>
      <x:c r="N10" s="26" t="n">
        <x:f>IF(E10="有效",L10-M10,"n.a.")</x:f>
        <x:v>-167089.75915549987</x:v>
      </x:c>
      <x:c r="O10" s="32" t="n">
        <x:f>IF(E10="有效",N10/L10,"n.a.")</x:f>
        <x:v>-0.301986318394831</x:v>
      </x:c>
      <x:c r="P10" s="26" t="n">
        <x:f>IF(E10="有效",L10/(K10*I10),"n.a.")</x:f>
        <x:v>14.078941848295168</x:v>
      </x:c>
      <x:c r="Q10" s="26" t="n">
        <x:f>IF(E10="有效",M10/(K10*I10),"n.a.")</x:f>
        <x:v>18.33058966395674</x:v>
      </x:c>
      <x:c r="R10" s="10" t="str">
        <x:f>IF(E10="有效",IF(F10-G10&lt;=0,"未回本",IF(ROUNDUP(H10/(F10-G10),0)&gt;MIN(J10,K10),"未回本",MAX(1,ROUNDUP(H10/(F10-G10),0)))),"n.a.")</x:f>
        <x:v>未回本</x:v>
      </x:c>
    </x:row>
    <x:row r="11" ht="22" customHeight="1">
      <x:c r="A11" s="11" t="str">
        <x:v>lade_0823_10aoi</x:v>
      </x:c>
      <x:c r="B11" s="10" t="n">
        <x:v>10</x:v>
      </x:c>
      <x:c r="C11" s="10" t="n">
        <x:v>44</x:v>
      </x:c>
      <x:c r="D11" s="11" t="str">
        <x:v>M2 / M4</x:v>
      </x:c>
      <x:c r="E11" s="11" t="str">
        <x:v>有效</x:v>
      </x:c>
      <x:c r="F11" s="26" t="n">
        <x:f>IF(E11="有效",'成本明细'!U11,"n.a.")</x:f>
        <x:v>1844.3413821266668</x:v>
      </x:c>
      <x:c r="G11" s="26" t="n">
        <x:f>IF(E11="有效",'成本明细'!U17,"n.a.")</x:f>
        <x:v>2304.657504041111</x:v>
      </x:c>
      <x:c r="H11" s="26" t="n">
        <x:f>IF(E11="有效",'成本明细'!V17,"n.a.")</x:f>
        <x:v>4781.5</x:v>
      </x:c>
      <x:c r="I11" s="22" t="n">
        <x:f>IF(E11="有效",'成本明细'!G11,"n.a.")</x:f>
        <x:v>131</x:v>
      </x:c>
      <x:c r="J11" s="22" t="n">
        <x:f>IF(E11="有效",'参数'!$B$8,"n.a.")</x:f>
        <x:v>50</x:v>
      </x:c>
      <x:c r="K11" s="22" t="n">
        <x:f>IF(E11="有效",'参数'!$B$9,"n.a.")</x:f>
        <x:v>300</x:v>
      </x:c>
      <x:c r="L11" s="26" t="n">
        <x:f>IF(E11="有效",F11*K11,"n.a.")</x:f>
        <x:v>553302.4146380001</x:v>
      </x:c>
      <x:c r="M11" s="26" t="n">
        <x:f>IF(E11="有效",G11*K11+H11*ROUNDUP(K11/J11,0),"n.a.")</x:f>
        <x:v>720086.2512123333</x:v>
      </x:c>
      <x:c r="N11" s="26" t="n">
        <x:f>IF(E11="有效",L11-M11,"n.a.")</x:f>
        <x:v>-166783.83657433325</x:v>
      </x:c>
      <x:c r="O11" s="32" t="n">
        <x:f>IF(E11="有效",N11/L11,"n.a.")</x:f>
        <x:v>-0.30143341536554136</x:v>
      </x:c>
      <x:c r="P11" s="26" t="n">
        <x:f>IF(E11="有效",L11/(K11*I11),"n.a.")</x:f>
        <x:v>14.078941848295168</x:v>
      </x:c>
      <x:c r="Q11" s="26" t="n">
        <x:f>IF(E11="有效",M11/(K11*I11),"n.a.")</x:f>
        <x:v>18.32280537435963</x:v>
      </x:c>
      <x:c r="R11" s="10" t="str">
        <x:f>IF(E11="有效",IF(F11-G11&lt;=0,"未回本",IF(ROUNDUP(H11/(F11-G11),0)&gt;MIN(J11,K11),"未回本",MAX(1,ROUNDUP(H11/(F11-G11),0)))),"n.a.")</x:f>
        <x:v>未回本</x:v>
      </x:c>
    </x:row>
    <x:row r="12" ht="22" customHeight="1">
      <x:c r="A12" s="11" t="str">
        <x:v>lade_0823_20aoi</x:v>
      </x:c>
      <x:c r="B12" s="10" t="n">
        <x:v>20</x:v>
      </x:c>
      <x:c r="C12" s="10" t="n">
        <x:v>42</x:v>
      </x:c>
      <x:c r="D12" s="11" t="str">
        <x:v>M1 / M3</x:v>
      </x:c>
      <x:c r="E12" s="11" t="str">
        <x:v>有效</x:v>
      </x:c>
      <x:c r="F12" s="26" t="n">
        <x:f>IF(E12="有效",'成本明细'!U24,"n.a.")</x:f>
        <x:v>3233.2171199111117</x:v>
      </x:c>
      <x:c r="G12" s="26" t="n">
        <x:f>IF(E12="有效",'成本明细'!U30,"n.a.")</x:f>
        <x:v>3826.729582826667</x:v>
      </x:c>
      <x:c r="H12" s="26" t="n">
        <x:f>IF(E12="有效",'成本明细'!V30,"n.a.")</x:f>
        <x:v>7336.5</x:v>
      </x:c>
      <x:c r="I12" s="22" t="n">
        <x:f>IF(E12="有效",'成本明细'!G24,"n.a.")</x:f>
        <x:v>201</x:v>
      </x:c>
      <x:c r="J12" s="22" t="n">
        <x:f>IF(E12="有效",'参数'!$B$8,"n.a.")</x:f>
        <x:v>50</x:v>
      </x:c>
      <x:c r="K12" s="22" t="n">
        <x:f>IF(E12="有效",'参数'!$B$9,"n.a.")</x:f>
        <x:v>300</x:v>
      </x:c>
      <x:c r="L12" s="26" t="n">
        <x:f>IF(E12="有效",F12*K12,"n.a.")</x:f>
        <x:v>969965.1359733335</x:v>
      </x:c>
      <x:c r="M12" s="26" t="n">
        <x:f>IF(E12="有效",G12*K12+H12*ROUNDUP(K12/J12,0),"n.a.")</x:f>
        <x:v>1192037.874848</x:v>
      </x:c>
      <x:c r="N12" s="26" t="n">
        <x:f>IF(E12="有效",L12-M12,"n.a.")</x:f>
        <x:v>-222072.7388746665</x:v>
      </x:c>
      <x:c r="O12" s="32" t="n">
        <x:f>IF(E12="有效",N12/L12,"n.a.")</x:f>
        <x:v>-0.22894919687172322</x:v>
      </x:c>
      <x:c r="P12" s="26" t="n">
        <x:f>IF(E12="有效",L12/(K12*I12),"n.a.")</x:f>
        <x:v>16.085657312990605</x:v>
      </x:c>
      <x:c r="Q12" s="26" t="n">
        <x:f>IF(E12="有效",M12/(K12*I12),"n.a.")</x:f>
        <x:v>19.768455635953565</x:v>
      </x:c>
      <x:c r="R12" s="10" t="str">
        <x:f>IF(E12="有效",IF(F12-G12&lt;=0,"未回本",IF(ROUNDUP(H12/(F12-G12),0)&gt;MIN(J12,K12),"未回本",MAX(1,ROUNDUP(H12/(F12-G12),0)))),"n.a.")</x:f>
        <x:v>未回本</x:v>
      </x:c>
    </x:row>
    <x:row r="13" ht="22" customHeight="1">
      <x:c r="A13" s="11" t="str">
        <x:v>lade_0823_20aoi</x:v>
      </x:c>
      <x:c r="B13" s="10" t="n">
        <x:v>20</x:v>
      </x:c>
      <x:c r="C13" s="10" t="n">
        <x:v>42</x:v>
      </x:c>
      <x:c r="D13" s="11" t="str">
        <x:v>M2 / M4</x:v>
      </x:c>
      <x:c r="E13" s="11" t="str">
        <x:v>有效</x:v>
      </x:c>
      <x:c r="F13" s="26" t="n">
        <x:f>IF(E13="有效",'成本明细'!U27,"n.a.")</x:f>
        <x:v>2801.463022416111</x:v>
      </x:c>
      <x:c r="G13" s="26" t="n">
        <x:f>IF(E13="有效",'成本明细'!U33,"n.a.")</x:f>
        <x:v>3787.5261378683335</x:v>
      </x:c>
      <x:c r="H13" s="26" t="n">
        <x:f>IF(E13="有效",'成本明细'!V33,"n.a.")</x:f>
        <x:v>7336.5</x:v>
      </x:c>
      <x:c r="I13" s="22" t="n">
        <x:f>IF(E13="有效",'成本明细'!G27,"n.a.")</x:f>
        <x:v>201</x:v>
      </x:c>
      <x:c r="J13" s="22" t="n">
        <x:f>IF(E13="有效",'参数'!$B$8,"n.a.")</x:f>
        <x:v>50</x:v>
      </x:c>
      <x:c r="K13" s="22" t="n">
        <x:f>IF(E13="有效",'参数'!$B$9,"n.a.")</x:f>
        <x:v>300</x:v>
      </x:c>
      <x:c r="L13" s="26" t="n">
        <x:f>IF(E13="有效",F13*K13,"n.a.")</x:f>
        <x:v>840438.9067248333</x:v>
      </x:c>
      <x:c r="M13" s="26" t="n">
        <x:f>IF(E13="有效",G13*K13+H13*ROUNDUP(K13/J13,0),"n.a.")</x:f>
        <x:v>1180276.8413605</x:v>
      </x:c>
      <x:c r="N13" s="26" t="n">
        <x:f>IF(E13="有效",L13-M13,"n.a.")</x:f>
        <x:v>-339837.9346356668</x:v>
      </x:c>
      <x:c r="O13" s="32" t="n">
        <x:f>IF(E13="有效",N13/L13,"n.a.")</x:f>
        <x:v>-0.40435768967432223</x:v>
      </x:c>
      <x:c r="P13" s="26" t="n">
        <x:f>IF(E13="有效",L13/(K13*I13),"n.a.")</x:f>
        <x:v>13.937626977194583</x:v>
      </x:c>
      <x:c r="Q13" s="26" t="n">
        <x:f>IF(E13="有效",M13/(K13*I13),"n.a.")</x:f>
        <x:v>19.573413621235492</x:v>
      </x:c>
      <x:c r="R13" s="10" t="str">
        <x:f>IF(E13="有效",IF(F13-G13&lt;=0,"未回本",IF(ROUNDUP(H13/(F13-G13),0)&gt;MIN(J13,K13),"未回本",MAX(1,ROUNDUP(H13/(F13-G13),0)))),"n.a.")</x:f>
        <x:v>未回本</x:v>
      </x:c>
    </x:row>
    <x:row r="14" ht="22" customHeight="1">
      <x:c r="A14" s="11" t="str">
        <x:v>lade_0823_20aoi</x:v>
      </x:c>
      <x:c r="B14" s="10" t="n">
        <x:v>20</x:v>
      </x:c>
      <x:c r="C14" s="10" t="n">
        <x:v>43</x:v>
      </x:c>
      <x:c r="D14" s="11" t="str">
        <x:v>M1 / M3</x:v>
      </x:c>
      <x:c r="E14" s="11" t="str">
        <x:v>有效</x:v>
      </x:c>
      <x:c r="F14" s="26" t="n">
        <x:f>IF(E14="有效",'成本明细'!U25,"n.a.")</x:f>
        <x:v>3233.303355891111</x:v>
      </x:c>
      <x:c r="G14" s="26" t="n">
        <x:f>IF(E14="有效",'成本明细'!U31,"n.a.")</x:f>
        <x:v>3826.729582826667</x:v>
      </x:c>
      <x:c r="H14" s="26" t="n">
        <x:f>IF(E14="有效",'成本明细'!V31,"n.a.")</x:f>
        <x:v>7336.5</x:v>
      </x:c>
      <x:c r="I14" s="22" t="n">
        <x:f>IF(E14="有效",'成本明细'!G25,"n.a.")</x:f>
        <x:v>201</x:v>
      </x:c>
      <x:c r="J14" s="22" t="n">
        <x:f>IF(E14="有效",'参数'!$B$8,"n.a.")</x:f>
        <x:v>50</x:v>
      </x:c>
      <x:c r="K14" s="22" t="n">
        <x:f>IF(E14="有效",'参数'!$B$9,"n.a.")</x:f>
        <x:v>300</x:v>
      </x:c>
      <x:c r="L14" s="26" t="n">
        <x:f>IF(E14="有效",F14*K14,"n.a.")</x:f>
        <x:v>969991.0067673334</x:v>
      </x:c>
      <x:c r="M14" s="26" t="n">
        <x:f>IF(E14="有效",G14*K14+H14*ROUNDUP(K14/J14,0),"n.a.")</x:f>
        <x:v>1192037.874848</x:v>
      </x:c>
      <x:c r="N14" s="26" t="n">
        <x:f>IF(E14="有效",L14-M14,"n.a.")</x:f>
        <x:v>-222046.86808066664</x:v>
      </x:c>
      <x:c r="O14" s="32" t="n">
        <x:f>IF(E14="有效",N14/L14,"n.a.")</x:f>
        <x:v>-0.22891641936008986</x:v>
      </x:c>
      <x:c r="P14" s="26" t="n">
        <x:f>IF(E14="有效",L14/(K14*I14),"n.a.")</x:f>
        <x:v>16.08608634771697</x:v>
      </x:c>
      <x:c r="Q14" s="26" t="n">
        <x:f>IF(E14="有效",M14/(K14*I14),"n.a.")</x:f>
        <x:v>19.768455635953565</x:v>
      </x:c>
      <x:c r="R14" s="10" t="str">
        <x:f>IF(E14="有效",IF(F14-G14&lt;=0,"未回本",IF(ROUNDUP(H14/(F14-G14),0)&gt;MIN(J14,K14),"未回本",MAX(1,ROUNDUP(H14/(F14-G14),0)))),"n.a.")</x:f>
        <x:v>未回本</x:v>
      </x:c>
    </x:row>
    <x:row r="15" ht="22" customHeight="1">
      <x:c r="A15" s="11" t="str">
        <x:v>lade_0823_20aoi</x:v>
      </x:c>
      <x:c r="B15" s="10" t="n">
        <x:v>20</x:v>
      </x:c>
      <x:c r="C15" s="10" t="n">
        <x:v>43</x:v>
      </x:c>
      <x:c r="D15" s="11" t="str">
        <x:v>M2 / M4</x:v>
      </x:c>
      <x:c r="E15" s="11" t="str">
        <x:v>有效</x:v>
      </x:c>
      <x:c r="F15" s="26" t="n">
        <x:f>IF(E15="有效",'成本明细'!U28,"n.a.")</x:f>
        <x:v>2968.1697083127774</x:v>
      </x:c>
      <x:c r="G15" s="26" t="n">
        <x:f>IF(E15="有效",'成本明细'!U34,"n.a.")</x:f>
        <x:v>3318.1709303688885</x:v>
      </x:c>
      <x:c r="H15" s="26" t="n">
        <x:f>IF(E15="有效",'成本明细'!V34,"n.a.")</x:f>
        <x:v>7336.5</x:v>
      </x:c>
      <x:c r="I15" s="22" t="n">
        <x:f>IF(E15="有效",'成本明细'!G28,"n.a.")</x:f>
        <x:v>201</x:v>
      </x:c>
      <x:c r="J15" s="22" t="n">
        <x:f>IF(E15="有效",'参数'!$B$8,"n.a.")</x:f>
        <x:v>50</x:v>
      </x:c>
      <x:c r="K15" s="22" t="n">
        <x:f>IF(E15="有效",'参数'!$B$9,"n.a.")</x:f>
        <x:v>300</x:v>
      </x:c>
      <x:c r="L15" s="26" t="n">
        <x:f>IF(E15="有效",F15*K15,"n.a.")</x:f>
        <x:v>890450.9124938332</x:v>
      </x:c>
      <x:c r="M15" s="26" t="n">
        <x:f>IF(E15="有效",G15*K15+H15*ROUNDUP(K15/J15,0),"n.a.")</x:f>
        <x:v>1039470.2791106666</x:v>
      </x:c>
      <x:c r="N15" s="26" t="n">
        <x:f>IF(E15="有效",L15-M15,"n.a.")</x:f>
        <x:v>-149019.36661683337</x:v>
      </x:c>
      <x:c r="O15" s="32" t="n">
        <x:f>IF(E15="有效",N15/L15,"n.a.")</x:f>
        <x:v>-0.16735270246338863</x:v>
      </x:c>
      <x:c r="P15" s="26" t="n">
        <x:f>IF(E15="有效",L15/(K15*I15),"n.a.")</x:f>
        <x:v>14.767013474192922</x:v>
      </x:c>
      <x:c r="Q15" s="26" t="n">
        <x:f>IF(E15="有效",M15/(K15*I15),"n.a.")</x:f>
        <x:v>17.238313086412383</x:v>
      </x:c>
      <x:c r="R15" s="10" t="str">
        <x:f>IF(E15="有效",IF(F15-G15&lt;=0,"未回本",IF(ROUNDUP(H15/(F15-G15),0)&gt;MIN(J15,K15),"未回本",MAX(1,ROUNDUP(H15/(F15-G15),0)))),"n.a.")</x:f>
        <x:v>未回本</x:v>
      </x:c>
    </x:row>
    <x:row r="16" ht="22" customHeight="1">
      <x:c r="A16" s="11" t="str">
        <x:v>lade_0823_20aoi</x:v>
      </x:c>
      <x:c r="B16" s="10" t="n">
        <x:v>20</x:v>
      </x:c>
      <x:c r="C16" s="10" t="n">
        <x:v>44</x:v>
      </x:c>
      <x:c r="D16" s="11" t="str">
        <x:v>M1 / M3</x:v>
      </x:c>
      <x:c r="E16" s="11" t="str">
        <x:v>有效</x:v>
      </x:c>
      <x:c r="F16" s="26" t="n">
        <x:f>IF(E16="有效",'成本明细'!U26,"n.a.")</x:f>
        <x:v>3233.2171199111117</x:v>
      </x:c>
      <x:c r="G16" s="26" t="n">
        <x:f>IF(E16="有效",'成本明细'!U32,"n.a.")</x:f>
        <x:v>3826.729582826667</x:v>
      </x:c>
      <x:c r="H16" s="26" t="n">
        <x:f>IF(E16="有效",'成本明细'!V32,"n.a.")</x:f>
        <x:v>7336.5</x:v>
      </x:c>
      <x:c r="I16" s="22" t="n">
        <x:f>IF(E16="有效",'成本明细'!G26,"n.a.")</x:f>
        <x:v>201</x:v>
      </x:c>
      <x:c r="J16" s="22" t="n">
        <x:f>IF(E16="有效",'参数'!$B$8,"n.a.")</x:f>
        <x:v>50</x:v>
      </x:c>
      <x:c r="K16" s="22" t="n">
        <x:f>IF(E16="有效",'参数'!$B$9,"n.a.")</x:f>
        <x:v>300</x:v>
      </x:c>
      <x:c r="L16" s="26" t="n">
        <x:f>IF(E16="有效",F16*K16,"n.a.")</x:f>
        <x:v>969965.1359733335</x:v>
      </x:c>
      <x:c r="M16" s="26" t="n">
        <x:f>IF(E16="有效",G16*K16+H16*ROUNDUP(K16/J16,0),"n.a.")</x:f>
        <x:v>1192037.874848</x:v>
      </x:c>
      <x:c r="N16" s="26" t="n">
        <x:f>IF(E16="有效",L16-M16,"n.a.")</x:f>
        <x:v>-222072.7388746665</x:v>
      </x:c>
      <x:c r="O16" s="32" t="n">
        <x:f>IF(E16="有效",N16/L16,"n.a.")</x:f>
        <x:v>-0.22894919687172322</x:v>
      </x:c>
      <x:c r="P16" s="26" t="n">
        <x:f>IF(E16="有效",L16/(K16*I16),"n.a.")</x:f>
        <x:v>16.085657312990605</x:v>
      </x:c>
      <x:c r="Q16" s="26" t="n">
        <x:f>IF(E16="有效",M16/(K16*I16),"n.a.")</x:f>
        <x:v>19.768455635953565</x:v>
      </x:c>
      <x:c r="R16" s="10" t="str">
        <x:f>IF(E16="有效",IF(F16-G16&lt;=0,"未回本",IF(ROUNDUP(H16/(F16-G16),0)&gt;MIN(J16,K16),"未回本",MAX(1,ROUNDUP(H16/(F16-G16),0)))),"n.a.")</x:f>
        <x:v>未回本</x:v>
      </x:c>
    </x:row>
    <x:row r="17" ht="22" customHeight="1">
      <x:c r="A17" s="11" t="str">
        <x:v>lade_0823_20aoi</x:v>
      </x:c>
      <x:c r="B17" s="10" t="n">
        <x:v>20</x:v>
      </x:c>
      <x:c r="C17" s="10" t="n">
        <x:v>44</x:v>
      </x:c>
      <x:c r="D17" s="11" t="str">
        <x:v>M2 / M4</x:v>
      </x:c>
      <x:c r="E17" s="11" t="str">
        <x:v>有效</x:v>
      </x:c>
      <x:c r="F17" s="26" t="n">
        <x:f>IF(E17="有效",'成本明细'!U29,"n.a.")</x:f>
        <x:v>2805.471254093889</x:v>
      </x:c>
      <x:c r="G17" s="26" t="n">
        <x:f>IF(E17="有效",'成本明细'!U35,"n.a.")</x:f>
        <x:v>3638.3779388133335</x:v>
      </x:c>
      <x:c r="H17" s="26" t="n">
        <x:f>IF(E17="有效",'成本明细'!V35,"n.a.")</x:f>
        <x:v>7336.5</x:v>
      </x:c>
      <x:c r="I17" s="22" t="n">
        <x:f>IF(E17="有效",'成本明细'!G29,"n.a.")</x:f>
        <x:v>201</x:v>
      </x:c>
      <x:c r="J17" s="22" t="n">
        <x:f>IF(E17="有效",'参数'!$B$8,"n.a.")</x:f>
        <x:v>50</x:v>
      </x:c>
      <x:c r="K17" s="22" t="n">
        <x:f>IF(E17="有效",'参数'!$B$9,"n.a.")</x:f>
        <x:v>300</x:v>
      </x:c>
      <x:c r="L17" s="26" t="n">
        <x:f>IF(E17="有效",F17*K17,"n.a.")</x:f>
        <x:v>841641.3762281667</x:v>
      </x:c>
      <x:c r="M17" s="26" t="n">
        <x:f>IF(E17="有效",G17*K17+H17*ROUNDUP(K17/J17,0),"n.a.")</x:f>
        <x:v>1135532.381644</x:v>
      </x:c>
      <x:c r="N17" s="26" t="n">
        <x:f>IF(E17="有效",L17-M17,"n.a.")</x:f>
        <x:v>-293891.0054158333</x:v>
      </x:c>
      <x:c r="O17" s="32" t="n">
        <x:f>IF(E17="有效",N17/L17,"n.a.")</x:f>
        <x:v>-0.3491879245919586</x:v>
      </x:c>
      <x:c r="P17" s="26" t="n">
        <x:f>IF(E17="有效",L17/(K17*I17),"n.a.")</x:f>
        <x:v>13.957568428327807</x:v>
      </x:c>
      <x:c r="Q17" s="26" t="n">
        <x:f>IF(E17="有效",M17/(K17*I17),"n.a.")</x:f>
        <x:v>18.83138278016584</x:v>
      </x:c>
      <x:c r="R17" s="10" t="str">
        <x:f>IF(E17="有效",IF(F17-G17&lt;=0,"未回本",IF(ROUNDUP(H17/(F17-G17),0)&gt;MIN(J17,K17),"未回本",MAX(1,ROUNDUP(H17/(F17-G17),0)))),"n.a.")</x:f>
        <x:v>未回本</x:v>
      </x:c>
    </x:row>
    <x:row r="18" ht="22" customHeight="1">
      <x:c r="A18" s="11" t="str">
        <x:v>lade_0823_30aoi</x:v>
      </x:c>
      <x:c r="B18" s="10" t="n">
        <x:v>30</x:v>
      </x:c>
      <x:c r="C18" s="10" t="n">
        <x:v>42</x:v>
      </x:c>
      <x:c r="D18" s="11" t="str">
        <x:v>M1 / M3</x:v>
      </x:c>
      <x:c r="E18" s="11" t="str">
        <x:v>有效</x:v>
      </x:c>
      <x:c r="F18" s="26" t="n">
        <x:f>IF(E18="有效",'成本明细'!U42,"n.a.")</x:f>
        <x:v>3643.0965361505555</x:v>
      </x:c>
      <x:c r="G18" s="26" t="n">
        <x:f>IF(E18="有效",'成本明细'!U48,"n.a.")</x:f>
        <x:v>4857.482826402222</x:v>
      </x:c>
      <x:c r="H18" s="26" t="n">
        <x:f>IF(E18="有效",'成本明细'!V48,"n.a.")</x:f>
        <x:v>9307.5</x:v>
      </x:c>
      <x:c r="I18" s="22" t="n">
        <x:f>IF(E18="有效",'成本明细'!G42,"n.a.")</x:f>
        <x:v>255</x:v>
      </x:c>
      <x:c r="J18" s="22" t="n">
        <x:f>IF(E18="有效",'参数'!$B$8,"n.a.")</x:f>
        <x:v>50</x:v>
      </x:c>
      <x:c r="K18" s="22" t="n">
        <x:f>IF(E18="有效",'参数'!$B$9,"n.a.")</x:f>
        <x:v>300</x:v>
      </x:c>
      <x:c r="L18" s="26" t="n">
        <x:f>IF(E18="有效",F18*K18,"n.a.")</x:f>
        <x:v>1092928.9608451666</x:v>
      </x:c>
      <x:c r="M18" s="26" t="n">
        <x:f>IF(E18="有效",G18*K18+H18*ROUNDUP(K18/J18,0),"n.a.")</x:f>
        <x:v>1513089.8479206664</x:v>
      </x:c>
      <x:c r="N18" s="26" t="n">
        <x:f>IF(E18="有效",L18-M18,"n.a.")</x:f>
        <x:v>-420160.88707549986</x:v>
      </x:c>
      <x:c r="O18" s="32" t="n">
        <x:f>IF(E18="有效",N18/L18,"n.a.")</x:f>
        <x:v>-0.38443567892151714</x:v>
      </x:c>
      <x:c r="P18" s="26" t="n">
        <x:f>IF(E18="有效",L18/(K18*I18),"n.a.")</x:f>
        <x:v>14.286653082943355</x:v>
      </x:c>
      <x:c r="Q18" s="26" t="n">
        <x:f>IF(E18="有效",M18/(K18*I18),"n.a.")</x:f>
        <x:v>19.778952260400867</x:v>
      </x:c>
      <x:c r="R18" s="10" t="str">
        <x:f>IF(E18="有效",IF(F18-G18&lt;=0,"未回本",IF(ROUNDUP(H18/(F18-G18),0)&gt;MIN(J18,K18),"未回本",MAX(1,ROUNDUP(H18/(F18-G18),0)))),"n.a.")</x:f>
        <x:v>未回本</x:v>
      </x:c>
    </x:row>
    <x:row r="19" ht="22" customHeight="1">
      <x:c r="A19" s="11" t="str">
        <x:v>lade_0823_30aoi</x:v>
      </x:c>
      <x:c r="B19" s="10" t="n">
        <x:v>30</x:v>
      </x:c>
      <x:c r="C19" s="10" t="n">
        <x:v>42</x:v>
      </x:c>
      <x:c r="D19" s="11" t="str">
        <x:v>M2 / M4</x:v>
      </x:c>
      <x:c r="E19" s="11" t="str">
        <x:v>有效</x:v>
      </x:c>
      <x:c r="F19" s="26" t="n">
        <x:f>IF(E19="有效",'成本明细'!U45,"n.a.")</x:f>
        <x:v>3643.0965361505555</x:v>
      </x:c>
      <x:c r="G19" s="26" t="n">
        <x:f>IF(E19="有效",'成本明细'!U51,"n.a.")</x:f>
        <x:v>4087.083541705556</x:v>
      </x:c>
      <x:c r="H19" s="26" t="n">
        <x:f>IF(E19="有效",'成本明细'!V51,"n.a.")</x:f>
        <x:v>9307.5</x:v>
      </x:c>
      <x:c r="I19" s="22" t="n">
        <x:f>IF(E19="有效",'成本明细'!G45,"n.a.")</x:f>
        <x:v>255</x:v>
      </x:c>
      <x:c r="J19" s="22" t="n">
        <x:f>IF(E19="有效",'参数'!$B$8,"n.a.")</x:f>
        <x:v>50</x:v>
      </x:c>
      <x:c r="K19" s="22" t="n">
        <x:f>IF(E19="有效",'参数'!$B$9,"n.a.")</x:f>
        <x:v>300</x:v>
      </x:c>
      <x:c r="L19" s="26" t="n">
        <x:f>IF(E19="有效",F19*K19,"n.a.")</x:f>
        <x:v>1092928.9608451666</x:v>
      </x:c>
      <x:c r="M19" s="26" t="n">
        <x:f>IF(E19="有效",G19*K19+H19*ROUNDUP(K19/J19,0),"n.a.")</x:f>
        <x:v>1281970.0625116667</x:v>
      </x:c>
      <x:c r="N19" s="26" t="n">
        <x:f>IF(E19="有效",L19-M19,"n.a.")</x:f>
        <x:v>-189041.1016665001</x:v>
      </x:c>
      <x:c r="O19" s="32" t="n">
        <x:f>IF(E19="有效",N19/L19,"n.a.")</x:f>
        <x:v>-0.17296741914526065</x:v>
      </x:c>
      <x:c r="P19" s="26" t="n">
        <x:f>IF(E19="有效",L19/(K19*I19),"n.a.")</x:f>
        <x:v>14.286653082943355</x:v>
      </x:c>
      <x:c r="Q19" s="26" t="n">
        <x:f>IF(E19="有效",M19/(K19*I19),"n.a.")</x:f>
        <x:v>16.757778594923746</x:v>
      </x:c>
      <x:c r="R19" s="10" t="str">
        <x:f>IF(E19="有效",IF(F19-G19&lt;=0,"未回本",IF(ROUNDUP(H19/(F19-G19),0)&gt;MIN(J19,K19),"未回本",MAX(1,ROUNDUP(H19/(F19-G19),0)))),"n.a.")</x:f>
        <x:v>未回本</x:v>
      </x:c>
    </x:row>
    <x:row r="20" ht="22" customHeight="1">
      <x:c r="A20" s="11" t="str">
        <x:v>lade_0823_30aoi</x:v>
      </x:c>
      <x:c r="B20" s="10" t="n">
        <x:v>30</x:v>
      </x:c>
      <x:c r="C20" s="10" t="n">
        <x:v>43</x:v>
      </x:c>
      <x:c r="D20" s="11" t="str">
        <x:v>M1 / M3</x:v>
      </x:c>
      <x:c r="E20" s="11" t="str">
        <x:v>有效</x:v>
      </x:c>
      <x:c r="F20" s="26" t="n">
        <x:f>IF(E20="有效",'成本明细'!U43,"n.a.")</x:f>
        <x:v>3644.1533779305555</x:v>
      </x:c>
      <x:c r="G20" s="26" t="n">
        <x:f>IF(E20="有效",'成本明细'!U49,"n.a.")</x:f>
        <x:v>5033.082434182222</x:v>
      </x:c>
      <x:c r="H20" s="26" t="n">
        <x:f>IF(E20="有效",'成本明细'!V49,"n.a.")</x:f>
        <x:v>9307.5</x:v>
      </x:c>
      <x:c r="I20" s="22" t="n">
        <x:f>IF(E20="有效",'成本明细'!G43,"n.a.")</x:f>
        <x:v>255</x:v>
      </x:c>
      <x:c r="J20" s="22" t="n">
        <x:f>IF(E20="有效",'参数'!$B$8,"n.a.")</x:f>
        <x:v>50</x:v>
      </x:c>
      <x:c r="K20" s="22" t="n">
        <x:f>IF(E20="有效",'参数'!$B$9,"n.a.")</x:f>
        <x:v>300</x:v>
      </x:c>
      <x:c r="L20" s="26" t="n">
        <x:f>IF(E20="有效",F20*K20,"n.a.")</x:f>
        <x:v>1093246.0133791666</x:v>
      </x:c>
      <x:c r="M20" s="26" t="n">
        <x:f>IF(E20="有效",G20*K20+H20*ROUNDUP(K20/J20,0),"n.a.")</x:f>
        <x:v>1565769.7302546664</x:v>
      </x:c>
      <x:c r="N20" s="26" t="n">
        <x:f>IF(E20="有效",L20-M20,"n.a.")</x:f>
        <x:v>-472523.7168754998</x:v>
      </x:c>
      <x:c r="O20" s="32" t="n">
        <x:f>IF(E20="有效",N20/L20,"n.a.")</x:f>
        <x:v>-0.4322208460792403</x:v>
      </x:c>
      <x:c r="P20" s="26" t="n">
        <x:f>IF(E20="有效",L20/(K20*I20),"n.a.")</x:f>
        <x:v>14.290797560511981</x:v>
      </x:c>
      <x:c r="Q20" s="26" t="n">
        <x:f>IF(E20="有效",M20/(K20*I20),"n.a.")</x:f>
        <x:v>20.467578173263615</x:v>
      </x:c>
      <x:c r="R20" s="10" t="str">
        <x:f>IF(E20="有效",IF(F20-G20&lt;=0,"未回本",IF(ROUNDUP(H20/(F20-G20),0)&gt;MIN(J20,K20),"未回本",MAX(1,ROUNDUP(H20/(F20-G20),0)))),"n.a.")</x:f>
        <x:v>未回本</x:v>
      </x:c>
    </x:row>
    <x:row r="21" ht="22" customHeight="1">
      <x:c r="A21" s="11" t="str">
        <x:v>lade_0823_30aoi</x:v>
      </x:c>
      <x:c r="B21" s="10" t="n">
        <x:v>30</x:v>
      </x:c>
      <x:c r="C21" s="10" t="n">
        <x:v>43</x:v>
      </x:c>
      <x:c r="D21" s="11" t="str">
        <x:v>M2 / M4</x:v>
      </x:c>
      <x:c r="E21" s="11" t="str">
        <x:v>有效</x:v>
      </x:c>
      <x:c r="F21" s="26" t="n">
        <x:f>IF(E21="有效",'成本明细'!U46,"n.a.")</x:f>
        <x:v>3650.384583691111</x:v>
      </x:c>
      <x:c r="G21" s="26" t="n">
        <x:f>IF(E21="有效",'成本明细'!U52,"n.a.")</x:f>
        <x:v>4110.566202278889</x:v>
      </x:c>
      <x:c r="H21" s="26" t="n">
        <x:f>IF(E21="有效",'成本明细'!V52,"n.a.")</x:f>
        <x:v>9307.5</x:v>
      </x:c>
      <x:c r="I21" s="22" t="n">
        <x:f>IF(E21="有效",'成本明细'!G46,"n.a.")</x:f>
        <x:v>255</x:v>
      </x:c>
      <x:c r="J21" s="22" t="n">
        <x:f>IF(E21="有效",'参数'!$B$8,"n.a.")</x:f>
        <x:v>50</x:v>
      </x:c>
      <x:c r="K21" s="22" t="n">
        <x:f>IF(E21="有效",'参数'!$B$9,"n.a.")</x:f>
        <x:v>300</x:v>
      </x:c>
      <x:c r="L21" s="26" t="n">
        <x:f>IF(E21="有效",F21*K21,"n.a.")</x:f>
        <x:v>1095115.3751073333</x:v>
      </x:c>
      <x:c r="M21" s="26" t="n">
        <x:f>IF(E21="有效",G21*K21+H21*ROUNDUP(K21/J21,0),"n.a.")</x:f>
        <x:v>1289014.8606836668</x:v>
      </x:c>
      <x:c r="N21" s="26" t="n">
        <x:f>IF(E21="有效",L21-M21,"n.a.")</x:f>
        <x:v>-193899.48557633348</x:v>
      </x:c>
      <x:c r="O21" s="32" t="n">
        <x:f>IF(E21="有效",N21/L21,"n.a.")</x:f>
        <x:v>-0.17705849993872033</x:v>
      </x:c>
      <x:c r="P21" s="26" t="n">
        <x:f>IF(E21="有效",L21/(K21*I21),"n.a.")</x:f>
        <x:v>14.31523366153377</x:v>
      </x:c>
      <x:c r="Q21" s="26" t="n">
        <x:f>IF(E21="有效",M21/(K21*I21),"n.a.")</x:f>
        <x:v>16.849867459917213</x:v>
      </x:c>
      <x:c r="R21" s="10" t="str">
        <x:f>IF(E21="有效",IF(F21-G21&lt;=0,"未回本",IF(ROUNDUP(H21/(F21-G21),0)&gt;MIN(J21,K21),"未回本",MAX(1,ROUNDUP(H21/(F21-G21),0)))),"n.a.")</x:f>
        <x:v>未回本</x:v>
      </x:c>
    </x:row>
    <x:row r="22" ht="22" customHeight="1">
      <x:c r="A22" s="11" t="str">
        <x:v>lade_0823_30aoi</x:v>
      </x:c>
      <x:c r="B22" s="10" t="n">
        <x:v>30</x:v>
      </x:c>
      <x:c r="C22" s="10" t="n">
        <x:v>44</x:v>
      </x:c>
      <x:c r="D22" s="11" t="str">
        <x:v>M1 / M3</x:v>
      </x:c>
      <x:c r="E22" s="11" t="str">
        <x:v>有效</x:v>
      </x:c>
      <x:c r="F22" s="26" t="n">
        <x:f>IF(E22="有效",'成本明细'!U44,"n.a.")</x:f>
        <x:v>3480.288131316667</x:v>
      </x:c>
      <x:c r="G22" s="26" t="n">
        <x:f>IF(E22="有效",'成本明细'!U50,"n.a.")</x:f>
        <x:v>4112.408973272777</x:v>
      </x:c>
      <x:c r="H22" s="26" t="n">
        <x:f>IF(E22="有效",'成本明细'!V50,"n.a.")</x:f>
        <x:v>9307.5</x:v>
      </x:c>
      <x:c r="I22" s="22" t="n">
        <x:f>IF(E22="有效",'成本明细'!G44,"n.a.")</x:f>
        <x:v>255</x:v>
      </x:c>
      <x:c r="J22" s="22" t="n">
        <x:f>IF(E22="有效",'参数'!$B$8,"n.a.")</x:f>
        <x:v>50</x:v>
      </x:c>
      <x:c r="K22" s="22" t="n">
        <x:f>IF(E22="有效",'参数'!$B$9,"n.a.")</x:f>
        <x:v>300</x:v>
      </x:c>
      <x:c r="L22" s="26" t="n">
        <x:f>IF(E22="有效",F22*K22,"n.a.")</x:f>
        <x:v>1044086.4393950001</x:v>
      </x:c>
      <x:c r="M22" s="26" t="n">
        <x:f>IF(E22="有效",G22*K22+H22*ROUNDUP(K22/J22,0),"n.a.")</x:f>
        <x:v>1289567.6919818332</x:v>
      </x:c>
      <x:c r="N22" s="26" t="n">
        <x:f>IF(E22="有效",L22-M22,"n.a.")</x:f>
        <x:v>-245481.25258683308</x:v>
      </x:c>
      <x:c r="O22" s="32" t="n">
        <x:f>IF(E22="有效",N22/L22,"n.a.")</x:f>
        <x:v>-0.2351158326786412</x:v>
      </x:c>
      <x:c r="P22" s="26" t="n">
        <x:f>IF(E22="有效",L22/(K22*I22),"n.a.")</x:f>
        <x:v>13.64818875026144</x:v>
      </x:c>
      <x:c r="Q22" s="26" t="n">
        <x:f>IF(E22="有效",M22/(K22*I22),"n.a.")</x:f>
        <x:v>16.85709401283442</x:v>
      </x:c>
      <x:c r="R22" s="10" t="str">
        <x:f>IF(E22="有效",IF(F22-G22&lt;=0,"未回本",IF(ROUNDUP(H22/(F22-G22),0)&gt;MIN(J22,K22),"未回本",MAX(1,ROUNDUP(H22/(F22-G22),0)))),"n.a.")</x:f>
        <x:v>未回本</x:v>
      </x:c>
    </x:row>
    <x:row r="23" ht="22" customHeight="1">
      <x:c r="A23" s="11" t="str">
        <x:v>lade_0823_30aoi</x:v>
      </x:c>
      <x:c r="B23" s="10" t="n">
        <x:v>30</x:v>
      </x:c>
      <x:c r="C23" s="10" t="n">
        <x:v>44</x:v>
      </x:c>
      <x:c r="D23" s="11" t="str">
        <x:v>M2 / M4</x:v>
      </x:c>
      <x:c r="E23" s="11" t="str">
        <x:v>有效</x:v>
      </x:c>
      <x:c r="F23" s="26" t="n">
        <x:f>IF(E23="有效",'成本明细'!U47,"n.a.")</x:f>
        <x:v>3810.991402921111</x:v>
      </x:c>
      <x:c r="G23" s="26" t="n">
        <x:f>IF(E23="有效",'成本明细'!U53,"n.a.")</x:f>
        <x:v>5042.073609766111</x:v>
      </x:c>
      <x:c r="H23" s="26" t="n">
        <x:f>IF(E23="有效",'成本明细'!V53,"n.a.")</x:f>
        <x:v>9307.5</x:v>
      </x:c>
      <x:c r="I23" s="22" t="n">
        <x:f>IF(E23="有效",'成本明细'!G47,"n.a.")</x:f>
        <x:v>255</x:v>
      </x:c>
      <x:c r="J23" s="22" t="n">
        <x:f>IF(E23="有效",'参数'!$B$8,"n.a.")</x:f>
        <x:v>50</x:v>
      </x:c>
      <x:c r="K23" s="22" t="n">
        <x:f>IF(E23="有效",'参数'!$B$9,"n.a.")</x:f>
        <x:v>300</x:v>
      </x:c>
      <x:c r="L23" s="26" t="n">
        <x:f>IF(E23="有效",F23*K23,"n.a.")</x:f>
        <x:v>1143297.4208763333</x:v>
      </x:c>
      <x:c r="M23" s="26" t="n">
        <x:f>IF(E23="有效",G23*K23+H23*ROUNDUP(K23/J23,0),"n.a.")</x:f>
        <x:v>1568467.0829298333</x:v>
      </x:c>
      <x:c r="N23" s="26" t="n">
        <x:f>IF(E23="有效",L23-M23,"n.a.")</x:f>
        <x:v>-425169.66205350007</x:v>
      </x:c>
      <x:c r="O23" s="32" t="n">
        <x:f>IF(E23="有效",N23/L23,"n.a.")</x:f>
        <x:v>-0.3718801899575782</x:v>
      </x:c>
      <x:c r="P23" s="26" t="n">
        <x:f>IF(E23="有效",L23/(K23*I23),"n.a.")</x:f>
        <x:v>14.945064325180827</x:v>
      </x:c>
      <x:c r="Q23" s="26" t="n">
        <x:f>IF(E23="有效",M23/(K23*I23),"n.a.")</x:f>
        <x:v>20.5028376853573</x:v>
      </x:c>
      <x:c r="R23" s="10" t="str">
        <x:f>IF(E23="有效",IF(F23-G23&lt;=0,"未回本",IF(ROUNDUP(H23/(F23-G23),0)&gt;MIN(J23,K23),"未回本",MAX(1,ROUNDUP(H23/(F23-G23),0)))),"n.a.")</x:f>
        <x:v>未回本</x:v>
      </x:c>
    </x:row>
    <x:row r="24" ht="22" customHeight="1">
      <x:c r="A24" s="11" t="str">
        <x:v>lade_0824_10aoi</x:v>
      </x:c>
      <x:c r="B24" s="10" t="n">
        <x:v>10</x:v>
      </x:c>
      <x:c r="C24" s="10" t="n">
        <x:v>42</x:v>
      </x:c>
      <x:c r="D24" s="11" t="str">
        <x:v>M1 / M3</x:v>
      </x:c>
      <x:c r="E24" s="11" t="str">
        <x:v>有效</x:v>
      </x:c>
      <x:c r="F24" s="26" t="n">
        <x:f>IF(E24="有效",'成本明细'!U60,"n.a.")</x:f>
        <x:v>1846.2131281672223</x:v>
      </x:c>
      <x:c r="G24" s="26" t="n">
        <x:f>IF(E24="有效",'成本明细'!U66,"n.a.")</x:f>
        <x:v>2280.5780732538888</x:v>
      </x:c>
      <x:c r="H24" s="26" t="n">
        <x:f>IF(E24="有效",'成本明细'!V66,"n.a.")</x:f>
        <x:v>4781.5</x:v>
      </x:c>
      <x:c r="I24" s="22" t="n">
        <x:f>IF(E24="有效",'成本明细'!G60,"n.a.")</x:f>
        <x:v>131</x:v>
      </x:c>
      <x:c r="J24" s="22" t="n">
        <x:f>IF(E24="有效",'参数'!$B$8,"n.a.")</x:f>
        <x:v>50</x:v>
      </x:c>
      <x:c r="K24" s="22" t="n">
        <x:f>IF(E24="有效",'参数'!$B$9,"n.a.")</x:f>
        <x:v>300</x:v>
      </x:c>
      <x:c r="L24" s="26" t="n">
        <x:f>IF(E24="有效",F24*K24,"n.a.")</x:f>
        <x:v>553863.9384501667</x:v>
      </x:c>
      <x:c r="M24" s="26" t="n">
        <x:f>IF(E24="有效",G24*K24+H24*ROUNDUP(K24/J24,0),"n.a.")</x:f>
        <x:v>712862.4219761667</x:v>
      </x:c>
      <x:c r="N24" s="26" t="n">
        <x:f>IF(E24="有效",L24-M24,"n.a.")</x:f>
        <x:v>-158998.48352599994</x:v>
      </x:c>
      <x:c r="O24" s="32" t="n">
        <x:f>IF(E24="有效",N24/L24,"n.a.")</x:f>
        <x:v>-0.2870713770802857</x:v>
      </x:c>
      <x:c r="P24" s="26" t="n">
        <x:f>IF(E24="有效",L24/(K24*I24),"n.a.")</x:f>
        <x:v>14.093229986009332</x:v>
      </x:c>
      <x:c r="Q24" s="26" t="n">
        <x:f>IF(E24="有效",M24/(K24*I24),"n.a.")</x:f>
        <x:v>18.138992925602206</x:v>
      </x:c>
      <x:c r="R24" s="10" t="str">
        <x:f>IF(E24="有效",IF(F24-G24&lt;=0,"未回本",IF(ROUNDUP(H24/(F24-G24),0)&gt;MIN(J24,K24),"未回本",MAX(1,ROUNDUP(H24/(F24-G24),0)))),"n.a.")</x:f>
        <x:v>未回本</x:v>
      </x:c>
    </x:row>
    <x:row r="25" ht="22" customHeight="1">
      <x:c r="A25" s="11" t="str">
        <x:v>lade_0824_10aoi</x:v>
      </x:c>
      <x:c r="B25" s="10" t="n">
        <x:v>10</x:v>
      </x:c>
      <x:c r="C25" s="10" t="n">
        <x:v>42</x:v>
      </x:c>
      <x:c r="D25" s="11" t="str">
        <x:v>M2 / M4</x:v>
      </x:c>
      <x:c r="E25" s="11" t="str">
        <x:v>有效</x:v>
      </x:c>
      <x:c r="F25" s="26" t="n">
        <x:f>IF(E25="有效",'成本明细'!U63,"n.a.")</x:f>
        <x:v>1846.2131281672223</x:v>
      </x:c>
      <x:c r="G25" s="26" t="n">
        <x:f>IF(E25="有效",'成本明细'!U69,"n.a.")</x:f>
        <x:v>2119.9720763766663</x:v>
      </x:c>
      <x:c r="H25" s="26" t="n">
        <x:f>IF(E25="有效",'成本明细'!V69,"n.a.")</x:f>
        <x:v>4781.5</x:v>
      </x:c>
      <x:c r="I25" s="22" t="n">
        <x:f>IF(E25="有效",'成本明细'!G63,"n.a.")</x:f>
        <x:v>131</x:v>
      </x:c>
      <x:c r="J25" s="22" t="n">
        <x:f>IF(E25="有效",'参数'!$B$8,"n.a.")</x:f>
        <x:v>50</x:v>
      </x:c>
      <x:c r="K25" s="22" t="n">
        <x:f>IF(E25="有效",'参数'!$B$9,"n.a.")</x:f>
        <x:v>300</x:v>
      </x:c>
      <x:c r="L25" s="26" t="n">
        <x:f>IF(E25="有效",F25*K25,"n.a.")</x:f>
        <x:v>553863.9384501667</x:v>
      </x:c>
      <x:c r="M25" s="26" t="n">
        <x:f>IF(E25="有效",G25*K25+H25*ROUNDUP(K25/J25,0),"n.a.")</x:f>
        <x:v>664680.6229129999</x:v>
      </x:c>
      <x:c r="N25" s="26" t="n">
        <x:f>IF(E25="有效",L25-M25,"n.a.")</x:f>
        <x:v>-110816.68446283322</x:v>
      </x:c>
      <x:c r="O25" s="32" t="n">
        <x:f>IF(E25="有效",N25/L25,"n.a.")</x:f>
        <x:v>-0.2000792555170187</x:v>
      </x:c>
      <x:c r="P25" s="26" t="n">
        <x:f>IF(E25="有效",L25/(K25*I25),"n.a.")</x:f>
        <x:v>14.093229986009332</x:v>
      </x:c>
      <x:c r="Q25" s="26" t="n">
        <x:f>IF(E25="有效",M25/(K25*I25),"n.a.")</x:f>
        <x:v>16.912992949440202</x:v>
      </x:c>
      <x:c r="R25" s="10" t="str">
        <x:f>IF(E25="有效",IF(F25-G25&lt;=0,"未回本",IF(ROUNDUP(H25/(F25-G25),0)&gt;MIN(J25,K25),"未回本",MAX(1,ROUNDUP(H25/(F25-G25),0)))),"n.a.")</x:f>
        <x:v>未回本</x:v>
      </x:c>
    </x:row>
    <x:row r="26" ht="22" customHeight="1">
      <x:c r="A26" s="11" t="str">
        <x:v>lade_0824_10aoi</x:v>
      </x:c>
      <x:c r="B26" s="10" t="n">
        <x:v>10</x:v>
      </x:c>
      <x:c r="C26" s="10" t="n">
        <x:v>43</x:v>
      </x:c>
      <x:c r="D26" s="11" t="str">
        <x:v>M1 / M3</x:v>
      </x:c>
      <x:c r="E26" s="11" t="str">
        <x:v>有效</x:v>
      </x:c>
      <x:c r="F26" s="26" t="n">
        <x:f>IF(E26="有效",'成本明细'!U61,"n.a.")</x:f>
        <x:v>1846.2131281672223</x:v>
      </x:c>
      <x:c r="G26" s="26" t="n">
        <x:f>IF(E26="有效",'成本明细'!U67,"n.a.")</x:f>
        <x:v>2280.5780732538888</x:v>
      </x:c>
      <x:c r="H26" s="26" t="n">
        <x:f>IF(E26="有效",'成本明细'!V67,"n.a.")</x:f>
        <x:v>4781.5</x:v>
      </x:c>
      <x:c r="I26" s="22" t="n">
        <x:f>IF(E26="有效",'成本明细'!G61,"n.a.")</x:f>
        <x:v>131</x:v>
      </x:c>
      <x:c r="J26" s="22" t="n">
        <x:f>IF(E26="有效",'参数'!$B$8,"n.a.")</x:f>
        <x:v>50</x:v>
      </x:c>
      <x:c r="K26" s="22" t="n">
        <x:f>IF(E26="有效",'参数'!$B$9,"n.a.")</x:f>
        <x:v>300</x:v>
      </x:c>
      <x:c r="L26" s="26" t="n">
        <x:f>IF(E26="有效",F26*K26,"n.a.")</x:f>
        <x:v>553863.9384501667</x:v>
      </x:c>
      <x:c r="M26" s="26" t="n">
        <x:f>IF(E26="有效",G26*K26+H26*ROUNDUP(K26/J26,0),"n.a.")</x:f>
        <x:v>712862.4219761667</x:v>
      </x:c>
      <x:c r="N26" s="26" t="n">
        <x:f>IF(E26="有效",L26-M26,"n.a.")</x:f>
        <x:v>-158998.48352599994</x:v>
      </x:c>
      <x:c r="O26" s="32" t="n">
        <x:f>IF(E26="有效",N26/L26,"n.a.")</x:f>
        <x:v>-0.2870713770802857</x:v>
      </x:c>
      <x:c r="P26" s="26" t="n">
        <x:f>IF(E26="有效",L26/(K26*I26),"n.a.")</x:f>
        <x:v>14.093229986009332</x:v>
      </x:c>
      <x:c r="Q26" s="26" t="n">
        <x:f>IF(E26="有效",M26/(K26*I26),"n.a.")</x:f>
        <x:v>18.138992925602206</x:v>
      </x:c>
      <x:c r="R26" s="10" t="str">
        <x:f>IF(E26="有效",IF(F26-G26&lt;=0,"未回本",IF(ROUNDUP(H26/(F26-G26),0)&gt;MIN(J26,K26),"未回本",MAX(1,ROUNDUP(H26/(F26-G26),0)))),"n.a.")</x:f>
        <x:v>未回本</x:v>
      </x:c>
    </x:row>
    <x:row r="27" ht="22" customHeight="1">
      <x:c r="A27" s="11" t="str">
        <x:v>lade_0824_10aoi</x:v>
      </x:c>
      <x:c r="B27" s="10" t="n">
        <x:v>10</x:v>
      </x:c>
      <x:c r="C27" s="10" t="n">
        <x:v>43</x:v>
      </x:c>
      <x:c r="D27" s="11" t="str">
        <x:v>M2 / M4</x:v>
      </x:c>
      <x:c r="E27" s="11" t="str">
        <x:v>有效</x:v>
      </x:c>
      <x:c r="F27" s="26" t="n">
        <x:f>IF(E27="有效",'成本明细'!U64,"n.a.")</x:f>
        <x:v>1846.2131281672223</x:v>
      </x:c>
      <x:c r="G27" s="26" t="n">
        <x:f>IF(E27="有效",'成本明细'!U70,"n.a.")</x:f>
        <x:v>2281.1852640566667</x:v>
      </x:c>
      <x:c r="H27" s="26" t="n">
        <x:f>IF(E27="有效",'成本明细'!V70,"n.a.")</x:f>
        <x:v>4781.5</x:v>
      </x:c>
      <x:c r="I27" s="22" t="n">
        <x:f>IF(E27="有效",'成本明细'!G64,"n.a.")</x:f>
        <x:v>131</x:v>
      </x:c>
      <x:c r="J27" s="22" t="n">
        <x:f>IF(E27="有效",'参数'!$B$8,"n.a.")</x:f>
        <x:v>50</x:v>
      </x:c>
      <x:c r="K27" s="22" t="n">
        <x:f>IF(E27="有效",'参数'!$B$9,"n.a.")</x:f>
        <x:v>300</x:v>
      </x:c>
      <x:c r="L27" s="26" t="n">
        <x:f>IF(E27="有效",F27*K27,"n.a.")</x:f>
        <x:v>553863.9384501667</x:v>
      </x:c>
      <x:c r="M27" s="26" t="n">
        <x:f>IF(E27="有效",G27*K27+H27*ROUNDUP(K27/J27,0),"n.a.")</x:f>
        <x:v>713044.579217</x:v>
      </x:c>
      <x:c r="N27" s="26" t="n">
        <x:f>IF(E27="有效",L27-M27,"n.a.")</x:f>
        <x:v>-159180.64076683333</x:v>
      </x:c>
      <x:c r="O27" s="32" t="n">
        <x:f>IF(E27="有效",N27/L27,"n.a.")</x:f>
        <x:v>-0.28740026153761844</x:v>
      </x:c>
      <x:c r="P27" s="26" t="n">
        <x:f>IF(E27="有效",L27/(K27*I27),"n.a.")</x:f>
        <x:v>14.093229986009332</x:v>
      </x:c>
      <x:c r="Q27" s="26" t="n">
        <x:f>IF(E27="有效",M27/(K27*I27),"n.a.")</x:f>
        <x:v>18.14362796989822</x:v>
      </x:c>
      <x:c r="R27" s="10" t="str">
        <x:f>IF(E27="有效",IF(F27-G27&lt;=0,"未回本",IF(ROUNDUP(H27/(F27-G27),0)&gt;MIN(J27,K27),"未回本",MAX(1,ROUNDUP(H27/(F27-G27),0)))),"n.a.")</x:f>
        <x:v>未回本</x:v>
      </x:c>
    </x:row>
    <x:row r="28" ht="22" customHeight="1">
      <x:c r="A28" s="11" t="str">
        <x:v>lade_0824_10aoi</x:v>
      </x:c>
      <x:c r="B28" s="10" t="n">
        <x:v>10</x:v>
      </x:c>
      <x:c r="C28" s="10" t="n">
        <x:v>44</x:v>
      </x:c>
      <x:c r="D28" s="11" t="str">
        <x:v>M1 / M3</x:v>
      </x:c>
      <x:c r="E28" s="11" t="str">
        <x:v>有效</x:v>
      </x:c>
      <x:c r="F28" s="26" t="n">
        <x:f>IF(E28="有效",'成本明细'!U62,"n.a.")</x:f>
        <x:v>1846.2131281672223</x:v>
      </x:c>
      <x:c r="G28" s="26" t="n">
        <x:f>IF(E28="有效",'成本明细'!U68,"n.a.")</x:f>
        <x:v>2280.5780732538888</x:v>
      </x:c>
      <x:c r="H28" s="26" t="n">
        <x:f>IF(E28="有效",'成本明细'!V68,"n.a.")</x:f>
        <x:v>4781.5</x:v>
      </x:c>
      <x:c r="I28" s="22" t="n">
        <x:f>IF(E28="有效",'成本明细'!G62,"n.a.")</x:f>
        <x:v>131</x:v>
      </x:c>
      <x:c r="J28" s="22" t="n">
        <x:f>IF(E28="有效",'参数'!$B$8,"n.a.")</x:f>
        <x:v>50</x:v>
      </x:c>
      <x:c r="K28" s="22" t="n">
        <x:f>IF(E28="有效",'参数'!$B$9,"n.a.")</x:f>
        <x:v>300</x:v>
      </x:c>
      <x:c r="L28" s="26" t="n">
        <x:f>IF(E28="有效",F28*K28,"n.a.")</x:f>
        <x:v>553863.9384501667</x:v>
      </x:c>
      <x:c r="M28" s="26" t="n">
        <x:f>IF(E28="有效",G28*K28+H28*ROUNDUP(K28/J28,0),"n.a.")</x:f>
        <x:v>712862.4219761667</x:v>
      </x:c>
      <x:c r="N28" s="26" t="n">
        <x:f>IF(E28="有效",L28-M28,"n.a.")</x:f>
        <x:v>-158998.48352599994</x:v>
      </x:c>
      <x:c r="O28" s="32" t="n">
        <x:f>IF(E28="有效",N28/L28,"n.a.")</x:f>
        <x:v>-0.2870713770802857</x:v>
      </x:c>
      <x:c r="P28" s="26" t="n">
        <x:f>IF(E28="有效",L28/(K28*I28),"n.a.")</x:f>
        <x:v>14.093229986009332</x:v>
      </x:c>
      <x:c r="Q28" s="26" t="n">
        <x:f>IF(E28="有效",M28/(K28*I28),"n.a.")</x:f>
        <x:v>18.138992925602206</x:v>
      </x:c>
      <x:c r="R28" s="10" t="str">
        <x:f>IF(E28="有效",IF(F28-G28&lt;=0,"未回本",IF(ROUNDUP(H28/(F28-G28),0)&gt;MIN(J28,K28),"未回本",MAX(1,ROUNDUP(H28/(F28-G28),0)))),"n.a.")</x:f>
        <x:v>未回本</x:v>
      </x:c>
    </x:row>
    <x:row r="29" ht="22" customHeight="1">
      <x:c r="A29" s="11" t="str">
        <x:v>lade_0824_10aoi</x:v>
      </x:c>
      <x:c r="B29" s="10" t="n">
        <x:v>10</x:v>
      </x:c>
      <x:c r="C29" s="10" t="n">
        <x:v>44</x:v>
      </x:c>
      <x:c r="D29" s="11" t="str">
        <x:v>M2 / M4</x:v>
      </x:c>
      <x:c r="E29" s="11" t="str">
        <x:v>有效</x:v>
      </x:c>
      <x:c r="F29" s="26" t="n">
        <x:f>IF(E29="有效",'成本明细'!U65,"n.a.")</x:f>
        <x:v>1846.2131281672223</x:v>
      </x:c>
      <x:c r="G29" s="26" t="n">
        <x:f>IF(E29="有效",'成本明细'!U71,"n.a.")</x:f>
        <x:v>2263.6798181655554</x:v>
      </x:c>
      <x:c r="H29" s="26" t="n">
        <x:f>IF(E29="有效",'成本明细'!V71,"n.a.")</x:f>
        <x:v>4781.5</x:v>
      </x:c>
      <x:c r="I29" s="22" t="n">
        <x:f>IF(E29="有效",'成本明细'!G65,"n.a.")</x:f>
        <x:v>131</x:v>
      </x:c>
      <x:c r="J29" s="22" t="n">
        <x:f>IF(E29="有效",'参数'!$B$8,"n.a.")</x:f>
        <x:v>50</x:v>
      </x:c>
      <x:c r="K29" s="22" t="n">
        <x:f>IF(E29="有效",'参数'!$B$9,"n.a.")</x:f>
        <x:v>300</x:v>
      </x:c>
      <x:c r="L29" s="26" t="n">
        <x:f>IF(E29="有效",F29*K29,"n.a.")</x:f>
        <x:v>553863.9384501667</x:v>
      </x:c>
      <x:c r="M29" s="26" t="n">
        <x:f>IF(E29="有效",G29*K29+H29*ROUNDUP(K29/J29,0),"n.a.")</x:f>
        <x:v>707792.9454496666</x:v>
      </x:c>
      <x:c r="N29" s="26" t="n">
        <x:f>IF(E29="有效",L29-M29,"n.a.")</x:f>
        <x:v>-153929.00699949986</x:v>
      </x:c>
      <x:c r="O29" s="32" t="n">
        <x:f>IF(E29="有效",N29/L29,"n.a.")</x:f>
        <x:v>-0.27791844948459205</x:v>
      </x:c>
      <x:c r="P29" s="26" t="n">
        <x:f>IF(E29="有效",L29/(K29*I29),"n.a.")</x:f>
        <x:v>14.093229986009332</x:v>
      </x:c>
      <x:c r="Q29" s="26" t="n">
        <x:f>IF(E29="有效",M29/(K29*I29),"n.a.")</x:f>
        <x:v>18.009998611950802</x:v>
      </x:c>
      <x:c r="R29" s="10" t="str">
        <x:f>IF(E29="有效",IF(F29-G29&lt;=0,"未回本",IF(ROUNDUP(H29/(F29-G29),0)&gt;MIN(J29,K29),"未回本",MAX(1,ROUNDUP(H29/(F29-G29),0)))),"n.a.")</x:f>
        <x:v>未回本</x:v>
      </x:c>
    </x:row>
    <x:row r="30" ht="22" customHeight="1">
      <x:c r="A30" s="11" t="str">
        <x:v>lade_0824_20aoi</x:v>
      </x:c>
      <x:c r="B30" s="10" t="n">
        <x:v>20</x:v>
      </x:c>
      <x:c r="C30" s="10" t="n">
        <x:v>42</x:v>
      </x:c>
      <x:c r="D30" s="11" t="str">
        <x:v>M1 / M3</x:v>
      </x:c>
      <x:c r="E30" s="11" t="str">
        <x:v>有效</x:v>
      </x:c>
      <x:c r="F30" s="26" t="n">
        <x:f>IF(E30="有效",'成本明细'!U78,"n.a.")</x:f>
        <x:v>2778.658806945</x:v>
      </x:c>
      <x:c r="G30" s="26" t="n">
        <x:f>IF(E30="有效",'成本明细'!U84,"n.a.")</x:f>
        <x:v>3376.6157079116665</x:v>
      </x:c>
      <x:c r="H30" s="26" t="n">
        <x:f>IF(E30="有效",'成本明细'!V84,"n.a.")</x:f>
        <x:v>7081</x:v>
      </x:c>
      <x:c r="I30" s="22" t="n">
        <x:f>IF(E30="有效",'成本明细'!G78,"n.a.")</x:f>
        <x:v>194</x:v>
      </x:c>
      <x:c r="J30" s="22" t="n">
        <x:f>IF(E30="有效",'参数'!$B$8,"n.a.")</x:f>
        <x:v>50</x:v>
      </x:c>
      <x:c r="K30" s="22" t="n">
        <x:f>IF(E30="有效",'参数'!$B$9,"n.a.")</x:f>
        <x:v>300</x:v>
      </x:c>
      <x:c r="L30" s="26" t="n">
        <x:f>IF(E30="有效",F30*K30,"n.a.")</x:f>
        <x:v>833597.6420834999</x:v>
      </x:c>
      <x:c r="M30" s="26" t="n">
        <x:f>IF(E30="有效",G30*K30+H30*ROUNDUP(K30/J30,0),"n.a.")</x:f>
        <x:v>1055470.7123735</x:v>
      </x:c>
      <x:c r="N30" s="26" t="n">
        <x:f>IF(E30="有效",L30-M30,"n.a.")</x:f>
        <x:v>-221873.07029000006</x:v>
      </x:c>
      <x:c r="O30" s="32" t="n">
        <x:f>IF(E30="有效",N30/L30,"n.a.")</x:f>
        <x:v>-0.2661632652120379</x:v>
      </x:c>
      <x:c r="P30" s="26" t="n">
        <x:f>IF(E30="有效",L30/(K30*I30),"n.a.")</x:f>
        <x:v>14.322983540953608</x:v>
      </x:c>
      <x:c r="Q30" s="26" t="n">
        <x:f>IF(E30="有效",M30/(K30*I30),"n.a.")</x:f>
        <x:v>18.135235607792097</x:v>
      </x:c>
      <x:c r="R30" s="10" t="str">
        <x:f>IF(E30="有效",IF(F30-G30&lt;=0,"未回本",IF(ROUNDUP(H30/(F30-G30),0)&gt;MIN(J30,K30),"未回本",MAX(1,ROUNDUP(H30/(F30-G30),0)))),"n.a.")</x:f>
        <x:v>未回本</x:v>
      </x:c>
    </x:row>
    <x:row r="31" ht="22" customHeight="1">
      <x:c r="A31" s="11" t="str">
        <x:v>lade_0824_20aoi</x:v>
      </x:c>
      <x:c r="B31" s="10" t="n">
        <x:v>20</x:v>
      </x:c>
      <x:c r="C31" s="10" t="n">
        <x:v>42</x:v>
      </x:c>
      <x:c r="D31" s="11" t="str">
        <x:v>M2 / M4</x:v>
      </x:c>
      <x:c r="E31" s="11" t="str">
        <x:v>有效</x:v>
      </x:c>
      <x:c r="F31" s="26" t="n">
        <x:f>IF(E31="有效",'成本明细'!U81,"n.a.")</x:f>
        <x:v>2373.787482646667</x:v>
      </x:c>
      <x:c r="G31" s="26" t="n">
        <x:f>IF(E31="有效",'成本明细'!U87,"n.a.")</x:f>
        <x:v>3089.3885283738887</x:v>
      </x:c>
      <x:c r="H31" s="26" t="n">
        <x:f>IF(E31="有效",'成本明细'!V87,"n.a.")</x:f>
        <x:v>7081</x:v>
      </x:c>
      <x:c r="I31" s="22" t="n">
        <x:f>IF(E31="有效",'成本明细'!G81,"n.a.")</x:f>
        <x:v>194</x:v>
      </x:c>
      <x:c r="J31" s="22" t="n">
        <x:f>IF(E31="有效",'参数'!$B$8,"n.a.")</x:f>
        <x:v>50</x:v>
      </x:c>
      <x:c r="K31" s="22" t="n">
        <x:f>IF(E31="有效",'参数'!$B$9,"n.a.")</x:f>
        <x:v>300</x:v>
      </x:c>
      <x:c r="L31" s="26" t="n">
        <x:f>IF(E31="有效",F31*K31,"n.a.")</x:f>
        <x:v>712136.244794</x:v>
      </x:c>
      <x:c r="M31" s="26" t="n">
        <x:f>IF(E31="有效",G31*K31+H31*ROUNDUP(K31/J31,0),"n.a.")</x:f>
        <x:v>969302.5585121666</x:v>
      </x:c>
      <x:c r="N31" s="26" t="n">
        <x:f>IF(E31="有效",L31-M31,"n.a.")</x:f>
        <x:v>-257166.31371816655</x:v>
      </x:c>
      <x:c r="O31" s="32" t="n">
        <x:f>IF(E31="有效",N31/L31,"n.a.")</x:f>
        <x:v>-0.3611195408156162</x:v>
      </x:c>
      <x:c r="P31" s="26" t="n">
        <x:f>IF(E31="有效",L31/(K31*I31),"n.a.")</x:f>
        <x:v>12.236017951786943</x:v>
      </x:c>
      <x:c r="Q31" s="26" t="n">
        <x:f>IF(E31="有效",M31/(K31*I31),"n.a.")</x:f>
        <x:v>16.65468313594788</x:v>
      </x:c>
      <x:c r="R31" s="10" t="str">
        <x:f>IF(E31="有效",IF(F31-G31&lt;=0,"未回本",IF(ROUNDUP(H31/(F31-G31),0)&gt;MIN(J31,K31),"未回本",MAX(1,ROUNDUP(H31/(F31-G31),0)))),"n.a.")</x:f>
        <x:v>未回本</x:v>
      </x:c>
    </x:row>
    <x:row r="32" ht="22" customHeight="1">
      <x:c r="A32" s="11" t="str">
        <x:v>lade_0824_20aoi</x:v>
      </x:c>
      <x:c r="B32" s="10" t="n">
        <x:v>20</x:v>
      </x:c>
      <x:c r="C32" s="10" t="n">
        <x:v>43</x:v>
      </x:c>
      <x:c r="D32" s="11" t="str">
        <x:v>M1 / M3</x:v>
      </x:c>
      <x:c r="E32" s="11" t="str">
        <x:v>有效</x:v>
      </x:c>
      <x:c r="F32" s="26" t="n">
        <x:f>IF(E32="有效",'成本明细'!U79,"n.a.")</x:f>
        <x:v>3017.7847579866666</x:v>
      </x:c>
      <x:c r="G32" s="26" t="n">
        <x:f>IF(E32="有效",'成本明细'!U85,"n.a.")</x:f>
        <x:v>3562.3886911361105</x:v>
      </x:c>
      <x:c r="H32" s="26" t="n">
        <x:f>IF(E32="有效",'成本明细'!V85,"n.a.")</x:f>
        <x:v>7081</x:v>
      </x:c>
      <x:c r="I32" s="22" t="n">
        <x:f>IF(E32="有效",'成本明细'!G79,"n.a.")</x:f>
        <x:v>194</x:v>
      </x:c>
      <x:c r="J32" s="22" t="n">
        <x:f>IF(E32="有效",'参数'!$B$8,"n.a.")</x:f>
        <x:v>50</x:v>
      </x:c>
      <x:c r="K32" s="22" t="n">
        <x:f>IF(E32="有效",'参数'!$B$9,"n.a.")</x:f>
        <x:v>300</x:v>
      </x:c>
      <x:c r="L32" s="26" t="n">
        <x:f>IF(E32="有效",F32*K32,"n.a.")</x:f>
        <x:v>905335.427396</x:v>
      </x:c>
      <x:c r="M32" s="26" t="n">
        <x:f>IF(E32="有效",G32*K32+H32*ROUNDUP(K32/J32,0),"n.a.")</x:f>
        <x:v>1111202.6073408332</x:v>
      </x:c>
      <x:c r="N32" s="26" t="n">
        <x:f>IF(E32="有效",L32-M32,"n.a.")</x:f>
        <x:v>-205867.17994483316</x:v>
      </x:c>
      <x:c r="O32" s="32" t="n">
        <x:f>IF(E32="有效",N32/L32,"n.a.")</x:f>
        <x:v>-0.22739326631342066</x:v>
      </x:c>
      <x:c r="P32" s="26" t="n">
        <x:f>IF(E32="有效",L32/(K32*I32),"n.a.")</x:f>
        <x:v>15.555591536013745</x:v>
      </x:c>
      <x:c r="Q32" s="26" t="n">
        <x:f>IF(E32="有效",M32/(K32*I32),"n.a.")</x:f>
        <x:v>19.09282830482531</x:v>
      </x:c>
      <x:c r="R32" s="10" t="str">
        <x:f>IF(E32="有效",IF(F32-G32&lt;=0,"未回本",IF(ROUNDUP(H32/(F32-G32),0)&gt;MIN(J32,K32),"未回本",MAX(1,ROUNDUP(H32/(F32-G32),0)))),"n.a.")</x:f>
        <x:v>未回本</x:v>
      </x:c>
    </x:row>
    <x:row r="33" ht="22" customHeight="1">
      <x:c r="A33" s="11" t="str">
        <x:v>lade_0824_20aoi</x:v>
      </x:c>
      <x:c r="B33" s="10" t="n">
        <x:v>20</x:v>
      </x:c>
      <x:c r="C33" s="10" t="n">
        <x:v>43</x:v>
      </x:c>
      <x:c r="D33" s="11" t="str">
        <x:v>M2 / M4</x:v>
      </x:c>
      <x:c r="E33" s="11" t="str">
        <x:v>有效</x:v>
      </x:c>
      <x:c r="F33" s="26" t="n">
        <x:f>IF(E33="有效",'成本明细'!U82,"n.a.")</x:f>
        <x:v>2596.985511943333</x:v>
      </x:c>
      <x:c r="G33" s="26" t="n">
        <x:f>IF(E33="有效",'成本明细'!U88,"n.a.")</x:f>
        <x:v>3370.3195701094446</x:v>
      </x:c>
      <x:c r="H33" s="26" t="n">
        <x:f>IF(E33="有效",'成本明细'!V88,"n.a.")</x:f>
        <x:v>7081</x:v>
      </x:c>
      <x:c r="I33" s="22" t="n">
        <x:f>IF(E33="有效",'成本明细'!G82,"n.a.")</x:f>
        <x:v>194</x:v>
      </x:c>
      <x:c r="J33" s="22" t="n">
        <x:f>IF(E33="有效",'参数'!$B$8,"n.a.")</x:f>
        <x:v>50</x:v>
      </x:c>
      <x:c r="K33" s="22" t="n">
        <x:f>IF(E33="有效",'参数'!$B$9,"n.a.")</x:f>
        <x:v>300</x:v>
      </x:c>
      <x:c r="L33" s="26" t="n">
        <x:f>IF(E33="有效",F33*K33,"n.a.")</x:f>
        <x:v>779095.653583</x:v>
      </x:c>
      <x:c r="M33" s="26" t="n">
        <x:f>IF(E33="有效",G33*K33+H33*ROUNDUP(K33/J33,0),"n.a.")</x:f>
        <x:v>1053581.8710328334</x:v>
      </x:c>
      <x:c r="N33" s="26" t="n">
        <x:f>IF(E33="有效",L33-M33,"n.a.")</x:f>
        <x:v>-274486.2174498334</x:v>
      </x:c>
      <x:c r="O33" s="32" t="n">
        <x:f>IF(E33="有效",N33/L33,"n.a.")</x:f>
        <x:v>-0.35231388621858273</x:v>
      </x:c>
      <x:c r="P33" s="26" t="n">
        <x:f>IF(E33="有效",L33/(K33*I33),"n.a.")</x:f>
        <x:v>13.386523257439862</x:v>
      </x:c>
      <x:c r="Q33" s="26" t="n">
        <x:f>IF(E33="有效",M33/(K33*I33),"n.a.")</x:f>
        <x:v>18.10278128922394</x:v>
      </x:c>
      <x:c r="R33" s="10" t="str">
        <x:f>IF(E33="有效",IF(F33-G33&lt;=0,"未回本",IF(ROUNDUP(H33/(F33-G33),0)&gt;MIN(J33,K33),"未回本",MAX(1,ROUNDUP(H33/(F33-G33),0)))),"n.a.")</x:f>
        <x:v>未回本</x:v>
      </x:c>
    </x:row>
    <x:row r="34" ht="22" customHeight="1">
      <x:c r="A34" s="11" t="str">
        <x:v>lade_0824_20aoi</x:v>
      </x:c>
      <x:c r="B34" s="10" t="n">
        <x:v>20</x:v>
      </x:c>
      <x:c r="C34" s="10" t="n">
        <x:v>44</x:v>
      </x:c>
      <x:c r="D34" s="11" t="str">
        <x:v>M1 / M3</x:v>
      </x:c>
      <x:c r="E34" s="11" t="str">
        <x:v>有效</x:v>
      </x:c>
      <x:c r="F34" s="26" t="n">
        <x:f>IF(E34="有效",'成本明细'!U80,"n.a.")</x:f>
        <x:v>3017.04927882</x:v>
      </x:c>
      <x:c r="G34" s="26" t="n">
        <x:f>IF(E34="有效",'成本明细'!U86,"n.a.")</x:f>
        <x:v>3511.4175516711107</x:v>
      </x:c>
      <x:c r="H34" s="26" t="n">
        <x:f>IF(E34="有效",'成本明细'!V86,"n.a.")</x:f>
        <x:v>7081</x:v>
      </x:c>
      <x:c r="I34" s="22" t="n">
        <x:f>IF(E34="有效",'成本明细'!G80,"n.a.")</x:f>
        <x:v>194</x:v>
      </x:c>
      <x:c r="J34" s="22" t="n">
        <x:f>IF(E34="有效",'参数'!$B$8,"n.a.")</x:f>
        <x:v>50</x:v>
      </x:c>
      <x:c r="K34" s="22" t="n">
        <x:f>IF(E34="有效",'参数'!$B$9,"n.a.")</x:f>
        <x:v>300</x:v>
      </x:c>
      <x:c r="L34" s="26" t="n">
        <x:f>IF(E34="有效",F34*K34,"n.a.")</x:f>
        <x:v>905114.783646</x:v>
      </x:c>
      <x:c r="M34" s="26" t="n">
        <x:f>IF(E34="有效",G34*K34+H34*ROUNDUP(K34/J34,0),"n.a.")</x:f>
        <x:v>1095911.2655013332</x:v>
      </x:c>
      <x:c r="N34" s="26" t="n">
        <x:f>IF(E34="有效",L34-M34,"n.a.")</x:f>
        <x:v>-190796.4818553332</x:v>
      </x:c>
      <x:c r="O34" s="32" t="n">
        <x:f>IF(E34="有效",N34/L34,"n.a.")</x:f>
        <x:v>-0.21079810572396498</x:v>
      </x:c>
      <x:c r="P34" s="26" t="n">
        <x:f>IF(E34="有效",L34/(K34*I34),"n.a.")</x:f>
        <x:v>15.55180040628866</x:v>
      </x:c>
      <x:c r="Q34" s="26" t="n">
        <x:f>IF(E34="有效",M34/(K34*I34),"n.a.")</x:f>
        <x:v>18.8300904725315</x:v>
      </x:c>
      <x:c r="R34" s="10" t="str">
        <x:f>IF(E34="有效",IF(F34-G34&lt;=0,"未回本",IF(ROUNDUP(H34/(F34-G34),0)&gt;MIN(J34,K34),"未回本",MAX(1,ROUNDUP(H34/(F34-G34),0)))),"n.a.")</x:f>
        <x:v>未回本</x:v>
      </x:c>
    </x:row>
    <x:row r="35" ht="22" customHeight="1">
      <x:c r="A35" s="11" t="str">
        <x:v>lade_0824_20aoi</x:v>
      </x:c>
      <x:c r="B35" s="10" t="n">
        <x:v>20</x:v>
      </x:c>
      <x:c r="C35" s="10" t="n">
        <x:v>44</x:v>
      </x:c>
      <x:c r="D35" s="11" t="str">
        <x:v>M2 / M4</x:v>
      </x:c>
      <x:c r="E35" s="11" t="str">
        <x:v>有效</x:v>
      </x:c>
      <x:c r="F35" s="26" t="n">
        <x:f>IF(E35="有效",'成本明细'!U83,"n.a.")</x:f>
        <x:v>2204.8275758811114</x:v>
      </x:c>
      <x:c r="G35" s="26" t="n">
        <x:f>IF(E35="有效",'成本明细'!U89,"n.a.")</x:f>
        <x:v>4150.464199676666</x:v>
      </x:c>
      <x:c r="H35" s="26" t="n">
        <x:f>IF(E35="有效",'成本明细'!V89,"n.a.")</x:f>
        <x:v>7081</x:v>
      </x:c>
      <x:c r="I35" s="22" t="n">
        <x:f>IF(E35="有效",'成本明细'!G83,"n.a.")</x:f>
        <x:v>194</x:v>
      </x:c>
      <x:c r="J35" s="22" t="n">
        <x:f>IF(E35="有效",'参数'!$B$8,"n.a.")</x:f>
        <x:v>50</x:v>
      </x:c>
      <x:c r="K35" s="22" t="n">
        <x:f>IF(E35="有效",'参数'!$B$9,"n.a.")</x:f>
        <x:v>300</x:v>
      </x:c>
      <x:c r="L35" s="26" t="n">
        <x:f>IF(E35="有效",F35*K35,"n.a.")</x:f>
        <x:v>661448.2727643334</x:v>
      </x:c>
      <x:c r="M35" s="26" t="n">
        <x:f>IF(E35="有效",G35*K35+H35*ROUNDUP(K35/J35,0),"n.a.")</x:f>
        <x:v>1287625.2599029997</x:v>
      </x:c>
      <x:c r="N35" s="26" t="n">
        <x:f>IF(E35="有效",L35-M35,"n.a.")</x:f>
        <x:v>-626176.9871386663</x:v>
      </x:c>
      <x:c r="O35" s="32" t="n">
        <x:f>IF(E35="有效",N35/L35,"n.a.")</x:f>
        <x:v>-0.9466756705278542</x:v>
      </x:c>
      <x:c r="P35" s="26" t="n">
        <x:f>IF(E35="有效",L35/(K35*I35),"n.a.")</x:f>
        <x:v>11.365090597325317</x:v>
      </x:c>
      <x:c r="Q35" s="26" t="n">
        <x:f>IF(E35="有效",M35/(K35*I35),"n.a.")</x:f>
        <x:v>22.12414535915807</x:v>
      </x:c>
      <x:c r="R35" s="10" t="str">
        <x:f>IF(E35="有效",IF(F35-G35&lt;=0,"未回本",IF(ROUNDUP(H35/(F35-G35),0)&gt;MIN(J35,K35),"未回本",MAX(1,ROUNDUP(H35/(F35-G35),0)))),"n.a.")</x:f>
        <x:v>未回本</x:v>
      </x:c>
    </x:row>
    <x:row r="36" ht="22" customHeight="1">
      <x:c r="A36" s="11" t="str">
        <x:v>lade_0824_30aoi</x:v>
      </x:c>
      <x:c r="B36" s="10" t="n">
        <x:v>30</x:v>
      </x:c>
      <x:c r="C36" s="10" t="n">
        <x:v>42</x:v>
      </x:c>
      <x:c r="D36" s="11" t="str">
        <x:v>M1 / M3</x:v>
      </x:c>
      <x:c r="E36" s="11" t="str">
        <x:v>有效</x:v>
      </x:c>
      <x:c r="F36" s="26" t="n">
        <x:f>IF(E36="有效",'成本明细'!U96,"n.a.")</x:f>
        <x:v>3068.849954911111</x:v>
      </x:c>
      <x:c r="G36" s="26" t="n">
        <x:f>IF(E36="有效",'成本明细'!U102,"n.a.")</x:f>
        <x:v>4752.448218817222</x:v>
      </x:c>
      <x:c r="H36" s="26" t="n">
        <x:f>IF(E36="有效",'成本明细'!V102,"n.a.")</x:f>
        <x:v>8614</x:v>
      </x:c>
      <x:c r="I36" s="22" t="n">
        <x:f>IF(E36="有效",'成本明细'!G96,"n.a.")</x:f>
        <x:v>236</x:v>
      </x:c>
      <x:c r="J36" s="22" t="n">
        <x:f>IF(E36="有效",'参数'!$B$8,"n.a.")</x:f>
        <x:v>50</x:v>
      </x:c>
      <x:c r="K36" s="22" t="n">
        <x:f>IF(E36="有效",'参数'!$B$9,"n.a.")</x:f>
        <x:v>300</x:v>
      </x:c>
      <x:c r="L36" s="26" t="n">
        <x:f>IF(E36="有效",F36*K36,"n.a.")</x:f>
        <x:v>920654.9864733333</x:v>
      </x:c>
      <x:c r="M36" s="26" t="n">
        <x:f>IF(E36="有效",G36*K36+H36*ROUNDUP(K36/J36,0),"n.a.")</x:f>
        <x:v>1477418.4656451668</x:v>
      </x:c>
      <x:c r="N36" s="26" t="n">
        <x:f>IF(E36="有效",L36-M36,"n.a.")</x:f>
        <x:v>-556763.4791718335</x:v>
      </x:c>
      <x:c r="O36" s="32" t="n">
        <x:f>IF(E36="有效",N36/L36,"n.a.")</x:f>
        <x:v>-0.6047471499661075</x:v>
      </x:c>
      <x:c r="P36" s="26" t="n">
        <x:f>IF(E36="有效",L36/(K36*I36),"n.a.")</x:f>
        <x:v>13.00360150386064</x:v>
      </x:c>
      <x:c r="Q36" s="26" t="n">
        <x:f>IF(E36="有效",M36/(K36*I36),"n.a.")</x:f>
        <x:v>20.867492452615352</x:v>
      </x:c>
      <x:c r="R36" s="10" t="str">
        <x:f>IF(E36="有效",IF(F36-G36&lt;=0,"未回本",IF(ROUNDUP(H36/(F36-G36),0)&gt;MIN(J36,K36),"未回本",MAX(1,ROUNDUP(H36/(F36-G36),0)))),"n.a.")</x:f>
        <x:v>未回本</x:v>
      </x:c>
    </x:row>
    <x:row r="37" ht="22" customHeight="1">
      <x:c r="A37" s="11" t="str">
        <x:v>lade_0824_30aoi</x:v>
      </x:c>
      <x:c r="B37" s="10" t="n">
        <x:v>30</x:v>
      </x:c>
      <x:c r="C37" s="10" t="n">
        <x:v>42</x:v>
      </x:c>
      <x:c r="D37" s="11" t="str">
        <x:v>M2 / M4</x:v>
      </x:c>
      <x:c r="E37" s="11" t="str">
        <x:v>有效</x:v>
      </x:c>
      <x:c r="F37" s="26" t="n">
        <x:f>IF(E37="有效",'成本明细'!U99,"n.a.")</x:f>
        <x:v>3215.708802566111</x:v>
      </x:c>
      <x:c r="G37" s="26" t="n">
        <x:f>IF(E37="有效",'成本明细'!U105,"n.a.")</x:f>
        <x:v>3624.8483329644446</x:v>
      </x:c>
      <x:c r="H37" s="26" t="n">
        <x:f>IF(E37="有效",'成本明细'!V105,"n.a.")</x:f>
        <x:v>8614</x:v>
      </x:c>
      <x:c r="I37" s="22" t="n">
        <x:f>IF(E37="有效",'成本明细'!G99,"n.a.")</x:f>
        <x:v>236</x:v>
      </x:c>
      <x:c r="J37" s="22" t="n">
        <x:f>IF(E37="有效",'参数'!$B$8,"n.a.")</x:f>
        <x:v>50</x:v>
      </x:c>
      <x:c r="K37" s="22" t="n">
        <x:f>IF(E37="有效",'参数'!$B$9,"n.a.")</x:f>
        <x:v>300</x:v>
      </x:c>
      <x:c r="L37" s="26" t="n">
        <x:f>IF(E37="有效",F37*K37,"n.a.")</x:f>
        <x:v>964712.6407698333</x:v>
      </x:c>
      <x:c r="M37" s="26" t="n">
        <x:f>IF(E37="有效",G37*K37+H37*ROUNDUP(K37/J37,0),"n.a.")</x:f>
        <x:v>1139138.4998893333</x:v>
      </x:c>
      <x:c r="N37" s="26" t="n">
        <x:f>IF(E37="有效",L37-M37,"n.a.")</x:f>
        <x:v>-174425.85911949992</x:v>
      </x:c>
      <x:c r="O37" s="32" t="n">
        <x:f>IF(E37="有效",N37/L37,"n.a.")</x:f>
        <x:v>-0.18080602632127782</x:v>
      </x:c>
      <x:c r="P37" s="26" t="n">
        <x:f>IF(E37="有效",L37/(K37*I37),"n.a.")</x:f>
        <x:v>13.625884756636065</x:v>
      </x:c>
      <x:c r="Q37" s="26" t="n">
        <x:f>IF(E37="有效",M37/(K37*I37),"n.a.")</x:f>
        <x:v>16.0895268345951</x:v>
      </x:c>
      <x:c r="R37" s="10" t="str">
        <x:f>IF(E37="有效",IF(F37-G37&lt;=0,"未回本",IF(ROUNDUP(H37/(F37-G37),0)&gt;MIN(J37,K37),"未回本",MAX(1,ROUNDUP(H37/(F37-G37),0)))),"n.a.")</x:f>
        <x:v>未回本</x:v>
      </x:c>
    </x:row>
    <x:row r="38" ht="22" customHeight="1">
      <x:c r="A38" s="11" t="str">
        <x:v>lade_0824_30aoi</x:v>
      </x:c>
      <x:c r="B38" s="10" t="n">
        <x:v>30</x:v>
      </x:c>
      <x:c r="C38" s="10" t="n">
        <x:v>43</x:v>
      </x:c>
      <x:c r="D38" s="11" t="str">
        <x:v>M1 / M3</x:v>
      </x:c>
      <x:c r="E38" s="11" t="str">
        <x:v>有效</x:v>
      </x:c>
      <x:c r="F38" s="26" t="n">
        <x:f>IF(E38="有效",'成本明细'!U97,"n.a.")</x:f>
        <x:v>3068.849954911111</x:v>
      </x:c>
      <x:c r="G38" s="26" t="n">
        <x:f>IF(E38="有效",'成本明细'!U103,"n.a.")</x:f>
        <x:v>4752.791591450556</x:v>
      </x:c>
      <x:c r="H38" s="26" t="n">
        <x:f>IF(E38="有效",'成本明细'!V103,"n.a.")</x:f>
        <x:v>8614</x:v>
      </x:c>
      <x:c r="I38" s="22" t="n">
        <x:f>IF(E38="有效",'成本明细'!G97,"n.a.")</x:f>
        <x:v>236</x:v>
      </x:c>
      <x:c r="J38" s="22" t="n">
        <x:f>IF(E38="有效",'参数'!$B$8,"n.a.")</x:f>
        <x:v>50</x:v>
      </x:c>
      <x:c r="K38" s="22" t="n">
        <x:f>IF(E38="有效",'参数'!$B$9,"n.a.")</x:f>
        <x:v>300</x:v>
      </x:c>
      <x:c r="L38" s="26" t="n">
        <x:f>IF(E38="有效",F38*K38,"n.a.")</x:f>
        <x:v>920654.9864733333</x:v>
      </x:c>
      <x:c r="M38" s="26" t="n">
        <x:f>IF(E38="有效",G38*K38+H38*ROUNDUP(K38/J38,0),"n.a.")</x:f>
        <x:v>1477521.4774351667</x:v>
      </x:c>
      <x:c r="N38" s="26" t="n">
        <x:f>IF(E38="有效",L38-M38,"n.a.")</x:f>
        <x:v>-556866.4909618334</x:v>
      </x:c>
      <x:c r="O38" s="32" t="n">
        <x:f>IF(E38="有效",N38/L38,"n.a.")</x:f>
        <x:v>-0.6048590396441229</x:v>
      </x:c>
      <x:c r="P38" s="26" t="n">
        <x:f>IF(E38="有效",L38/(K38*I38),"n.a.")</x:f>
        <x:v>13.00360150386064</x:v>
      </x:c>
      <x:c r="Q38" s="26" t="n">
        <x:f>IF(E38="有效",M38/(K38*I38),"n.a.")</x:f>
        <x:v>20.86894742140066</x:v>
      </x:c>
      <x:c r="R38" s="10" t="str">
        <x:f>IF(E38="有效",IF(F38-G38&lt;=0,"未回本",IF(ROUNDUP(H38/(F38-G38),0)&gt;MIN(J38,K38),"未回本",MAX(1,ROUNDUP(H38/(F38-G38),0)))),"n.a.")</x:f>
        <x:v>未回本</x:v>
      </x:c>
    </x:row>
    <x:row r="39" ht="22" customHeight="1">
      <x:c r="A39" s="11" t="str">
        <x:v>lade_0824_30aoi</x:v>
      </x:c>
      <x:c r="B39" s="10" t="n">
        <x:v>30</x:v>
      </x:c>
      <x:c r="C39" s="10" t="n">
        <x:v>43</x:v>
      </x:c>
      <x:c r="D39" s="11" t="str">
        <x:v>M2 / M4</x:v>
      </x:c>
      <x:c r="E39" s="11" t="str">
        <x:v>有效</x:v>
      </x:c>
      <x:c r="F39" s="26" t="n">
        <x:f>IF(E39="有效",'成本明细'!U100,"n.a.")</x:f>
        <x:v>3068.849954911111</x:v>
      </x:c>
      <x:c r="G39" s="26" t="n">
        <x:f>IF(E39="有效",'成本明细'!U106,"n.a.")</x:f>
        <x:v>4905.970424478889</x:v>
      </x:c>
      <x:c r="H39" s="26" t="n">
        <x:f>IF(E39="有效",'成本明细'!V106,"n.a.")</x:f>
        <x:v>8614</x:v>
      </x:c>
      <x:c r="I39" s="22" t="n">
        <x:f>IF(E39="有效",'成本明细'!G100,"n.a.")</x:f>
        <x:v>236</x:v>
      </x:c>
      <x:c r="J39" s="22" t="n">
        <x:f>IF(E39="有效",'参数'!$B$8,"n.a.")</x:f>
        <x:v>50</x:v>
      </x:c>
      <x:c r="K39" s="22" t="n">
        <x:f>IF(E39="有效",'参数'!$B$9,"n.a.")</x:f>
        <x:v>300</x:v>
      </x:c>
      <x:c r="L39" s="26" t="n">
        <x:f>IF(E39="有效",F39*K39,"n.a.")</x:f>
        <x:v>920654.9864733333</x:v>
      </x:c>
      <x:c r="M39" s="26" t="n">
        <x:f>IF(E39="有效",G39*K39+H39*ROUNDUP(K39/J39,0),"n.a.")</x:f>
        <x:v>1523475.1273436667</x:v>
      </x:c>
      <x:c r="N39" s="26" t="n">
        <x:f>IF(E39="有效",L39-M39,"n.a.")</x:f>
        <x:v>-602820.1408703334</x:v>
      </x:c>
      <x:c r="O39" s="32" t="n">
        <x:f>IF(E39="有效",N39/L39,"n.a.")</x:f>
        <x:v>-0.654773123186461</x:v>
      </x:c>
      <x:c r="P39" s="26" t="n">
        <x:f>IF(E39="有效",L39/(K39*I39),"n.a.")</x:f>
        <x:v>13.00360150386064</x:v>
      </x:c>
      <x:c r="Q39" s="26" t="n">
        <x:f>IF(E39="有效",M39/(K39*I39),"n.a.")</x:f>
        <x:v>21.518010273215634</x:v>
      </x:c>
      <x:c r="R39" s="10" t="str">
        <x:f>IF(E39="有效",IF(F39-G39&lt;=0,"未回本",IF(ROUNDUP(H39/(F39-G39),0)&gt;MIN(J39,K39),"未回本",MAX(1,ROUNDUP(H39/(F39-G39),0)))),"n.a.")</x:f>
        <x:v>未回本</x:v>
      </x:c>
    </x:row>
    <x:row r="40" ht="22" customHeight="1">
      <x:c r="A40" s="11" t="str">
        <x:v>lade_0824_30aoi</x:v>
      </x:c>
      <x:c r="B40" s="10" t="n">
        <x:v>30</x:v>
      </x:c>
      <x:c r="C40" s="10" t="n">
        <x:v>44</x:v>
      </x:c>
      <x:c r="D40" s="11" t="str">
        <x:v>M1 / M3</x:v>
      </x:c>
      <x:c r="E40" s="11" t="str">
        <x:v>有效</x:v>
      </x:c>
      <x:c r="F40" s="26" t="n">
        <x:f>IF(E40="有效",'成本明细'!U98,"n.a.")</x:f>
        <x:v>3233.1314847722224</x:v>
      </x:c>
      <x:c r="G40" s="26" t="n">
        <x:f>IF(E40="有效",'成本明细'!U104,"n.a.")</x:f>
        <x:v>4463.245935708889</x:v>
      </x:c>
      <x:c r="H40" s="26" t="n">
        <x:f>IF(E40="有效",'成本明细'!V104,"n.a.")</x:f>
        <x:v>8614</x:v>
      </x:c>
      <x:c r="I40" s="22" t="n">
        <x:f>IF(E40="有效",'成本明细'!G98,"n.a.")</x:f>
        <x:v>236</x:v>
      </x:c>
      <x:c r="J40" s="22" t="n">
        <x:f>IF(E40="有效",'参数'!$B$8,"n.a.")</x:f>
        <x:v>50</x:v>
      </x:c>
      <x:c r="K40" s="22" t="n">
        <x:f>IF(E40="有效",'参数'!$B$9,"n.a.")</x:f>
        <x:v>300</x:v>
      </x:c>
      <x:c r="L40" s="26" t="n">
        <x:f>IF(E40="有效",F40*K40,"n.a.")</x:f>
        <x:v>969939.4454316667</x:v>
      </x:c>
      <x:c r="M40" s="26" t="n">
        <x:f>IF(E40="有效",G40*K40+H40*ROUNDUP(K40/J40,0),"n.a.")</x:f>
        <x:v>1390657.7807126667</x:v>
      </x:c>
      <x:c r="N40" s="26" t="n">
        <x:f>IF(E40="有效",L40-M40,"n.a.")</x:f>
        <x:v>-420718.335281</x:v>
      </x:c>
      <x:c r="O40" s="32" t="n">
        <x:f>IF(E40="有效",N40/L40,"n.a.")</x:f>
        <x:v>-0.43375732089518376</x:v>
      </x:c>
      <x:c r="P40" s="26" t="n">
        <x:f>IF(E40="有效",L40/(K40*I40),"n.a.")</x:f>
        <x:v>13.69970968123823</x:v>
      </x:c>
      <x:c r="Q40" s="26" t="n">
        <x:f>IF(E40="有效",M40/(K40*I40),"n.a.")</x:f>
        <x:v>19.642059049613938</x:v>
      </x:c>
      <x:c r="R40" s="10" t="str">
        <x:f>IF(E40="有效",IF(F40-G40&lt;=0,"未回本",IF(ROUNDUP(H40/(F40-G40),0)&gt;MIN(J40,K40),"未回本",MAX(1,ROUNDUP(H40/(F40-G40),0)))),"n.a.")</x:f>
        <x:v>未回本</x:v>
      </x:c>
    </x:row>
    <x:row r="41" ht="22" customHeight="1">
      <x:c r="A41" s="11" t="str">
        <x:v>lade_0824_30aoi</x:v>
      </x:c>
      <x:c r="B41" s="10" t="n">
        <x:v>30</x:v>
      </x:c>
      <x:c r="C41" s="10" t="n">
        <x:v>44</x:v>
      </x:c>
      <x:c r="D41" s="11" t="str">
        <x:v>M2 / M4</x:v>
      </x:c>
      <x:c r="E41" s="11" t="str">
        <x:v>有效</x:v>
      </x:c>
      <x:c r="F41" s="26" t="n">
        <x:f>IF(E41="有效",'成本明细'!U101,"n.a.")</x:f>
        <x:v>3063.9308954405556</x:v>
      </x:c>
      <x:c r="G41" s="26" t="n">
        <x:f>IF(E41="有效",'成本明细'!U107,"n.a.")</x:f>
        <x:v>4731.202355799444</x:v>
      </x:c>
      <x:c r="H41" s="26" t="n">
        <x:f>IF(E41="有效",'成本明细'!V107,"n.a.")</x:f>
        <x:v>8614</x:v>
      </x:c>
      <x:c r="I41" s="22" t="n">
        <x:f>IF(E41="有效",'成本明细'!G101,"n.a.")</x:f>
        <x:v>236</x:v>
      </x:c>
      <x:c r="J41" s="22" t="n">
        <x:f>IF(E41="有效",'参数'!$B$8,"n.a.")</x:f>
        <x:v>50</x:v>
      </x:c>
      <x:c r="K41" s="22" t="n">
        <x:f>IF(E41="有效",'参数'!$B$9,"n.a.")</x:f>
        <x:v>300</x:v>
      </x:c>
      <x:c r="L41" s="26" t="n">
        <x:f>IF(E41="有效",F41*K41,"n.a.")</x:f>
        <x:v>919179.2686321667</x:v>
      </x:c>
      <x:c r="M41" s="26" t="n">
        <x:f>IF(E41="有效",G41*K41+H41*ROUNDUP(K41/J41,0),"n.a.")</x:f>
        <x:v>1471044.7067398333</x:v>
      </x:c>
      <x:c r="N41" s="26" t="n">
        <x:f>IF(E41="有效",L41-M41,"n.a.")</x:f>
        <x:v>-551865.4381076667</x:v>
      </x:c>
      <x:c r="O41" s="32" t="n">
        <x:f>IF(E41="有效",N41/L41,"n.a.")</x:f>
        <x:v>-0.6003893439947783</x:v>
      </x:c>
      <x:c r="P41" s="26" t="n">
        <x:f>IF(E41="有效",L41/(K41*I41),"n.a.")</x:f>
        <x:v>12.982758031527778</x:v>
      </x:c>
      <x:c r="Q41" s="26" t="n">
        <x:f>IF(E41="有效",M41/(K41*I41),"n.a.")</x:f>
        <x:v>20.77746760931968</x:v>
      </x:c>
      <x:c r="R41" s="10" t="str">
        <x:f>IF(E41="有效",IF(F41-G41&lt;=0,"未回本",IF(ROUNDUP(H41/(F41-G41),0)&gt;MIN(J41,K41),"未回本",MAX(1,ROUNDUP(H41/(F41-G41),0)))),"n.a.")</x:f>
        <x:v>未回本</x:v>
      </x:c>
    </x:row>
    <x:row r="42" ht="22" customHeight="1">
      <x:c r="A42" s="11" t="str">
        <x:v>lade_0825_10aoi</x:v>
      </x:c>
      <x:c r="B42" s="10" t="n">
        <x:v>10</x:v>
      </x:c>
      <x:c r="C42" s="10" t="n">
        <x:v>42</x:v>
      </x:c>
      <x:c r="D42" s="11" t="str">
        <x:v>M1 / M3</x:v>
      </x:c>
      <x:c r="E42" s="11" t="str">
        <x:v>有效</x:v>
      </x:c>
      <x:c r="F42" s="26" t="n">
        <x:f>IF(E42="有效",'成本明细'!U114,"n.a.")</x:f>
        <x:v>1785.4312734355556</x:v>
      </x:c>
      <x:c r="G42" s="26" t="n">
        <x:f>IF(E42="有效",'成本明细'!U120,"n.a.")</x:f>
        <x:v>2286.8293632788886</x:v>
      </x:c>
      <x:c r="H42" s="26" t="n">
        <x:f>IF(E42="有效",'成本明细'!V120,"n.a.")</x:f>
        <x:v>4270.5</x:v>
      </x:c>
      <x:c r="I42" s="22" t="n">
        <x:f>IF(E42="有效",'成本明细'!G114,"n.a.")</x:f>
        <x:v>117</x:v>
      </x:c>
      <x:c r="J42" s="22" t="n">
        <x:f>IF(E42="有效",'参数'!$B$8,"n.a.")</x:f>
        <x:v>50</x:v>
      </x:c>
      <x:c r="K42" s="22" t="n">
        <x:f>IF(E42="有效",'参数'!$B$9,"n.a.")</x:f>
        <x:v>300</x:v>
      </x:c>
      <x:c r="L42" s="26" t="n">
        <x:f>IF(E42="有效",F42*K42,"n.a.")</x:f>
        <x:v>535629.3820306667</x:v>
      </x:c>
      <x:c r="M42" s="26" t="n">
        <x:f>IF(E42="有效",G42*K42+H42*ROUNDUP(K42/J42,0),"n.a.")</x:f>
        <x:v>711671.8089836666</x:v>
      </x:c>
      <x:c r="N42" s="26" t="n">
        <x:f>IF(E42="有效",L42-M42,"n.a.")</x:f>
        <x:v>-176042.4269529999</x:v>
      </x:c>
      <x:c r="O42" s="32" t="n">
        <x:f>IF(E42="有效",N42/L42,"n.a.")</x:f>
        <x:v>-0.3286646193410668</x:v>
      </x:c>
      <x:c r="P42" s="26" t="n">
        <x:f>IF(E42="有效",L42/(K42*I42),"n.a.")</x:f>
        <x:v>15.260096354150049</x:v>
      </x:c>
      <x:c r="Q42" s="26" t="n">
        <x:f>IF(E42="有效",M42/(K42*I42),"n.a.")</x:f>
        <x:v>20.275550113494774</x:v>
      </x:c>
      <x:c r="R42" s="10" t="str">
        <x:f>IF(E42="有效",IF(F42-G42&lt;=0,"未回本",IF(ROUNDUP(H42/(F42-G42),0)&gt;MIN(J42,K42),"未回本",MAX(1,ROUNDUP(H42/(F42-G42),0)))),"n.a.")</x:f>
        <x:v>未回本</x:v>
      </x:c>
    </x:row>
    <x:row r="43" ht="22" customHeight="1">
      <x:c r="A43" s="11" t="str">
        <x:v>lade_0825_10aoi</x:v>
      </x:c>
      <x:c r="B43" s="10" t="n">
        <x:v>10</x:v>
      </x:c>
      <x:c r="C43" s="10" t="n">
        <x:v>42</x:v>
      </x:c>
      <x:c r="D43" s="11" t="str">
        <x:v>M2 / M4</x:v>
      </x:c>
      <x:c r="E43" s="11" t="str">
        <x:v>有效</x:v>
      </x:c>
      <x:c r="F43" s="26" t="n">
        <x:f>IF(E43="有效",'成本明细'!U117,"n.a.")</x:f>
        <x:v>1785.4312734355556</x:v>
      </x:c>
      <x:c r="G43" s="26" t="n">
        <x:f>IF(E43="有效",'成本明细'!U123,"n.a.")</x:f>
        <x:v>2283.8282807305554</x:v>
      </x:c>
      <x:c r="H43" s="26" t="n">
        <x:f>IF(E43="有效",'成本明细'!V123,"n.a.")</x:f>
        <x:v>4270.5</x:v>
      </x:c>
      <x:c r="I43" s="22" t="n">
        <x:f>IF(E43="有效",'成本明细'!G117,"n.a.")</x:f>
        <x:v>117</x:v>
      </x:c>
      <x:c r="J43" s="22" t="n">
        <x:f>IF(E43="有效",'参数'!$B$8,"n.a.")</x:f>
        <x:v>50</x:v>
      </x:c>
      <x:c r="K43" s="22" t="n">
        <x:f>IF(E43="有效",'参数'!$B$9,"n.a.")</x:f>
        <x:v>300</x:v>
      </x:c>
      <x:c r="L43" s="26" t="n">
        <x:f>IF(E43="有效",F43*K43,"n.a.")</x:f>
        <x:v>535629.3820306667</x:v>
      </x:c>
      <x:c r="M43" s="26" t="n">
        <x:f>IF(E43="有效",G43*K43+H43*ROUNDUP(K43/J43,0),"n.a.")</x:f>
        <x:v>710771.4842191667</x:v>
      </x:c>
      <x:c r="N43" s="26" t="n">
        <x:f>IF(E43="有效",L43-M43,"n.a.")</x:f>
        <x:v>-175142.1021885</x:v>
      </x:c>
      <x:c r="O43" s="32" t="n">
        <x:f>IF(E43="有效",N43/L43,"n.a.")</x:f>
        <x:v>-0.3269837467177491</x:v>
      </x:c>
      <x:c r="P43" s="26" t="n">
        <x:f>IF(E43="有效",L43/(K43*I43),"n.a.")</x:f>
        <x:v>15.260096354150049</x:v>
      </x:c>
      <x:c r="Q43" s="26" t="n">
        <x:f>IF(E43="有效",M43/(K43*I43),"n.a.")</x:f>
        <x:v>20.249899835303893</x:v>
      </x:c>
      <x:c r="R43" s="10" t="str">
        <x:f>IF(E43="有效",IF(F43-G43&lt;=0,"未回本",IF(ROUNDUP(H43/(F43-G43),0)&gt;MIN(J43,K43),"未回本",MAX(1,ROUNDUP(H43/(F43-G43),0)))),"n.a.")</x:f>
        <x:v>未回本</x:v>
      </x:c>
    </x:row>
    <x:row r="44" ht="22" customHeight="1">
      <x:c r="A44" s="11" t="str">
        <x:v>lade_0825_10aoi</x:v>
      </x:c>
      <x:c r="B44" s="10" t="n">
        <x:v>10</x:v>
      </x:c>
      <x:c r="C44" s="10" t="n">
        <x:v>43</x:v>
      </x:c>
      <x:c r="D44" s="11" t="str">
        <x:v>M1 / M3</x:v>
      </x:c>
      <x:c r="E44" s="11" t="str">
        <x:v>有效</x:v>
      </x:c>
      <x:c r="F44" s="26" t="n">
        <x:f>IF(E44="有效",'成本明细'!U115,"n.a.")</x:f>
        <x:v>1785.4312734355556</x:v>
      </x:c>
      <x:c r="G44" s="26" t="n">
        <x:f>IF(E44="有效",'成本明细'!U121,"n.a.")</x:f>
        <x:v>2286.8293632788886</x:v>
      </x:c>
      <x:c r="H44" s="26" t="n">
        <x:f>IF(E44="有效",'成本明细'!V121,"n.a.")</x:f>
        <x:v>4270.5</x:v>
      </x:c>
      <x:c r="I44" s="22" t="n">
        <x:f>IF(E44="有效",'成本明细'!G115,"n.a.")</x:f>
        <x:v>117</x:v>
      </x:c>
      <x:c r="J44" s="22" t="n">
        <x:f>IF(E44="有效",'参数'!$B$8,"n.a.")</x:f>
        <x:v>50</x:v>
      </x:c>
      <x:c r="K44" s="22" t="n">
        <x:f>IF(E44="有效",'参数'!$B$9,"n.a.")</x:f>
        <x:v>300</x:v>
      </x:c>
      <x:c r="L44" s="26" t="n">
        <x:f>IF(E44="有效",F44*K44,"n.a.")</x:f>
        <x:v>535629.3820306667</x:v>
      </x:c>
      <x:c r="M44" s="26" t="n">
        <x:f>IF(E44="有效",G44*K44+H44*ROUNDUP(K44/J44,0),"n.a.")</x:f>
        <x:v>711671.8089836666</x:v>
      </x:c>
      <x:c r="N44" s="26" t="n">
        <x:f>IF(E44="有效",L44-M44,"n.a.")</x:f>
        <x:v>-176042.4269529999</x:v>
      </x:c>
      <x:c r="O44" s="32" t="n">
        <x:f>IF(E44="有效",N44/L44,"n.a.")</x:f>
        <x:v>-0.3286646193410668</x:v>
      </x:c>
      <x:c r="P44" s="26" t="n">
        <x:f>IF(E44="有效",L44/(K44*I44),"n.a.")</x:f>
        <x:v>15.260096354150049</x:v>
      </x:c>
      <x:c r="Q44" s="26" t="n">
        <x:f>IF(E44="有效",M44/(K44*I44),"n.a.")</x:f>
        <x:v>20.275550113494774</x:v>
      </x:c>
      <x:c r="R44" s="10" t="str">
        <x:f>IF(E44="有效",IF(F44-G44&lt;=0,"未回本",IF(ROUNDUP(H44/(F44-G44),0)&gt;MIN(J44,K44),"未回本",MAX(1,ROUNDUP(H44/(F44-G44),0)))),"n.a.")</x:f>
        <x:v>未回本</x:v>
      </x:c>
    </x:row>
    <x:row r="45" ht="22" customHeight="1">
      <x:c r="A45" s="11" t="str">
        <x:v>lade_0825_10aoi</x:v>
      </x:c>
      <x:c r="B45" s="10" t="n">
        <x:v>10</x:v>
      </x:c>
      <x:c r="C45" s="10" t="n">
        <x:v>43</x:v>
      </x:c>
      <x:c r="D45" s="11" t="str">
        <x:v>M2 / M4</x:v>
      </x:c>
      <x:c r="E45" s="11" t="str">
        <x:v>有效</x:v>
      </x:c>
      <x:c r="F45" s="26" t="n">
        <x:f>IF(E45="有效",'成本明细'!U118,"n.a.")</x:f>
        <x:v>1785.4312734355556</x:v>
      </x:c>
      <x:c r="G45" s="26" t="n">
        <x:f>IF(E45="有效",'成本明细'!U124,"n.a.")</x:f>
        <x:v>2286.4444585438882</x:v>
      </x:c>
      <x:c r="H45" s="26" t="n">
        <x:f>IF(E45="有效",'成本明细'!V124,"n.a.")</x:f>
        <x:v>4270.5</x:v>
      </x:c>
      <x:c r="I45" s="22" t="n">
        <x:f>IF(E45="有效",'成本明细'!G118,"n.a.")</x:f>
        <x:v>117</x:v>
      </x:c>
      <x:c r="J45" s="22" t="n">
        <x:f>IF(E45="有效",'参数'!$B$8,"n.a.")</x:f>
        <x:v>50</x:v>
      </x:c>
      <x:c r="K45" s="22" t="n">
        <x:f>IF(E45="有效",'参数'!$B$9,"n.a.")</x:f>
        <x:v>300</x:v>
      </x:c>
      <x:c r="L45" s="26" t="n">
        <x:f>IF(E45="有效",F45*K45,"n.a.")</x:f>
        <x:v>535629.3820306667</x:v>
      </x:c>
      <x:c r="M45" s="26" t="n">
        <x:f>IF(E45="有效",G45*K45+H45*ROUNDUP(K45/J45,0),"n.a.")</x:f>
        <x:v>711556.3375631665</x:v>
      </x:c>
      <x:c r="N45" s="26" t="n">
        <x:f>IF(E45="有效",L45-M45,"n.a.")</x:f>
        <x:v>-175926.95553249982</x:v>
      </x:c>
      <x:c r="O45" s="32" t="n">
        <x:f>IF(E45="有效",N45/L45,"n.a.")</x:f>
        <x:v>-0.3284490385227362</x:v>
      </x:c>
      <x:c r="P45" s="26" t="n">
        <x:f>IF(E45="有效",L45/(K45*I45),"n.a.")</x:f>
        <x:v>15.260096354150049</x:v>
      </x:c>
      <x:c r="Q45" s="26" t="n">
        <x:f>IF(E45="有效",M45/(K45*I45),"n.a.")</x:f>
        <x:v>20.272260329434943</x:v>
      </x:c>
      <x:c r="R45" s="10" t="str">
        <x:f>IF(E45="有效",IF(F45-G45&lt;=0,"未回本",IF(ROUNDUP(H45/(F45-G45),0)&gt;MIN(J45,K45),"未回本",MAX(1,ROUNDUP(H45/(F45-G45),0)))),"n.a.")</x:f>
        <x:v>未回本</x:v>
      </x:c>
    </x:row>
    <x:row r="46" ht="22" customHeight="1">
      <x:c r="A46" s="11" t="str">
        <x:v>lade_0825_10aoi</x:v>
      </x:c>
      <x:c r="B46" s="10" t="n">
        <x:v>10</x:v>
      </x:c>
      <x:c r="C46" s="10" t="n">
        <x:v>44</x:v>
      </x:c>
      <x:c r="D46" s="11" t="str">
        <x:v>M1 / M3</x:v>
      </x:c>
      <x:c r="E46" s="11" t="str">
        <x:v>有效</x:v>
      </x:c>
      <x:c r="F46" s="26" t="n">
        <x:f>IF(E46="有效",'成本明细'!U116,"n.a.")</x:f>
        <x:v>1785.4312734355556</x:v>
      </x:c>
      <x:c r="G46" s="26" t="n">
        <x:f>IF(E46="有效",'成本明细'!U122,"n.a.")</x:f>
        <x:v>2286.8293632788886</x:v>
      </x:c>
      <x:c r="H46" s="26" t="n">
        <x:f>IF(E46="有效",'成本明细'!V122,"n.a.")</x:f>
        <x:v>4270.5</x:v>
      </x:c>
      <x:c r="I46" s="22" t="n">
        <x:f>IF(E46="有效",'成本明细'!G116,"n.a.")</x:f>
        <x:v>117</x:v>
      </x:c>
      <x:c r="J46" s="22" t="n">
        <x:f>IF(E46="有效",'参数'!$B$8,"n.a.")</x:f>
        <x:v>50</x:v>
      </x:c>
      <x:c r="K46" s="22" t="n">
        <x:f>IF(E46="有效",'参数'!$B$9,"n.a.")</x:f>
        <x:v>300</x:v>
      </x:c>
      <x:c r="L46" s="26" t="n">
        <x:f>IF(E46="有效",F46*K46,"n.a.")</x:f>
        <x:v>535629.3820306667</x:v>
      </x:c>
      <x:c r="M46" s="26" t="n">
        <x:f>IF(E46="有效",G46*K46+H46*ROUNDUP(K46/J46,0),"n.a.")</x:f>
        <x:v>711671.8089836666</x:v>
      </x:c>
      <x:c r="N46" s="26" t="n">
        <x:f>IF(E46="有效",L46-M46,"n.a.")</x:f>
        <x:v>-176042.4269529999</x:v>
      </x:c>
      <x:c r="O46" s="32" t="n">
        <x:f>IF(E46="有效",N46/L46,"n.a.")</x:f>
        <x:v>-0.3286646193410668</x:v>
      </x:c>
      <x:c r="P46" s="26" t="n">
        <x:f>IF(E46="有效",L46/(K46*I46),"n.a.")</x:f>
        <x:v>15.260096354150049</x:v>
      </x:c>
      <x:c r="Q46" s="26" t="n">
        <x:f>IF(E46="有效",M46/(K46*I46),"n.a.")</x:f>
        <x:v>20.275550113494774</x:v>
      </x:c>
      <x:c r="R46" s="10" t="str">
        <x:f>IF(E46="有效",IF(F46-G46&lt;=0,"未回本",IF(ROUNDUP(H46/(F46-G46),0)&gt;MIN(J46,K46),"未回本",MAX(1,ROUNDUP(H46/(F46-G46),0)))),"n.a.")</x:f>
        <x:v>未回本</x:v>
      </x:c>
    </x:row>
    <x:row r="47" ht="22" customHeight="1">
      <x:c r="A47" s="11" t="str">
        <x:v>lade_0825_10aoi</x:v>
      </x:c>
      <x:c r="B47" s="10" t="n">
        <x:v>10</x:v>
      </x:c>
      <x:c r="C47" s="10" t="n">
        <x:v>44</x:v>
      </x:c>
      <x:c r="D47" s="11" t="str">
        <x:v>M2 / M4</x:v>
      </x:c>
      <x:c r="E47" s="11" t="str">
        <x:v>有效</x:v>
      </x:c>
      <x:c r="F47" s="26" t="n">
        <x:f>IF(E47="有效",'成本明细'!U119,"n.a.")</x:f>
        <x:v>1785.4312734355556</x:v>
      </x:c>
      <x:c r="G47" s="26" t="n">
        <x:f>IF(E47="有效",'成本明细'!U125,"n.a.")</x:f>
        <x:v>2280.0469773355553</x:v>
      </x:c>
      <x:c r="H47" s="26" t="n">
        <x:f>IF(E47="有效",'成本明细'!V125,"n.a.")</x:f>
        <x:v>4270.5</x:v>
      </x:c>
      <x:c r="I47" s="22" t="n">
        <x:f>IF(E47="有效",'成本明细'!G119,"n.a.")</x:f>
        <x:v>117</x:v>
      </x:c>
      <x:c r="J47" s="22" t="n">
        <x:f>IF(E47="有效",'参数'!$B$8,"n.a.")</x:f>
        <x:v>50</x:v>
      </x:c>
      <x:c r="K47" s="22" t="n">
        <x:f>IF(E47="有效",'参数'!$B$9,"n.a.")</x:f>
        <x:v>300</x:v>
      </x:c>
      <x:c r="L47" s="26" t="n">
        <x:f>IF(E47="有效",F47*K47,"n.a.")</x:f>
        <x:v>535629.3820306667</x:v>
      </x:c>
      <x:c r="M47" s="26" t="n">
        <x:f>IF(E47="有效",G47*K47+H47*ROUNDUP(K47/J47,0),"n.a.")</x:f>
        <x:v>709637.0932006666</x:v>
      </x:c>
      <x:c r="N47" s="26" t="n">
        <x:f>IF(E47="有效",L47-M47,"n.a.")</x:f>
        <x:v>-174007.7111699999</x:v>
      </x:c>
      <x:c r="O47" s="32" t="n">
        <x:f>IF(E47="有效",N47/L47,"n.a.")</x:f>
        <x:v>-0.32486588116265314</x:v>
      </x:c>
      <x:c r="P47" s="26" t="n">
        <x:f>IF(E47="有效",L47/(K47*I47),"n.a.")</x:f>
        <x:v>15.260096354150049</x:v>
      </x:c>
      <x:c r="Q47" s="26" t="n">
        <x:f>IF(E47="有效",M47/(K47*I47),"n.a.")</x:f>
        <x:v>20.217581002867995</x:v>
      </x:c>
      <x:c r="R47" s="10" t="str">
        <x:f>IF(E47="有效",IF(F47-G47&lt;=0,"未回本",IF(ROUNDUP(H47/(F47-G47),0)&gt;MIN(J47,K47),"未回本",MAX(1,ROUNDUP(H47/(F47-G47),0)))),"n.a.")</x:f>
        <x:v>未回本</x:v>
      </x:c>
    </x:row>
    <x:row r="48" ht="22" customHeight="1">
      <x:c r="A48" s="11" t="str">
        <x:v>lade_0825_20aoi</x:v>
      </x:c>
      <x:c r="B48" s="10" t="n">
        <x:v>20</x:v>
      </x:c>
      <x:c r="C48" s="10" t="n">
        <x:v>42</x:v>
      </x:c>
      <x:c r="D48" s="11" t="str">
        <x:v>M1 / M3</x:v>
      </x:c>
      <x:c r="E48" s="11" t="str">
        <x:v>有效</x:v>
      </x:c>
      <x:c r="F48" s="26" t="n">
        <x:f>IF(E48="有效",'成本明细'!U132,"n.a.")</x:f>
        <x:v>3187.268107245</x:v>
      </x:c>
      <x:c r="G48" s="26" t="n">
        <x:f>IF(E48="有效",'成本明细'!U138,"n.a.")</x:f>
        <x:v>3614.175335178889</x:v>
      </x:c>
      <x:c r="H48" s="26" t="n">
        <x:f>IF(E48="有效",'成本明细'!V138,"n.a.")</x:f>
        <x:v>6898.5</x:v>
      </x:c>
      <x:c r="I48" s="22" t="n">
        <x:f>IF(E48="有效",'成本明细'!G132,"n.a.")</x:f>
        <x:v>189</x:v>
      </x:c>
      <x:c r="J48" s="22" t="n">
        <x:f>IF(E48="有效",'参数'!$B$8,"n.a.")</x:f>
        <x:v>50</x:v>
      </x:c>
      <x:c r="K48" s="22" t="n">
        <x:f>IF(E48="有效",'参数'!$B$9,"n.a.")</x:f>
        <x:v>300</x:v>
      </x:c>
      <x:c r="L48" s="26" t="n">
        <x:f>IF(E48="有效",F48*K48,"n.a.")</x:f>
        <x:v>956180.4321735</x:v>
      </x:c>
      <x:c r="M48" s="26" t="n">
        <x:f>IF(E48="有效",G48*K48+H48*ROUNDUP(K48/J48,0),"n.a.")</x:f>
        <x:v>1125643.6005536667</x:v>
      </x:c>
      <x:c r="N48" s="26" t="n">
        <x:f>IF(E48="有效",L48-M48,"n.a.")</x:f>
        <x:v>-169463.16838016675</x:v>
      </x:c>
      <x:c r="O48" s="32" t="n">
        <x:f>IF(E48="有效",N48/L48,"n.a.")</x:f>
        <x:v>-0.17722927878262362</x:v>
      </x:c>
      <x:c r="P48" s="26" t="n">
        <x:f>IF(E48="有效",L48/(K48*I48),"n.a.")</x:f>
        <x:v>16.863852419285713</x:v>
      </x:c>
      <x:c r="Q48" s="26" t="n">
        <x:f>IF(E48="有效",M48/(K48*I48),"n.a.")</x:f>
        <x:v>19.852620821052323</x:v>
      </x:c>
      <x:c r="R48" s="10" t="str">
        <x:f>IF(E48="有效",IF(F48-G48&lt;=0,"未回本",IF(ROUNDUP(H48/(F48-G48),0)&gt;MIN(J48,K48),"未回本",MAX(1,ROUNDUP(H48/(F48-G48),0)))),"n.a.")</x:f>
        <x:v>未回本</x:v>
      </x:c>
    </x:row>
    <x:row r="49" ht="22" customHeight="1">
      <x:c r="A49" s="11" t="str">
        <x:v>lade_0825_20aoi</x:v>
      </x:c>
      <x:c r="B49" s="10" t="n">
        <x:v>20</x:v>
      </x:c>
      <x:c r="C49" s="10" t="n">
        <x:v>42</x:v>
      </x:c>
      <x:c r="D49" s="11" t="str">
        <x:v>M2 / M4</x:v>
      </x:c>
      <x:c r="E49" s="11" t="str">
        <x:v>有效</x:v>
      </x:c>
      <x:c r="F49" s="26" t="n">
        <x:f>IF(E49="有效",'成本明细'!U135,"n.a.")</x:f>
        <x:v>2743.1900126594446</x:v>
      </x:c>
      <x:c r="G49" s="26" t="n">
        <x:f>IF(E49="有效",'成本明细'!U141,"n.a.")</x:f>
        <x:v>4561.705416384443</x:v>
      </x:c>
      <x:c r="H49" s="26" t="n">
        <x:f>IF(E49="有效",'成本明细'!V141,"n.a.")</x:f>
        <x:v>6898.5</x:v>
      </x:c>
      <x:c r="I49" s="22" t="n">
        <x:f>IF(E49="有效",'成本明细'!G135,"n.a.")</x:f>
        <x:v>189</x:v>
      </x:c>
      <x:c r="J49" s="22" t="n">
        <x:f>IF(E49="有效",'参数'!$B$8,"n.a.")</x:f>
        <x:v>50</x:v>
      </x:c>
      <x:c r="K49" s="22" t="n">
        <x:f>IF(E49="有效",'参数'!$B$9,"n.a.")</x:f>
        <x:v>300</x:v>
      </x:c>
      <x:c r="L49" s="26" t="n">
        <x:f>IF(E49="有效",F49*K49,"n.a.")</x:f>
        <x:v>822957.0037978333</x:v>
      </x:c>
      <x:c r="M49" s="26" t="n">
        <x:f>IF(E49="有效",G49*K49+H49*ROUNDUP(K49/J49,0),"n.a.")</x:f>
        <x:v>1409902.624915333</x:v>
      </x:c>
      <x:c r="N49" s="26" t="n">
        <x:f>IF(E49="有效",L49-M49,"n.a.")</x:f>
        <x:v>-586945.6211174997</x:v>
      </x:c>
      <x:c r="O49" s="32" t="n">
        <x:f>IF(E49="有效",N49/L49,"n.a.")</x:f>
        <x:v>-0.7132154151539222</x:v>
      </x:c>
      <x:c r="P49" s="26" t="n">
        <x:f>IF(E49="有效",L49/(K49*I49),"n.a.")</x:f>
        <x:v>14.514232871213991</x:v>
      </x:c>
      <x:c r="Q49" s="26" t="n">
        <x:f>IF(E49="有效",M49/(K49*I49),"n.a.")</x:f>
        <x:v>24.866007494097584</x:v>
      </x:c>
      <x:c r="R49" s="10" t="str">
        <x:f>IF(E49="有效",IF(F49-G49&lt;=0,"未回本",IF(ROUNDUP(H49/(F49-G49),0)&gt;MIN(J49,K49),"未回本",MAX(1,ROUNDUP(H49/(F49-G49),0)))),"n.a.")</x:f>
        <x:v>未回本</x:v>
      </x:c>
    </x:row>
    <x:row r="50" ht="22" customHeight="1">
      <x:c r="A50" s="11" t="str">
        <x:v>lade_0825_20aoi</x:v>
      </x:c>
      <x:c r="B50" s="10" t="n">
        <x:v>20</x:v>
      </x:c>
      <x:c r="C50" s="10" t="n">
        <x:v>43</x:v>
      </x:c>
      <x:c r="D50" s="11" t="str">
        <x:v>M1 / M3</x:v>
      </x:c>
      <x:c r="E50" s="11" t="str">
        <x:v>有效</x:v>
      </x:c>
      <x:c r="F50" s="26" t="n">
        <x:f>IF(E50="有效",'成本明细'!U133,"n.a.")</x:f>
        <x:v>3187.268107245</x:v>
      </x:c>
      <x:c r="G50" s="26" t="n">
        <x:f>IF(E50="有效",'成本明细'!U139,"n.a.")</x:f>
        <x:v>3614.175335178889</x:v>
      </x:c>
      <x:c r="H50" s="26" t="n">
        <x:f>IF(E50="有效",'成本明细'!V139,"n.a.")</x:f>
        <x:v>6898.5</x:v>
      </x:c>
      <x:c r="I50" s="22" t="n">
        <x:f>IF(E50="有效",'成本明细'!G133,"n.a.")</x:f>
        <x:v>189</x:v>
      </x:c>
      <x:c r="J50" s="22" t="n">
        <x:f>IF(E50="有效",'参数'!$B$8,"n.a.")</x:f>
        <x:v>50</x:v>
      </x:c>
      <x:c r="K50" s="22" t="n">
        <x:f>IF(E50="有效",'参数'!$B$9,"n.a.")</x:f>
        <x:v>300</x:v>
      </x:c>
      <x:c r="L50" s="26" t="n">
        <x:f>IF(E50="有效",F50*K50,"n.a.")</x:f>
        <x:v>956180.4321735</x:v>
      </x:c>
      <x:c r="M50" s="26" t="n">
        <x:f>IF(E50="有效",G50*K50+H50*ROUNDUP(K50/J50,0),"n.a.")</x:f>
        <x:v>1125643.6005536667</x:v>
      </x:c>
      <x:c r="N50" s="26" t="n">
        <x:f>IF(E50="有效",L50-M50,"n.a.")</x:f>
        <x:v>-169463.16838016675</x:v>
      </x:c>
      <x:c r="O50" s="32" t="n">
        <x:f>IF(E50="有效",N50/L50,"n.a.")</x:f>
        <x:v>-0.17722927878262362</x:v>
      </x:c>
      <x:c r="P50" s="26" t="n">
        <x:f>IF(E50="有效",L50/(K50*I50),"n.a.")</x:f>
        <x:v>16.863852419285713</x:v>
      </x:c>
      <x:c r="Q50" s="26" t="n">
        <x:f>IF(E50="有效",M50/(K50*I50),"n.a.")</x:f>
        <x:v>19.852620821052323</x:v>
      </x:c>
      <x:c r="R50" s="10" t="str">
        <x:f>IF(E50="有效",IF(F50-G50&lt;=0,"未回本",IF(ROUNDUP(H50/(F50-G50),0)&gt;MIN(J50,K50),"未回本",MAX(1,ROUNDUP(H50/(F50-G50),0)))),"n.a.")</x:f>
        <x:v>未回本</x:v>
      </x:c>
    </x:row>
    <x:row r="51" ht="22" customHeight="1">
      <x:c r="A51" s="11" t="str">
        <x:v>lade_0825_20aoi</x:v>
      </x:c>
      <x:c r="B51" s="10" t="n">
        <x:v>20</x:v>
      </x:c>
      <x:c r="C51" s="10" t="n">
        <x:v>43</x:v>
      </x:c>
      <x:c r="D51" s="11" t="str">
        <x:v>M2 / M4</x:v>
      </x:c>
      <x:c r="E51" s="11" t="str">
        <x:v>有效</x:v>
      </x:c>
      <x:c r="F51" s="26" t="n">
        <x:f>IF(E51="有效",'成本明细'!U136,"n.a.")</x:f>
        <x:v>2565.8918489844446</x:v>
      </x:c>
      <x:c r="G51" s="26" t="n">
        <x:f>IF(E51="有效",'成本明细'!U142,"n.a.")</x:f>
        <x:v>3792.689469988889</x:v>
      </x:c>
      <x:c r="H51" s="26" t="n">
        <x:f>IF(E51="有效",'成本明细'!V142,"n.a.")</x:f>
        <x:v>6898.5</x:v>
      </x:c>
      <x:c r="I51" s="22" t="n">
        <x:f>IF(E51="有效",'成本明细'!G136,"n.a.")</x:f>
        <x:v>189</x:v>
      </x:c>
      <x:c r="J51" s="22" t="n">
        <x:f>IF(E51="有效",'参数'!$B$8,"n.a.")</x:f>
        <x:v>50</x:v>
      </x:c>
      <x:c r="K51" s="22" t="n">
        <x:f>IF(E51="有效",'参数'!$B$9,"n.a.")</x:f>
        <x:v>300</x:v>
      </x:c>
      <x:c r="L51" s="26" t="n">
        <x:f>IF(E51="有效",F51*K51,"n.a.")</x:f>
        <x:v>769767.5546953334</x:v>
      </x:c>
      <x:c r="M51" s="26" t="n">
        <x:f>IF(E51="有效",G51*K51+H51*ROUNDUP(K51/J51,0),"n.a.")</x:f>
        <x:v>1179197.8409966666</x:v>
      </x:c>
      <x:c r="N51" s="26" t="n">
        <x:f>IF(E51="有效",L51-M51,"n.a.")</x:f>
        <x:v>-409430.2863013332</x:v>
      </x:c>
      <x:c r="O51" s="32" t="n">
        <x:f>IF(E51="有效",N51/L51,"n.a.")</x:f>
        <x:v>-0.5318882093742985</x:v>
      </x:c>
      <x:c r="P51" s="26" t="n">
        <x:f>IF(E51="有效",L51/(K51*I51),"n.a.")</x:f>
        <x:v>13.576147349124046</x:v>
      </x:c>
      <x:c r="Q51" s="26" t="n">
        <x:f>IF(E51="有效",M51/(K51*I51),"n.a.")</x:f>
        <x:v>20.79714005285126</x:v>
      </x:c>
      <x:c r="R51" s="10" t="str">
        <x:f>IF(E51="有效",IF(F51-G51&lt;=0,"未回本",IF(ROUNDUP(H51/(F51-G51),0)&gt;MIN(J51,K51),"未回本",MAX(1,ROUNDUP(H51/(F51-G51),0)))),"n.a.")</x:f>
        <x:v>未回本</x:v>
      </x:c>
    </x:row>
    <x:row r="52" ht="22" customHeight="1">
      <x:c r="A52" s="11" t="str">
        <x:v>lade_0825_20aoi</x:v>
      </x:c>
      <x:c r="B52" s="10" t="n">
        <x:v>20</x:v>
      </x:c>
      <x:c r="C52" s="10" t="n">
        <x:v>44</x:v>
      </x:c>
      <x:c r="D52" s="11" t="str">
        <x:v>M1 / M3</x:v>
      </x:c>
      <x:c r="E52" s="11" t="str">
        <x:v>有效</x:v>
      </x:c>
      <x:c r="F52" s="26" t="n">
        <x:f>IF(E52="有效",'成本明细'!U134,"n.a.")</x:f>
        <x:v>3187.268107245</x:v>
      </x:c>
      <x:c r="G52" s="26" t="n">
        <x:f>IF(E52="有效",'成本明细'!U140,"n.a.")</x:f>
        <x:v>3779.775743611111</x:v>
      </x:c>
      <x:c r="H52" s="26" t="n">
        <x:f>IF(E52="有效",'成本明细'!V140,"n.a.")</x:f>
        <x:v>6898.5</x:v>
      </x:c>
      <x:c r="I52" s="22" t="n">
        <x:f>IF(E52="有效",'成本明细'!G134,"n.a.")</x:f>
        <x:v>189</x:v>
      </x:c>
      <x:c r="J52" s="22" t="n">
        <x:f>IF(E52="有效",'参数'!$B$8,"n.a.")</x:f>
        <x:v>50</x:v>
      </x:c>
      <x:c r="K52" s="22" t="n">
        <x:f>IF(E52="有效",'参数'!$B$9,"n.a.")</x:f>
        <x:v>300</x:v>
      </x:c>
      <x:c r="L52" s="26" t="n">
        <x:f>IF(E52="有效",F52*K52,"n.a.")</x:f>
        <x:v>956180.4321735</x:v>
      </x:c>
      <x:c r="M52" s="26" t="n">
        <x:f>IF(E52="有效",G52*K52+H52*ROUNDUP(K52/J52,0),"n.a.")</x:f>
        <x:v>1175323.7230833333</x:v>
      </x:c>
      <x:c r="N52" s="26" t="n">
        <x:f>IF(E52="有效",L52-M52,"n.a.")</x:f>
        <x:v>-219143.2909098334</x:v>
      </x:c>
      <x:c r="O52" s="32" t="n">
        <x:f>IF(E52="有效",N52/L52,"n.a.")</x:f>
        <x:v>-0.22918612799019256</x:v>
      </x:c>
      <x:c r="P52" s="26" t="n">
        <x:f>IF(E52="有效",L52/(K52*I52),"n.a.")</x:f>
        <x:v>16.863852419285713</x:v>
      </x:c>
      <x:c r="Q52" s="26" t="n">
        <x:f>IF(E52="有效",M52/(K52*I52),"n.a.")</x:f>
        <x:v>20.728813458259847</x:v>
      </x:c>
      <x:c r="R52" s="10" t="str">
        <x:f>IF(E52="有效",IF(F52-G52&lt;=0,"未回本",IF(ROUNDUP(H52/(F52-G52),0)&gt;MIN(J52,K52),"未回本",MAX(1,ROUNDUP(H52/(F52-G52),0)))),"n.a.")</x:f>
        <x:v>未回本</x:v>
      </x:c>
    </x:row>
    <x:row r="53" ht="22" customHeight="1">
      <x:c r="A53" s="11" t="str">
        <x:v>lade_0825_20aoi</x:v>
      </x:c>
      <x:c r="B53" s="10" t="n">
        <x:v>20</x:v>
      </x:c>
      <x:c r="C53" s="10" t="n">
        <x:v>44</x:v>
      </x:c>
      <x:c r="D53" s="11" t="str">
        <x:v>M2 / M4</x:v>
      </x:c>
      <x:c r="E53" s="11" t="str">
        <x:v>有效</x:v>
      </x:c>
      <x:c r="F53" s="26" t="n">
        <x:f>IF(E53="有效",'成本明细'!U137,"n.a.")</x:f>
        <x:v>3187.268107245</x:v>
      </x:c>
      <x:c r="G53" s="26" t="n">
        <x:f>IF(E53="有效",'成本明细'!U143,"n.a.")</x:f>
        <x:v>3793.9597484666665</x:v>
      </x:c>
      <x:c r="H53" s="26" t="n">
        <x:f>IF(E53="有效",'成本明细'!V143,"n.a.")</x:f>
        <x:v>6898.5</x:v>
      </x:c>
      <x:c r="I53" s="22" t="n">
        <x:f>IF(E53="有效",'成本明细'!G137,"n.a.")</x:f>
        <x:v>189</x:v>
      </x:c>
      <x:c r="J53" s="22" t="n">
        <x:f>IF(E53="有效",'参数'!$B$8,"n.a.")</x:f>
        <x:v>50</x:v>
      </x:c>
      <x:c r="K53" s="22" t="n">
        <x:f>IF(E53="有效",'参数'!$B$9,"n.a.")</x:f>
        <x:v>300</x:v>
      </x:c>
      <x:c r="L53" s="26" t="n">
        <x:f>IF(E53="有效",F53*K53,"n.a.")</x:f>
        <x:v>956180.4321735</x:v>
      </x:c>
      <x:c r="M53" s="26" t="n">
        <x:f>IF(E53="有效",G53*K53+H53*ROUNDUP(K53/J53,0),"n.a.")</x:f>
        <x:v>1179578.92454</x:v>
      </x:c>
      <x:c r="N53" s="26" t="n">
        <x:f>IF(E53="有效",L53-M53,"n.a.")</x:f>
        <x:v>-223398.49236650008</x:v>
      </x:c>
      <x:c r="O53" s="32" t="n">
        <x:f>IF(E53="有效",N53/L53,"n.a.")</x:f>
        <x:v>-0.2336363356220243</x:v>
      </x:c>
      <x:c r="P53" s="26" t="n">
        <x:f>IF(E53="有效",L53/(K53*I53),"n.a.")</x:f>
        <x:v>16.863852419285713</x:v>
      </x:c>
      <x:c r="Q53" s="26" t="n">
        <x:f>IF(E53="有效",M53/(K53*I53),"n.a.")</x:f>
        <x:v>20.803861102998237</x:v>
      </x:c>
      <x:c r="R53" s="10" t="str">
        <x:f>IF(E53="有效",IF(F53-G53&lt;=0,"未回本",IF(ROUNDUP(H53/(F53-G53),0)&gt;MIN(J53,K53),"未回本",MAX(1,ROUNDUP(H53/(F53-G53),0)))),"n.a.")</x:f>
        <x:v>未回本</x:v>
      </x:c>
    </x:row>
    <x:row r="54" ht="22" customHeight="1">
      <x:c r="A54" s="11" t="str">
        <x:v>lade_0825_30aoi</x:v>
      </x:c>
      <x:c r="B54" s="10" t="n">
        <x:v>30</x:v>
      </x:c>
      <x:c r="C54" s="10" t="n">
        <x:v>42</x:v>
      </x:c>
      <x:c r="D54" s="11" t="str">
        <x:v>M1 / M3</x:v>
      </x:c>
      <x:c r="E54" s="11" t="str">
        <x:v>有效</x:v>
      </x:c>
      <x:c r="F54" s="26" t="n">
        <x:f>IF(E54="有效",'成本明细'!U150,"n.a.")</x:f>
        <x:v>3526.477919171667</x:v>
      </x:c>
      <x:c r="G54" s="26" t="n">
        <x:f>IF(E54="有效",'成本明细'!U156,"n.a.")</x:f>
        <x:v>4048.196197667222</x:v>
      </x:c>
      <x:c r="H54" s="26" t="n">
        <x:f>IF(E54="有效",'成本明细'!V156,"n.a.")</x:f>
        <x:v>8285.5</x:v>
      </x:c>
      <x:c r="I54" s="22" t="n">
        <x:f>IF(E54="有效",'成本明细'!G150,"n.a.")</x:f>
        <x:v>227</x:v>
      </x:c>
      <x:c r="J54" s="22" t="n">
        <x:f>IF(E54="有效",'参数'!$B$8,"n.a.")</x:f>
        <x:v>50</x:v>
      </x:c>
      <x:c r="K54" s="22" t="n">
        <x:f>IF(E54="有效",'参数'!$B$9,"n.a.")</x:f>
        <x:v>300</x:v>
      </x:c>
      <x:c r="L54" s="26" t="n">
        <x:f>IF(E54="有效",F54*K54,"n.a.")</x:f>
        <x:v>1057943.3757515</x:v>
      </x:c>
      <x:c r="M54" s="26" t="n">
        <x:f>IF(E54="有效",G54*K54+H54*ROUNDUP(K54/J54,0),"n.a.")</x:f>
        <x:v>1264171.8593001666</x:v>
      </x:c>
      <x:c r="N54" s="26" t="n">
        <x:f>IF(E54="有效",L54-M54,"n.a.")</x:f>
        <x:v>-206228.48354866658</x:v>
      </x:c>
      <x:c r="O54" s="32" t="n">
        <x:f>IF(E54="有效",N54/L54,"n.a.")</x:f>
        <x:v>-0.1949333851655096</x:v>
      </x:c>
      <x:c r="P54" s="26" t="n">
        <x:f>IF(E54="有效",L54/(K54*I54),"n.a.")</x:f>
        <x:v>15.535145018377387</x:v>
      </x:c>
      <x:c r="Q54" s="26" t="n">
        <x:f>IF(E54="有效",M54/(K54*I54),"n.a.")</x:f>
        <x:v>18.56346342584679</x:v>
      </x:c>
      <x:c r="R54" s="10" t="str">
        <x:f>IF(E54="有效",IF(F54-G54&lt;=0,"未回本",IF(ROUNDUP(H54/(F54-G54),0)&gt;MIN(J54,K54),"未回本",MAX(1,ROUNDUP(H54/(F54-G54),0)))),"n.a.")</x:f>
        <x:v>未回本</x:v>
      </x:c>
    </x:row>
    <x:row r="55" ht="22" customHeight="1">
      <x:c r="A55" s="11" t="str">
        <x:v>lade_0825_30aoi</x:v>
      </x:c>
      <x:c r="B55" s="10" t="n">
        <x:v>30</x:v>
      </x:c>
      <x:c r="C55" s="10" t="n">
        <x:v>42</x:v>
      </x:c>
      <x:c r="D55" s="11" t="str">
        <x:v>M2 / M4</x:v>
      </x:c>
      <x:c r="E55" s="11" t="str">
        <x:v>有效</x:v>
      </x:c>
      <x:c r="F55" s="26" t="n">
        <x:f>IF(E55="有效",'成本明细'!U153,"n.a.")</x:f>
        <x:v>3366.7777078872223</x:v>
      </x:c>
      <x:c r="G55" s="26" t="n">
        <x:f>IF(E55="有效",'成本明细'!U159,"n.a.")</x:f>
        <x:v>4979.783814402777</x:v>
      </x:c>
      <x:c r="H55" s="26" t="n">
        <x:f>IF(E55="有效",'成本明细'!V159,"n.a.")</x:f>
        <x:v>8285.5</x:v>
      </x:c>
      <x:c r="I55" s="22" t="n">
        <x:f>IF(E55="有效",'成本明细'!G153,"n.a.")</x:f>
        <x:v>227</x:v>
      </x:c>
      <x:c r="J55" s="22" t="n">
        <x:f>IF(E55="有效",'参数'!$B$8,"n.a.")</x:f>
        <x:v>50</x:v>
      </x:c>
      <x:c r="K55" s="22" t="n">
        <x:f>IF(E55="有效",'参数'!$B$9,"n.a.")</x:f>
        <x:v>300</x:v>
      </x:c>
      <x:c r="L55" s="26" t="n">
        <x:f>IF(E55="有效",F55*K55,"n.a.")</x:f>
        <x:v>1010033.3123661667</x:v>
      </x:c>
      <x:c r="M55" s="26" t="n">
        <x:f>IF(E55="有效",G55*K55+H55*ROUNDUP(K55/J55,0),"n.a.")</x:f>
        <x:v>1543648.1443208333</x:v>
      </x:c>
      <x:c r="N55" s="26" t="n">
        <x:f>IF(E55="有效",L55-M55,"n.a.")</x:f>
        <x:v>-533614.8319546665</x:v>
      </x:c>
      <x:c r="O55" s="32" t="n">
        <x:f>IF(E55="有效",N55/L55,"n.a.")</x:f>
        <x:v>-0.5283140916457372</x:v>
      </x:c>
      <x:c r="P55" s="26" t="n">
        <x:f>IF(E55="有效",L55/(K55*I55),"n.a.")</x:f>
        <x:v>14.831619858534019</x:v>
      </x:c>
      <x:c r="Q55" s="26" t="n">
        <x:f>IF(E55="有效",M55/(K55*I55),"n.a.")</x:f>
        <x:v>22.667373631730296</x:v>
      </x:c>
      <x:c r="R55" s="10" t="str">
        <x:f>IF(E55="有效",IF(F55-G55&lt;=0,"未回本",IF(ROUNDUP(H55/(F55-G55),0)&gt;MIN(J55,K55),"未回本",MAX(1,ROUNDUP(H55/(F55-G55),0)))),"n.a.")</x:f>
        <x:v>未回本</x:v>
      </x:c>
    </x:row>
    <x:row r="56" ht="22" customHeight="1">
      <x:c r="A56" s="11" t="str">
        <x:v>lade_0825_30aoi</x:v>
      </x:c>
      <x:c r="B56" s="10" t="n">
        <x:v>30</x:v>
      </x:c>
      <x:c r="C56" s="10" t="n">
        <x:v>43</x:v>
      </x:c>
      <x:c r="D56" s="11" t="str">
        <x:v>M1 / M3</x:v>
      </x:c>
      <x:c r="E56" s="11" t="str">
        <x:v>有效</x:v>
      </x:c>
      <x:c r="F56" s="26" t="n">
        <x:f>IF(E56="有效",'成本明细'!U151,"n.a.")</x:f>
        <x:v>3205.0335811511113</x:v>
      </x:c>
      <x:c r="G56" s="26" t="n">
        <x:f>IF(E56="有效",'成本明细'!U157,"n.a.")</x:f>
        <x:v>4048.9650148822216</x:v>
      </x:c>
      <x:c r="H56" s="26" t="n">
        <x:f>IF(E56="有效",'成本明细'!V157,"n.a.")</x:f>
        <x:v>8285.5</x:v>
      </x:c>
      <x:c r="I56" s="22" t="n">
        <x:f>IF(E56="有效",'成本明细'!G151,"n.a.")</x:f>
        <x:v>227</x:v>
      </x:c>
      <x:c r="J56" s="22" t="n">
        <x:f>IF(E56="有效",'参数'!$B$8,"n.a.")</x:f>
        <x:v>50</x:v>
      </x:c>
      <x:c r="K56" s="22" t="n">
        <x:f>IF(E56="有效",'参数'!$B$9,"n.a.")</x:f>
        <x:v>300</x:v>
      </x:c>
      <x:c r="L56" s="26" t="n">
        <x:f>IF(E56="有效",F56*K56,"n.a.")</x:f>
        <x:v>961510.0743453334</x:v>
      </x:c>
      <x:c r="M56" s="26" t="n">
        <x:f>IF(E56="有效",G56*K56+H56*ROUNDUP(K56/J56,0),"n.a.")</x:f>
        <x:v>1264402.5044646664</x:v>
      </x:c>
      <x:c r="N56" s="26" t="n">
        <x:f>IF(E56="有效",L56-M56,"n.a.")</x:f>
        <x:v>-302892.430119333</x:v>
      </x:c>
      <x:c r="O56" s="32" t="n">
        <x:f>IF(E56="有效",N56/L56,"n.a.")</x:f>
        <x:v>-0.3150174274830811</x:v>
      </x:c>
      <x:c r="P56" s="26" t="n">
        <x:f>IF(E56="有效",L56/(K56*I56),"n.a.")</x:f>
        <x:v>14.119090665863926</x:v>
      </x:c>
      <x:c r="Q56" s="26" t="n">
        <x:f>IF(E56="有效",M56/(K56*I56),"n.a.")</x:f>
        <x:v>18.566850285824763</x:v>
      </x:c>
      <x:c r="R56" s="10" t="str">
        <x:f>IF(E56="有效",IF(F56-G56&lt;=0,"未回本",IF(ROUNDUP(H56/(F56-G56),0)&gt;MIN(J56,K56),"未回本",MAX(1,ROUNDUP(H56/(F56-G56),0)))),"n.a.")</x:f>
        <x:v>未回本</x:v>
      </x:c>
    </x:row>
    <x:row r="57" ht="22" customHeight="1">
      <x:c r="A57" s="11" t="str">
        <x:v>lade_0825_30aoi</x:v>
      </x:c>
      <x:c r="B57" s="10" t="n">
        <x:v>30</x:v>
      </x:c>
      <x:c r="C57" s="10" t="n">
        <x:v>43</x:v>
      </x:c>
      <x:c r="D57" s="11" t="str">
        <x:v>M2 / M4</x:v>
      </x:c>
      <x:c r="E57" s="11" t="str">
        <x:v>有效</x:v>
      </x:c>
      <x:c r="F57" s="26" t="n">
        <x:f>IF(E57="有效",'成本明细'!U154,"n.a.")</x:f>
        <x:v>3361.369833321667</x:v>
      </x:c>
      <x:c r="G57" s="26" t="n">
        <x:f>IF(E57="有效",'成本明细'!U160,"n.a.")</x:f>
        <x:v>4061.232175223333</x:v>
      </x:c>
      <x:c r="H57" s="26" t="n">
        <x:f>IF(E57="有效",'成本明细'!V160,"n.a.")</x:f>
        <x:v>8285.5</x:v>
      </x:c>
      <x:c r="I57" s="22" t="n">
        <x:f>IF(E57="有效",'成本明细'!G154,"n.a.")</x:f>
        <x:v>227</x:v>
      </x:c>
      <x:c r="J57" s="22" t="n">
        <x:f>IF(E57="有效",'参数'!$B$8,"n.a.")</x:f>
        <x:v>50</x:v>
      </x:c>
      <x:c r="K57" s="22" t="n">
        <x:f>IF(E57="有效",'参数'!$B$9,"n.a.")</x:f>
        <x:v>300</x:v>
      </x:c>
      <x:c r="L57" s="26" t="n">
        <x:f>IF(E57="有效",F57*K57,"n.a.")</x:f>
        <x:v>1008410.9499965002</x:v>
      </x:c>
      <x:c r="M57" s="26" t="n">
        <x:f>IF(E57="有效",G57*K57+H57*ROUNDUP(K57/J57,0),"n.a.")</x:f>
        <x:v>1268082.652567</x:v>
      </x:c>
      <x:c r="N57" s="26" t="n">
        <x:f>IF(E57="有效",L57-M57,"n.a.")</x:f>
        <x:v>-259671.70257049974</x:v>
      </x:c>
      <x:c r="O57" s="32" t="n">
        <x:f>IF(E57="有效",N57/L57,"n.a.")</x:f>
        <x:v>-0.25750583387794523</x:v>
      </x:c>
      <x:c r="P57" s="26" t="n">
        <x:f>IF(E57="有效",L57/(K57*I57),"n.a.")</x:f>
        <x:v>14.80779662256241</x:v>
      </x:c>
      <x:c r="Q57" s="26" t="n">
        <x:f>IF(E57="有效",M57/(K57*I57),"n.a.")</x:f>
        <x:v>18.620890639750364</x:v>
      </x:c>
      <x:c r="R57" s="10" t="str">
        <x:f>IF(E57="有效",IF(F57-G57&lt;=0,"未回本",IF(ROUNDUP(H57/(F57-G57),0)&gt;MIN(J57,K57),"未回本",MAX(1,ROUNDUP(H57/(F57-G57),0)))),"n.a.")</x:f>
        <x:v>未回本</x:v>
      </x:c>
    </x:row>
    <x:row r="58" ht="22" customHeight="1">
      <x:c r="A58" s="11" t="str">
        <x:v>lade_0825_30aoi</x:v>
      </x:c>
      <x:c r="B58" s="10" t="n">
        <x:v>30</x:v>
      </x:c>
      <x:c r="C58" s="10" t="n">
        <x:v>44</x:v>
      </x:c>
      <x:c r="D58" s="11" t="str">
        <x:v>M1 / M3</x:v>
      </x:c>
      <x:c r="E58" s="11" t="str">
        <x:v>有效</x:v>
      </x:c>
      <x:c r="F58" s="26" t="n">
        <x:f>IF(E58="有效",'成本明细'!U152,"n.a.")</x:f>
        <x:v>3364.3537948661115</x:v>
      </x:c>
      <x:c r="G58" s="26" t="n">
        <x:f>IF(E58="有效",'成本明细'!U158,"n.a.")</x:f>
        <x:v>4027.760423312777</x:v>
      </x:c>
      <x:c r="H58" s="26" t="n">
        <x:f>IF(E58="有效",'成本明细'!V158,"n.a.")</x:f>
        <x:v>8285.5</x:v>
      </x:c>
      <x:c r="I58" s="22" t="n">
        <x:f>IF(E58="有效",'成本明细'!G152,"n.a.")</x:f>
        <x:v>227</x:v>
      </x:c>
      <x:c r="J58" s="22" t="n">
        <x:f>IF(E58="有效",'参数'!$B$8,"n.a.")</x:f>
        <x:v>50</x:v>
      </x:c>
      <x:c r="K58" s="22" t="n">
        <x:f>IF(E58="有效",'参数'!$B$9,"n.a.")</x:f>
        <x:v>300</x:v>
      </x:c>
      <x:c r="L58" s="26" t="n">
        <x:f>IF(E58="有效",F58*K58,"n.a.")</x:f>
        <x:v>1009306.1384598335</x:v>
      </x:c>
      <x:c r="M58" s="26" t="n">
        <x:f>IF(E58="有效",G58*K58+H58*ROUNDUP(K58/J58,0),"n.a.")</x:f>
        <x:v>1258041.126993833</x:v>
      </x:c>
      <x:c r="N58" s="26" t="n">
        <x:f>IF(E58="有效",L58-M58,"n.a.")</x:f>
        <x:v>-248734.98853399965</x:v>
      </x:c>
      <x:c r="O58" s="32" t="n">
        <x:f>IF(E58="有效",N58/L58,"n.a.")</x:f>
        <x:v>-0.24644156916905383</x:v>
      </x:c>
      <x:c r="P58" s="26" t="n">
        <x:f>IF(E58="有效",L58/(K58*I58),"n.a.")</x:f>
        <x:v>14.820941827604015</x:v>
      </x:c>
      <x:c r="Q58" s="26" t="n">
        <x:f>IF(E58="有效",M58/(K58*I58),"n.a.")</x:f>
        <x:v>18.473437988162015</x:v>
      </x:c>
      <x:c r="R58" s="10" t="str">
        <x:f>IF(E58="有效",IF(F58-G58&lt;=0,"未回本",IF(ROUNDUP(H58/(F58-G58),0)&gt;MIN(J58,K58),"未回本",MAX(1,ROUNDUP(H58/(F58-G58),0)))),"n.a.")</x:f>
        <x:v>未回本</x:v>
      </x:c>
    </x:row>
    <x:row r="59" ht="22" customHeight="1">
      <x:c r="A59" s="11" t="str">
        <x:v>lade_0825_30aoi</x:v>
      </x:c>
      <x:c r="B59" s="10" t="n">
        <x:v>30</x:v>
      </x:c>
      <x:c r="C59" s="10" t="n">
        <x:v>44</x:v>
      </x:c>
      <x:c r="D59" s="11" t="str">
        <x:v>M2 / M4</x:v>
      </x:c>
      <x:c r="E59" s="11" t="str">
        <x:v>有效</x:v>
      </x:c>
      <x:c r="F59" s="26" t="n">
        <x:f>IF(E59="有效",'成本明细'!U155,"n.a.")</x:f>
        <x:v>2784.8442094744446</x:v>
      </x:c>
      <x:c r="G59" s="26" t="n">
        <x:f>IF(E59="有效",'成本明细'!U161,"n.a.")</x:f>
        <x:v>3896.466895053333</x:v>
      </x:c>
      <x:c r="H59" s="26" t="n">
        <x:f>IF(E59="有效",'成本明细'!V161,"n.a.")</x:f>
        <x:v>8285.5</x:v>
      </x:c>
      <x:c r="I59" s="22" t="n">
        <x:f>IF(E59="有效",'成本明细'!G155,"n.a.")</x:f>
        <x:v>227</x:v>
      </x:c>
      <x:c r="J59" s="22" t="n">
        <x:f>IF(E59="有效",'参数'!$B$8,"n.a.")</x:f>
        <x:v>50</x:v>
      </x:c>
      <x:c r="K59" s="22" t="n">
        <x:f>IF(E59="有效",'参数'!$B$9,"n.a.")</x:f>
        <x:v>300</x:v>
      </x:c>
      <x:c r="L59" s="26" t="n">
        <x:f>IF(E59="有效",F59*K59,"n.a.")</x:f>
        <x:v>835453.2628423334</x:v>
      </x:c>
      <x:c r="M59" s="26" t="n">
        <x:f>IF(E59="有效",G59*K59+H59*ROUNDUP(K59/J59,0),"n.a.")</x:f>
        <x:v>1218653.068516</x:v>
      </x:c>
      <x:c r="N59" s="26" t="n">
        <x:f>IF(E59="有效",L59-M59,"n.a.")</x:f>
        <x:v>-383199.80567366653</x:v>
      </x:c>
      <x:c r="O59" s="32" t="n">
        <x:f>IF(E59="有效",N59/L59,"n.a.")</x:f>
        <x:v>-0.4586729416436356</x:v>
      </x:c>
      <x:c r="P59" s="26" t="n">
        <x:f>IF(E59="有效",L59/(K59*I59),"n.a.")</x:f>
        <x:v>12.26803616508566</x:v>
      </x:c>
      <x:c r="Q59" s="26" t="n">
        <x:f>IF(E59="有效",M59/(K59*I59),"n.a.")</x:f>
        <x:v>17.895052401116004</x:v>
      </x:c>
      <x:c r="R59" s="10" t="str">
        <x:f>IF(E59="有效",IF(F59-G59&lt;=0,"未回本",IF(ROUNDUP(H59/(F59-G59),0)&gt;MIN(J59,K59),"未回本",MAX(1,ROUNDUP(H59/(F59-G59),0)))),"n.a.")</x:f>
        <x:v>未回本</x:v>
      </x:c>
    </x:row>
    <x:row r="60" ht="22" customHeight="1">
      <x:c r="A60" s="11" t="str">
        <x:v>lade_0826_10aoi</x:v>
      </x:c>
      <x:c r="B60" s="10" t="n">
        <x:v>10</x:v>
      </x:c>
      <x:c r="C60" s="10" t="n">
        <x:v>42</x:v>
      </x:c>
      <x:c r="D60" s="11" t="str">
        <x:v>M1 / M3</x:v>
      </x:c>
      <x:c r="E60" s="11" t="str">
        <x:v>有效</x:v>
      </x:c>
      <x:c r="F60" s="26" t="n">
        <x:f>IF(E60="有效",'成本明细'!U168,"n.a.")</x:f>
        <x:v>1789.0146343094443</x:v>
      </x:c>
      <x:c r="G60" s="26" t="n">
        <x:f>IF(E60="有效",'成本明细'!U174,"n.a.")</x:f>
        <x:v>2251.7219473711107</x:v>
      </x:c>
      <x:c r="H60" s="26" t="n">
        <x:f>IF(E60="有效",'成本明细'!V174,"n.a.")</x:f>
        <x:v>4270.5</x:v>
      </x:c>
      <x:c r="I60" s="22" t="n">
        <x:f>IF(E60="有效",'成本明细'!G168,"n.a.")</x:f>
        <x:v>117</x:v>
      </x:c>
      <x:c r="J60" s="22" t="n">
        <x:f>IF(E60="有效",'参数'!$B$8,"n.a.")</x:f>
        <x:v>50</x:v>
      </x:c>
      <x:c r="K60" s="22" t="n">
        <x:f>IF(E60="有效",'参数'!$B$9,"n.a.")</x:f>
        <x:v>300</x:v>
      </x:c>
      <x:c r="L60" s="26" t="n">
        <x:f>IF(E60="有效",F60*K60,"n.a.")</x:f>
        <x:v>536704.3902928333</x:v>
      </x:c>
      <x:c r="M60" s="26" t="n">
        <x:f>IF(E60="有效",G60*K60+H60*ROUNDUP(K60/J60,0),"n.a.")</x:f>
        <x:v>701139.5842113332</x:v>
      </x:c>
      <x:c r="N60" s="26" t="n">
        <x:f>IF(E60="有效",L60-M60,"n.a.")</x:f>
        <x:v>-164435.19391849986</x:v>
      </x:c>
      <x:c r="O60" s="32" t="n">
        <x:f>IF(E60="有效",N60/L60,"n.a.")</x:f>
        <x:v>-0.30637944628845265</x:v>
      </x:c>
      <x:c r="P60" s="26" t="n">
        <x:f>IF(E60="有效",L60/(K60*I60),"n.a.")</x:f>
        <x:v>15.29072337016619</x:v>
      </x:c>
      <x:c r="Q60" s="26" t="n">
        <x:f>IF(E60="有效",M60/(K60*I60),"n.a.")</x:f>
        <x:v>19.97548672966761</x:v>
      </x:c>
      <x:c r="R60" s="10" t="str">
        <x:f>IF(E60="有效",IF(F60-G60&lt;=0,"未回本",IF(ROUNDUP(H60/(F60-G60),0)&gt;MIN(J60,K60),"未回本",MAX(1,ROUNDUP(H60/(F60-G60),0)))),"n.a.")</x:f>
        <x:v>未回本</x:v>
      </x:c>
    </x:row>
    <x:row r="61" ht="22" customHeight="1">
      <x:c r="A61" s="11" t="str">
        <x:v>lade_0826_10aoi</x:v>
      </x:c>
      <x:c r="B61" s="10" t="n">
        <x:v>10</x:v>
      </x:c>
      <x:c r="C61" s="10" t="n">
        <x:v>42</x:v>
      </x:c>
      <x:c r="D61" s="11" t="str">
        <x:v>M2 / M4</x:v>
      </x:c>
      <x:c r="E61" s="11" t="str">
        <x:v>有效</x:v>
      </x:c>
      <x:c r="F61" s="26" t="n">
        <x:f>IF(E61="有效",'成本明细'!U171,"n.a.")</x:f>
        <x:v>1446.279376625</x:v>
      </x:c>
      <x:c r="G61" s="26" t="n">
        <x:f>IF(E61="有效",'成本明细'!U177,"n.a.")</x:f>
        <x:v>2247.262447918333</x:v>
      </x:c>
      <x:c r="H61" s="26" t="n">
        <x:f>IF(E61="有效",'成本明细'!V177,"n.a.")</x:f>
        <x:v>4270.5</x:v>
      </x:c>
      <x:c r="I61" s="22" t="n">
        <x:f>IF(E61="有效",'成本明细'!G171,"n.a.")</x:f>
        <x:v>117</x:v>
      </x:c>
      <x:c r="J61" s="22" t="n">
        <x:f>IF(E61="有效",'参数'!$B$8,"n.a.")</x:f>
        <x:v>50</x:v>
      </x:c>
      <x:c r="K61" s="22" t="n">
        <x:f>IF(E61="有效",'参数'!$B$9,"n.a.")</x:f>
        <x:v>300</x:v>
      </x:c>
      <x:c r="L61" s="26" t="n">
        <x:f>IF(E61="有效",F61*K61,"n.a.")</x:f>
        <x:v>433883.8129875</x:v>
      </x:c>
      <x:c r="M61" s="26" t="n">
        <x:f>IF(E61="有效",G61*K61+H61*ROUNDUP(K61/J61,0),"n.a.")</x:f>
        <x:v>699801.7343754999</x:v>
      </x:c>
      <x:c r="N61" s="26" t="n">
        <x:f>IF(E61="有效",L61-M61,"n.a.")</x:f>
        <x:v>-265917.9213879999</x:v>
      </x:c>
      <x:c r="O61" s="32" t="n">
        <x:f>IF(E61="有效",N61/L61,"n.a.")</x:f>
        <x:v>-0.6128781794301713</x:v>
      </x:c>
      <x:c r="P61" s="26" t="n">
        <x:f>IF(E61="有效",L61/(K61*I61),"n.a.")</x:f>
        <x:v>12.361362193376069</x:v>
      </x:c>
      <x:c r="Q61" s="26" t="n">
        <x:f>IF(E61="有效",M61/(K61*I61),"n.a.")</x:f>
        <x:v>19.937371349729343</x:v>
      </x:c>
      <x:c r="R61" s="10" t="str">
        <x:f>IF(E61="有效",IF(F61-G61&lt;=0,"未回本",IF(ROUNDUP(H61/(F61-G61),0)&gt;MIN(J61,K61),"未回本",MAX(1,ROUNDUP(H61/(F61-G61),0)))),"n.a.")</x:f>
        <x:v>未回本</x:v>
      </x:c>
    </x:row>
    <x:row r="62" ht="22" customHeight="1">
      <x:c r="A62" s="11" t="str">
        <x:v>lade_0826_10aoi</x:v>
      </x:c>
      <x:c r="B62" s="10" t="n">
        <x:v>10</x:v>
      </x:c>
      <x:c r="C62" s="10" t="n">
        <x:v>43</x:v>
      </x:c>
      <x:c r="D62" s="11" t="str">
        <x:v>M1 / M3</x:v>
      </x:c>
      <x:c r="E62" s="11" t="str">
        <x:v>有效</x:v>
      </x:c>
      <x:c r="F62" s="26" t="n">
        <x:f>IF(E62="有效",'成本明细'!U169,"n.a.")</x:f>
        <x:v>1789.0146343094443</x:v>
      </x:c>
      <x:c r="G62" s="26" t="n">
        <x:f>IF(E62="有效",'成本明细'!U175,"n.a.")</x:f>
        <x:v>2251.7219473711107</x:v>
      </x:c>
      <x:c r="H62" s="26" t="n">
        <x:f>IF(E62="有效",'成本明细'!V175,"n.a.")</x:f>
        <x:v>4270.5</x:v>
      </x:c>
      <x:c r="I62" s="22" t="n">
        <x:f>IF(E62="有效",'成本明细'!G169,"n.a.")</x:f>
        <x:v>117</x:v>
      </x:c>
      <x:c r="J62" s="22" t="n">
        <x:f>IF(E62="有效",'参数'!$B$8,"n.a.")</x:f>
        <x:v>50</x:v>
      </x:c>
      <x:c r="K62" s="22" t="n">
        <x:f>IF(E62="有效",'参数'!$B$9,"n.a.")</x:f>
        <x:v>300</x:v>
      </x:c>
      <x:c r="L62" s="26" t="n">
        <x:f>IF(E62="有效",F62*K62,"n.a.")</x:f>
        <x:v>536704.3902928333</x:v>
      </x:c>
      <x:c r="M62" s="26" t="n">
        <x:f>IF(E62="有效",G62*K62+H62*ROUNDUP(K62/J62,0),"n.a.")</x:f>
        <x:v>701139.5842113332</x:v>
      </x:c>
      <x:c r="N62" s="26" t="n">
        <x:f>IF(E62="有效",L62-M62,"n.a.")</x:f>
        <x:v>-164435.19391849986</x:v>
      </x:c>
      <x:c r="O62" s="32" t="n">
        <x:f>IF(E62="有效",N62/L62,"n.a.")</x:f>
        <x:v>-0.30637944628845265</x:v>
      </x:c>
      <x:c r="P62" s="26" t="n">
        <x:f>IF(E62="有效",L62/(K62*I62),"n.a.")</x:f>
        <x:v>15.29072337016619</x:v>
      </x:c>
      <x:c r="Q62" s="26" t="n">
        <x:f>IF(E62="有效",M62/(K62*I62),"n.a.")</x:f>
        <x:v>19.97548672966761</x:v>
      </x:c>
      <x:c r="R62" s="10" t="str">
        <x:f>IF(E62="有效",IF(F62-G62&lt;=0,"未回本",IF(ROUNDUP(H62/(F62-G62),0)&gt;MIN(J62,K62),"未回本",MAX(1,ROUNDUP(H62/(F62-G62),0)))),"n.a.")</x:f>
        <x:v>未回本</x:v>
      </x:c>
    </x:row>
    <x:row r="63" ht="22" customHeight="1">
      <x:c r="A63" s="11" t="str">
        <x:v>lade_0826_10aoi</x:v>
      </x:c>
      <x:c r="B63" s="10" t="n">
        <x:v>10</x:v>
      </x:c>
      <x:c r="C63" s="10" t="n">
        <x:v>43</x:v>
      </x:c>
      <x:c r="D63" s="11" t="str">
        <x:v>M2 / M4</x:v>
      </x:c>
      <x:c r="E63" s="11" t="str">
        <x:v>有效</x:v>
      </x:c>
      <x:c r="F63" s="26" t="n">
        <x:f>IF(E63="有效",'成本明细'!U172,"n.a.")</x:f>
        <x:v>1363.8551957755553</x:v>
      </x:c>
      <x:c r="G63" s="26" t="n">
        <x:f>IF(E63="有效",'成本明细'!U178,"n.a.")</x:f>
        <x:v>2244.9212120111106</x:v>
      </x:c>
      <x:c r="H63" s="26" t="n">
        <x:f>IF(E63="有效",'成本明细'!V178,"n.a.")</x:f>
        <x:v>4270.5</x:v>
      </x:c>
      <x:c r="I63" s="22" t="n">
        <x:f>IF(E63="有效",'成本明细'!G172,"n.a.")</x:f>
        <x:v>117</x:v>
      </x:c>
      <x:c r="J63" s="22" t="n">
        <x:f>IF(E63="有效",'参数'!$B$8,"n.a.")</x:f>
        <x:v>50</x:v>
      </x:c>
      <x:c r="K63" s="22" t="n">
        <x:f>IF(E63="有效",'参数'!$B$9,"n.a.")</x:f>
        <x:v>300</x:v>
      </x:c>
      <x:c r="L63" s="26" t="n">
        <x:f>IF(E63="有效",F63*K63,"n.a.")</x:f>
        <x:v>409156.5587326666</x:v>
      </x:c>
      <x:c r="M63" s="26" t="n">
        <x:f>IF(E63="有效",G63*K63+H63*ROUNDUP(K63/J63,0),"n.a.")</x:f>
        <x:v>699099.3636033331</x:v>
      </x:c>
      <x:c r="N63" s="26" t="n">
        <x:f>IF(E63="有效",L63-M63,"n.a.")</x:f>
        <x:v>-289942.8048706665</x:v>
      </x:c>
      <x:c r="O63" s="32" t="n">
        <x:f>IF(E63="有效",N63/L63,"n.a.")</x:f>
        <x:v>-0.7086353589656336</x:v>
      </x:c>
      <x:c r="P63" s="26" t="n">
        <x:f>IF(E63="有效",L63/(K63*I63),"n.a.")</x:f>
        <x:v>11.656882015175686</x:v>
      </x:c>
      <x:c r="Q63" s="26" t="n">
        <x:f>IF(E63="有效",M63/(K63*I63),"n.a.")</x:f>
        <x:v>19.917360786419746</x:v>
      </x:c>
      <x:c r="R63" s="10" t="str">
        <x:f>IF(E63="有效",IF(F63-G63&lt;=0,"未回本",IF(ROUNDUP(H63/(F63-G63),0)&gt;MIN(J63,K63),"未回本",MAX(1,ROUNDUP(H63/(F63-G63),0)))),"n.a.")</x:f>
        <x:v>未回本</x:v>
      </x:c>
    </x:row>
    <x:row r="64" ht="22" customHeight="1">
      <x:c r="A64" s="11" t="str">
        <x:v>lade_0826_10aoi</x:v>
      </x:c>
      <x:c r="B64" s="10" t="n">
        <x:v>10</x:v>
      </x:c>
      <x:c r="C64" s="10" t="n">
        <x:v>44</x:v>
      </x:c>
      <x:c r="D64" s="11" t="str">
        <x:v>M1 / M3</x:v>
      </x:c>
      <x:c r="E64" s="11" t="str">
        <x:v>有效</x:v>
      </x:c>
      <x:c r="F64" s="26" t="n">
        <x:f>IF(E64="有效",'成本明细'!U170,"n.a.")</x:f>
        <x:v>1789.0146343094443</x:v>
      </x:c>
      <x:c r="G64" s="26" t="n">
        <x:f>IF(E64="有效",'成本明细'!U176,"n.a.")</x:f>
        <x:v>2251.7219473711107</x:v>
      </x:c>
      <x:c r="H64" s="26" t="n">
        <x:f>IF(E64="有效",'成本明细'!V176,"n.a.")</x:f>
        <x:v>4270.5</x:v>
      </x:c>
      <x:c r="I64" s="22" t="n">
        <x:f>IF(E64="有效",'成本明细'!G170,"n.a.")</x:f>
        <x:v>117</x:v>
      </x:c>
      <x:c r="J64" s="22" t="n">
        <x:f>IF(E64="有效",'参数'!$B$8,"n.a.")</x:f>
        <x:v>50</x:v>
      </x:c>
      <x:c r="K64" s="22" t="n">
        <x:f>IF(E64="有效",'参数'!$B$9,"n.a.")</x:f>
        <x:v>300</x:v>
      </x:c>
      <x:c r="L64" s="26" t="n">
        <x:f>IF(E64="有效",F64*K64,"n.a.")</x:f>
        <x:v>536704.3902928333</x:v>
      </x:c>
      <x:c r="M64" s="26" t="n">
        <x:f>IF(E64="有效",G64*K64+H64*ROUNDUP(K64/J64,0),"n.a.")</x:f>
        <x:v>701139.5842113332</x:v>
      </x:c>
      <x:c r="N64" s="26" t="n">
        <x:f>IF(E64="有效",L64-M64,"n.a.")</x:f>
        <x:v>-164435.19391849986</x:v>
      </x:c>
      <x:c r="O64" s="32" t="n">
        <x:f>IF(E64="有效",N64/L64,"n.a.")</x:f>
        <x:v>-0.30637944628845265</x:v>
      </x:c>
      <x:c r="P64" s="26" t="n">
        <x:f>IF(E64="有效",L64/(K64*I64),"n.a.")</x:f>
        <x:v>15.29072337016619</x:v>
      </x:c>
      <x:c r="Q64" s="26" t="n">
        <x:f>IF(E64="有效",M64/(K64*I64),"n.a.")</x:f>
        <x:v>19.97548672966761</x:v>
      </x:c>
      <x:c r="R64" s="10" t="str">
        <x:f>IF(E64="有效",IF(F64-G64&lt;=0,"未回本",IF(ROUNDUP(H64/(F64-G64),0)&gt;MIN(J64,K64),"未回本",MAX(1,ROUNDUP(H64/(F64-G64),0)))),"n.a.")</x:f>
        <x:v>未回本</x:v>
      </x:c>
    </x:row>
    <x:row r="65" ht="22" customHeight="1">
      <x:c r="A65" s="11" t="str">
        <x:v>lade_0826_10aoi</x:v>
      </x:c>
      <x:c r="B65" s="10" t="n">
        <x:v>10</x:v>
      </x:c>
      <x:c r="C65" s="10" t="n">
        <x:v>44</x:v>
      </x:c>
      <x:c r="D65" s="11" t="str">
        <x:v>M2 / M4</x:v>
      </x:c>
      <x:c r="E65" s="11" t="str">
        <x:v>有效</x:v>
      </x:c>
      <x:c r="F65" s="26" t="n">
        <x:f>IF(E65="有效",'成本明细'!U173,"n.a.")</x:f>
        <x:v>1446.279376625</x:v>
      </x:c>
      <x:c r="G65" s="26" t="n">
        <x:f>IF(E65="有效",'成本明细'!U179,"n.a.")</x:f>
        <x:v>1970.1713756344443</x:v>
      </x:c>
      <x:c r="H65" s="26" t="n">
        <x:f>IF(E65="有效",'成本明细'!V179,"n.a.")</x:f>
        <x:v>4270.5</x:v>
      </x:c>
      <x:c r="I65" s="22" t="n">
        <x:f>IF(E65="有效",'成本明细'!G173,"n.a.")</x:f>
        <x:v>117</x:v>
      </x:c>
      <x:c r="J65" s="22" t="n">
        <x:f>IF(E65="有效",'参数'!$B$8,"n.a.")</x:f>
        <x:v>50</x:v>
      </x:c>
      <x:c r="K65" s="22" t="n">
        <x:f>IF(E65="有效",'参数'!$B$9,"n.a.")</x:f>
        <x:v>300</x:v>
      </x:c>
      <x:c r="L65" s="26" t="n">
        <x:f>IF(E65="有效",F65*K65,"n.a.")</x:f>
        <x:v>433883.8129875</x:v>
      </x:c>
      <x:c r="M65" s="26" t="n">
        <x:f>IF(E65="有效",G65*K65+H65*ROUNDUP(K65/J65,0),"n.a.")</x:f>
        <x:v>616674.4126903333</x:v>
      </x:c>
      <x:c r="N65" s="26" t="n">
        <x:f>IF(E65="有效",L65-M65,"n.a.")</x:f>
        <x:v>-182790.59970283334</x:v>
      </x:c>
      <x:c r="O65" s="32" t="n">
        <x:f>IF(E65="有效",N65/L65,"n.a.")</x:f>
        <x:v>-0.4212892812115566</x:v>
      </x:c>
      <x:c r="P65" s="26" t="n">
        <x:f>IF(E65="有效",L65/(K65*I65),"n.a.")</x:f>
        <x:v>12.361362193376069</x:v>
      </x:c>
      <x:c r="Q65" s="26" t="n">
        <x:f>IF(E65="有效",M65/(K65*I65),"n.a.")</x:f>
        <x:v>17.569071586619184</x:v>
      </x:c>
      <x:c r="R65" s="10" t="str">
        <x:f>IF(E65="有效",IF(F65-G65&lt;=0,"未回本",IF(ROUNDUP(H65/(F65-G65),0)&gt;MIN(J65,K65),"未回本",MAX(1,ROUNDUP(H65/(F65-G65),0)))),"n.a.")</x:f>
        <x:v>未回本</x:v>
      </x:c>
    </x:row>
    <x:row r="66" ht="22" customHeight="1">
      <x:c r="A66" s="11" t="str">
        <x:v>lade_0826_20aoi</x:v>
      </x:c>
      <x:c r="B66" s="10" t="n">
        <x:v>20</x:v>
      </x:c>
      <x:c r="C66" s="10" t="n">
        <x:v>42</x:v>
      </x:c>
      <x:c r="D66" s="11" t="str">
        <x:v>M1 / M3</x:v>
      </x:c>
      <x:c r="E66" s="11" t="str">
        <x:v>有效</x:v>
      </x:c>
      <x:c r="F66" s="26" t="n">
        <x:f>IF(E66="有效",'成本明细'!U186,"n.a.")</x:f>
        <x:v>3144.8283786111115</x:v>
      </x:c>
      <x:c r="G66" s="26" t="n">
        <x:f>IF(E66="有效",'成本明细'!U192,"n.a.")</x:f>
        <x:v>3735.6418420544446</x:v>
      </x:c>
      <x:c r="H66" s="26" t="n">
        <x:f>IF(E66="有效",'成本明细'!V192,"n.a.")</x:f>
        <x:v>6606.5</x:v>
      </x:c>
      <x:c r="I66" s="22" t="n">
        <x:f>IF(E66="有效",'成本明细'!G186,"n.a.")</x:f>
        <x:v>181</x:v>
      </x:c>
      <x:c r="J66" s="22" t="n">
        <x:f>IF(E66="有效",'参数'!$B$8,"n.a.")</x:f>
        <x:v>50</x:v>
      </x:c>
      <x:c r="K66" s="22" t="n">
        <x:f>IF(E66="有效",'参数'!$B$9,"n.a.")</x:f>
        <x:v>300</x:v>
      </x:c>
      <x:c r="L66" s="26" t="n">
        <x:f>IF(E66="有效",F66*K66,"n.a.")</x:f>
        <x:v>943448.5135833335</x:v>
      </x:c>
      <x:c r="M66" s="26" t="n">
        <x:f>IF(E66="有效",G66*K66+H66*ROUNDUP(K66/J66,0),"n.a.")</x:f>
        <x:v>1160331.5526163334</x:v>
      </x:c>
      <x:c r="N66" s="26" t="n">
        <x:f>IF(E66="有效",L66-M66,"n.a.")</x:f>
        <x:v>-216883.0390329999</x:v>
      </x:c>
      <x:c r="O66" s="32" t="n">
        <x:f>IF(E66="有效",N66/L66,"n.a.")</x:f>
        <x:v>-0.22988328023248608</x:v>
      </x:c>
      <x:c r="P66" s="26" t="n">
        <x:f>IF(E66="有效",L66/(K66*I66),"n.a.")</x:f>
        <x:v>17.37474242326581</x:v>
      </x:c>
      <x:c r="Q66" s="26" t="n">
        <x:f>IF(E66="有效",M66/(K66*I66),"n.a.")</x:f>
        <x:v>21.368905204720686</x:v>
      </x:c>
      <x:c r="R66" s="10" t="str">
        <x:f>IF(E66="有效",IF(F66-G66&lt;=0,"未回本",IF(ROUNDUP(H66/(F66-G66),0)&gt;MIN(J66,K66),"未回本",MAX(1,ROUNDUP(H66/(F66-G66),0)))),"n.a.")</x:f>
        <x:v>未回本</x:v>
      </x:c>
    </x:row>
    <x:row r="67" ht="22" customHeight="1">
      <x:c r="A67" s="11" t="str">
        <x:v>lade_0826_20aoi</x:v>
      </x:c>
      <x:c r="B67" s="10" t="n">
        <x:v>20</x:v>
      </x:c>
      <x:c r="C67" s="10" t="n">
        <x:v>42</x:v>
      </x:c>
      <x:c r="D67" s="11" t="str">
        <x:v>M2 / M4</x:v>
      </x:c>
      <x:c r="E67" s="11" t="str">
        <x:v>有效</x:v>
      </x:c>
      <x:c r="F67" s="26" t="n">
        <x:f>IF(E67="有效",'成本明细'!U189,"n.a.")</x:f>
        <x:v>2895.079181026667</x:v>
      </x:c>
      <x:c r="G67" s="26" t="n">
        <x:f>IF(E67="有效",'成本明细'!U195,"n.a.")</x:f>
        <x:v>4359.628141867778</x:v>
      </x:c>
      <x:c r="H67" s="26" t="n">
        <x:f>IF(E67="有效",'成本明细'!V195,"n.a.")</x:f>
        <x:v>6606.5</x:v>
      </x:c>
      <x:c r="I67" s="22" t="n">
        <x:f>IF(E67="有效",'成本明细'!G189,"n.a.")</x:f>
        <x:v>181</x:v>
      </x:c>
      <x:c r="J67" s="22" t="n">
        <x:f>IF(E67="有效",'参数'!$B$8,"n.a.")</x:f>
        <x:v>50</x:v>
      </x:c>
      <x:c r="K67" s="22" t="n">
        <x:f>IF(E67="有效",'参数'!$B$9,"n.a.")</x:f>
        <x:v>300</x:v>
      </x:c>
      <x:c r="L67" s="26" t="n">
        <x:f>IF(E67="有效",F67*K67,"n.a.")</x:f>
        <x:v>868523.7543080001</x:v>
      </x:c>
      <x:c r="M67" s="26" t="n">
        <x:f>IF(E67="有效",G67*K67+H67*ROUNDUP(K67/J67,0),"n.a.")</x:f>
        <x:v>1347527.4425603335</x:v>
      </x:c>
      <x:c r="N67" s="26" t="n">
        <x:f>IF(E67="有效",L67-M67,"n.a.")</x:f>
        <x:v>-479003.68825233344</x:v>
      </x:c>
      <x:c r="O67" s="32" t="n">
        <x:f>IF(E67="有效",N67/L67,"n.a.")</x:f>
        <x:v>-0.5515147811172783</x:v>
      </x:c>
      <x:c r="P67" s="26" t="n">
        <x:f>IF(E67="有效",L67/(K67*I67),"n.a.")</x:f>
        <x:v>15.994912602357276</x:v>
      </x:c>
      <x:c r="Q67" s="26" t="n">
        <x:f>IF(E67="有效",M67/(K67*I67),"n.a.")</x:f>
        <x:v>24.816343325236346</x:v>
      </x:c>
      <x:c r="R67" s="10" t="str">
        <x:f>IF(E67="有效",IF(F67-G67&lt;=0,"未回本",IF(ROUNDUP(H67/(F67-G67),0)&gt;MIN(J67,K67),"未回本",MAX(1,ROUNDUP(H67/(F67-G67),0)))),"n.a.")</x:f>
        <x:v>未回本</x:v>
      </x:c>
    </x:row>
    <x:row r="68" ht="22" customHeight="1">
      <x:c r="A68" s="11" t="str">
        <x:v>lade_0826_20aoi</x:v>
      </x:c>
      <x:c r="B68" s="10" t="n">
        <x:v>20</x:v>
      </x:c>
      <x:c r="C68" s="10" t="n">
        <x:v>43</x:v>
      </x:c>
      <x:c r="D68" s="11" t="str">
        <x:v>M1 / M3</x:v>
      </x:c>
      <x:c r="E68" s="11" t="str">
        <x:v>有效</x:v>
      </x:c>
      <x:c r="F68" s="26" t="n">
        <x:f>IF(E68="有效",'成本明细'!U187,"n.a.")</x:f>
        <x:v>3144.8283786111115</x:v>
      </x:c>
      <x:c r="G68" s="26" t="n">
        <x:f>IF(E68="有效",'成本明细'!U193,"n.a.")</x:f>
        <x:v>3735.6418420544446</x:v>
      </x:c>
      <x:c r="H68" s="26" t="n">
        <x:f>IF(E68="有效",'成本明细'!V193,"n.a.")</x:f>
        <x:v>6606.5</x:v>
      </x:c>
      <x:c r="I68" s="22" t="n">
        <x:f>IF(E68="有效",'成本明细'!G187,"n.a.")</x:f>
        <x:v>181</x:v>
      </x:c>
      <x:c r="J68" s="22" t="n">
        <x:f>IF(E68="有效",'参数'!$B$8,"n.a.")</x:f>
        <x:v>50</x:v>
      </x:c>
      <x:c r="K68" s="22" t="n">
        <x:f>IF(E68="有效",'参数'!$B$9,"n.a.")</x:f>
        <x:v>300</x:v>
      </x:c>
      <x:c r="L68" s="26" t="n">
        <x:f>IF(E68="有效",F68*K68,"n.a.")</x:f>
        <x:v>943448.5135833335</x:v>
      </x:c>
      <x:c r="M68" s="26" t="n">
        <x:f>IF(E68="有效",G68*K68+H68*ROUNDUP(K68/J68,0),"n.a.")</x:f>
        <x:v>1160331.5526163334</x:v>
      </x:c>
      <x:c r="N68" s="26" t="n">
        <x:f>IF(E68="有效",L68-M68,"n.a.")</x:f>
        <x:v>-216883.0390329999</x:v>
      </x:c>
      <x:c r="O68" s="32" t="n">
        <x:f>IF(E68="有效",N68/L68,"n.a.")</x:f>
        <x:v>-0.22988328023248608</x:v>
      </x:c>
      <x:c r="P68" s="26" t="n">
        <x:f>IF(E68="有效",L68/(K68*I68),"n.a.")</x:f>
        <x:v>17.37474242326581</x:v>
      </x:c>
      <x:c r="Q68" s="26" t="n">
        <x:f>IF(E68="有效",M68/(K68*I68),"n.a.")</x:f>
        <x:v>21.368905204720686</x:v>
      </x:c>
      <x:c r="R68" s="10" t="str">
        <x:f>IF(E68="有效",IF(F68-G68&lt;=0,"未回本",IF(ROUNDUP(H68/(F68-G68),0)&gt;MIN(J68,K68),"未回本",MAX(1,ROUNDUP(H68/(F68-G68),0)))),"n.a.")</x:f>
        <x:v>未回本</x:v>
      </x:c>
    </x:row>
    <x:row r="69" ht="22" customHeight="1">
      <x:c r="A69" s="11" t="str">
        <x:v>lade_0826_20aoi</x:v>
      </x:c>
      <x:c r="B69" s="10" t="n">
        <x:v>20</x:v>
      </x:c>
      <x:c r="C69" s="10" t="n">
        <x:v>43</x:v>
      </x:c>
      <x:c r="D69" s="11" t="str">
        <x:v>M2 / M4</x:v>
      </x:c>
      <x:c r="E69" s="11" t="str">
        <x:v>有效</x:v>
      </x:c>
      <x:c r="F69" s="26" t="n">
        <x:f>IF(E69="有效",'成本明细'!U190,"n.a.")</x:f>
        <x:v>2895.2248830494445</x:v>
      </x:c>
      <x:c r="G69" s="26" t="n">
        <x:f>IF(E69="有效",'成本明细'!U196,"n.a.")</x:f>
        <x:v>3286.30136602</x:v>
      </x:c>
      <x:c r="H69" s="26" t="n">
        <x:f>IF(E69="有效",'成本明细'!V196,"n.a.")</x:f>
        <x:v>6606.5</x:v>
      </x:c>
      <x:c r="I69" s="22" t="n">
        <x:f>IF(E69="有效",'成本明细'!G190,"n.a.")</x:f>
        <x:v>181</x:v>
      </x:c>
      <x:c r="J69" s="22" t="n">
        <x:f>IF(E69="有效",'参数'!$B$8,"n.a.")</x:f>
        <x:v>50</x:v>
      </x:c>
      <x:c r="K69" s="22" t="n">
        <x:f>IF(E69="有效",'参数'!$B$9,"n.a.")</x:f>
        <x:v>300</x:v>
      </x:c>
      <x:c r="L69" s="26" t="n">
        <x:f>IF(E69="有效",F69*K69,"n.a.")</x:f>
        <x:v>868567.4649148333</x:v>
      </x:c>
      <x:c r="M69" s="26" t="n">
        <x:f>IF(E69="有效",G69*K69+H69*ROUNDUP(K69/J69,0),"n.a.")</x:f>
        <x:v>1025529.409806</x:v>
      </x:c>
      <x:c r="N69" s="26" t="n">
        <x:f>IF(E69="有效",L69-M69,"n.a.")</x:f>
        <x:v>-156961.94489116664</x:v>
      </x:c>
      <x:c r="O69" s="32" t="n">
        <x:f>IF(E69="有效",N69/L69,"n.a.")</x:f>
        <x:v>-0.1807135901717864</x:v>
      </x:c>
      <x:c r="P69" s="26" t="n">
        <x:f>IF(E69="有效",L69/(K69*I69),"n.a.")</x:f>
        <x:v>15.995717585908533</x:v>
      </x:c>
      <x:c r="Q69" s="26" t="n">
        <x:f>IF(E69="有效",M69/(K69*I69),"n.a.")</x:f>
        <x:v>18.886361138232044</x:v>
      </x:c>
      <x:c r="R69" s="10" t="str">
        <x:f>IF(E69="有效",IF(F69-G69&lt;=0,"未回本",IF(ROUNDUP(H69/(F69-G69),0)&gt;MIN(J69,K69),"未回本",MAX(1,ROUNDUP(H69/(F69-G69),0)))),"n.a.")</x:f>
        <x:v>未回本</x:v>
      </x:c>
    </x:row>
    <x:row r="70" ht="22" customHeight="1">
      <x:c r="A70" s="11" t="str">
        <x:v>lade_0826_20aoi</x:v>
      </x:c>
      <x:c r="B70" s="10" t="n">
        <x:v>20</x:v>
      </x:c>
      <x:c r="C70" s="10" t="n">
        <x:v>44</x:v>
      </x:c>
      <x:c r="D70" s="11" t="str">
        <x:v>M1 / M3</x:v>
      </x:c>
      <x:c r="E70" s="11" t="str">
        <x:v>有效</x:v>
      </x:c>
      <x:c r="F70" s="26" t="n">
        <x:f>IF(E70="有效",'成本明细'!U188,"n.a.")</x:f>
        <x:v>3144.8283786111115</x:v>
      </x:c>
      <x:c r="G70" s="26" t="n">
        <x:f>IF(E70="有效",'成本明细'!U194,"n.a.")</x:f>
        <x:v>3733.7799206494446</x:v>
      </x:c>
      <x:c r="H70" s="26" t="n">
        <x:f>IF(E70="有效",'成本明细'!V194,"n.a.")</x:f>
        <x:v>6606.5</x:v>
      </x:c>
      <x:c r="I70" s="22" t="n">
        <x:f>IF(E70="有效",'成本明细'!G188,"n.a.")</x:f>
        <x:v>181</x:v>
      </x:c>
      <x:c r="J70" s="22" t="n">
        <x:f>IF(E70="有效",'参数'!$B$8,"n.a.")</x:f>
        <x:v>50</x:v>
      </x:c>
      <x:c r="K70" s="22" t="n">
        <x:f>IF(E70="有效",'参数'!$B$9,"n.a.")</x:f>
        <x:v>300</x:v>
      </x:c>
      <x:c r="L70" s="26" t="n">
        <x:f>IF(E70="有效",F70*K70,"n.a.")</x:f>
        <x:v>943448.5135833335</x:v>
      </x:c>
      <x:c r="M70" s="26" t="n">
        <x:f>IF(E70="有效",G70*K70+H70*ROUNDUP(K70/J70,0),"n.a.")</x:f>
        <x:v>1159772.9761948334</x:v>
      </x:c>
      <x:c r="N70" s="26" t="n">
        <x:f>IF(E70="有效",L70-M70,"n.a.")</x:f>
        <x:v>-216324.46261149994</x:v>
      </x:c>
      <x:c r="O70" s="32" t="n">
        <x:f>IF(E70="有效",N70/L70,"n.a.")</x:f>
        <x:v>-0.22929122204016522</x:v>
      </x:c>
      <x:c r="P70" s="26" t="n">
        <x:f>IF(E70="有效",L70/(K70*I70),"n.a.")</x:f>
        <x:v>17.37474242326581</x:v>
      </x:c>
      <x:c r="Q70" s="26" t="n">
        <x:f>IF(E70="有效",M70/(K70*I70),"n.a.")</x:f>
        <x:v>21.35861834612953</x:v>
      </x:c>
      <x:c r="R70" s="10" t="str">
        <x:f>IF(E70="有效",IF(F70-G70&lt;=0,"未回本",IF(ROUNDUP(H70/(F70-G70),0)&gt;MIN(J70,K70),"未回本",MAX(1,ROUNDUP(H70/(F70-G70),0)))),"n.a.")</x:f>
        <x:v>未回本</x:v>
      </x:c>
    </x:row>
    <x:row r="71" ht="22" customHeight="1">
      <x:c r="A71" s="11" t="str">
        <x:v>lade_0826_20aoi</x:v>
      </x:c>
      <x:c r="B71" s="10" t="n">
        <x:v>20</x:v>
      </x:c>
      <x:c r="C71" s="10" t="n">
        <x:v>44</x:v>
      </x:c>
      <x:c r="D71" s="11" t="str">
        <x:v>M2 / M4</x:v>
      </x:c>
      <x:c r="E71" s="11" t="str">
        <x:v>有效</x:v>
      </x:c>
      <x:c r="F71" s="26" t="n">
        <x:f>IF(E71="有效",'成本明细'!U191,"n.a.")</x:f>
        <x:v>2902.3486108555553</x:v>
      </x:c>
      <x:c r="G71" s="26" t="n">
        <x:f>IF(E71="有效",'成本明细'!U197,"n.a.")</x:f>
        <x:v>4196.703876887222</x:v>
      </x:c>
      <x:c r="H71" s="26" t="n">
        <x:f>IF(E71="有效",'成本明细'!V197,"n.a.")</x:f>
        <x:v>6606.5</x:v>
      </x:c>
      <x:c r="I71" s="22" t="n">
        <x:f>IF(E71="有效",'成本明细'!G191,"n.a.")</x:f>
        <x:v>181</x:v>
      </x:c>
      <x:c r="J71" s="22" t="n">
        <x:f>IF(E71="有效",'参数'!$B$8,"n.a.")</x:f>
        <x:v>50</x:v>
      </x:c>
      <x:c r="K71" s="22" t="n">
        <x:f>IF(E71="有效",'参数'!$B$9,"n.a.")</x:f>
        <x:v>300</x:v>
      </x:c>
      <x:c r="L71" s="26" t="n">
        <x:f>IF(E71="有效",F71*K71,"n.a.")</x:f>
        <x:v>870704.5832566665</x:v>
      </x:c>
      <x:c r="M71" s="26" t="n">
        <x:f>IF(E71="有效",G71*K71+H71*ROUNDUP(K71/J71,0),"n.a.")</x:f>
        <x:v>1298650.1630661665</x:v>
      </x:c>
      <x:c r="N71" s="26" t="n">
        <x:f>IF(E71="有效",L71-M71,"n.a.")</x:f>
        <x:v>-427945.5798094999</x:v>
      </x:c>
      <x:c r="O71" s="32" t="n">
        <x:f>IF(E71="有效",N71/L71,"n.a.")</x:f>
        <x:v>-0.4914934273216637</x:v>
      </x:c>
      <x:c r="P71" s="26" t="n">
        <x:f>IF(E71="有效",L71/(K71*I71),"n.a.")</x:f>
        <x:v>16.03507519809699</x:v>
      </x:c>
      <x:c r="Q71" s="26" t="n">
        <x:f>IF(E71="有效",M71/(K71*I71),"n.a.")</x:f>
        <x:v>23.916209264570284</x:v>
      </x:c>
      <x:c r="R71" s="10" t="str">
        <x:f>IF(E71="有效",IF(F71-G71&lt;=0,"未回本",IF(ROUNDUP(H71/(F71-G71),0)&gt;MIN(J71,K71),"未回本",MAX(1,ROUNDUP(H71/(F71-G71),0)))),"n.a.")</x:f>
        <x:v>未回本</x:v>
      </x:c>
    </x:row>
    <x:row r="72" ht="22" customHeight="1">
      <x:c r="A72" s="11" t="str">
        <x:v>lade_0826_30aoi</x:v>
      </x:c>
      <x:c r="B72" s="10" t="n">
        <x:v>30</x:v>
      </x:c>
      <x:c r="C72" s="10" t="n">
        <x:v>42</x:v>
      </x:c>
      <x:c r="D72" s="11" t="str">
        <x:v>M1 / M3</x:v>
      </x:c>
      <x:c r="E72" s="11" t="str">
        <x:v>有效</x:v>
      </x:c>
      <x:c r="F72" s="26" t="n">
        <x:f>IF(E72="有效",'成本明细'!U204,"n.a.")</x:f>
        <x:v>3111.322919631667</x:v>
      </x:c>
      <x:c r="G72" s="26" t="n">
        <x:f>IF(E72="有效",'成本明细'!U210,"n.a.")</x:f>
        <x:v>3504.176064511667</x:v>
      </x:c>
      <x:c r="H72" s="26" t="n">
        <x:f>IF(E72="有效",'成本明细'!V210,"n.a.")</x:f>
        <x:v>8322</x:v>
      </x:c>
      <x:c r="I72" s="22" t="n">
        <x:f>IF(E72="有效",'成本明细'!G204,"n.a.")</x:f>
        <x:v>228</x:v>
      </x:c>
      <x:c r="J72" s="22" t="n">
        <x:f>IF(E72="有效",'参数'!$B$8,"n.a.")</x:f>
        <x:v>50</x:v>
      </x:c>
      <x:c r="K72" s="22" t="n">
        <x:f>IF(E72="有效",'参数'!$B$9,"n.a.")</x:f>
        <x:v>300</x:v>
      </x:c>
      <x:c r="L72" s="26" t="n">
        <x:f>IF(E72="有效",F72*K72,"n.a.")</x:f>
        <x:v>933396.8758895001</x:v>
      </x:c>
      <x:c r="M72" s="26" t="n">
        <x:f>IF(E72="有效",G72*K72+H72*ROUNDUP(K72/J72,0),"n.a.")</x:f>
        <x:v>1101184.8193535001</x:v>
      </x:c>
      <x:c r="N72" s="26" t="n">
        <x:f>IF(E72="有效",L72-M72,"n.a.")</x:f>
        <x:v>-167787.943464</x:v>
      </x:c>
      <x:c r="O72" s="32" t="n">
        <x:f>IF(E72="有效",N72/L72,"n.a.")</x:f>
        <x:v>-0.17976055823424839</x:v>
      </x:c>
      <x:c r="P72" s="26" t="n">
        <x:f>IF(E72="有效",L72/(K72*I72),"n.a.")</x:f>
        <x:v>13.646153156279242</x:v>
      </x:c>
      <x:c r="Q72" s="26" t="n">
        <x:f>IF(E72="有效",M72/(K72*I72),"n.a.")</x:f>
        <x:v>16.09919326540205</x:v>
      </x:c>
      <x:c r="R72" s="10" t="str">
        <x:f>IF(E72="有效",IF(F72-G72&lt;=0,"未回本",IF(ROUNDUP(H72/(F72-G72),0)&gt;MIN(J72,K72),"未回本",MAX(1,ROUNDUP(H72/(F72-G72),0)))),"n.a.")</x:f>
        <x:v>未回本</x:v>
      </x:c>
    </x:row>
    <x:row r="73" ht="22" customHeight="1">
      <x:c r="A73" s="11" t="str">
        <x:v>lade_0826_30aoi</x:v>
      </x:c>
      <x:c r="B73" s="10" t="n">
        <x:v>30</x:v>
      </x:c>
      <x:c r="C73" s="10" t="n">
        <x:v>42</x:v>
      </x:c>
      <x:c r="D73" s="11" t="str">
        <x:v>M2 / M4</x:v>
      </x:c>
      <x:c r="E73" s="11" t="str">
        <x:v>有效</x:v>
      </x:c>
      <x:c r="F73" s="26" t="n">
        <x:f>IF(E73="有效",'成本明细'!U207,"n.a.")</x:f>
        <x:v>2853.3344543661115</x:v>
      </x:c>
      <x:c r="G73" s="26" t="n">
        <x:f>IF(E73="有效",'成本明细'!U213,"n.a.")</x:f>
        <x:v>3660.430428623889</x:v>
      </x:c>
      <x:c r="H73" s="26" t="n">
        <x:f>IF(E73="有效",'成本明细'!V213,"n.a.")</x:f>
        <x:v>8322</x:v>
      </x:c>
      <x:c r="I73" s="22" t="n">
        <x:f>IF(E73="有效",'成本明细'!G207,"n.a.")</x:f>
        <x:v>228</x:v>
      </x:c>
      <x:c r="J73" s="22" t="n">
        <x:f>IF(E73="有效",'参数'!$B$8,"n.a.")</x:f>
        <x:v>50</x:v>
      </x:c>
      <x:c r="K73" s="22" t="n">
        <x:f>IF(E73="有效",'参数'!$B$9,"n.a.")</x:f>
        <x:v>300</x:v>
      </x:c>
      <x:c r="L73" s="26" t="n">
        <x:f>IF(E73="有效",F73*K73,"n.a.")</x:f>
        <x:v>856000.3363098335</x:v>
      </x:c>
      <x:c r="M73" s="26" t="n">
        <x:f>IF(E73="有效",G73*K73+H73*ROUNDUP(K73/J73,0),"n.a.")</x:f>
        <x:v>1148061.1285871668</x:v>
      </x:c>
      <x:c r="N73" s="26" t="n">
        <x:f>IF(E73="有效",L73-M73,"n.a.")</x:f>
        <x:v>-292060.7922773333</x:v>
      </x:c>
      <x:c r="O73" s="32" t="n">
        <x:f>IF(E73="有效",N73/L73,"n.a.")</x:f>
        <x:v>-0.3411923802932018</x:v>
      </x:c>
      <x:c r="P73" s="26" t="n">
        <x:f>IF(E73="有效",L73/(K73*I73),"n.a.")</x:f>
        <x:v>12.514624799851367</x:v>
      </x:c>
      <x:c r="Q73" s="26" t="n">
        <x:f>IF(E73="有效",M73/(K73*I73),"n.a.")</x:f>
        <x:v>16.78451942378899</x:v>
      </x:c>
      <x:c r="R73" s="10" t="str">
        <x:f>IF(E73="有效",IF(F73-G73&lt;=0,"未回本",IF(ROUNDUP(H73/(F73-G73),0)&gt;MIN(J73,K73),"未回本",MAX(1,ROUNDUP(H73/(F73-G73),0)))),"n.a.")</x:f>
        <x:v>未回本</x:v>
      </x:c>
    </x:row>
    <x:row r="74" ht="22" customHeight="1">
      <x:c r="A74" s="11" t="str">
        <x:v>lade_0826_30aoi</x:v>
      </x:c>
      <x:c r="B74" s="10" t="n">
        <x:v>30</x:v>
      </x:c>
      <x:c r="C74" s="10" t="n">
        <x:v>43</x:v>
      </x:c>
      <x:c r="D74" s="11" t="str">
        <x:v>M1 / M3</x:v>
      </x:c>
      <x:c r="E74" s="11" t="str">
        <x:v>有效</x:v>
      </x:c>
      <x:c r="F74" s="26" t="n">
        <x:f>IF(E74="有效",'成本明细'!U205,"n.a.")</x:f>
        <x:v>3039.425992795</x:v>
      </x:c>
      <x:c r="G74" s="26" t="n">
        <x:f>IF(E74="有效",'成本明细'!U211,"n.a.")</x:f>
        <x:v>4569.065652000555</x:v>
      </x:c>
      <x:c r="H74" s="26" t="n">
        <x:f>IF(E74="有效",'成本明细'!V211,"n.a.")</x:f>
        <x:v>8322</x:v>
      </x:c>
      <x:c r="I74" s="22" t="n">
        <x:f>IF(E74="有效",'成本明细'!G205,"n.a.")</x:f>
        <x:v>228</x:v>
      </x:c>
      <x:c r="J74" s="22" t="n">
        <x:f>IF(E74="有效",'参数'!$B$8,"n.a.")</x:f>
        <x:v>50</x:v>
      </x:c>
      <x:c r="K74" s="22" t="n">
        <x:f>IF(E74="有效",'参数'!$B$9,"n.a.")</x:f>
        <x:v>300</x:v>
      </x:c>
      <x:c r="L74" s="26" t="n">
        <x:f>IF(E74="有效",F74*K74,"n.a.")</x:f>
        <x:v>911827.7978385</x:v>
      </x:c>
      <x:c r="M74" s="26" t="n">
        <x:f>IF(E74="有效",G74*K74+H74*ROUNDUP(K74/J74,0),"n.a.")</x:f>
        <x:v>1420651.6956001665</x:v>
      </x:c>
      <x:c r="N74" s="26" t="n">
        <x:f>IF(E74="有效",L74-M74,"n.a.")</x:f>
        <x:v>-508823.89776166645</x:v>
      </x:c>
      <x:c r="O74" s="32" t="n">
        <x:f>IF(E74="有效",N74/L74,"n.a.")</x:f>
        <x:v>-0.5580263060282219</x:v>
      </x:c>
      <x:c r="P74" s="26" t="n">
        <x:f>IF(E74="有效",L74/(K74*I74),"n.a.")</x:f>
        <x:v>13.330815757872807</x:v>
      </x:c>
      <x:c r="Q74" s="26" t="n">
        <x:f>IF(E74="有效",M74/(K74*I74),"n.a.")</x:f>
        <x:v>20.769761631581382</x:v>
      </x:c>
      <x:c r="R74" s="10" t="str">
        <x:f>IF(E74="有效",IF(F74-G74&lt;=0,"未回本",IF(ROUNDUP(H74/(F74-G74),0)&gt;MIN(J74,K74),"未回本",MAX(1,ROUNDUP(H74/(F74-G74),0)))),"n.a.")</x:f>
        <x:v>未回本</x:v>
      </x:c>
    </x:row>
    <x:row r="75" ht="22" customHeight="1">
      <x:c r="A75" s="11" t="str">
        <x:v>lade_0826_30aoi</x:v>
      </x:c>
      <x:c r="B75" s="10" t="n">
        <x:v>30</x:v>
      </x:c>
      <x:c r="C75" s="10" t="n">
        <x:v>43</x:v>
      </x:c>
      <x:c r="D75" s="11" t="str">
        <x:v>M2 / M4</x:v>
      </x:c>
      <x:c r="E75" s="11" t="str">
        <x:v>有效</x:v>
      </x:c>
      <x:c r="F75" s="26" t="n">
        <x:f>IF(E75="有效",'成本明细'!U208,"n.a.")</x:f>
        <x:v>3186.024039388889</x:v>
      </x:c>
      <x:c r="G75" s="26" t="n">
        <x:f>IF(E75="有效",'成本明细'!U214,"n.a.")</x:f>
        <x:v>3667.3137053816668</x:v>
      </x:c>
      <x:c r="H75" s="26" t="n">
        <x:f>IF(E75="有效",'成本明细'!V214,"n.a.")</x:f>
        <x:v>8322</x:v>
      </x:c>
      <x:c r="I75" s="22" t="n">
        <x:f>IF(E75="有效",'成本明细'!G208,"n.a.")</x:f>
        <x:v>228</x:v>
      </x:c>
      <x:c r="J75" s="22" t="n">
        <x:f>IF(E75="有效",'参数'!$B$8,"n.a.")</x:f>
        <x:v>50</x:v>
      </x:c>
      <x:c r="K75" s="22" t="n">
        <x:f>IF(E75="有效",'参数'!$B$9,"n.a.")</x:f>
        <x:v>300</x:v>
      </x:c>
      <x:c r="L75" s="26" t="n">
        <x:f>IF(E75="有效",F75*K75,"n.a.")</x:f>
        <x:v>955807.2118166666</x:v>
      </x:c>
      <x:c r="M75" s="26" t="n">
        <x:f>IF(E75="有效",G75*K75+H75*ROUNDUP(K75/J75,0),"n.a.")</x:f>
        <x:v>1150126.1116145</x:v>
      </x:c>
      <x:c r="N75" s="26" t="n">
        <x:f>IF(E75="有效",L75-M75,"n.a.")</x:f>
        <x:v>-194318.8997978333</x:v>
      </x:c>
      <x:c r="O75" s="32" t="n">
        <x:f>IF(E75="有效",N75/L75,"n.a.")</x:f>
        <x:v>-0.2033034459203323</x:v>
      </x:c>
      <x:c r="P75" s="26" t="n">
        <x:f>IF(E75="有效",L75/(K75*I75),"n.a.")</x:f>
        <x:v>13.973789646442494</x:v>
      </x:c>
      <x:c r="Q75" s="26" t="n">
        <x:f>IF(E75="有效",M75/(K75*I75),"n.a.")</x:f>
        <x:v>16.814709234130117</x:v>
      </x:c>
      <x:c r="R75" s="10" t="str">
        <x:f>IF(E75="有效",IF(F75-G75&lt;=0,"未回本",IF(ROUNDUP(H75/(F75-G75),0)&gt;MIN(J75,K75),"未回本",MAX(1,ROUNDUP(H75/(F75-G75),0)))),"n.a.")</x:f>
        <x:v>未回本</x:v>
      </x:c>
    </x:row>
    <x:row r="76" ht="22" customHeight="1">
      <x:c r="A76" s="11" t="str">
        <x:v>lade_0826_30aoi</x:v>
      </x:c>
      <x:c r="B76" s="10" t="n">
        <x:v>30</x:v>
      </x:c>
      <x:c r="C76" s="10" t="n">
        <x:v>44</x:v>
      </x:c>
      <x:c r="D76" s="11" t="str">
        <x:v>M1 / M3</x:v>
      </x:c>
      <x:c r="E76" s="11" t="str">
        <x:v>有效</x:v>
      </x:c>
      <x:c r="F76" s="26" t="n">
        <x:f>IF(E76="有效",'成本明细'!U206,"n.a.")</x:f>
        <x:v>3353.5016498311115</x:v>
      </x:c>
      <x:c r="G76" s="26" t="n">
        <x:f>IF(E76="有效",'成本明细'!U212,"n.a.")</x:f>
        <x:v>4412.181401124444</x:v>
      </x:c>
      <x:c r="H76" s="26" t="n">
        <x:f>IF(E76="有效",'成本明细'!V212,"n.a.")</x:f>
        <x:v>8322</x:v>
      </x:c>
      <x:c r="I76" s="22" t="n">
        <x:f>IF(E76="有效",'成本明细'!G206,"n.a.")</x:f>
        <x:v>228</x:v>
      </x:c>
      <x:c r="J76" s="22" t="n">
        <x:f>IF(E76="有效",'参数'!$B$8,"n.a.")</x:f>
        <x:v>50</x:v>
      </x:c>
      <x:c r="K76" s="22" t="n">
        <x:f>IF(E76="有效",'参数'!$B$9,"n.a.")</x:f>
        <x:v>300</x:v>
      </x:c>
      <x:c r="L76" s="26" t="n">
        <x:f>IF(E76="有效",F76*K76,"n.a.")</x:f>
        <x:v>1006050.4949493335</x:v>
      </x:c>
      <x:c r="M76" s="26" t="n">
        <x:f>IF(E76="有效",G76*K76+H76*ROUNDUP(K76/J76,0),"n.a.")</x:f>
        <x:v>1373586.4203373333</x:v>
      </x:c>
      <x:c r="N76" s="26" t="n">
        <x:f>IF(E76="有效",L76-M76,"n.a.")</x:f>
        <x:v>-367535.92538799986</x:v>
      </x:c>
      <x:c r="O76" s="32" t="n">
        <x:f>IF(E76="有效",N76/L76,"n.a.")</x:f>
        <x:v>-0.36532552514325795</x:v>
      </x:c>
      <x:c r="P76" s="26" t="n">
        <x:f>IF(E76="有效",L76/(K76*I76),"n.a.")</x:f>
        <x:v>14.7083405694347</x:v>
      </x:c>
      <x:c r="Q76" s="26" t="n">
        <x:f>IF(E76="有效",M76/(K76*I76),"n.a.")</x:f>
        <x:v>20.081672811949318</x:v>
      </x:c>
      <x:c r="R76" s="10" t="str">
        <x:f>IF(E76="有效",IF(F76-G76&lt;=0,"未回本",IF(ROUNDUP(H76/(F76-G76),0)&gt;MIN(J76,K76),"未回本",MAX(1,ROUNDUP(H76/(F76-G76),0)))),"n.a.")</x:f>
        <x:v>未回本</x:v>
      </x:c>
    </x:row>
    <x:row r="77" ht="22" customHeight="1">
      <x:c r="A77" s="11" t="str">
        <x:v>lade_0826_30aoi</x:v>
      </x:c>
      <x:c r="B77" s="10" t="n">
        <x:v>30</x:v>
      </x:c>
      <x:c r="C77" s="10" t="n">
        <x:v>44</x:v>
      </x:c>
      <x:c r="D77" s="11" t="str">
        <x:v>M2 / M4</x:v>
      </x:c>
      <x:c r="E77" s="11" t="str">
        <x:v>有效</x:v>
      </x:c>
      <x:c r="F77" s="26" t="n">
        <x:f>IF(E77="有效",'成本明细'!U209,"n.a.")</x:f>
        <x:v>3185.7181542338894</x:v>
      </x:c>
      <x:c r="G77" s="26" t="n">
        <x:f>IF(E77="有效",'成本明细'!U215,"n.a.")</x:f>
        <x:v>4598.230019359444</x:v>
      </x:c>
      <x:c r="H77" s="26" t="n">
        <x:f>IF(E77="有效",'成本明细'!V215,"n.a.")</x:f>
        <x:v>8322</x:v>
      </x:c>
      <x:c r="I77" s="22" t="n">
        <x:f>IF(E77="有效",'成本明细'!G209,"n.a.")</x:f>
        <x:v>228</x:v>
      </x:c>
      <x:c r="J77" s="22" t="n">
        <x:f>IF(E77="有效",'参数'!$B$8,"n.a.")</x:f>
        <x:v>50</x:v>
      </x:c>
      <x:c r="K77" s="22" t="n">
        <x:f>IF(E77="有效",'参数'!$B$9,"n.a.")</x:f>
        <x:v>300</x:v>
      </x:c>
      <x:c r="L77" s="26" t="n">
        <x:f>IF(E77="有效",F77*K77,"n.a.")</x:f>
        <x:v>955715.4462701668</x:v>
      </x:c>
      <x:c r="M77" s="26" t="n">
        <x:f>IF(E77="有效",G77*K77+H77*ROUNDUP(K77/J77,0),"n.a.")</x:f>
        <x:v>1429401.005807833</x:v>
      </x:c>
      <x:c r="N77" s="26" t="n">
        <x:f>IF(E77="有效",L77-M77,"n.a.")</x:f>
        <x:v>-473685.55953766627</x:v>
      </x:c>
      <x:c r="O77" s="32" t="n">
        <x:f>IF(E77="有效",N77/L77,"n.a.")</x:f>
        <x:v>-0.4956345127478062</x:v>
      </x:c>
      <x:c r="P77" s="26" t="n">
        <x:f>IF(E77="有效",L77/(K77*I77),"n.a.")</x:f>
        <x:v>13.972448044885478</x:v>
      </x:c>
      <x:c r="Q77" s="26" t="n">
        <x:f>IF(E77="有效",M77/(K77*I77),"n.a.")</x:f>
        <x:v>20.89767552350633</x:v>
      </x:c>
      <x:c r="R77" s="10" t="str">
        <x:f>IF(E77="有效",IF(F77-G77&lt;=0,"未回本",IF(ROUNDUP(H77/(F77-G77),0)&gt;MIN(J77,K77),"未回本",MAX(1,ROUNDUP(H77/(F77-G77),0)))),"n.a.")</x:f>
        <x:v>未回本</x:v>
      </x:c>
    </x:row>
    <x:row r="78" ht="22" customHeight="1">
      <x:c r="A78" s="11" t="str">
        <x:v>lade_0827_10aoi</x:v>
      </x:c>
      <x:c r="B78" s="10" t="n">
        <x:v>10</x:v>
      </x:c>
      <x:c r="C78" s="10" t="n">
        <x:v>42</x:v>
      </x:c>
      <x:c r="D78" s="11" t="str">
        <x:v>M1 / M3</x:v>
      </x:c>
      <x:c r="E78" s="11" t="str">
        <x:v>有效</x:v>
      </x:c>
      <x:c r="F78" s="26" t="n">
        <x:f>IF(E78="有效",'成本明细'!U222,"n.a.")</x:f>
        <x:v>1808.0033778788888</x:v>
      </x:c>
      <x:c r="G78" s="26" t="n">
        <x:f>IF(E78="有效",'成本明细'!U228,"n.a.")</x:f>
        <x:v>2323.768246568889</x:v>
      </x:c>
      <x:c r="H78" s="26" t="n">
        <x:f>IF(E78="有效",'成本明细'!V228,"n.a.")</x:f>
        <x:v>4416.5</x:v>
      </x:c>
      <x:c r="I78" s="22" t="n">
        <x:f>IF(E78="有效",'成本明细'!G222,"n.a.")</x:f>
        <x:v>121</x:v>
      </x:c>
      <x:c r="J78" s="22" t="n">
        <x:f>IF(E78="有效",'参数'!$B$8,"n.a.")</x:f>
        <x:v>50</x:v>
      </x:c>
      <x:c r="K78" s="22" t="n">
        <x:f>IF(E78="有效",'参数'!$B$9,"n.a.")</x:f>
        <x:v>300</x:v>
      </x:c>
      <x:c r="L78" s="26" t="n">
        <x:f>IF(E78="有效",F78*K78,"n.a.")</x:f>
        <x:v>542401.0133636666</x:v>
      </x:c>
      <x:c r="M78" s="26" t="n">
        <x:f>IF(E78="有效",G78*K78+H78*ROUNDUP(K78/J78,0),"n.a.")</x:f>
        <x:v>723629.4739706668</x:v>
      </x:c>
      <x:c r="N78" s="26" t="n">
        <x:f>IF(E78="有效",L78-M78,"n.a.")</x:f>
        <x:v>-181228.46060700016</x:v>
      </x:c>
      <x:c r="O78" s="32" t="n">
        <x:f>IF(E78="有效",N78/L78,"n.a.")</x:f>
        <x:v>-0.33412264384080514</x:v>
      </x:c>
      <x:c r="P78" s="26" t="n">
        <x:f>IF(E78="有效",L78/(K78*I78),"n.a.")</x:f>
        <x:v>14.94217667668503</x:v>
      </x:c>
      <x:c r="Q78" s="26" t="n">
        <x:f>IF(E78="有效",M78/(K78*I78),"n.a.")</x:f>
        <x:v>19.934696252635447</x:v>
      </x:c>
      <x:c r="R78" s="10" t="str">
        <x:f>IF(E78="有效",IF(F78-G78&lt;=0,"未回本",IF(ROUNDUP(H78/(F78-G78),0)&gt;MIN(J78,K78),"未回本",MAX(1,ROUNDUP(H78/(F78-G78),0)))),"n.a.")</x:f>
        <x:v>未回本</x:v>
      </x:c>
    </x:row>
    <x:row r="79" ht="22" customHeight="1">
      <x:c r="A79" s="11" t="str">
        <x:v>lade_0827_10aoi</x:v>
      </x:c>
      <x:c r="B79" s="10" t="n">
        <x:v>10</x:v>
      </x:c>
      <x:c r="C79" s="10" t="n">
        <x:v>42</x:v>
      </x:c>
      <x:c r="D79" s="11" t="str">
        <x:v>M2 / M4</x:v>
      </x:c>
      <x:c r="E79" s="11" t="str">
        <x:v>有效</x:v>
      </x:c>
      <x:c r="F79" s="26" t="n">
        <x:f>IF(E79="有效",'成本明细'!U225,"n.a.")</x:f>
        <x:v>1460.098726087222</x:v>
      </x:c>
      <x:c r="G79" s="26" t="n">
        <x:f>IF(E79="有效",'成本明细'!U231,"n.a.")</x:f>
        <x:v>2324.5040865555557</x:v>
      </x:c>
      <x:c r="H79" s="26" t="n">
        <x:f>IF(E79="有效",'成本明细'!V231,"n.a.")</x:f>
        <x:v>4416.5</x:v>
      </x:c>
      <x:c r="I79" s="22" t="n">
        <x:f>IF(E79="有效",'成本明细'!G225,"n.a.")</x:f>
        <x:v>121</x:v>
      </x:c>
      <x:c r="J79" s="22" t="n">
        <x:f>IF(E79="有效",'参数'!$B$8,"n.a.")</x:f>
        <x:v>50</x:v>
      </x:c>
      <x:c r="K79" s="22" t="n">
        <x:f>IF(E79="有效",'参数'!$B$9,"n.a.")</x:f>
        <x:v>300</x:v>
      </x:c>
      <x:c r="L79" s="26" t="n">
        <x:f>IF(E79="有效",F79*K79,"n.a.")</x:f>
        <x:v>438029.6178261666</x:v>
      </x:c>
      <x:c r="M79" s="26" t="n">
        <x:f>IF(E79="有效",G79*K79+H79*ROUNDUP(K79/J79,0),"n.a.")</x:f>
        <x:v>723850.2259666667</x:v>
      </x:c>
      <x:c r="N79" s="26" t="n">
        <x:f>IF(E79="有效",L79-M79,"n.a.")</x:f>
        <x:v>-285820.6081405001</x:v>
      </x:c>
      <x:c r="O79" s="32" t="n">
        <x:f>IF(E79="有效",N79/L79,"n.a.")</x:f>
        <x:v>-0.6525143426578265</x:v>
      </x:c>
      <x:c r="P79" s="26" t="n">
        <x:f>IF(E79="有效",L79/(K79*I79),"n.a.")</x:f>
        <x:v>12.066931620555554</x:v>
      </x:c>
      <x:c r="Q79" s="26" t="n">
        <x:f>IF(E79="有效",M79/(K79*I79),"n.a.")</x:f>
        <x:v>19.940777574839302</x:v>
      </x:c>
      <x:c r="R79" s="10" t="str">
        <x:f>IF(E79="有效",IF(F79-G79&lt;=0,"未回本",IF(ROUNDUP(H79/(F79-G79),0)&gt;MIN(J79,K79),"未回本",MAX(1,ROUNDUP(H79/(F79-G79),0)))),"n.a.")</x:f>
        <x:v>未回本</x:v>
      </x:c>
    </x:row>
    <x:row r="80" ht="22" customHeight="1">
      <x:c r="A80" s="11" t="str">
        <x:v>lade_0827_10aoi</x:v>
      </x:c>
      <x:c r="B80" s="10" t="n">
        <x:v>10</x:v>
      </x:c>
      <x:c r="C80" s="10" t="n">
        <x:v>43</x:v>
      </x:c>
      <x:c r="D80" s="11" t="str">
        <x:v>M1 / M3</x:v>
      </x:c>
      <x:c r="E80" s="11" t="str">
        <x:v>有效</x:v>
      </x:c>
      <x:c r="F80" s="26" t="n">
        <x:f>IF(E80="有效",'成本明细'!U223,"n.a.")</x:f>
        <x:v>1808.0033778788888</x:v>
      </x:c>
      <x:c r="G80" s="26" t="n">
        <x:f>IF(E80="有效",'成本明细'!U229,"n.a.")</x:f>
        <x:v>2323.768246568889</x:v>
      </x:c>
      <x:c r="H80" s="26" t="n">
        <x:f>IF(E80="有效",'成本明细'!V229,"n.a.")</x:f>
        <x:v>4416.5</x:v>
      </x:c>
      <x:c r="I80" s="22" t="n">
        <x:f>IF(E80="有效",'成本明细'!G223,"n.a.")</x:f>
        <x:v>121</x:v>
      </x:c>
      <x:c r="J80" s="22" t="n">
        <x:f>IF(E80="有效",'参数'!$B$8,"n.a.")</x:f>
        <x:v>50</x:v>
      </x:c>
      <x:c r="K80" s="22" t="n">
        <x:f>IF(E80="有效",'参数'!$B$9,"n.a.")</x:f>
        <x:v>300</x:v>
      </x:c>
      <x:c r="L80" s="26" t="n">
        <x:f>IF(E80="有效",F80*K80,"n.a.")</x:f>
        <x:v>542401.0133636666</x:v>
      </x:c>
      <x:c r="M80" s="26" t="n">
        <x:f>IF(E80="有效",G80*K80+H80*ROUNDUP(K80/J80,0),"n.a.")</x:f>
        <x:v>723629.4739706668</x:v>
      </x:c>
      <x:c r="N80" s="26" t="n">
        <x:f>IF(E80="有效",L80-M80,"n.a.")</x:f>
        <x:v>-181228.46060700016</x:v>
      </x:c>
      <x:c r="O80" s="32" t="n">
        <x:f>IF(E80="有效",N80/L80,"n.a.")</x:f>
        <x:v>-0.33412264384080514</x:v>
      </x:c>
      <x:c r="P80" s="26" t="n">
        <x:f>IF(E80="有效",L80/(K80*I80),"n.a.")</x:f>
        <x:v>14.94217667668503</x:v>
      </x:c>
      <x:c r="Q80" s="26" t="n">
        <x:f>IF(E80="有效",M80/(K80*I80),"n.a.")</x:f>
        <x:v>19.934696252635447</x:v>
      </x:c>
      <x:c r="R80" s="10" t="str">
        <x:f>IF(E80="有效",IF(F80-G80&lt;=0,"未回本",IF(ROUNDUP(H80/(F80-G80),0)&gt;MIN(J80,K80),"未回本",MAX(1,ROUNDUP(H80/(F80-G80),0)))),"n.a.")</x:f>
        <x:v>未回本</x:v>
      </x:c>
    </x:row>
    <x:row r="81" ht="22" customHeight="1">
      <x:c r="A81" s="11" t="str">
        <x:v>lade_0827_10aoi</x:v>
      </x:c>
      <x:c r="B81" s="10" t="n">
        <x:v>10</x:v>
      </x:c>
      <x:c r="C81" s="10" t="n">
        <x:v>43</x:v>
      </x:c>
      <x:c r="D81" s="11" t="str">
        <x:v>M2 / M4</x:v>
      </x:c>
      <x:c r="E81" s="11" t="str">
        <x:v>有效</x:v>
      </x:c>
      <x:c r="F81" s="26" t="n">
        <x:f>IF(E81="有效",'成本明细'!U226,"n.a.")</x:f>
        <x:v>1377.2700316961113</x:v>
      </x:c>
      <x:c r="G81" s="26" t="n">
        <x:f>IF(E81="有效",'成本明细'!U232,"n.a.")</x:f>
        <x:v>2321.9794290155555</x:v>
      </x:c>
      <x:c r="H81" s="26" t="n">
        <x:f>IF(E81="有效",'成本明细'!V232,"n.a.")</x:f>
        <x:v>4416.5</x:v>
      </x:c>
      <x:c r="I81" s="22" t="n">
        <x:f>IF(E81="有效",'成本明细'!G226,"n.a.")</x:f>
        <x:v>121</x:v>
      </x:c>
      <x:c r="J81" s="22" t="n">
        <x:f>IF(E81="有效",'参数'!$B$8,"n.a.")</x:f>
        <x:v>50</x:v>
      </x:c>
      <x:c r="K81" s="22" t="n">
        <x:f>IF(E81="有效",'参数'!$B$9,"n.a.")</x:f>
        <x:v>300</x:v>
      </x:c>
      <x:c r="L81" s="26" t="n">
        <x:f>IF(E81="有效",F81*K81,"n.a.")</x:f>
        <x:v>413181.0095088334</x:v>
      </x:c>
      <x:c r="M81" s="26" t="n">
        <x:f>IF(E81="有效",G81*K81+H81*ROUNDUP(K81/J81,0),"n.a.")</x:f>
        <x:v>723092.8287046667</x:v>
      </x:c>
      <x:c r="N81" s="26" t="n">
        <x:f>IF(E81="有效",L81-M81,"n.a.")</x:f>
        <x:v>-309911.8191958333</x:v>
      </x:c>
      <x:c r="O81" s="32" t="n">
        <x:f>IF(E81="有效",N81/L81,"n.a.")</x:f>
        <x:v>-0.7500630766264869</x:v>
      </x:c>
      <x:c r="P81" s="26" t="n">
        <x:f>IF(E81="有效",L81/(K81*I81),"n.a.")</x:f>
        <x:v>11.38239695616621</x:v>
      </x:c>
      <x:c r="Q81" s="26" t="n">
        <x:f>IF(E81="有效",M81/(K81*I81),"n.a.")</x:f>
        <x:v>19.919912636492196</x:v>
      </x:c>
      <x:c r="R81" s="10" t="str">
        <x:f>IF(E81="有效",IF(F81-G81&lt;=0,"未回本",IF(ROUNDUP(H81/(F81-G81),0)&gt;MIN(J81,K81),"未回本",MAX(1,ROUNDUP(H81/(F81-G81),0)))),"n.a.")</x:f>
        <x:v>未回本</x:v>
      </x:c>
    </x:row>
    <x:row r="82" ht="22" customHeight="1">
      <x:c r="A82" s="11" t="str">
        <x:v>lade_0827_10aoi</x:v>
      </x:c>
      <x:c r="B82" s="10" t="n">
        <x:v>10</x:v>
      </x:c>
      <x:c r="C82" s="10" t="n">
        <x:v>44</x:v>
      </x:c>
      <x:c r="D82" s="11" t="str">
        <x:v>M1 / M3</x:v>
      </x:c>
      <x:c r="E82" s="11" t="str">
        <x:v>有效</x:v>
      </x:c>
      <x:c r="F82" s="26" t="n">
        <x:f>IF(E82="有效",'成本明细'!U224,"n.a.")</x:f>
        <x:v>1808.0033778788888</x:v>
      </x:c>
      <x:c r="G82" s="26" t="n">
        <x:f>IF(E82="有效",'成本明细'!U230,"n.a.")</x:f>
        <x:v>2323.768246568889</x:v>
      </x:c>
      <x:c r="H82" s="26" t="n">
        <x:f>IF(E82="有效",'成本明细'!V230,"n.a.")</x:f>
        <x:v>4416.5</x:v>
      </x:c>
      <x:c r="I82" s="22" t="n">
        <x:f>IF(E82="有效",'成本明细'!G224,"n.a.")</x:f>
        <x:v>121</x:v>
      </x:c>
      <x:c r="J82" s="22" t="n">
        <x:f>IF(E82="有效",'参数'!$B$8,"n.a.")</x:f>
        <x:v>50</x:v>
      </x:c>
      <x:c r="K82" s="22" t="n">
        <x:f>IF(E82="有效",'参数'!$B$9,"n.a.")</x:f>
        <x:v>300</x:v>
      </x:c>
      <x:c r="L82" s="26" t="n">
        <x:f>IF(E82="有效",F82*K82,"n.a.")</x:f>
        <x:v>542401.0133636666</x:v>
      </x:c>
      <x:c r="M82" s="26" t="n">
        <x:f>IF(E82="有效",G82*K82+H82*ROUNDUP(K82/J82,0),"n.a.")</x:f>
        <x:v>723629.4739706668</x:v>
      </x:c>
      <x:c r="N82" s="26" t="n">
        <x:f>IF(E82="有效",L82-M82,"n.a.")</x:f>
        <x:v>-181228.46060700016</x:v>
      </x:c>
      <x:c r="O82" s="32" t="n">
        <x:f>IF(E82="有效",N82/L82,"n.a.")</x:f>
        <x:v>-0.33412264384080514</x:v>
      </x:c>
      <x:c r="P82" s="26" t="n">
        <x:f>IF(E82="有效",L82/(K82*I82),"n.a.")</x:f>
        <x:v>14.94217667668503</x:v>
      </x:c>
      <x:c r="Q82" s="26" t="n">
        <x:f>IF(E82="有效",M82/(K82*I82),"n.a.")</x:f>
        <x:v>19.934696252635447</x:v>
      </x:c>
      <x:c r="R82" s="10" t="str">
        <x:f>IF(E82="有效",IF(F82-G82&lt;=0,"未回本",IF(ROUNDUP(H82/(F82-G82),0)&gt;MIN(J82,K82),"未回本",MAX(1,ROUNDUP(H82/(F82-G82),0)))),"n.a.")</x:f>
        <x:v>未回本</x:v>
      </x:c>
    </x:row>
    <x:row r="83" ht="22" customHeight="1">
      <x:c r="A83" s="11" t="str">
        <x:v>lade_0827_10aoi</x:v>
      </x:c>
      <x:c r="B83" s="10" t="n">
        <x:v>10</x:v>
      </x:c>
      <x:c r="C83" s="10" t="n">
        <x:v>44</x:v>
      </x:c>
      <x:c r="D83" s="11" t="str">
        <x:v>M2 / M4</x:v>
      </x:c>
      <x:c r="E83" s="11" t="str">
        <x:v>有效</x:v>
      </x:c>
      <x:c r="F83" s="26" t="n">
        <x:f>IF(E83="有效",'成本明细'!U227,"n.a.")</x:f>
        <x:v>1460.098726087222</x:v>
      </x:c>
      <x:c r="G83" s="26" t="n">
        <x:f>IF(E83="有效",'成本明细'!U233,"n.a.")</x:f>
        <x:v>1851.9027635483328</x:v>
      </x:c>
      <x:c r="H83" s="26" t="n">
        <x:f>IF(E83="有效",'成本明细'!V233,"n.a.")</x:f>
        <x:v>4416.5</x:v>
      </x:c>
      <x:c r="I83" s="22" t="n">
        <x:f>IF(E83="有效",'成本明细'!G227,"n.a.")</x:f>
        <x:v>121</x:v>
      </x:c>
      <x:c r="J83" s="22" t="n">
        <x:f>IF(E83="有效",'参数'!$B$8,"n.a.")</x:f>
        <x:v>50</x:v>
      </x:c>
      <x:c r="K83" s="22" t="n">
        <x:f>IF(E83="有效",'参数'!$B$9,"n.a.")</x:f>
        <x:v>300</x:v>
      </x:c>
      <x:c r="L83" s="26" t="n">
        <x:f>IF(E83="有效",F83*K83,"n.a.")</x:f>
        <x:v>438029.6178261666</x:v>
      </x:c>
      <x:c r="M83" s="26" t="n">
        <x:f>IF(E83="有效",G83*K83+H83*ROUNDUP(K83/J83,0),"n.a.")</x:f>
        <x:v>582069.8290644998</x:v>
      </x:c>
      <x:c r="N83" s="26" t="n">
        <x:f>IF(E83="有效",L83-M83,"n.a.")</x:f>
        <x:v>-144040.2112383332</x:v>
      </x:c>
      <x:c r="O83" s="32" t="n">
        <x:f>IF(E83="有效",N83/L83,"n.a.")</x:f>
        <x:v>-0.3288366936308311</x:v>
      </x:c>
      <x:c r="P83" s="26" t="n">
        <x:f>IF(E83="有效",L83/(K83*I83),"n.a.")</x:f>
        <x:v>12.066931620555554</x:v>
      </x:c>
      <x:c r="Q83" s="26" t="n">
        <x:f>IF(E83="有效",M83/(K83*I83),"n.a.")</x:f>
        <x:v>16.03498151692837</x:v>
      </x:c>
      <x:c r="R83" s="10" t="str">
        <x:f>IF(E83="有效",IF(F83-G83&lt;=0,"未回本",IF(ROUNDUP(H83/(F83-G83),0)&gt;MIN(J83,K83),"未回本",MAX(1,ROUNDUP(H83/(F83-G83),0)))),"n.a.")</x:f>
        <x:v>未回本</x:v>
      </x:c>
    </x:row>
    <x:row r="84" ht="22" customHeight="1">
      <x:c r="A84" s="11" t="str">
        <x:v>lade_0827_20aoi</x:v>
      </x:c>
      <x:c r="B84" s="10" t="n">
        <x:v>20</x:v>
      </x:c>
      <x:c r="C84" s="10" t="n">
        <x:v>42</x:v>
      </x:c>
      <x:c r="D84" s="11" t="str">
        <x:v>M1 / M3</x:v>
      </x:c>
      <x:c r="E84" s="11" t="str">
        <x:v>有效</x:v>
      </x:c>
      <x:c r="F84" s="26" t="n">
        <x:f>IF(E84="有效",'成本明细'!U240,"n.a.")</x:f>
        <x:v>2935.3362110044445</x:v>
      </x:c>
      <x:c r="G84" s="26" t="n">
        <x:f>IF(E84="有效",'成本明细'!U246,"n.a.")</x:f>
        <x:v>4768.419043881667</x:v>
      </x:c>
      <x:c r="H84" s="26" t="n">
        <x:f>IF(E84="有效",'成本明细'!V246,"n.a.")</x:f>
        <x:v>6825.5</x:v>
      </x:c>
      <x:c r="I84" s="22" t="n">
        <x:f>IF(E84="有效",'成本明细'!G240,"n.a.")</x:f>
        <x:v>187</x:v>
      </x:c>
      <x:c r="J84" s="22" t="n">
        <x:f>IF(E84="有效",'参数'!$B$8,"n.a.")</x:f>
        <x:v>50</x:v>
      </x:c>
      <x:c r="K84" s="22" t="n">
        <x:f>IF(E84="有效",'参数'!$B$9,"n.a.")</x:f>
        <x:v>300</x:v>
      </x:c>
      <x:c r="L84" s="26" t="n">
        <x:f>IF(E84="有效",F84*K84,"n.a.")</x:f>
        <x:v>880600.8633013334</x:v>
      </x:c>
      <x:c r="M84" s="26" t="n">
        <x:f>IF(E84="有效",G84*K84+H84*ROUNDUP(K84/J84,0),"n.a.")</x:f>
        <x:v>1471478.7131645</x:v>
      </x:c>
      <x:c r="N84" s="26" t="n">
        <x:f>IF(E84="有效",L84-M84,"n.a.")</x:f>
        <x:v>-590877.8498631666</x:v>
      </x:c>
      <x:c r="O84" s="32" t="n">
        <x:f>IF(E84="有效",N84/L84,"n.a.")</x:f>
        <x:v>-0.670993947982281</x:v>
      </x:c>
      <x:c r="P84" s="26" t="n">
        <x:f>IF(E84="有效",L84/(K84*I84),"n.a.")</x:f>
        <x:v>15.696985085585265</x:v>
      </x:c>
      <x:c r="Q84" s="26" t="n">
        <x:f>IF(E84="有效",M84/(K84*I84),"n.a.")</x:f>
        <x:v>26.229567079581106</x:v>
      </x:c>
      <x:c r="R84" s="10" t="str">
        <x:f>IF(E84="有效",IF(F84-G84&lt;=0,"未回本",IF(ROUNDUP(H84/(F84-G84),0)&gt;MIN(J84,K84),"未回本",MAX(1,ROUNDUP(H84/(F84-G84),0)))),"n.a.")</x:f>
        <x:v>未回本</x:v>
      </x:c>
    </x:row>
    <x:row r="85" ht="22" customHeight="1">
      <x:c r="A85" s="11" t="str">
        <x:v>lade_0827_20aoi</x:v>
      </x:c>
      <x:c r="B85" s="10" t="n">
        <x:v>20</x:v>
      </x:c>
      <x:c r="C85" s="10" t="n">
        <x:v>42</x:v>
      </x:c>
      <x:c r="D85" s="11" t="str">
        <x:v>M2 / M4</x:v>
      </x:c>
      <x:c r="E85" s="11" t="str">
        <x:v>有效</x:v>
      </x:c>
      <x:c r="F85" s="26" t="n">
        <x:f>IF(E85="有效",'成本明细'!U243,"n.a.")</x:f>
        <x:v>2342.2636976544445</x:v>
      </x:c>
      <x:c r="G85" s="26" t="n">
        <x:f>IF(E85="有效",'成本明细'!U249,"n.a.")</x:f>
        <x:v>3875.0936405866664</x:v>
      </x:c>
      <x:c r="H85" s="26" t="n">
        <x:f>IF(E85="有效",'成本明细'!V249,"n.a.")</x:f>
        <x:v>6825.5</x:v>
      </x:c>
      <x:c r="I85" s="22" t="n">
        <x:f>IF(E85="有效",'成本明细'!G243,"n.a.")</x:f>
        <x:v>187</x:v>
      </x:c>
      <x:c r="J85" s="22" t="n">
        <x:f>IF(E85="有效",'参数'!$B$8,"n.a.")</x:f>
        <x:v>50</x:v>
      </x:c>
      <x:c r="K85" s="22" t="n">
        <x:f>IF(E85="有效",'参数'!$B$9,"n.a.")</x:f>
        <x:v>300</x:v>
      </x:c>
      <x:c r="L85" s="26" t="n">
        <x:f>IF(E85="有效",F85*K85,"n.a.")</x:f>
        <x:v>702679.1092963334</x:v>
      </x:c>
      <x:c r="M85" s="26" t="n">
        <x:f>IF(E85="有效",G85*K85+H85*ROUNDUP(K85/J85,0),"n.a.")</x:f>
        <x:v>1203481.092176</x:v>
      </x:c>
      <x:c r="N85" s="26" t="n">
        <x:f>IF(E85="有效",L85-M85,"n.a.")</x:f>
        <x:v>-500801.9828796665</x:v>
      </x:c>
      <x:c r="O85" s="32" t="n">
        <x:f>IF(E85="有效",N85/L85,"n.a.")</x:f>
        <x:v>-0.712703674058522</x:v>
      </x:c>
      <x:c r="P85" s="26" t="n">
        <x:f>IF(E85="有效",L85/(K85*I85),"n.a.")</x:f>
        <x:v>12.525474319007726</x:v>
      </x:c>
      <x:c r="Q85" s="26" t="n">
        <x:f>IF(E85="有效",M85/(K85*I85),"n.a.")</x:f>
        <x:v>21.452425885490193</x:v>
      </x:c>
      <x:c r="R85" s="10" t="str">
        <x:f>IF(E85="有效",IF(F85-G85&lt;=0,"未回本",IF(ROUNDUP(H85/(F85-G85),0)&gt;MIN(J85,K85),"未回本",MAX(1,ROUNDUP(H85/(F85-G85),0)))),"n.a.")</x:f>
        <x:v>未回本</x:v>
      </x:c>
    </x:row>
    <x:row r="86" ht="22" customHeight="1">
      <x:c r="A86" s="11" t="str">
        <x:v>lade_0827_20aoi</x:v>
      </x:c>
      <x:c r="B86" s="10" t="n">
        <x:v>20</x:v>
      </x:c>
      <x:c r="C86" s="10" t="n">
        <x:v>43</x:v>
      </x:c>
      <x:c r="D86" s="11" t="str">
        <x:v>M1 / M3</x:v>
      </x:c>
      <x:c r="E86" s="11" t="str">
        <x:v>有效</x:v>
      </x:c>
      <x:c r="F86" s="26" t="n">
        <x:f>IF(E86="有效",'成本明细'!U241,"n.a.")</x:f>
        <x:v>3343.5936147722223</x:v>
      </x:c>
      <x:c r="G86" s="26" t="n">
        <x:f>IF(E86="有效",'成本明细'!U247,"n.a.")</x:f>
        <x:v>3840.8438700049996</x:v>
      </x:c>
      <x:c r="H86" s="26" t="n">
        <x:f>IF(E86="有效",'成本明细'!V247,"n.a.")</x:f>
        <x:v>6825.5</x:v>
      </x:c>
      <x:c r="I86" s="22" t="n">
        <x:f>IF(E86="有效",'成本明细'!G241,"n.a.")</x:f>
        <x:v>187</x:v>
      </x:c>
      <x:c r="J86" s="22" t="n">
        <x:f>IF(E86="有效",'参数'!$B$8,"n.a.")</x:f>
        <x:v>50</x:v>
      </x:c>
      <x:c r="K86" s="22" t="n">
        <x:f>IF(E86="有效",'参数'!$B$9,"n.a.")</x:f>
        <x:v>300</x:v>
      </x:c>
      <x:c r="L86" s="26" t="n">
        <x:f>IF(E86="有效",F86*K86,"n.a.")</x:f>
        <x:v>1003078.0844316666</x:v>
      </x:c>
      <x:c r="M86" s="26" t="n">
        <x:f>IF(E86="有效",G86*K86+H86*ROUNDUP(K86/J86,0),"n.a.")</x:f>
        <x:v>1193206.1610015</x:v>
      </x:c>
      <x:c r="N86" s="26" t="n">
        <x:f>IF(E86="有效",L86-M86,"n.a.")</x:f>
        <x:v>-190128.07656983333</x:v>
      </x:c>
      <x:c r="O86" s="32" t="n">
        <x:f>IF(E86="有效",N86/L86,"n.a.")</x:f>
        <x:v>-0.1895446421577019</x:v>
      </x:c>
      <x:c r="P86" s="26" t="n">
        <x:f>IF(E86="有效",L86/(K86*I86),"n.a.")</x:f>
        <x:v>17.880179758140226</x:v>
      </x:c>
      <x:c r="Q86" s="26" t="n">
        <x:f>IF(E86="有效",M86/(K86*I86),"n.a.")</x:f>
        <x:v>21.269272032112298</x:v>
      </x:c>
      <x:c r="R86" s="10" t="str">
        <x:f>IF(E86="有效",IF(F86-G86&lt;=0,"未回本",IF(ROUNDUP(H86/(F86-G86),0)&gt;MIN(J86,K86),"未回本",MAX(1,ROUNDUP(H86/(F86-G86),0)))),"n.a.")</x:f>
        <x:v>未回本</x:v>
      </x:c>
    </x:row>
    <x:row r="87" ht="22" customHeight="1">
      <x:c r="A87" s="11" t="str">
        <x:v>lade_0827_20aoi</x:v>
      </x:c>
      <x:c r="B87" s="10" t="n">
        <x:v>20</x:v>
      </x:c>
      <x:c r="C87" s="10" t="n">
        <x:v>43</x:v>
      </x:c>
      <x:c r="D87" s="11" t="str">
        <x:v>M2 / M4</x:v>
      </x:c>
      <x:c r="E87" s="11" t="str">
        <x:v>有效</x:v>
      </x:c>
      <x:c r="F87" s="26" t="n">
        <x:f>IF(E87="有效",'成本明细'!U244,"n.a.")</x:f>
        <x:v>2588.1253427894444</x:v>
      </x:c>
      <x:c r="G87" s="26" t="n">
        <x:f>IF(E87="有效",'成本明细'!U250,"n.a.")</x:f>
        <x:v>3841.380912773333</x:v>
      </x:c>
      <x:c r="H87" s="26" t="n">
        <x:f>IF(E87="有效",'成本明细'!V250,"n.a.")</x:f>
        <x:v>6825.5</x:v>
      </x:c>
      <x:c r="I87" s="22" t="n">
        <x:f>IF(E87="有效",'成本明细'!G244,"n.a.")</x:f>
        <x:v>187</x:v>
      </x:c>
      <x:c r="J87" s="22" t="n">
        <x:f>IF(E87="有效",'参数'!$B$8,"n.a.")</x:f>
        <x:v>50</x:v>
      </x:c>
      <x:c r="K87" s="22" t="n">
        <x:f>IF(E87="有效",'参数'!$B$9,"n.a.")</x:f>
        <x:v>300</x:v>
      </x:c>
      <x:c r="L87" s="26" t="n">
        <x:f>IF(E87="有效",F87*K87,"n.a.")</x:f>
        <x:v>776437.6028368333</x:v>
      </x:c>
      <x:c r="M87" s="26" t="n">
        <x:f>IF(E87="有效",G87*K87+H87*ROUNDUP(K87/J87,0),"n.a.")</x:f>
        <x:v>1193367.2738319999</x:v>
      </x:c>
      <x:c r="N87" s="26" t="n">
        <x:f>IF(E87="有效",L87-M87,"n.a.")</x:f>
        <x:v>-416929.6709951665</x:v>
      </x:c>
      <x:c r="O87" s="32" t="n">
        <x:f>IF(E87="有效",N87/L87,"n.a.")</x:f>
        <x:v>-0.5369776907659422</x:v>
      </x:c>
      <x:c r="P87" s="26" t="n">
        <x:f>IF(E87="有效",L87/(K87*I87),"n.a.")</x:f>
        <x:v>13.840242474809864</x:v>
      </x:c>
      <x:c r="Q87" s="26" t="n">
        <x:f>IF(E87="有效",M87/(K87*I87),"n.a.")</x:f>
        <x:v>21.272143918573974</x:v>
      </x:c>
      <x:c r="R87" s="10" t="str">
        <x:f>IF(E87="有效",IF(F87-G87&lt;=0,"未回本",IF(ROUNDUP(H87/(F87-G87),0)&gt;MIN(J87,K87),"未回本",MAX(1,ROUNDUP(H87/(F87-G87),0)))),"n.a.")</x:f>
        <x:v>未回本</x:v>
      </x:c>
    </x:row>
    <x:row r="88" ht="22" customHeight="1">
      <x:c r="A88" s="11" t="str">
        <x:v>lade_0827_20aoi</x:v>
      </x:c>
      <x:c r="B88" s="10" t="n">
        <x:v>20</x:v>
      </x:c>
      <x:c r="C88" s="10" t="n">
        <x:v>44</x:v>
      </x:c>
      <x:c r="D88" s="11" t="str">
        <x:v>M1 / M3</x:v>
      </x:c>
      <x:c r="E88" s="11" t="str">
        <x:v>有效</x:v>
      </x:c>
      <x:c r="F88" s="26" t="n">
        <x:f>IF(E88="有效",'成本明细'!U242,"n.a.")</x:f>
        <x:v>3343.5936147722223</x:v>
      </x:c>
      <x:c r="G88" s="26" t="n">
        <x:f>IF(E88="有效",'成本明细'!U248,"n.a.")</x:f>
        <x:v>3840.8438700049996</x:v>
      </x:c>
      <x:c r="H88" s="26" t="n">
        <x:f>IF(E88="有效",'成本明细'!V248,"n.a.")</x:f>
        <x:v>6825.5</x:v>
      </x:c>
      <x:c r="I88" s="22" t="n">
        <x:f>IF(E88="有效",'成本明细'!G242,"n.a.")</x:f>
        <x:v>187</x:v>
      </x:c>
      <x:c r="J88" s="22" t="n">
        <x:f>IF(E88="有效",'参数'!$B$8,"n.a.")</x:f>
        <x:v>50</x:v>
      </x:c>
      <x:c r="K88" s="22" t="n">
        <x:f>IF(E88="有效",'参数'!$B$9,"n.a.")</x:f>
        <x:v>300</x:v>
      </x:c>
      <x:c r="L88" s="26" t="n">
        <x:f>IF(E88="有效",F88*K88,"n.a.")</x:f>
        <x:v>1003078.0844316666</x:v>
      </x:c>
      <x:c r="M88" s="26" t="n">
        <x:f>IF(E88="有效",G88*K88+H88*ROUNDUP(K88/J88,0),"n.a.")</x:f>
        <x:v>1193206.1610015</x:v>
      </x:c>
      <x:c r="N88" s="26" t="n">
        <x:f>IF(E88="有效",L88-M88,"n.a.")</x:f>
        <x:v>-190128.07656983333</x:v>
      </x:c>
      <x:c r="O88" s="32" t="n">
        <x:f>IF(E88="有效",N88/L88,"n.a.")</x:f>
        <x:v>-0.1895446421577019</x:v>
      </x:c>
      <x:c r="P88" s="26" t="n">
        <x:f>IF(E88="有效",L88/(K88*I88),"n.a.")</x:f>
        <x:v>17.880179758140226</x:v>
      </x:c>
      <x:c r="Q88" s="26" t="n">
        <x:f>IF(E88="有效",M88/(K88*I88),"n.a.")</x:f>
        <x:v>21.269272032112298</x:v>
      </x:c>
      <x:c r="R88" s="10" t="str">
        <x:f>IF(E88="有效",IF(F88-G88&lt;=0,"未回本",IF(ROUNDUP(H88/(F88-G88),0)&gt;MIN(J88,K88),"未回本",MAX(1,ROUNDUP(H88/(F88-G88),0)))),"n.a.")</x:f>
        <x:v>未回本</x:v>
      </x:c>
    </x:row>
    <x:row r="89" ht="22" customHeight="1">
      <x:c r="A89" s="11" t="str">
        <x:v>lade_0827_20aoi</x:v>
      </x:c>
      <x:c r="B89" s="10" t="n">
        <x:v>20</x:v>
      </x:c>
      <x:c r="C89" s="10" t="n">
        <x:v>44</x:v>
      </x:c>
      <x:c r="D89" s="11" t="str">
        <x:v>M2 / M4</x:v>
      </x:c>
      <x:c r="E89" s="11" t="str">
        <x:v>有效</x:v>
      </x:c>
      <x:c r="F89" s="26" t="n">
        <x:f>IF(E89="有效",'成本明细'!U245,"n.a.")</x:f>
        <x:v>2588.1253427894444</x:v>
      </x:c>
      <x:c r="G89" s="26" t="n">
        <x:f>IF(E89="有效",'成本明细'!U251,"n.a.")</x:f>
        <x:v>4765.639027176111</x:v>
      </x:c>
      <x:c r="H89" s="26" t="n">
        <x:f>IF(E89="有效",'成本明细'!V251,"n.a.")</x:f>
        <x:v>6825.5</x:v>
      </x:c>
      <x:c r="I89" s="22" t="n">
        <x:f>IF(E89="有效",'成本明细'!G245,"n.a.")</x:f>
        <x:v>187</x:v>
      </x:c>
      <x:c r="J89" s="22" t="n">
        <x:f>IF(E89="有效",'参数'!$B$8,"n.a.")</x:f>
        <x:v>50</x:v>
      </x:c>
      <x:c r="K89" s="22" t="n">
        <x:f>IF(E89="有效",'参数'!$B$9,"n.a.")</x:f>
        <x:v>300</x:v>
      </x:c>
      <x:c r="L89" s="26" t="n">
        <x:f>IF(E89="有效",F89*K89,"n.a.")</x:f>
        <x:v>776437.6028368333</x:v>
      </x:c>
      <x:c r="M89" s="26" t="n">
        <x:f>IF(E89="有效",G89*K89+H89*ROUNDUP(K89/J89,0),"n.a.")</x:f>
        <x:v>1470644.7081528334</x:v>
      </x:c>
      <x:c r="N89" s="26" t="n">
        <x:f>IF(E89="有效",L89-M89,"n.a.")</x:f>
        <x:v>-694207.1053160001</x:v>
      </x:c>
      <x:c r="O89" s="32" t="n">
        <x:f>IF(E89="有效",N89/L89,"n.a.")</x:f>
        <x:v>-0.8940925874527565</x:v>
      </x:c>
      <x:c r="P89" s="26" t="n">
        <x:f>IF(E89="有效",L89/(K89*I89),"n.a.")</x:f>
        <x:v>13.840242474809864</x:v>
      </x:c>
      <x:c r="Q89" s="26" t="n">
        <x:f>IF(E89="有效",M89/(K89*I89),"n.a.")</x:f>
        <x:v>26.214700680086157</x:v>
      </x:c>
      <x:c r="R89" s="10" t="str">
        <x:f>IF(E89="有效",IF(F89-G89&lt;=0,"未回本",IF(ROUNDUP(H89/(F89-G89),0)&gt;MIN(J89,K89),"未回本",MAX(1,ROUNDUP(H89/(F89-G89),0)))),"n.a.")</x:f>
        <x:v>未回本</x:v>
      </x:c>
    </x:row>
    <x:row r="90" ht="22" customHeight="1">
      <x:c r="A90" s="11" t="str">
        <x:v>lade_0827_30aoi</x:v>
      </x:c>
      <x:c r="B90" s="10" t="n">
        <x:v>30</x:v>
      </x:c>
      <x:c r="C90" s="10" t="n">
        <x:v>42</x:v>
      </x:c>
      <x:c r="D90" s="11" t="str">
        <x:v>M1 / M3</x:v>
      </x:c>
      <x:c r="E90" s="11" t="str">
        <x:v>有效</x:v>
      </x:c>
      <x:c r="F90" s="26" t="n">
        <x:f>IF(E90="有效",'成本明细'!U258,"n.a.")</x:f>
        <x:v>3429.805392835</x:v>
      </x:c>
      <x:c r="G90" s="26" t="n">
        <x:f>IF(E90="有效",'成本明细'!U264,"n.a.")</x:f>
        <x:v>4045.417735209445</x:v>
      </x:c>
      <x:c r="H90" s="26" t="n">
        <x:f>IF(E90="有效",'成本明细'!V264,"n.a.")</x:f>
        <x:v>8687</x:v>
      </x:c>
      <x:c r="I90" s="22" t="n">
        <x:f>IF(E90="有效",'成本明细'!G258,"n.a.")</x:f>
        <x:v>238</x:v>
      </x:c>
      <x:c r="J90" s="22" t="n">
        <x:f>IF(E90="有效",'参数'!$B$8,"n.a.")</x:f>
        <x:v>50</x:v>
      </x:c>
      <x:c r="K90" s="22" t="n">
        <x:f>IF(E90="有效",'参数'!$B$9,"n.a.")</x:f>
        <x:v>300</x:v>
      </x:c>
      <x:c r="L90" s="26" t="n">
        <x:f>IF(E90="有效",F90*K90,"n.a.")</x:f>
        <x:v>1028941.6178505</x:v>
      </x:c>
      <x:c r="M90" s="26" t="n">
        <x:f>IF(E90="有效",G90*K90+H90*ROUNDUP(K90/J90,0),"n.a.")</x:f>
        <x:v>1265747.3205628335</x:v>
      </x:c>
      <x:c r="N90" s="26" t="n">
        <x:f>IF(E90="有效",L90-M90,"n.a.")</x:f>
        <x:v>-236805.7027123334</x:v>
      </x:c>
      <x:c r="O90" s="32" t="n">
        <x:f>IF(E90="有效",N90/L90,"n.a.")</x:f>
        <x:v>-0.23014493592652024</x:v>
      </x:c>
      <x:c r="P90" s="26" t="n">
        <x:f>IF(E90="有效",L90/(K90*I90),"n.a.")</x:f>
        <x:v>14.410947028718487</x:v>
      </x:c>
      <x:c r="Q90" s="26" t="n">
        <x:f>IF(E90="有效",M90/(K90*I90),"n.a.")</x:f>
        <x:v>17.727553509283382</x:v>
      </x:c>
      <x:c r="R90" s="10" t="str">
        <x:f>IF(E90="有效",IF(F90-G90&lt;=0,"未回本",IF(ROUNDUP(H90/(F90-G90),0)&gt;MIN(J90,K90),"未回本",MAX(1,ROUNDUP(H90/(F90-G90),0)))),"n.a.")</x:f>
        <x:v>未回本</x:v>
      </x:c>
    </x:row>
    <x:row r="91" ht="22" customHeight="1">
      <x:c r="A91" s="11" t="str">
        <x:v>lade_0827_30aoi</x:v>
      </x:c>
      <x:c r="B91" s="10" t="n">
        <x:v>30</x:v>
      </x:c>
      <x:c r="C91" s="10" t="n">
        <x:v>42</x:v>
      </x:c>
      <x:c r="D91" s="11" t="str">
        <x:v>M2 / M4</x:v>
      </x:c>
      <x:c r="E91" s="11" t="str">
        <x:v>有效</x:v>
      </x:c>
      <x:c r="F91" s="26" t="n">
        <x:f>IF(E91="有效",'成本明细'!U261,"n.a.")</x:f>
        <x:v>3591.0916617127777</x:v>
      </x:c>
      <x:c r="G91" s="26" t="n">
        <x:f>IF(E91="有效",'成本明细'!U267,"n.a.")</x:f>
        <x:v>4040.646875251111</x:v>
      </x:c>
      <x:c r="H91" s="26" t="n">
        <x:f>IF(E91="有效",'成本明细'!V267,"n.a.")</x:f>
        <x:v>8687</x:v>
      </x:c>
      <x:c r="I91" s="22" t="n">
        <x:f>IF(E91="有效",'成本明细'!G261,"n.a.")</x:f>
        <x:v>238</x:v>
      </x:c>
      <x:c r="J91" s="22" t="n">
        <x:f>IF(E91="有效",'参数'!$B$8,"n.a.")</x:f>
        <x:v>50</x:v>
      </x:c>
      <x:c r="K91" s="22" t="n">
        <x:f>IF(E91="有效",'参数'!$B$9,"n.a.")</x:f>
        <x:v>300</x:v>
      </x:c>
      <x:c r="L91" s="26" t="n">
        <x:f>IF(E91="有效",F91*K91,"n.a.")</x:f>
        <x:v>1077327.4985138334</x:v>
      </x:c>
      <x:c r="M91" s="26" t="n">
        <x:f>IF(E91="有效",G91*K91+H91*ROUNDUP(K91/J91,0),"n.a.")</x:f>
        <x:v>1264316.0625753333</x:v>
      </x:c>
      <x:c r="N91" s="26" t="n">
        <x:f>IF(E91="有效",L91-M91,"n.a.")</x:f>
        <x:v>-186988.5640614999</x:v>
      </x:c>
      <x:c r="O91" s="32" t="n">
        <x:f>IF(E91="有效",N91/L91,"n.a.")</x:f>
        <x:v>-0.17356705766765396</x:v>
      </x:c>
      <x:c r="P91" s="26" t="n">
        <x:f>IF(E91="有效",L91/(K91*I91),"n.a.")</x:f>
        <x:v>15.088620427364614</x:v>
      </x:c>
      <x:c r="Q91" s="26" t="n">
        <x:f>IF(E91="有效",M91/(K91*I91),"n.a.")</x:f>
        <x:v>17.70750787920635</x:v>
      </x:c>
      <x:c r="R91" s="10" t="str">
        <x:f>IF(E91="有效",IF(F91-G91&lt;=0,"未回本",IF(ROUNDUP(H91/(F91-G91),0)&gt;MIN(J91,K91),"未回本",MAX(1,ROUNDUP(H91/(F91-G91),0)))),"n.a.")</x:f>
        <x:v>未回本</x:v>
      </x:c>
    </x:row>
    <x:row r="92" ht="22" customHeight="1">
      <x:c r="A92" s="11" t="str">
        <x:v>lade_0827_30aoi</x:v>
      </x:c>
      <x:c r="B92" s="10" t="n">
        <x:v>30</x:v>
      </x:c>
      <x:c r="C92" s="10" t="n">
        <x:v>43</x:v>
      </x:c>
      <x:c r="D92" s="11" t="str">
        <x:v>M1 / M3</x:v>
      </x:c>
      <x:c r="E92" s="11" t="str">
        <x:v>有效</x:v>
      </x:c>
      <x:c r="F92" s="26" t="n">
        <x:f>IF(E92="有效",'成本明细'!U259,"n.a.")</x:f>
        <x:v>3264.5807109494444</x:v>
      </x:c>
      <x:c r="G92" s="26" t="n">
        <x:f>IF(E92="有效",'成本明细'!U265,"n.a.")</x:f>
        <x:v>4017.009675363334</x:v>
      </x:c>
      <x:c r="H92" s="26" t="n">
        <x:f>IF(E92="有效",'成本明细'!V265,"n.a.")</x:f>
        <x:v>8687</x:v>
      </x:c>
      <x:c r="I92" s="22" t="n">
        <x:f>IF(E92="有效",'成本明细'!G259,"n.a.")</x:f>
        <x:v>238</x:v>
      </x:c>
      <x:c r="J92" s="22" t="n">
        <x:f>IF(E92="有效",'参数'!$B$8,"n.a.")</x:f>
        <x:v>50</x:v>
      </x:c>
      <x:c r="K92" s="22" t="n">
        <x:f>IF(E92="有效",'参数'!$B$9,"n.a.")</x:f>
        <x:v>300</x:v>
      </x:c>
      <x:c r="L92" s="26" t="n">
        <x:f>IF(E92="有效",F92*K92,"n.a.")</x:f>
        <x:v>979374.2132848334</x:v>
      </x:c>
      <x:c r="M92" s="26" t="n">
        <x:f>IF(E92="有效",G92*K92+H92*ROUNDUP(K92/J92,0),"n.a.")</x:f>
        <x:v>1257224.9026090002</x:v>
      </x:c>
      <x:c r="N92" s="26" t="n">
        <x:f>IF(E92="有效",L92-M92,"n.a.")</x:f>
        <x:v>-277850.68932416686</x:v>
      </x:c>
      <x:c r="O92" s="32" t="n">
        <x:f>IF(E92="有效",N92/L92,"n.a.")</x:f>
        <x:v>-0.2837022718744576</x:v>
      </x:c>
      <x:c r="P92" s="26" t="n">
        <x:f>IF(E92="有效",L92/(K92*I92),"n.a.")</x:f>
        <x:v>13.71672567625817</x:v>
      </x:c>
      <x:c r="Q92" s="26" t="n">
        <x:f>IF(E92="有效",M92/(K92*I92),"n.a.")</x:f>
        <x:v>17.608191913291318</x:v>
      </x:c>
      <x:c r="R92" s="10" t="str">
        <x:f>IF(E92="有效",IF(F92-G92&lt;=0,"未回本",IF(ROUNDUP(H92/(F92-G92),0)&gt;MIN(J92,K92),"未回本",MAX(1,ROUNDUP(H92/(F92-G92),0)))),"n.a.")</x:f>
        <x:v>未回本</x:v>
      </x:c>
    </x:row>
    <x:row r="93" ht="22" customHeight="1">
      <x:c r="A93" s="11" t="str">
        <x:v>lade_0827_30aoi</x:v>
      </x:c>
      <x:c r="B93" s="10" t="n">
        <x:v>30</x:v>
      </x:c>
      <x:c r="C93" s="10" t="n">
        <x:v>43</x:v>
      </x:c>
      <x:c r="D93" s="11" t="str">
        <x:v>M2 / M4</x:v>
      </x:c>
      <x:c r="E93" s="11" t="str">
        <x:v>有效</x:v>
      </x:c>
      <x:c r="F93" s="26" t="n">
        <x:f>IF(E93="有效",'成本明细'!U262,"n.a.")</x:f>
        <x:v>2810.096409761667</x:v>
      </x:c>
      <x:c r="G93" s="26" t="n">
        <x:f>IF(E93="有效",'成本明细'!U268,"n.a.")</x:f>
        <x:v>4045.282608119445</x:v>
      </x:c>
      <x:c r="H93" s="26" t="n">
        <x:f>IF(E93="有效",'成本明细'!V268,"n.a.")</x:f>
        <x:v>8687</x:v>
      </x:c>
      <x:c r="I93" s="22" t="n">
        <x:f>IF(E93="有效",'成本明细'!G262,"n.a.")</x:f>
        <x:v>238</x:v>
      </x:c>
      <x:c r="J93" s="22" t="n">
        <x:f>IF(E93="有效",'参数'!$B$8,"n.a.")</x:f>
        <x:v>50</x:v>
      </x:c>
      <x:c r="K93" s="22" t="n">
        <x:f>IF(E93="有效",'参数'!$B$9,"n.a.")</x:f>
        <x:v>300</x:v>
      </x:c>
      <x:c r="L93" s="26" t="n">
        <x:f>IF(E93="有效",F93*K93,"n.a.")</x:f>
        <x:v>843028.9229285001</x:v>
      </x:c>
      <x:c r="M93" s="26" t="n">
        <x:f>IF(E93="有效",G93*K93+H93*ROUNDUP(K93/J93,0),"n.a.")</x:f>
        <x:v>1265706.7824358335</x:v>
      </x:c>
      <x:c r="N93" s="26" t="n">
        <x:f>IF(E93="有效",L93-M93,"n.a.")</x:f>
        <x:v>-422677.85950733337</x:v>
      </x:c>
      <x:c r="O93" s="32" t="n">
        <x:f>IF(E93="有效",N93/L93,"n.a.")</x:f>
        <x:v>-0.5013800215051245</x:v>
      </x:c>
      <x:c r="P93" s="26" t="n">
        <x:f>IF(E93="有效",L93/(K93*I93),"n.a.")</x:f>
        <x:v>11.807127772107844</x:v>
      </x:c>
      <x:c r="Q93" s="26" t="n">
        <x:f>IF(E93="有效",M93/(K93*I93),"n.a.")</x:f>
        <x:v>17.726985748401027</x:v>
      </x:c>
      <x:c r="R93" s="10" t="str">
        <x:f>IF(E93="有效",IF(F93-G93&lt;=0,"未回本",IF(ROUNDUP(H93/(F93-G93),0)&gt;MIN(J93,K93),"未回本",MAX(1,ROUNDUP(H93/(F93-G93),0)))),"n.a.")</x:f>
        <x:v>未回本</x:v>
      </x:c>
    </x:row>
    <x:row r="94" ht="22" customHeight="1">
      <x:c r="A94" s="11" t="str">
        <x:v>lade_0827_30aoi</x:v>
      </x:c>
      <x:c r="B94" s="10" t="n">
        <x:v>30</x:v>
      </x:c>
      <x:c r="C94" s="10" t="n">
        <x:v>44</x:v>
      </x:c>
      <x:c r="D94" s="11" t="str">
        <x:v>M1 / M3</x:v>
      </x:c>
      <x:c r="E94" s="11" t="str">
        <x:v>有效</x:v>
      </x:c>
      <x:c r="F94" s="26" t="n">
        <x:f>IF(E94="有效",'成本明细'!U260,"n.a.")</x:f>
        <x:v>3429.805392835</x:v>
      </x:c>
      <x:c r="G94" s="26" t="n">
        <x:f>IF(E94="有效",'成本明细'!U266,"n.a.")</x:f>
        <x:v>4047.692073874445</x:v>
      </x:c>
      <x:c r="H94" s="26" t="n">
        <x:f>IF(E94="有效",'成本明细'!V266,"n.a.")</x:f>
        <x:v>8687</x:v>
      </x:c>
      <x:c r="I94" s="22" t="n">
        <x:f>IF(E94="有效",'成本明细'!G260,"n.a.")</x:f>
        <x:v>238</x:v>
      </x:c>
      <x:c r="J94" s="22" t="n">
        <x:f>IF(E94="有效",'参数'!$B$8,"n.a.")</x:f>
        <x:v>50</x:v>
      </x:c>
      <x:c r="K94" s="22" t="n">
        <x:f>IF(E94="有效",'参数'!$B$9,"n.a.")</x:f>
        <x:v>300</x:v>
      </x:c>
      <x:c r="L94" s="26" t="n">
        <x:f>IF(E94="有效",F94*K94,"n.a.")</x:f>
        <x:v>1028941.6178505</x:v>
      </x:c>
      <x:c r="M94" s="26" t="n">
        <x:f>IF(E94="有效",G94*K94+H94*ROUNDUP(K94/J94,0),"n.a.")</x:f>
        <x:v>1266429.6221623335</x:v>
      </x:c>
      <x:c r="N94" s="26" t="n">
        <x:f>IF(E94="有效",L94-M94,"n.a.")</x:f>
        <x:v>-237488.0043118334</x:v>
      </x:c>
      <x:c r="O94" s="32" t="n">
        <x:f>IF(E94="有效",N94/L94,"n.a.")</x:f>
        <x:v>-0.23080804604633964</x:v>
      </x:c>
      <x:c r="P94" s="26" t="n">
        <x:f>IF(E94="有效",L94/(K94*I94),"n.a.")</x:f>
        <x:v>14.410947028718487</x:v>
      </x:c>
      <x:c r="Q94" s="26" t="n">
        <x:f>IF(E94="有效",M94/(K94*I94),"n.a.")</x:f>
        <x:v>17.737109554094307</x:v>
      </x:c>
      <x:c r="R94" s="10" t="str">
        <x:f>IF(E94="有效",IF(F94-G94&lt;=0,"未回本",IF(ROUNDUP(H94/(F94-G94),0)&gt;MIN(J94,K94),"未回本",MAX(1,ROUNDUP(H94/(F94-G94),0)))),"n.a.")</x:f>
        <x:v>未回本</x:v>
      </x:c>
    </x:row>
    <x:row r="95" ht="22" customHeight="1">
      <x:c r="A95" s="11" t="str">
        <x:v>lade_0827_30aoi</x:v>
      </x:c>
      <x:c r="B95" s="10" t="n">
        <x:v>30</x:v>
      </x:c>
      <x:c r="C95" s="10" t="n">
        <x:v>44</x:v>
      </x:c>
      <x:c r="D95" s="11" t="str">
        <x:v>M2 / M4</x:v>
      </x:c>
      <x:c r="E95" s="11" t="str">
        <x:v>有效</x:v>
      </x:c>
      <x:c r="F95" s="26" t="n">
        <x:f>IF(E95="有效",'成本明细'!U263,"n.a.")</x:f>
        <x:v>2846.846937516667</x:v>
      </x:c>
      <x:c r="G95" s="26" t="n">
        <x:f>IF(E95="有效",'成本明细'!U269,"n.a.")</x:f>
        <x:v>3857.867768682778</x:v>
      </x:c>
      <x:c r="H95" s="26" t="n">
        <x:f>IF(E95="有效",'成本明细'!V269,"n.a.")</x:f>
        <x:v>8687</x:v>
      </x:c>
      <x:c r="I95" s="22" t="n">
        <x:f>IF(E95="有效",'成本明细'!G263,"n.a.")</x:f>
        <x:v>238</x:v>
      </x:c>
      <x:c r="J95" s="22" t="n">
        <x:f>IF(E95="有效",'参数'!$B$8,"n.a.")</x:f>
        <x:v>50</x:v>
      </x:c>
      <x:c r="K95" s="22" t="n">
        <x:f>IF(E95="有效",'参数'!$B$9,"n.a.")</x:f>
        <x:v>300</x:v>
      </x:c>
      <x:c r="L95" s="26" t="n">
        <x:f>IF(E95="有效",F95*K95,"n.a.")</x:f>
        <x:v>854054.0812550001</x:v>
      </x:c>
      <x:c r="M95" s="26" t="n">
        <x:f>IF(E95="有效",G95*K95+H95*ROUNDUP(K95/J95,0),"n.a.")</x:f>
        <x:v>1209482.3306048336</x:v>
      </x:c>
      <x:c r="N95" s="26" t="n">
        <x:f>IF(E95="有效",L95-M95,"n.a.")</x:f>
        <x:v>-355428.24934983347</x:v>
      </x:c>
      <x:c r="O95" s="32" t="n">
        <x:f>IF(E95="有效",N95/L95,"n.a.")</x:f>
        <x:v>-0.4161659749082226</x:v>
      </x:c>
      <x:c r="P95" s="26" t="n">
        <x:f>IF(E95="有效",L95/(K95*I95),"n.a.")</x:f>
        <x:v>11.96154175427171</x:v>
      </x:c>
      <x:c r="Q95" s="26" t="n">
        <x:f>IF(E95="有效",M95/(K95*I95),"n.a.")</x:f>
        <x:v>16.939528439843606</x:v>
      </x:c>
      <x:c r="R95" s="10" t="str">
        <x:f>IF(E95="有效",IF(F95-G95&lt;=0,"未回本",IF(ROUNDUP(H95/(F95-G95),0)&gt;MIN(J95,K95),"未回本",MAX(1,ROUNDUP(H95/(F95-G95),0)))),"n.a.")</x:f>
        <x:v>未回本</x:v>
      </x:c>
    </x:row>
    <x:row r="96" ht="22" customHeight="1">
      <x:c r="A96" s="11" t="str">
        <x:v>lade_0828_10aoi</x:v>
      </x:c>
      <x:c r="B96" s="10" t="n">
        <x:v>10</x:v>
      </x:c>
      <x:c r="C96" s="10" t="n">
        <x:v>42</x:v>
      </x:c>
      <x:c r="D96" s="11" t="str">
        <x:v>M1 / M3</x:v>
      </x:c>
      <x:c r="E96" s="11" t="str">
        <x:v>有效</x:v>
      </x:c>
      <x:c r="F96" s="26" t="n">
        <x:f>IF(E96="有效",'成本明细'!U276,"n.a.")</x:f>
        <x:v>1795.7832468372221</x:v>
      </x:c>
      <x:c r="G96" s="26" t="n">
        <x:f>IF(E96="有效",'成本明细'!U282,"n.a.")</x:f>
        <x:v>2261.6482725555556</x:v>
      </x:c>
      <x:c r="H96" s="26" t="n">
        <x:f>IF(E96="有效",'成本明细'!V282,"n.a.")</x:f>
        <x:v>4307</x:v>
      </x:c>
      <x:c r="I96" s="22" t="n">
        <x:f>IF(E96="有效",'成本明细'!G276,"n.a.")</x:f>
        <x:v>118</x:v>
      </x:c>
      <x:c r="J96" s="22" t="n">
        <x:f>IF(E96="有效",'参数'!$B$8,"n.a.")</x:f>
        <x:v>50</x:v>
      </x:c>
      <x:c r="K96" s="22" t="n">
        <x:f>IF(E96="有效",'参数'!$B$9,"n.a.")</x:f>
        <x:v>300</x:v>
      </x:c>
      <x:c r="L96" s="26" t="n">
        <x:f>IF(E96="有效",F96*K96,"n.a.")</x:f>
        <x:v>538734.9740511667</x:v>
      </x:c>
      <x:c r="M96" s="26" t="n">
        <x:f>IF(E96="有效",G96*K96+H96*ROUNDUP(K96/J96,0),"n.a.")</x:f>
        <x:v>704336.4817666668</x:v>
      </x:c>
      <x:c r="N96" s="26" t="n">
        <x:f>IF(E96="有效",L96-M96,"n.a.")</x:f>
        <x:v>-165601.50771550008</x:v>
      </x:c>
      <x:c r="O96" s="32" t="n">
        <x:f>IF(E96="有效",N96/L96,"n.a.")</x:f>
        <x:v>-0.30738956201453516</x:v>
      </x:c>
      <x:c r="P96" s="26" t="n">
        <x:f>IF(E96="有效",L96/(K96*I96),"n.a.")</x:f>
        <x:v>15.218502091840866</x:v>
      </x:c>
      <x:c r="Q96" s="26" t="n">
        <x:f>IF(E96="有效",M96/(K96*I96),"n.a.")</x:f>
        <x:v>19.896510784369116</x:v>
      </x:c>
      <x:c r="R96" s="10" t="str">
        <x:f>IF(E96="有效",IF(F96-G96&lt;=0,"未回本",IF(ROUNDUP(H96/(F96-G96),0)&gt;MIN(J96,K96),"未回本",MAX(1,ROUNDUP(H96/(F96-G96),0)))),"n.a.")</x:f>
        <x:v>未回本</x:v>
      </x:c>
    </x:row>
    <x:row r="97" ht="22" customHeight="1">
      <x:c r="A97" s="11" t="str">
        <x:v>lade_0828_10aoi</x:v>
      </x:c>
      <x:c r="B97" s="10" t="n">
        <x:v>10</x:v>
      </x:c>
      <x:c r="C97" s="10" t="n">
        <x:v>42</x:v>
      </x:c>
      <x:c r="D97" s="11" t="str">
        <x:v>M2 / M4</x:v>
      </x:c>
      <x:c r="E97" s="11" t="str">
        <x:v>有效</x:v>
      </x:c>
      <x:c r="F97" s="26" t="n">
        <x:f>IF(E97="有效",'成本明细'!U279,"n.a.")</x:f>
        <x:v>1286.4314819866668</x:v>
      </x:c>
      <x:c r="G97" s="26" t="n">
        <x:f>IF(E97="有效",'成本明细'!U285,"n.a.")</x:f>
        <x:v>1924.7891930611108</x:v>
      </x:c>
      <x:c r="H97" s="26" t="n">
        <x:f>IF(E97="有效",'成本明细'!V285,"n.a.")</x:f>
        <x:v>4307</x:v>
      </x:c>
      <x:c r="I97" s="22" t="n">
        <x:f>IF(E97="有效",'成本明细'!G279,"n.a.")</x:f>
        <x:v>118</x:v>
      </x:c>
      <x:c r="J97" s="22" t="n">
        <x:f>IF(E97="有效",'参数'!$B$8,"n.a.")</x:f>
        <x:v>50</x:v>
      </x:c>
      <x:c r="K97" s="22" t="n">
        <x:f>IF(E97="有效",'参数'!$B$9,"n.a.")</x:f>
        <x:v>300</x:v>
      </x:c>
      <x:c r="L97" s="26" t="n">
        <x:f>IF(E97="有效",F97*K97,"n.a.")</x:f>
        <x:v>385929.444596</x:v>
      </x:c>
      <x:c r="M97" s="26" t="n">
        <x:f>IF(E97="有效",G97*K97+H97*ROUNDUP(K97/J97,0),"n.a.")</x:f>
        <x:v>603278.7579183333</x:v>
      </x:c>
      <x:c r="N97" s="26" t="n">
        <x:f>IF(E97="有效",L97-M97,"n.a.")</x:f>
        <x:v>-217349.31332233327</x:v>
      </x:c>
      <x:c r="O97" s="32" t="n">
        <x:f>IF(E97="有效",N97/L97,"n.a.")</x:f>
        <x:v>-0.5631840647708537</x:v>
      </x:c>
      <x:c r="P97" s="26" t="n">
        <x:f>IF(E97="有效",L97/(K97*I97),"n.a.")</x:f>
        <x:v>10.901961711751413</x:v>
      </x:c>
      <x:c r="Q97" s="26" t="n">
        <x:f>IF(E97="有效",M97/(K97*I97),"n.a.")</x:f>
        <x:v>17.04177282255179</x:v>
      </x:c>
      <x:c r="R97" s="10" t="str">
        <x:f>IF(E97="有效",IF(F97-G97&lt;=0,"未回本",IF(ROUNDUP(H97/(F97-G97),0)&gt;MIN(J97,K97),"未回本",MAX(1,ROUNDUP(H97/(F97-G97),0)))),"n.a.")</x:f>
        <x:v>未回本</x:v>
      </x:c>
    </x:row>
    <x:row r="98" ht="22" customHeight="1">
      <x:c r="A98" s="11" t="str">
        <x:v>lade_0828_10aoi</x:v>
      </x:c>
      <x:c r="B98" s="10" t="n">
        <x:v>10</x:v>
      </x:c>
      <x:c r="C98" s="10" t="n">
        <x:v>43</x:v>
      </x:c>
      <x:c r="D98" s="11" t="str">
        <x:v>M1 / M3</x:v>
      </x:c>
      <x:c r="E98" s="11" t="str">
        <x:v>有效</x:v>
      </x:c>
      <x:c r="F98" s="26" t="n">
        <x:f>IF(E98="有效",'成本明细'!U277,"n.a.")</x:f>
        <x:v>1795.7832468372221</x:v>
      </x:c>
      <x:c r="G98" s="26" t="n">
        <x:f>IF(E98="有效",'成本明细'!U283,"n.a.")</x:f>
        <x:v>2261.6482725555556</x:v>
      </x:c>
      <x:c r="H98" s="26" t="n">
        <x:f>IF(E98="有效",'成本明细'!V283,"n.a.")</x:f>
        <x:v>4307</x:v>
      </x:c>
      <x:c r="I98" s="22" t="n">
        <x:f>IF(E98="有效",'成本明细'!G277,"n.a.")</x:f>
        <x:v>118</x:v>
      </x:c>
      <x:c r="J98" s="22" t="n">
        <x:f>IF(E98="有效",'参数'!$B$8,"n.a.")</x:f>
        <x:v>50</x:v>
      </x:c>
      <x:c r="K98" s="22" t="n">
        <x:f>IF(E98="有效",'参数'!$B$9,"n.a.")</x:f>
        <x:v>300</x:v>
      </x:c>
      <x:c r="L98" s="26" t="n">
        <x:f>IF(E98="有效",F98*K98,"n.a.")</x:f>
        <x:v>538734.9740511667</x:v>
      </x:c>
      <x:c r="M98" s="26" t="n">
        <x:f>IF(E98="有效",G98*K98+H98*ROUNDUP(K98/J98,0),"n.a.")</x:f>
        <x:v>704336.4817666668</x:v>
      </x:c>
      <x:c r="N98" s="26" t="n">
        <x:f>IF(E98="有效",L98-M98,"n.a.")</x:f>
        <x:v>-165601.50771550008</x:v>
      </x:c>
      <x:c r="O98" s="32" t="n">
        <x:f>IF(E98="有效",N98/L98,"n.a.")</x:f>
        <x:v>-0.30738956201453516</x:v>
      </x:c>
      <x:c r="P98" s="26" t="n">
        <x:f>IF(E98="有效",L98/(K98*I98),"n.a.")</x:f>
        <x:v>15.218502091840866</x:v>
      </x:c>
      <x:c r="Q98" s="26" t="n">
        <x:f>IF(E98="有效",M98/(K98*I98),"n.a.")</x:f>
        <x:v>19.896510784369116</x:v>
      </x:c>
      <x:c r="R98" s="10" t="str">
        <x:f>IF(E98="有效",IF(F98-G98&lt;=0,"未回本",IF(ROUNDUP(H98/(F98-G98),0)&gt;MIN(J98,K98),"未回本",MAX(1,ROUNDUP(H98/(F98-G98),0)))),"n.a.")</x:f>
        <x:v>未回本</x:v>
      </x:c>
    </x:row>
    <x:row r="99" ht="22" customHeight="1">
      <x:c r="A99" s="11" t="str">
        <x:v>lade_0828_10aoi</x:v>
      </x:c>
      <x:c r="B99" s="10" t="n">
        <x:v>10</x:v>
      </x:c>
      <x:c r="C99" s="10" t="n">
        <x:v>43</x:v>
      </x:c>
      <x:c r="D99" s="11" t="str">
        <x:v>M2 / M4</x:v>
      </x:c>
      <x:c r="E99" s="11" t="str">
        <x:v>有效</x:v>
      </x:c>
      <x:c r="F99" s="26" t="n">
        <x:f>IF(E99="有效",'成本明细'!U280,"n.a.")</x:f>
        <x:v>1205.708070968889</x:v>
      </x:c>
      <x:c r="G99" s="26" t="n">
        <x:f>IF(E99="有效",'成本明细'!U286,"n.a.")</x:f>
        <x:v>2086.0806047838887</x:v>
      </x:c>
      <x:c r="H99" s="26" t="n">
        <x:f>IF(E99="有效",'成本明细'!V286,"n.a.")</x:f>
        <x:v>4307</x:v>
      </x:c>
      <x:c r="I99" s="22" t="n">
        <x:f>IF(E99="有效",'成本明细'!G280,"n.a.")</x:f>
        <x:v>118</x:v>
      </x:c>
      <x:c r="J99" s="22" t="n">
        <x:f>IF(E99="有效",'参数'!$B$8,"n.a.")</x:f>
        <x:v>50</x:v>
      </x:c>
      <x:c r="K99" s="22" t="n">
        <x:f>IF(E99="有效",'参数'!$B$9,"n.a.")</x:f>
        <x:v>300</x:v>
      </x:c>
      <x:c r="L99" s="26" t="n">
        <x:f>IF(E99="有效",F99*K99,"n.a.")</x:f>
        <x:v>361712.4212906667</x:v>
      </x:c>
      <x:c r="M99" s="26" t="n">
        <x:f>IF(E99="有效",G99*K99+H99*ROUNDUP(K99/J99,0),"n.a.")</x:f>
        <x:v>651666.1814351666</x:v>
      </x:c>
      <x:c r="N99" s="26" t="n">
        <x:f>IF(E99="有效",L99-M99,"n.a.")</x:f>
        <x:v>-289953.76014449995</x:v>
      </x:c>
      <x:c r="O99" s="32" t="n">
        <x:f>IF(E99="有效",N99/L99,"n.a.")</x:f>
        <x:v>-0.801614053257788</x:v>
      </x:c>
      <x:c r="P99" s="26" t="n">
        <x:f>IF(E99="有效",L99/(K99*I99),"n.a.")</x:f>
        <x:v>10.217865008210923</x:v>
      </x:c>
      <x:c r="Q99" s="26" t="n">
        <x:f>IF(E99="有效",M99/(K99*I99),"n.a.")</x:f>
        <x:v>18.408649193083804</x:v>
      </x:c>
      <x:c r="R99" s="10" t="str">
        <x:f>IF(E99="有效",IF(F99-G99&lt;=0,"未回本",IF(ROUNDUP(H99/(F99-G99),0)&gt;MIN(J99,K99),"未回本",MAX(1,ROUNDUP(H99/(F99-G99),0)))),"n.a.")</x:f>
        <x:v>未回本</x:v>
      </x:c>
    </x:row>
    <x:row r="100" ht="22" customHeight="1">
      <x:c r="A100" s="11" t="str">
        <x:v>lade_0828_10aoi</x:v>
      </x:c>
      <x:c r="B100" s="10" t="n">
        <x:v>10</x:v>
      </x:c>
      <x:c r="C100" s="10" t="n">
        <x:v>44</x:v>
      </x:c>
      <x:c r="D100" s="11" t="str">
        <x:v>M1 / M3</x:v>
      </x:c>
      <x:c r="E100" s="11" t="str">
        <x:v>有效</x:v>
      </x:c>
      <x:c r="F100" s="26" t="n">
        <x:f>IF(E100="有效",'成本明细'!U278,"n.a.")</x:f>
        <x:v>1795.7832468372221</x:v>
      </x:c>
      <x:c r="G100" s="26" t="n">
        <x:f>IF(E100="有效",'成本明细'!U284,"n.a.")</x:f>
        <x:v>2261.6482725555556</x:v>
      </x:c>
      <x:c r="H100" s="26" t="n">
        <x:f>IF(E100="有效",'成本明细'!V284,"n.a.")</x:f>
        <x:v>4307</x:v>
      </x:c>
      <x:c r="I100" s="22" t="n">
        <x:f>IF(E100="有效",'成本明细'!G278,"n.a.")</x:f>
        <x:v>118</x:v>
      </x:c>
      <x:c r="J100" s="22" t="n">
        <x:f>IF(E100="有效",'参数'!$B$8,"n.a.")</x:f>
        <x:v>50</x:v>
      </x:c>
      <x:c r="K100" s="22" t="n">
        <x:f>IF(E100="有效",'参数'!$B$9,"n.a.")</x:f>
        <x:v>300</x:v>
      </x:c>
      <x:c r="L100" s="26" t="n">
        <x:f>IF(E100="有效",F100*K100,"n.a.")</x:f>
        <x:v>538734.9740511667</x:v>
      </x:c>
      <x:c r="M100" s="26" t="n">
        <x:f>IF(E100="有效",G100*K100+H100*ROUNDUP(K100/J100,0),"n.a.")</x:f>
        <x:v>704336.4817666668</x:v>
      </x:c>
      <x:c r="N100" s="26" t="n">
        <x:f>IF(E100="有效",L100-M100,"n.a.")</x:f>
        <x:v>-165601.50771550008</x:v>
      </x:c>
      <x:c r="O100" s="32" t="n">
        <x:f>IF(E100="有效",N100/L100,"n.a.")</x:f>
        <x:v>-0.30738956201453516</x:v>
      </x:c>
      <x:c r="P100" s="26" t="n">
        <x:f>IF(E100="有效",L100/(K100*I100),"n.a.")</x:f>
        <x:v>15.218502091840866</x:v>
      </x:c>
      <x:c r="Q100" s="26" t="n">
        <x:f>IF(E100="有效",M100/(K100*I100),"n.a.")</x:f>
        <x:v>19.896510784369116</x:v>
      </x:c>
      <x:c r="R100" s="10" t="str">
        <x:f>IF(E100="有效",IF(F100-G100&lt;=0,"未回本",IF(ROUNDUP(H100/(F100-G100),0)&gt;MIN(J100,K100),"未回本",MAX(1,ROUNDUP(H100/(F100-G100),0)))),"n.a.")</x:f>
        <x:v>未回本</x:v>
      </x:c>
    </x:row>
    <x:row r="101" ht="22" customHeight="1">
      <x:c r="A101" s="11" t="str">
        <x:v>lade_0828_10aoi</x:v>
      </x:c>
      <x:c r="B101" s="10" t="n">
        <x:v>10</x:v>
      </x:c>
      <x:c r="C101" s="10" t="n">
        <x:v>44</x:v>
      </x:c>
      <x:c r="D101" s="11" t="str">
        <x:v>M2 / M4</x:v>
      </x:c>
      <x:c r="E101" s="11" t="str">
        <x:v>有效</x:v>
      </x:c>
      <x:c r="F101" s="26" t="n">
        <x:f>IF(E101="有效",'成本明细'!U281,"n.a.")</x:f>
        <x:v>1286.4314819866668</x:v>
      </x:c>
      <x:c r="G101" s="26" t="n">
        <x:f>IF(E101="有效",'成本明细'!U287,"n.a.")</x:f>
        <x:v>2096.6259821005556</x:v>
      </x:c>
      <x:c r="H101" s="26" t="n">
        <x:f>IF(E101="有效",'成本明细'!V287,"n.a.")</x:f>
        <x:v>4307</x:v>
      </x:c>
      <x:c r="I101" s="22" t="n">
        <x:f>IF(E101="有效",'成本明细'!G281,"n.a.")</x:f>
        <x:v>118</x:v>
      </x:c>
      <x:c r="J101" s="22" t="n">
        <x:f>IF(E101="有效",'参数'!$B$8,"n.a.")</x:f>
        <x:v>50</x:v>
      </x:c>
      <x:c r="K101" s="22" t="n">
        <x:f>IF(E101="有效",'参数'!$B$9,"n.a.")</x:f>
        <x:v>300</x:v>
      </x:c>
      <x:c r="L101" s="26" t="n">
        <x:f>IF(E101="有效",F101*K101,"n.a.")</x:f>
        <x:v>385929.444596</x:v>
      </x:c>
      <x:c r="M101" s="26" t="n">
        <x:f>IF(E101="有效",G101*K101+H101*ROUNDUP(K101/J101,0),"n.a.")</x:f>
        <x:v>654829.7946301667</x:v>
      </x:c>
      <x:c r="N101" s="26" t="n">
        <x:f>IF(E101="有效",L101-M101,"n.a.")</x:f>
        <x:v>-268900.3500341667</x:v>
      </x:c>
      <x:c r="O101" s="32" t="n">
        <x:f>IF(E101="有效",N101/L101,"n.a.")</x:f>
        <x:v>-0.6967603892355451</x:v>
      </x:c>
      <x:c r="P101" s="26" t="n">
        <x:f>IF(E101="有效",L101/(K101*I101),"n.a.")</x:f>
        <x:v>10.901961711751413</x:v>
      </x:c>
      <x:c r="Q101" s="26" t="n">
        <x:f>IF(E101="有效",M101/(K101*I101),"n.a.")</x:f>
        <x:v>18.498016797462338</x:v>
      </x:c>
      <x:c r="R101" s="10" t="str">
        <x:f>IF(E101="有效",IF(F101-G101&lt;=0,"未回本",IF(ROUNDUP(H101/(F101-G101),0)&gt;MIN(J101,K101),"未回本",MAX(1,ROUNDUP(H101/(F101-G101),0)))),"n.a.")</x:f>
        <x:v>未回本</x:v>
      </x:c>
    </x:row>
    <x:row r="102" ht="22" customHeight="1">
      <x:c r="A102" s="11" t="str">
        <x:v>lade_0828_20aoi</x:v>
      </x:c>
      <x:c r="B102" s="10" t="n">
        <x:v>20</x:v>
      </x:c>
      <x:c r="C102" s="10" t="n">
        <x:v>42</x:v>
      </x:c>
      <x:c r="D102" s="11" t="str">
        <x:v>M1 / M3</x:v>
      </x:c>
      <x:c r="E102" s="11" t="str">
        <x:v>有效</x:v>
      </x:c>
      <x:c r="F102" s="26" t="n">
        <x:f>IF(E102="有效",'成本明细'!U294,"n.a.")</x:f>
        <x:v>3326.433337905</x:v>
      </x:c>
      <x:c r="G102" s="26" t="n">
        <x:f>IF(E102="有效",'成本明细'!U300,"n.a.")</x:f>
        <x:v>3672.769739562222</x:v>
      </x:c>
      <x:c r="H102" s="26" t="n">
        <x:f>IF(E102="有效",'成本明细'!V300,"n.a.")</x:f>
        <x:v>6825.5</x:v>
      </x:c>
      <x:c r="I102" s="22" t="n">
        <x:f>IF(E102="有效",'成本明细'!G294,"n.a.")</x:f>
        <x:v>187</x:v>
      </x:c>
      <x:c r="J102" s="22" t="n">
        <x:f>IF(E102="有效",'参数'!$B$8,"n.a.")</x:f>
        <x:v>50</x:v>
      </x:c>
      <x:c r="K102" s="22" t="n">
        <x:f>IF(E102="有效",'参数'!$B$9,"n.a.")</x:f>
        <x:v>300</x:v>
      </x:c>
      <x:c r="L102" s="26" t="n">
        <x:f>IF(E102="有效",F102*K102,"n.a.")</x:f>
        <x:v>997930.0013715</x:v>
      </x:c>
      <x:c r="M102" s="26" t="n">
        <x:f>IF(E102="有效",G102*K102+H102*ROUNDUP(K102/J102,0),"n.a.")</x:f>
        <x:v>1142783.9218686665</x:v>
      </x:c>
      <x:c r="N102" s="26" t="n">
        <x:f>IF(E102="有效",L102-M102,"n.a.")</x:f>
        <x:v>-144853.92049716657</x:v>
      </x:c>
      <x:c r="O102" s="32" t="n">
        <x:f>IF(E102="有效",N102/L102,"n.a.")</x:f>
        <x:v>-0.1451543898851496</x:v>
      </x:c>
      <x:c r="P102" s="26" t="n">
        <x:f>IF(E102="有效",L102/(K102*I102),"n.a.")</x:f>
        <x:v>17.78841357168449</x:v>
      </x:c>
      <x:c r="Q102" s="26" t="n">
        <x:f>IF(E102="有效",M102/(K102*I102),"n.a.")</x:f>
        <x:v>20.370479890707067</x:v>
      </x:c>
      <x:c r="R102" s="10" t="str">
        <x:f>IF(E102="有效",IF(F102-G102&lt;=0,"未回本",IF(ROUNDUP(H102/(F102-G102),0)&gt;MIN(J102,K102),"未回本",MAX(1,ROUNDUP(H102/(F102-G102),0)))),"n.a.")</x:f>
        <x:v>未回本</x:v>
      </x:c>
    </x:row>
    <x:row r="103" ht="22" customHeight="1">
      <x:c r="A103" s="11" t="str">
        <x:v>lade_0828_20aoi</x:v>
      </x:c>
      <x:c r="B103" s="10" t="n">
        <x:v>20</x:v>
      </x:c>
      <x:c r="C103" s="10" t="n">
        <x:v>42</x:v>
      </x:c>
      <x:c r="D103" s="11" t="str">
        <x:v>M2 / M4</x:v>
      </x:c>
      <x:c r="E103" s="11" t="str">
        <x:v>有效</x:v>
      </x:c>
      <x:c r="F103" s="26" t="n">
        <x:f>IF(E103="有效",'成本明细'!U297,"n.a.")</x:f>
        <x:v>2739.6958042244446</x:v>
      </x:c>
      <x:c r="G103" s="26" t="n">
        <x:f>IF(E103="有效",'成本明细'!U303,"n.a.")</x:f>
        <x:v>3545.9287160472218</x:v>
      </x:c>
      <x:c r="H103" s="26" t="n">
        <x:f>IF(E103="有效",'成本明细'!V303,"n.a.")</x:f>
        <x:v>6825.5</x:v>
      </x:c>
      <x:c r="I103" s="22" t="n">
        <x:f>IF(E103="有效",'成本明细'!G297,"n.a.")</x:f>
        <x:v>187</x:v>
      </x:c>
      <x:c r="J103" s="22" t="n">
        <x:f>IF(E103="有效",'参数'!$B$8,"n.a.")</x:f>
        <x:v>50</x:v>
      </x:c>
      <x:c r="K103" s="22" t="n">
        <x:f>IF(E103="有效",'参数'!$B$9,"n.a.")</x:f>
        <x:v>300</x:v>
      </x:c>
      <x:c r="L103" s="26" t="n">
        <x:f>IF(E103="有效",F103*K103,"n.a.")</x:f>
        <x:v>821908.7412673334</x:v>
      </x:c>
      <x:c r="M103" s="26" t="n">
        <x:f>IF(E103="有效",G103*K103+H103*ROUNDUP(K103/J103,0),"n.a.")</x:f>
        <x:v>1104731.6148141664</x:v>
      </x:c>
      <x:c r="N103" s="26" t="n">
        <x:f>IF(E103="有效",L103-M103,"n.a.")</x:f>
        <x:v>-282822.87354683306</x:v>
      </x:c>
      <x:c r="O103" s="32" t="n">
        <x:f>IF(E103="有效",N103/L103,"n.a.")</x:f>
        <x:v>-0.34410495879474085</x:v>
      </x:c>
      <x:c r="P103" s="26" t="n">
        <x:f>IF(E103="有效",L103/(K103*I103),"n.a.")</x:f>
        <x:v>14.650779701734997</x:v>
      </x:c>
      <x:c r="Q103" s="26" t="n">
        <x:f>IF(E103="有效",M103/(K103*I103),"n.a.")</x:f>
        <x:v>19.692185647311344</x:v>
      </x:c>
      <x:c r="R103" s="10" t="str">
        <x:f>IF(E103="有效",IF(F103-G103&lt;=0,"未回本",IF(ROUNDUP(H103/(F103-G103),0)&gt;MIN(J103,K103),"未回本",MAX(1,ROUNDUP(H103/(F103-G103),0)))),"n.a.")</x:f>
        <x:v>未回本</x:v>
      </x:c>
    </x:row>
    <x:row r="104" ht="22" customHeight="1">
      <x:c r="A104" s="11" t="str">
        <x:v>lade_0828_20aoi</x:v>
      </x:c>
      <x:c r="B104" s="10" t="n">
        <x:v>20</x:v>
      </x:c>
      <x:c r="C104" s="10" t="n">
        <x:v>43</x:v>
      </x:c>
      <x:c r="D104" s="11" t="str">
        <x:v>M1 / M3</x:v>
      </x:c>
      <x:c r="E104" s="11" t="str">
        <x:v>有效</x:v>
      </x:c>
      <x:c r="F104" s="26" t="n">
        <x:f>IF(E104="有效",'成本明细'!U295,"n.a.")</x:f>
        <x:v>3326.433337905</x:v>
      </x:c>
      <x:c r="G104" s="26" t="n">
        <x:f>IF(E104="有效",'成本明细'!U301,"n.a.")</x:f>
        <x:v>3672.769739562222</x:v>
      </x:c>
      <x:c r="H104" s="26" t="n">
        <x:f>IF(E104="有效",'成本明细'!V301,"n.a.")</x:f>
        <x:v>6825.5</x:v>
      </x:c>
      <x:c r="I104" s="22" t="n">
        <x:f>IF(E104="有效",'成本明细'!G295,"n.a.")</x:f>
        <x:v>187</x:v>
      </x:c>
      <x:c r="J104" s="22" t="n">
        <x:f>IF(E104="有效",'参数'!$B$8,"n.a.")</x:f>
        <x:v>50</x:v>
      </x:c>
      <x:c r="K104" s="22" t="n">
        <x:f>IF(E104="有效",'参数'!$B$9,"n.a.")</x:f>
        <x:v>300</x:v>
      </x:c>
      <x:c r="L104" s="26" t="n">
        <x:f>IF(E104="有效",F104*K104,"n.a.")</x:f>
        <x:v>997930.0013715</x:v>
      </x:c>
      <x:c r="M104" s="26" t="n">
        <x:f>IF(E104="有效",G104*K104+H104*ROUNDUP(K104/J104,0),"n.a.")</x:f>
        <x:v>1142783.9218686665</x:v>
      </x:c>
      <x:c r="N104" s="26" t="n">
        <x:f>IF(E104="有效",L104-M104,"n.a.")</x:f>
        <x:v>-144853.92049716657</x:v>
      </x:c>
      <x:c r="O104" s="32" t="n">
        <x:f>IF(E104="有效",N104/L104,"n.a.")</x:f>
        <x:v>-0.1451543898851496</x:v>
      </x:c>
      <x:c r="P104" s="26" t="n">
        <x:f>IF(E104="有效",L104/(K104*I104),"n.a.")</x:f>
        <x:v>17.78841357168449</x:v>
      </x:c>
      <x:c r="Q104" s="26" t="n">
        <x:f>IF(E104="有效",M104/(K104*I104),"n.a.")</x:f>
        <x:v>20.370479890707067</x:v>
      </x:c>
      <x:c r="R104" s="10" t="str">
        <x:f>IF(E104="有效",IF(F104-G104&lt;=0,"未回本",IF(ROUNDUP(H104/(F104-G104),0)&gt;MIN(J104,K104),"未回本",MAX(1,ROUNDUP(H104/(F104-G104),0)))),"n.a.")</x:f>
        <x:v>未回本</x:v>
      </x:c>
    </x:row>
    <x:row r="105" ht="22" customHeight="1">
      <x:c r="A105" s="11" t="str">
        <x:v>lade_0828_20aoi</x:v>
      </x:c>
      <x:c r="B105" s="10" t="n">
        <x:v>20</x:v>
      </x:c>
      <x:c r="C105" s="10" t="n">
        <x:v>43</x:v>
      </x:c>
      <x:c r="D105" s="11" t="str">
        <x:v>M2 / M4</x:v>
      </x:c>
      <x:c r="E105" s="11" t="str">
        <x:v>有效</x:v>
      </x:c>
      <x:c r="F105" s="26" t="n">
        <x:f>IF(E105="有效",'成本明细'!U298,"n.a.")</x:f>
        <x:v>2572.1971788833334</x:v>
      </x:c>
      <x:c r="G105" s="26" t="n">
        <x:f>IF(E105="有效",'成本明细'!U304,"n.a.")</x:f>
        <x:v>3568.919740878333</x:v>
      </x:c>
      <x:c r="H105" s="26" t="n">
        <x:f>IF(E105="有效",'成本明细'!V304,"n.a.")</x:f>
        <x:v>6825.5</x:v>
      </x:c>
      <x:c r="I105" s="22" t="n">
        <x:f>IF(E105="有效",'成本明细'!G298,"n.a.")</x:f>
        <x:v>187</x:v>
      </x:c>
      <x:c r="J105" s="22" t="n">
        <x:f>IF(E105="有效",'参数'!$B$8,"n.a.")</x:f>
        <x:v>50</x:v>
      </x:c>
      <x:c r="K105" s="22" t="n">
        <x:f>IF(E105="有效",'参数'!$B$9,"n.a.")</x:f>
        <x:v>300</x:v>
      </x:c>
      <x:c r="L105" s="26" t="n">
        <x:f>IF(E105="有效",F105*K105,"n.a.")</x:f>
        <x:v>771659.153665</x:v>
      </x:c>
      <x:c r="M105" s="26" t="n">
        <x:f>IF(E105="有效",G105*K105+H105*ROUNDUP(K105/J105,0),"n.a.")</x:f>
        <x:v>1111628.9222634998</x:v>
      </x:c>
      <x:c r="N105" s="26" t="n">
        <x:f>IF(E105="有效",L105-M105,"n.a.")</x:f>
        <x:v>-339969.7685984998</x:v>
      </x:c>
      <x:c r="O105" s="32" t="n">
        <x:f>IF(E105="有效",N105/L105,"n.a.")</x:f>
        <x:v>-0.4405698642772671</x:v>
      </x:c>
      <x:c r="P105" s="26" t="n">
        <x:f>IF(E105="有效",L105/(K105*I105),"n.a.")</x:f>
        <x:v>13.75506512771836</x:v>
      </x:c>
      <x:c r="Q105" s="26" t="n">
        <x:f>IF(E105="有效",M105/(K105*I105),"n.a.")</x:f>
        <x:v>19.81513230416221</x:v>
      </x:c>
      <x:c r="R105" s="10" t="str">
        <x:f>IF(E105="有效",IF(F105-G105&lt;=0,"未回本",IF(ROUNDUP(H105/(F105-G105),0)&gt;MIN(J105,K105),"未回本",MAX(1,ROUNDUP(H105/(F105-G105),0)))),"n.a.")</x:f>
        <x:v>未回本</x:v>
      </x:c>
    </x:row>
    <x:row r="106" ht="22" customHeight="1">
      <x:c r="A106" s="11" t="str">
        <x:v>lade_0828_20aoi</x:v>
      </x:c>
      <x:c r="B106" s="10" t="n">
        <x:v>20</x:v>
      </x:c>
      <x:c r="C106" s="10" t="n">
        <x:v>44</x:v>
      </x:c>
      <x:c r="D106" s="11" t="str">
        <x:v>M1 / M3</x:v>
      </x:c>
      <x:c r="E106" s="11" t="str">
        <x:v>有效</x:v>
      </x:c>
      <x:c r="F106" s="26" t="n">
        <x:f>IF(E106="有效",'成本明细'!U296,"n.a.")</x:f>
        <x:v>3326.433337905</x:v>
      </x:c>
      <x:c r="G106" s="26" t="n">
        <x:f>IF(E106="有效",'成本明细'!U302,"n.a.")</x:f>
        <x:v>3672.7697395622217</x:v>
      </x:c>
      <x:c r="H106" s="26" t="n">
        <x:f>IF(E106="有效",'成本明细'!V302,"n.a.")</x:f>
        <x:v>6825.5</x:v>
      </x:c>
      <x:c r="I106" s="22" t="n">
        <x:f>IF(E106="有效",'成本明细'!G296,"n.a.")</x:f>
        <x:v>187</x:v>
      </x:c>
      <x:c r="J106" s="22" t="n">
        <x:f>IF(E106="有效",'参数'!$B$8,"n.a.")</x:f>
        <x:v>50</x:v>
      </x:c>
      <x:c r="K106" s="22" t="n">
        <x:f>IF(E106="有效",'参数'!$B$9,"n.a.")</x:f>
        <x:v>300</x:v>
      </x:c>
      <x:c r="L106" s="26" t="n">
        <x:f>IF(E106="有效",F106*K106,"n.a.")</x:f>
        <x:v>997930.0013715</x:v>
      </x:c>
      <x:c r="M106" s="26" t="n">
        <x:f>IF(E106="有效",G106*K106+H106*ROUNDUP(K106/J106,0),"n.a.")</x:f>
        <x:v>1142783.9218686665</x:v>
      </x:c>
      <x:c r="N106" s="26" t="n">
        <x:f>IF(E106="有效",L106-M106,"n.a.")</x:f>
        <x:v>-144853.92049716657</x:v>
      </x:c>
      <x:c r="O106" s="32" t="n">
        <x:f>IF(E106="有效",N106/L106,"n.a.")</x:f>
        <x:v>-0.1451543898851496</x:v>
      </x:c>
      <x:c r="P106" s="26" t="n">
        <x:f>IF(E106="有效",L106/(K106*I106),"n.a.")</x:f>
        <x:v>17.78841357168449</x:v>
      </x:c>
      <x:c r="Q106" s="26" t="n">
        <x:f>IF(E106="有效",M106/(K106*I106),"n.a.")</x:f>
        <x:v>20.370479890707067</x:v>
      </x:c>
      <x:c r="R106" s="10" t="str">
        <x:f>IF(E106="有效",IF(F106-G106&lt;=0,"未回本",IF(ROUNDUP(H106/(F106-G106),0)&gt;MIN(J106,K106),"未回本",MAX(1,ROUNDUP(H106/(F106-G106),0)))),"n.a.")</x:f>
        <x:v>未回本</x:v>
      </x:c>
    </x:row>
    <x:row r="107" ht="22" customHeight="1">
      <x:c r="A107" s="11" t="str">
        <x:v>lade_0828_20aoi</x:v>
      </x:c>
      <x:c r="B107" s="10" t="n">
        <x:v>20</x:v>
      </x:c>
      <x:c r="C107" s="10" t="n">
        <x:v>44</x:v>
      </x:c>
      <x:c r="D107" s="11" t="str">
        <x:v>M2 / M4</x:v>
      </x:c>
      <x:c r="E107" s="11" t="str">
        <x:v>有效</x:v>
      </x:c>
      <x:c r="F107" s="26" t="n">
        <x:f>IF(E107="有效",'成本明细'!U299,"n.a.")</x:f>
        <x:v>2568.2375642205557</x:v>
      </x:c>
      <x:c r="G107" s="26" t="n">
        <x:f>IF(E107="有效",'成本明细'!U305,"n.a.")</x:f>
        <x:v>3561.9963269894442</x:v>
      </x:c>
      <x:c r="H107" s="26" t="n">
        <x:f>IF(E107="有效",'成本明细'!V305,"n.a.")</x:f>
        <x:v>6825.5</x:v>
      </x:c>
      <x:c r="I107" s="22" t="n">
        <x:f>IF(E107="有效",'成本明细'!G299,"n.a.")</x:f>
        <x:v>187</x:v>
      </x:c>
      <x:c r="J107" s="22" t="n">
        <x:f>IF(E107="有效",'参数'!$B$8,"n.a.")</x:f>
        <x:v>50</x:v>
      </x:c>
      <x:c r="K107" s="22" t="n">
        <x:f>IF(E107="有效",'参数'!$B$9,"n.a.")</x:f>
        <x:v>300</x:v>
      </x:c>
      <x:c r="L107" s="26" t="n">
        <x:f>IF(E107="有效",F107*K107,"n.a.")</x:f>
        <x:v>770471.2692661667</x:v>
      </x:c>
      <x:c r="M107" s="26" t="n">
        <x:f>IF(E107="有效",G107*K107+H107*ROUNDUP(K107/J107,0),"n.a.")</x:f>
        <x:v>1109551.8980968334</x:v>
      </x:c>
      <x:c r="N107" s="26" t="n">
        <x:f>IF(E107="有效",L107-M107,"n.a.")</x:f>
        <x:v>-339080.62883066665</x:v>
      </x:c>
      <x:c r="O107" s="32" t="n">
        <x:f>IF(E107="有效",N107/L107,"n.a.")</x:f>
        <x:v>-0.44009509809966446</x:v>
      </x:c>
      <x:c r="P107" s="26" t="n">
        <x:f>IF(E107="有效",L107/(K107*I107),"n.a.")</x:f>
        <x:v>13.733890717756983</x:v>
      </x:c>
      <x:c r="Q107" s="26" t="n">
        <x:f>IF(E107="有效",M107/(K107*I107),"n.a.")</x:f>
        <x:v>19.778108700478313</x:v>
      </x:c>
      <x:c r="R107" s="10" t="str">
        <x:f>IF(E107="有效",IF(F107-G107&lt;=0,"未回本",IF(ROUNDUP(H107/(F107-G107),0)&gt;MIN(J107,K107),"未回本",MAX(1,ROUNDUP(H107/(F107-G107),0)))),"n.a.")</x:f>
        <x:v>未回本</x:v>
      </x:c>
    </x:row>
    <x:row r="108" ht="22" customHeight="1">
      <x:c r="A108" s="11" t="str">
        <x:v>lade_0828_30aoi</x:v>
      </x:c>
      <x:c r="B108" s="10" t="n">
        <x:v>30</x:v>
      </x:c>
      <x:c r="C108" s="10" t="n">
        <x:v>42</x:v>
      </x:c>
      <x:c r="D108" s="11" t="str">
        <x:v>M1 / M3</x:v>
      </x:c>
      <x:c r="E108" s="11" t="str">
        <x:v>有效</x:v>
      </x:c>
      <x:c r="F108" s="26" t="n">
        <x:f>IF(E108="有效",'成本明细'!U312,"n.a.")</x:f>
        <x:v>3594.435462534445</x:v>
      </x:c>
      <x:c r="G108" s="26" t="n">
        <x:f>IF(E108="有效",'成本明细'!U318,"n.a.")</x:f>
        <x:v>3970.6282375366673</x:v>
      </x:c>
      <x:c r="H108" s="26" t="n">
        <x:f>IF(E108="有效",'成本明细'!V318,"n.a.")</x:f>
        <x:v>8687</x:v>
      </x:c>
      <x:c r="I108" s="22" t="n">
        <x:f>IF(E108="有效",'成本明细'!G312,"n.a.")</x:f>
        <x:v>238</x:v>
      </x:c>
      <x:c r="J108" s="22" t="n">
        <x:f>IF(E108="有效",'参数'!$B$8,"n.a.")</x:f>
        <x:v>50</x:v>
      </x:c>
      <x:c r="K108" s="22" t="n">
        <x:f>IF(E108="有效",'参数'!$B$9,"n.a.")</x:f>
        <x:v>300</x:v>
      </x:c>
      <x:c r="L108" s="26" t="n">
        <x:f>IF(E108="有效",F108*K108,"n.a.")</x:f>
        <x:v>1078330.6387603334</x:v>
      </x:c>
      <x:c r="M108" s="26" t="n">
        <x:f>IF(E108="有效",G108*K108+H108*ROUNDUP(K108/J108,0),"n.a.")</x:f>
        <x:v>1243310.4712610003</x:v>
      </x:c>
      <x:c r="N108" s="26" t="n">
        <x:f>IF(E108="有效",L108-M108,"n.a.")</x:f>
        <x:v>-164979.83250066685</x:v>
      </x:c>
      <x:c r="O108" s="32" t="n">
        <x:f>IF(E108="有效",N108/L108,"n.a.")</x:f>
        <x:v>-0.15299559019331063</x:v>
      </x:c>
      <x:c r="P108" s="26" t="n">
        <x:f>IF(E108="有效",L108/(K108*I108),"n.a.")</x:f>
        <x:v>15.102670010648927</x:v>
      </x:c>
      <x:c r="Q108" s="26" t="n">
        <x:f>IF(E108="有效",M108/(K108*I108),"n.a.")</x:f>
        <x:v>17.413311922422974</x:v>
      </x:c>
      <x:c r="R108" s="10" t="str">
        <x:f>IF(E108="有效",IF(F108-G108&lt;=0,"未回本",IF(ROUNDUP(H108/(F108-G108),0)&gt;MIN(J108,K108),"未回本",MAX(1,ROUNDUP(H108/(F108-G108),0)))),"n.a.")</x:f>
        <x:v>未回本</x:v>
      </x:c>
    </x:row>
    <x:row r="109" ht="22" customHeight="1">
      <x:c r="A109" s="11" t="str">
        <x:v>lade_0828_30aoi</x:v>
      </x:c>
      <x:c r="B109" s="10" t="n">
        <x:v>30</x:v>
      </x:c>
      <x:c r="C109" s="10" t="n">
        <x:v>42</x:v>
      </x:c>
      <x:c r="D109" s="11" t="str">
        <x:v>M2 / M4</x:v>
      </x:c>
      <x:c r="E109" s="11" t="str">
        <x:v>有效</x:v>
      </x:c>
      <x:c r="F109" s="26" t="n">
        <x:f>IF(E109="有效",'成本明细'!U315,"n.a.")</x:f>
        <x:v>3147.7717437255556</x:v>
      </x:c>
      <x:c r="G109" s="26" t="n">
        <x:f>IF(E109="有效",'成本明细'!U321,"n.a.")</x:f>
        <x:v>3804.297403805556</x:v>
      </x:c>
      <x:c r="H109" s="26" t="n">
        <x:f>IF(E109="有效",'成本明细'!V321,"n.a.")</x:f>
        <x:v>8687</x:v>
      </x:c>
      <x:c r="I109" s="22" t="n">
        <x:f>IF(E109="有效",'成本明细'!G315,"n.a.")</x:f>
        <x:v>238</x:v>
      </x:c>
      <x:c r="J109" s="22" t="n">
        <x:f>IF(E109="有效",'参数'!$B$8,"n.a.")</x:f>
        <x:v>50</x:v>
      </x:c>
      <x:c r="K109" s="22" t="n">
        <x:f>IF(E109="有效",'参数'!$B$9,"n.a.")</x:f>
        <x:v>300</x:v>
      </x:c>
      <x:c r="L109" s="26" t="n">
        <x:f>IF(E109="有效",F109*K109,"n.a.")</x:f>
        <x:v>944331.5231176667</x:v>
      </x:c>
      <x:c r="M109" s="26" t="n">
        <x:f>IF(E109="有效",G109*K109+H109*ROUNDUP(K109/J109,0),"n.a.")</x:f>
        <x:v>1193411.2211416669</x:v>
      </x:c>
      <x:c r="N109" s="26" t="n">
        <x:f>IF(E109="有效",L109-M109,"n.a.")</x:f>
        <x:v>-249079.69802400016</x:v>
      </x:c>
      <x:c r="O109" s="32" t="n">
        <x:f>IF(E109="有效",N109/L109,"n.a.")</x:f>
        <x:v>-0.2637629814598109</x:v>
      </x:c>
      <x:c r="P109" s="26" t="n">
        <x:f>IF(E109="有效",L109/(K109*I109),"n.a.")</x:f>
        <x:v>13.225931696325864</x:v>
      </x:c>
      <x:c r="Q109" s="26" t="n">
        <x:f>IF(E109="有效",M109/(K109*I109),"n.a.")</x:f>
        <x:v>16.71444287313259</x:v>
      </x:c>
      <x:c r="R109" s="10" t="str">
        <x:f>IF(E109="有效",IF(F109-G109&lt;=0,"未回本",IF(ROUNDUP(H109/(F109-G109),0)&gt;MIN(J109,K109),"未回本",MAX(1,ROUNDUP(H109/(F109-G109),0)))),"n.a.")</x:f>
        <x:v>未回本</x:v>
      </x:c>
    </x:row>
    <x:row r="110" ht="22" customHeight="1">
      <x:c r="A110" s="11" t="str">
        <x:v>lade_0828_30aoi</x:v>
      </x:c>
      <x:c r="B110" s="10" t="n">
        <x:v>30</x:v>
      </x:c>
      <x:c r="C110" s="10" t="n">
        <x:v>43</x:v>
      </x:c>
      <x:c r="D110" s="11" t="str">
        <x:v>M1 / M3</x:v>
      </x:c>
      <x:c r="E110" s="11" t="str">
        <x:v>有效</x:v>
      </x:c>
      <x:c r="F110" s="26" t="n">
        <x:f>IF(E110="有效",'成本明细'!U313,"n.a.")</x:f>
        <x:v>3594.1749504944446</x:v>
      </x:c>
      <x:c r="G110" s="26" t="n">
        <x:f>IF(E110="有效",'成本明细'!U319,"n.a.")</x:f>
        <x:v>3973.6422688694447</x:v>
      </x:c>
      <x:c r="H110" s="26" t="n">
        <x:f>IF(E110="有效",'成本明细'!V319,"n.a.")</x:f>
        <x:v>8687</x:v>
      </x:c>
      <x:c r="I110" s="22" t="n">
        <x:f>IF(E110="有效",'成本明细'!G313,"n.a.")</x:f>
        <x:v>238</x:v>
      </x:c>
      <x:c r="J110" s="22" t="n">
        <x:f>IF(E110="有效",'参数'!$B$8,"n.a.")</x:f>
        <x:v>50</x:v>
      </x:c>
      <x:c r="K110" s="22" t="n">
        <x:f>IF(E110="有效",'参数'!$B$9,"n.a.")</x:f>
        <x:v>300</x:v>
      </x:c>
      <x:c r="L110" s="26" t="n">
        <x:f>IF(E110="有效",F110*K110,"n.a.")</x:f>
        <x:v>1078252.4851483335</x:v>
      </x:c>
      <x:c r="M110" s="26" t="n">
        <x:f>IF(E110="有效",G110*K110+H110*ROUNDUP(K110/J110,0),"n.a.")</x:f>
        <x:v>1244214.6806608334</x:v>
      </x:c>
      <x:c r="N110" s="26" t="n">
        <x:f>IF(E110="有效",L110-M110,"n.a.")</x:f>
        <x:v>-165962.1955124999</x:v>
      </x:c>
      <x:c r="O110" s="32" t="n">
        <x:f>IF(E110="有效",N110/L110,"n.a.")</x:f>
        <x:v>-0.15391774913430292</x:v>
      </x:c>
      <x:c r="P110" s="26" t="n">
        <x:f>IF(E110="有效",L110/(K110*I110),"n.a.")</x:f>
        <x:v>15.101575422245567</x:v>
      </x:c>
      <x:c r="Q110" s="26" t="n">
        <x:f>IF(E110="有效",M110/(K110*I110),"n.a.")</x:f>
        <x:v>17.425975919619514</x:v>
      </x:c>
      <x:c r="R110" s="10" t="str">
        <x:f>IF(E110="有效",IF(F110-G110&lt;=0,"未回本",IF(ROUNDUP(H110/(F110-G110),0)&gt;MIN(J110,K110),"未回本",MAX(1,ROUNDUP(H110/(F110-G110),0)))),"n.a.")</x:f>
        <x:v>未回本</x:v>
      </x:c>
    </x:row>
    <x:row r="111" ht="22" customHeight="1">
      <x:c r="A111" s="11" t="str">
        <x:v>lade_0828_30aoi</x:v>
      </x:c>
      <x:c r="B111" s="10" t="n">
        <x:v>30</x:v>
      </x:c>
      <x:c r="C111" s="10" t="n">
        <x:v>43</x:v>
      </x:c>
      <x:c r="D111" s="11" t="str">
        <x:v>M2 / M4</x:v>
      </x:c>
      <x:c r="E111" s="11" t="str">
        <x:v>有效</x:v>
      </x:c>
      <x:c r="F111" s="26" t="n">
        <x:f>IF(E111="有效",'成本明细'!U316,"n.a.")</x:f>
        <x:v>2981.174787708889</x:v>
      </x:c>
      <x:c r="G111" s="26" t="n">
        <x:f>IF(E111="有效",'成本明细'!U322,"n.a.")</x:f>
        <x:v>3989.3999772594448</x:v>
      </x:c>
      <x:c r="H111" s="26" t="n">
        <x:f>IF(E111="有效",'成本明细'!V322,"n.a.")</x:f>
        <x:v>8687</x:v>
      </x:c>
      <x:c r="I111" s="22" t="n">
        <x:f>IF(E111="有效",'成本明细'!G316,"n.a.")</x:f>
        <x:v>238</x:v>
      </x:c>
      <x:c r="J111" s="22" t="n">
        <x:f>IF(E111="有效",'参数'!$B$8,"n.a.")</x:f>
        <x:v>50</x:v>
      </x:c>
      <x:c r="K111" s="22" t="n">
        <x:f>IF(E111="有效",'参数'!$B$9,"n.a.")</x:f>
        <x:v>300</x:v>
      </x:c>
      <x:c r="L111" s="26" t="n">
        <x:f>IF(E111="有效",F111*K111,"n.a.")</x:f>
        <x:v>894352.4363126667</x:v>
      </x:c>
      <x:c r="M111" s="26" t="n">
        <x:f>IF(E111="有效",G111*K111+H111*ROUNDUP(K111/J111,0),"n.a.")</x:f>
        <x:v>1248941.9931778335</x:v>
      </x:c>
      <x:c r="N111" s="26" t="n">
        <x:f>IF(E111="有效",L111-M111,"n.a.")</x:f>
        <x:v>-354589.55686516676</x:v>
      </x:c>
      <x:c r="O111" s="32" t="n">
        <x:f>IF(E111="有效",N111/L111,"n.a.")</x:f>
        <x:v>-0.39647631343981915</x:v>
      </x:c>
      <x:c r="P111" s="26" t="n">
        <x:f>IF(E111="有效",L111/(K111*I111),"n.a.")</x:f>
        <x:v>12.525944486171802</x:v>
      </x:c>
      <x:c r="Q111" s="26" t="n">
        <x:f>IF(E111="有效",M111/(K111*I111),"n.a.")</x:f>
        <x:v>17.49218477840103</x:v>
      </x:c>
      <x:c r="R111" s="10" t="str">
        <x:f>IF(E111="有效",IF(F111-G111&lt;=0,"未回本",IF(ROUNDUP(H111/(F111-G111),0)&gt;MIN(J111,K111),"未回本",MAX(1,ROUNDUP(H111/(F111-G111),0)))),"n.a.")</x:f>
        <x:v>未回本</x:v>
      </x:c>
    </x:row>
    <x:row r="112" ht="22" customHeight="1">
      <x:c r="A112" s="11" t="str">
        <x:v>lade_0828_30aoi</x:v>
      </x:c>
      <x:c r="B112" s="10" t="n">
        <x:v>30</x:v>
      </x:c>
      <x:c r="C112" s="10" t="n">
        <x:v>44</x:v>
      </x:c>
      <x:c r="D112" s="11" t="str">
        <x:v>M1 / M3</x:v>
      </x:c>
      <x:c r="E112" s="11" t="str">
        <x:v>有效</x:v>
      </x:c>
      <x:c r="F112" s="26" t="n">
        <x:f>IF(E112="有效",'成本明细'!U314,"n.a.")</x:f>
        <x:v>3594.1749504944446</x:v>
      </x:c>
      <x:c r="G112" s="26" t="n">
        <x:f>IF(E112="有效",'成本明细'!U320,"n.a.")</x:f>
        <x:v>3984.6556792633337</x:v>
      </x:c>
      <x:c r="H112" s="26" t="n">
        <x:f>IF(E112="有效",'成本明细'!V320,"n.a.")</x:f>
        <x:v>8687</x:v>
      </x:c>
      <x:c r="I112" s="22" t="n">
        <x:f>IF(E112="有效",'成本明细'!G314,"n.a.")</x:f>
        <x:v>238</x:v>
      </x:c>
      <x:c r="J112" s="22" t="n">
        <x:f>IF(E112="有效",'参数'!$B$8,"n.a.")</x:f>
        <x:v>50</x:v>
      </x:c>
      <x:c r="K112" s="22" t="n">
        <x:f>IF(E112="有效",'参数'!$B$9,"n.a.")</x:f>
        <x:v>300</x:v>
      </x:c>
      <x:c r="L112" s="26" t="n">
        <x:f>IF(E112="有效",F112*K112,"n.a.")</x:f>
        <x:v>1078252.4851483335</x:v>
      </x:c>
      <x:c r="M112" s="26" t="n">
        <x:f>IF(E112="有效",G112*K112+H112*ROUNDUP(K112/J112,0),"n.a.")</x:f>
        <x:v>1247518.703779</x:v>
      </x:c>
      <x:c r="N112" s="26" t="n">
        <x:f>IF(E112="有效",L112-M112,"n.a.")</x:f>
        <x:v>-169266.2186306666</x:v>
      </x:c>
      <x:c r="O112" s="32" t="n">
        <x:f>IF(E112="有效",N112/L112,"n.a.")</x:f>
        <x:v>-0.1569819879500495</x:v>
      </x:c>
      <x:c r="P112" s="26" t="n">
        <x:f>IF(E112="有效",L112/(K112*I112),"n.a.")</x:f>
        <x:v>15.101575422245567</x:v>
      </x:c>
      <x:c r="Q112" s="26" t="n">
        <x:f>IF(E112="有效",M112/(K112*I112),"n.a.")</x:f>
        <x:v>17.472250753207284</x:v>
      </x:c>
      <x:c r="R112" s="10" t="str">
        <x:f>IF(E112="有效",IF(F112-G112&lt;=0,"未回本",IF(ROUNDUP(H112/(F112-G112),0)&gt;MIN(J112,K112),"未回本",MAX(1,ROUNDUP(H112/(F112-G112),0)))),"n.a.")</x:f>
        <x:v>未回本</x:v>
      </x:c>
    </x:row>
    <x:row r="113" ht="22" customHeight="1">
      <x:c r="A113" s="11" t="str">
        <x:v>lade_0828_30aoi</x:v>
      </x:c>
      <x:c r="B113" s="10" t="n">
        <x:v>30</x:v>
      </x:c>
      <x:c r="C113" s="10" t="n">
        <x:v>44</x:v>
      </x:c>
      <x:c r="D113" s="11" t="str">
        <x:v>M2 / M4</x:v>
      </x:c>
      <x:c r="E113" s="11" t="str">
        <x:v>有效</x:v>
      </x:c>
      <x:c r="F113" s="26" t="n">
        <x:f>IF(E113="有效",'成本明细'!U317,"n.a.")</x:f>
        <x:v>3157.4565007250003</x:v>
      </x:c>
      <x:c r="G113" s="26" t="n">
        <x:f>IF(E113="有效",'成本明细'!U323,"n.a.")</x:f>
        <x:v>3977.1810346300003</x:v>
      </x:c>
      <x:c r="H113" s="26" t="n">
        <x:f>IF(E113="有效",'成本明细'!V323,"n.a.")</x:f>
        <x:v>8687</x:v>
      </x:c>
      <x:c r="I113" s="22" t="n">
        <x:f>IF(E113="有效",'成本明细'!G317,"n.a.")</x:f>
        <x:v>238</x:v>
      </x:c>
      <x:c r="J113" s="22" t="n">
        <x:f>IF(E113="有效",'参数'!$B$8,"n.a.")</x:f>
        <x:v>50</x:v>
      </x:c>
      <x:c r="K113" s="22" t="n">
        <x:f>IF(E113="有效",'参数'!$B$9,"n.a.")</x:f>
        <x:v>300</x:v>
      </x:c>
      <x:c r="L113" s="26" t="n">
        <x:f>IF(E113="有效",F113*K113,"n.a.")</x:f>
        <x:v>947236.9502175001</x:v>
      </x:c>
      <x:c r="M113" s="26" t="n">
        <x:f>IF(E113="有效",G113*K113+H113*ROUNDUP(K113/J113,0),"n.a.")</x:f>
        <x:v>1245276.310389</x:v>
      </x:c>
      <x:c r="N113" s="26" t="n">
        <x:f>IF(E113="有效",L113-M113,"n.a.")</x:f>
        <x:v>-298039.3601714999</x:v>
      </x:c>
      <x:c r="O113" s="32" t="n">
        <x:f>IF(E113="有效",N113/L113,"n.a.")</x:f>
        <x:v>-0.31464076660339896</x:v>
      </x:c>
      <x:c r="P113" s="26" t="n">
        <x:f>IF(E113="有效",L113/(K113*I113),"n.a.")</x:f>
        <x:v>13.266623952626052</x:v>
      </x:c>
      <x:c r="Q113" s="26" t="n">
        <x:f>IF(E113="有效",M113/(K113*I113),"n.a.")</x:f>
        <x:v>17.440844683319327</x:v>
      </x:c>
      <x:c r="R113" s="10" t="str">
        <x:f>IF(E113="有效",IF(F113-G113&lt;=0,"未回本",IF(ROUNDUP(H113/(F113-G113),0)&gt;MIN(J113,K113),"未回本",MAX(1,ROUNDUP(H113/(F113-G113),0)))),"n.a.")</x:f>
        <x:v>未回本</x:v>
      </x:c>
    </x:row>
    <x:row r="114" ht="22" customHeight="1">
      <x:c r="A114" s="11" t="str">
        <x:v>lade_0829_10aoi</x:v>
      </x:c>
      <x:c r="B114" s="10" t="n">
        <x:v>10</x:v>
      </x:c>
      <x:c r="C114" s="10" t="n">
        <x:v>42</x:v>
      </x:c>
      <x:c r="D114" s="11" t="str">
        <x:v>M1 / M3</x:v>
      </x:c>
      <x:c r="E114" s="11" t="str">
        <x:v>有效</x:v>
      </x:c>
      <x:c r="F114" s="26" t="n">
        <x:f>IF(E114="有效",'成本明细'!U330,"n.a.")</x:f>
        <x:v>1784.6218747116666</x:v>
      </x:c>
      <x:c r="G114" s="26" t="n">
        <x:f>IF(E114="有效",'成本明细'!U336,"n.a.")</x:f>
        <x:v>2316.168220803333</x:v>
      </x:c>
      <x:c r="H114" s="26" t="n">
        <x:f>IF(E114="有效",'成本明细'!V336,"n.a.")</x:f>
        <x:v>4234</x:v>
      </x:c>
      <x:c r="I114" s="22" t="n">
        <x:f>IF(E114="有效",'成本明细'!G330,"n.a.")</x:f>
        <x:v>116</x:v>
      </x:c>
      <x:c r="J114" s="22" t="n">
        <x:f>IF(E114="有效",'参数'!$B$8,"n.a.")</x:f>
        <x:v>50</x:v>
      </x:c>
      <x:c r="K114" s="22" t="n">
        <x:f>IF(E114="有效",'参数'!$B$9,"n.a.")</x:f>
        <x:v>300</x:v>
      </x:c>
      <x:c r="L114" s="26" t="n">
        <x:f>IF(E114="有效",F114*K114,"n.a.")</x:f>
        <x:v>535386.5624134999</x:v>
      </x:c>
      <x:c r="M114" s="26" t="n">
        <x:f>IF(E114="有效",G114*K114+H114*ROUNDUP(K114/J114,0),"n.a.")</x:f>
        <x:v>720254.4662409999</x:v>
      </x:c>
      <x:c r="N114" s="26" t="n">
        <x:f>IF(E114="有效",L114-M114,"n.a.")</x:f>
        <x:v>-184867.90382749995</x:v>
      </x:c>
      <x:c r="O114" s="32" t="n">
        <x:f>IF(E114="有效",N114/L114,"n.a.")</x:f>
        <x:v>-0.34529798991241634</x:v>
      </x:c>
      <x:c r="P114" s="26" t="n">
        <x:f>IF(E114="有效",L114/(K114*I114),"n.a.")</x:f>
        <x:v>15.384671333721263</x:v>
      </x:c>
      <x:c r="Q114" s="26" t="n">
        <x:f>IF(E114="有效",M114/(K114*I114),"n.a.")</x:f>
        <x:v>20.696967420718387</x:v>
      </x:c>
      <x:c r="R114" s="10" t="str">
        <x:f>IF(E114="有效",IF(F114-G114&lt;=0,"未回本",IF(ROUNDUP(H114/(F114-G114),0)&gt;MIN(J114,K114),"未回本",MAX(1,ROUNDUP(H114/(F114-G114),0)))),"n.a.")</x:f>
        <x:v>未回本</x:v>
      </x:c>
    </x:row>
    <x:row r="115" ht="22" customHeight="1">
      <x:c r="A115" s="11" t="str">
        <x:v>lade_0829_10aoi</x:v>
      </x:c>
      <x:c r="B115" s="10" t="n">
        <x:v>10</x:v>
      </x:c>
      <x:c r="C115" s="10" t="n">
        <x:v>42</x:v>
      </x:c>
      <x:c r="D115" s="11" t="str">
        <x:v>M2 / M4</x:v>
      </x:c>
      <x:c r="E115" s="11" t="str">
        <x:v>有效</x:v>
      </x:c>
      <x:c r="F115" s="26" t="n">
        <x:f>IF(E115="有效",'成本明细'!U333,"n.a.")</x:f>
        <x:v>1784.6218747116666</x:v>
      </x:c>
      <x:c r="G115" s="26" t="n">
        <x:f>IF(E115="有效",'成本明细'!U339,"n.a.")</x:f>
        <x:v>2319.480187583333</x:v>
      </x:c>
      <x:c r="H115" s="26" t="n">
        <x:f>IF(E115="有效",'成本明细'!V339,"n.a.")</x:f>
        <x:v>4234</x:v>
      </x:c>
      <x:c r="I115" s="22" t="n">
        <x:f>IF(E115="有效",'成本明细'!G333,"n.a.")</x:f>
        <x:v>116</x:v>
      </x:c>
      <x:c r="J115" s="22" t="n">
        <x:f>IF(E115="有效",'参数'!$B$8,"n.a.")</x:f>
        <x:v>50</x:v>
      </x:c>
      <x:c r="K115" s="22" t="n">
        <x:f>IF(E115="有效",'参数'!$B$9,"n.a.")</x:f>
        <x:v>300</x:v>
      </x:c>
      <x:c r="L115" s="26" t="n">
        <x:f>IF(E115="有效",F115*K115,"n.a.")</x:f>
        <x:v>535386.5624134999</x:v>
      </x:c>
      <x:c r="M115" s="26" t="n">
        <x:f>IF(E115="有效",G115*K115+H115*ROUNDUP(K115/J115,0),"n.a.")</x:f>
        <x:v>721248.056275</x:v>
      </x:c>
      <x:c r="N115" s="26" t="n">
        <x:f>IF(E115="有效",L115-M115,"n.a.")</x:f>
        <x:v>-185861.49386150006</x:v>
      </x:c>
      <x:c r="O115" s="32" t="n">
        <x:f>IF(E115="有效",N115/L115,"n.a.")</x:f>
        <x:v>-0.34715382661762056</x:v>
      </x:c>
      <x:c r="P115" s="26" t="n">
        <x:f>IF(E115="有效",L115/(K115*I115),"n.a.")</x:f>
        <x:v>15.384671333721263</x:v>
      </x:c>
      <x:c r="Q115" s="26" t="n">
        <x:f>IF(E115="有效",M115/(K115*I115),"n.a.")</x:f>
        <x:v>20.72551885847701</x:v>
      </x:c>
      <x:c r="R115" s="10" t="str">
        <x:f>IF(E115="有效",IF(F115-G115&lt;=0,"未回本",IF(ROUNDUP(H115/(F115-G115),0)&gt;MIN(J115,K115),"未回本",MAX(1,ROUNDUP(H115/(F115-G115),0)))),"n.a.")</x:f>
        <x:v>未回本</x:v>
      </x:c>
    </x:row>
    <x:row r="116" ht="22" customHeight="1">
      <x:c r="A116" s="11" t="str">
        <x:v>lade_0829_10aoi</x:v>
      </x:c>
      <x:c r="B116" s="10" t="n">
        <x:v>10</x:v>
      </x:c>
      <x:c r="C116" s="10" t="n">
        <x:v>43</x:v>
      </x:c>
      <x:c r="D116" s="11" t="str">
        <x:v>M1 / M3</x:v>
      </x:c>
      <x:c r="E116" s="11" t="str">
        <x:v>有效</x:v>
      </x:c>
      <x:c r="F116" s="26" t="n">
        <x:f>IF(E116="有效",'成本明细'!U331,"n.a.")</x:f>
        <x:v>1784.6218747116666</x:v>
      </x:c>
      <x:c r="G116" s="26" t="n">
        <x:f>IF(E116="有效",'成本明细'!U337,"n.a.")</x:f>
        <x:v>2316.168220803333</x:v>
      </x:c>
      <x:c r="H116" s="26" t="n">
        <x:f>IF(E116="有效",'成本明细'!V337,"n.a.")</x:f>
        <x:v>4234</x:v>
      </x:c>
      <x:c r="I116" s="22" t="n">
        <x:f>IF(E116="有效",'成本明细'!G331,"n.a.")</x:f>
        <x:v>116</x:v>
      </x:c>
      <x:c r="J116" s="22" t="n">
        <x:f>IF(E116="有效",'参数'!$B$8,"n.a.")</x:f>
        <x:v>50</x:v>
      </x:c>
      <x:c r="K116" s="22" t="n">
        <x:f>IF(E116="有效",'参数'!$B$9,"n.a.")</x:f>
        <x:v>300</x:v>
      </x:c>
      <x:c r="L116" s="26" t="n">
        <x:f>IF(E116="有效",F116*K116,"n.a.")</x:f>
        <x:v>535386.5624134999</x:v>
      </x:c>
      <x:c r="M116" s="26" t="n">
        <x:f>IF(E116="有效",G116*K116+H116*ROUNDUP(K116/J116,0),"n.a.")</x:f>
        <x:v>720254.4662409999</x:v>
      </x:c>
      <x:c r="N116" s="26" t="n">
        <x:f>IF(E116="有效",L116-M116,"n.a.")</x:f>
        <x:v>-184867.90382749995</x:v>
      </x:c>
      <x:c r="O116" s="32" t="n">
        <x:f>IF(E116="有效",N116/L116,"n.a.")</x:f>
        <x:v>-0.34529798991241634</x:v>
      </x:c>
      <x:c r="P116" s="26" t="n">
        <x:f>IF(E116="有效",L116/(K116*I116),"n.a.")</x:f>
        <x:v>15.384671333721263</x:v>
      </x:c>
      <x:c r="Q116" s="26" t="n">
        <x:f>IF(E116="有效",M116/(K116*I116),"n.a.")</x:f>
        <x:v>20.696967420718387</x:v>
      </x:c>
      <x:c r="R116" s="10" t="str">
        <x:f>IF(E116="有效",IF(F116-G116&lt;=0,"未回本",IF(ROUNDUP(H116/(F116-G116),0)&gt;MIN(J116,K116),"未回本",MAX(1,ROUNDUP(H116/(F116-G116),0)))),"n.a.")</x:f>
        <x:v>未回本</x:v>
      </x:c>
    </x:row>
    <x:row r="117" ht="22" customHeight="1">
      <x:c r="A117" s="11" t="str">
        <x:v>lade_0829_10aoi</x:v>
      </x:c>
      <x:c r="B117" s="10" t="n">
        <x:v>10</x:v>
      </x:c>
      <x:c r="C117" s="10" t="n">
        <x:v>43</x:v>
      </x:c>
      <x:c r="D117" s="11" t="str">
        <x:v>M2 / M4</x:v>
      </x:c>
      <x:c r="E117" s="11" t="str">
        <x:v>有效</x:v>
      </x:c>
      <x:c r="F117" s="26" t="n">
        <x:f>IF(E117="有效",'成本明细'!U334,"n.a.")</x:f>
        <x:v>1784.6218747116666</x:v>
      </x:c>
      <x:c r="G117" s="26" t="n">
        <x:f>IF(E117="有效",'成本明细'!U340,"n.a.")</x:f>
        <x:v>2312.6698814844444</x:v>
      </x:c>
      <x:c r="H117" s="26" t="n">
        <x:f>IF(E117="有效",'成本明细'!V340,"n.a.")</x:f>
        <x:v>4234</x:v>
      </x:c>
      <x:c r="I117" s="22" t="n">
        <x:f>IF(E117="有效",'成本明细'!G334,"n.a.")</x:f>
        <x:v>116</x:v>
      </x:c>
      <x:c r="J117" s="22" t="n">
        <x:f>IF(E117="有效",'参数'!$B$8,"n.a.")</x:f>
        <x:v>50</x:v>
      </x:c>
      <x:c r="K117" s="22" t="n">
        <x:f>IF(E117="有效",'参数'!$B$9,"n.a.")</x:f>
        <x:v>300</x:v>
      </x:c>
      <x:c r="L117" s="26" t="n">
        <x:f>IF(E117="有效",F117*K117,"n.a.")</x:f>
        <x:v>535386.5624134999</x:v>
      </x:c>
      <x:c r="M117" s="26" t="n">
        <x:f>IF(E117="有效",G117*K117+H117*ROUNDUP(K117/J117,0),"n.a.")</x:f>
        <x:v>719204.9644453333</x:v>
      </x:c>
      <x:c r="N117" s="26" t="n">
        <x:f>IF(E117="有效",L117-M117,"n.a.")</x:f>
        <x:v>-183818.40203183342</x:v>
      </x:c>
      <x:c r="O117" s="32" t="n">
        <x:f>IF(E117="有效",N117/L117,"n.a.")</x:f>
        <x:v>-0.3433377206988309</x:v>
      </x:c>
      <x:c r="P117" s="26" t="n">
        <x:f>IF(E117="有效",L117/(K117*I117),"n.a.")</x:f>
        <x:v>15.384671333721263</x:v>
      </x:c>
      <x:c r="Q117" s="26" t="n">
        <x:f>IF(E117="有效",M117/(K117*I117),"n.a.")</x:f>
        <x:v>20.666809323141763</x:v>
      </x:c>
      <x:c r="R117" s="10" t="str">
        <x:f>IF(E117="有效",IF(F117-G117&lt;=0,"未回本",IF(ROUNDUP(H117/(F117-G117),0)&gt;MIN(J117,K117),"未回本",MAX(1,ROUNDUP(H117/(F117-G117),0)))),"n.a.")</x:f>
        <x:v>未回本</x:v>
      </x:c>
    </x:row>
    <x:row r="118" ht="22" customHeight="1">
      <x:c r="A118" s="11" t="str">
        <x:v>lade_0829_10aoi</x:v>
      </x:c>
      <x:c r="B118" s="10" t="n">
        <x:v>10</x:v>
      </x:c>
      <x:c r="C118" s="10" t="n">
        <x:v>44</x:v>
      </x:c>
      <x:c r="D118" s="11" t="str">
        <x:v>M1 / M3</x:v>
      </x:c>
      <x:c r="E118" s="11" t="str">
        <x:v>有效</x:v>
      </x:c>
      <x:c r="F118" s="26" t="n">
        <x:f>IF(E118="有效",'成本明细'!U332,"n.a.")</x:f>
        <x:v>1784.6218747116666</x:v>
      </x:c>
      <x:c r="G118" s="26" t="n">
        <x:f>IF(E118="有效",'成本明细'!U338,"n.a.")</x:f>
        <x:v>2316.168220803333</x:v>
      </x:c>
      <x:c r="H118" s="26" t="n">
        <x:f>IF(E118="有效",'成本明细'!V338,"n.a.")</x:f>
        <x:v>4234</x:v>
      </x:c>
      <x:c r="I118" s="22" t="n">
        <x:f>IF(E118="有效",'成本明细'!G332,"n.a.")</x:f>
        <x:v>116</x:v>
      </x:c>
      <x:c r="J118" s="22" t="n">
        <x:f>IF(E118="有效",'参数'!$B$8,"n.a.")</x:f>
        <x:v>50</x:v>
      </x:c>
      <x:c r="K118" s="22" t="n">
        <x:f>IF(E118="有效",'参数'!$B$9,"n.a.")</x:f>
        <x:v>300</x:v>
      </x:c>
      <x:c r="L118" s="26" t="n">
        <x:f>IF(E118="有效",F118*K118,"n.a.")</x:f>
        <x:v>535386.5624134999</x:v>
      </x:c>
      <x:c r="M118" s="26" t="n">
        <x:f>IF(E118="有效",G118*K118+H118*ROUNDUP(K118/J118,0),"n.a.")</x:f>
        <x:v>720254.4662409999</x:v>
      </x:c>
      <x:c r="N118" s="26" t="n">
        <x:f>IF(E118="有效",L118-M118,"n.a.")</x:f>
        <x:v>-184867.90382749995</x:v>
      </x:c>
      <x:c r="O118" s="32" t="n">
        <x:f>IF(E118="有效",N118/L118,"n.a.")</x:f>
        <x:v>-0.34529798991241634</x:v>
      </x:c>
      <x:c r="P118" s="26" t="n">
        <x:f>IF(E118="有效",L118/(K118*I118),"n.a.")</x:f>
        <x:v>15.384671333721263</x:v>
      </x:c>
      <x:c r="Q118" s="26" t="n">
        <x:f>IF(E118="有效",M118/(K118*I118),"n.a.")</x:f>
        <x:v>20.696967420718387</x:v>
      </x:c>
      <x:c r="R118" s="10" t="str">
        <x:f>IF(E118="有效",IF(F118-G118&lt;=0,"未回本",IF(ROUNDUP(H118/(F118-G118),0)&gt;MIN(J118,K118),"未回本",MAX(1,ROUNDUP(H118/(F118-G118),0)))),"n.a.")</x:f>
        <x:v>未回本</x:v>
      </x:c>
    </x:row>
    <x:row r="119" ht="22" customHeight="1">
      <x:c r="A119" s="11" t="str">
        <x:v>lade_0829_10aoi</x:v>
      </x:c>
      <x:c r="B119" s="10" t="n">
        <x:v>10</x:v>
      </x:c>
      <x:c r="C119" s="10" t="n">
        <x:v>44</x:v>
      </x:c>
      <x:c r="D119" s="11" t="str">
        <x:v>M2 / M4</x:v>
      </x:c>
      <x:c r="E119" s="11" t="str">
        <x:v>有效</x:v>
      </x:c>
      <x:c r="F119" s="26" t="n">
        <x:f>IF(E119="有效",'成本明细'!U335,"n.a.")</x:f>
        <x:v>1784.6218747116666</x:v>
      </x:c>
      <x:c r="G119" s="26" t="n">
        <x:f>IF(E119="有效",'成本明细'!U341,"n.a.")</x:f>
        <x:v>1834.7490753961108</x:v>
      </x:c>
      <x:c r="H119" s="26" t="n">
        <x:f>IF(E119="有效",'成本明细'!V341,"n.a.")</x:f>
        <x:v>4234</x:v>
      </x:c>
      <x:c r="I119" s="22" t="n">
        <x:f>IF(E119="有效",'成本明细'!G335,"n.a.")</x:f>
        <x:v>116</x:v>
      </x:c>
      <x:c r="J119" s="22" t="n">
        <x:f>IF(E119="有效",'参数'!$B$8,"n.a.")</x:f>
        <x:v>50</x:v>
      </x:c>
      <x:c r="K119" s="22" t="n">
        <x:f>IF(E119="有效",'参数'!$B$9,"n.a.")</x:f>
        <x:v>300</x:v>
      </x:c>
      <x:c r="L119" s="26" t="n">
        <x:f>IF(E119="有效",F119*K119,"n.a.")</x:f>
        <x:v>535386.5624134999</x:v>
      </x:c>
      <x:c r="M119" s="26" t="n">
        <x:f>IF(E119="有效",G119*K119+H119*ROUNDUP(K119/J119,0),"n.a.")</x:f>
        <x:v>575828.7226188333</x:v>
      </x:c>
      <x:c r="N119" s="26" t="n">
        <x:f>IF(E119="有效",L119-M119,"n.a.")</x:f>
        <x:v>-40442.16020533338</x:v>
      </x:c>
      <x:c r="O119" s="32" t="n">
        <x:f>IF(E119="有效",N119/L119,"n.a.")</x:f>
        <x:v>-0.0755382429155895</x:v>
      </x:c>
      <x:c r="P119" s="26" t="n">
        <x:f>IF(E119="有效",L119/(K119*I119),"n.a.")</x:f>
        <x:v>15.384671333721263</x:v>
      </x:c>
      <x:c r="Q119" s="26" t="n">
        <x:f>IF(E119="有效",M119/(K119*I119),"n.a.")</x:f>
        <x:v>16.546802374104406</x:v>
      </x:c>
      <x:c r="R119" s="10" t="str">
        <x:f>IF(E119="有效",IF(F119-G119&lt;=0,"未回本",IF(ROUNDUP(H119/(F119-G119),0)&gt;MIN(J119,K119),"未回本",MAX(1,ROUNDUP(H119/(F119-G119),0)))),"n.a.")</x:f>
        <x:v>未回本</x:v>
      </x:c>
    </x:row>
    <x:row r="120" ht="22" customHeight="1">
      <x:c r="A120" s="11" t="str">
        <x:v>lade_0829_20aoi</x:v>
      </x:c>
      <x:c r="B120" s="10" t="n">
        <x:v>20</x:v>
      </x:c>
      <x:c r="C120" s="10" t="n">
        <x:v>42</x:v>
      </x:c>
      <x:c r="D120" s="11" t="str">
        <x:v>M1 / M3</x:v>
      </x:c>
      <x:c r="E120" s="11" t="str">
        <x:v>有效</x:v>
      </x:c>
      <x:c r="F120" s="26" t="n">
        <x:f>IF(E120="有效",'成本明细'!U348,"n.a.")</x:f>
        <x:v>3139.2018359505555</x:v>
      </x:c>
      <x:c r="G120" s="26" t="n">
        <x:f>IF(E120="有效",'成本明细'!U354,"n.a.")</x:f>
        <x:v>3680.2348697605557</x:v>
      </x:c>
      <x:c r="H120" s="26" t="n">
        <x:f>IF(E120="有效",'成本明细'!V354,"n.a.")</x:f>
        <x:v>6497</x:v>
      </x:c>
      <x:c r="I120" s="22" t="n">
        <x:f>IF(E120="有效",'成本明细'!G348,"n.a.")</x:f>
        <x:v>178</x:v>
      </x:c>
      <x:c r="J120" s="22" t="n">
        <x:f>IF(E120="有效",'参数'!$B$8,"n.a.")</x:f>
        <x:v>50</x:v>
      </x:c>
      <x:c r="K120" s="22" t="n">
        <x:f>IF(E120="有效",'参数'!$B$9,"n.a.")</x:f>
        <x:v>300</x:v>
      </x:c>
      <x:c r="L120" s="26" t="n">
        <x:f>IF(E120="有效",F120*K120,"n.a.")</x:f>
        <x:v>941760.5507851667</x:v>
      </x:c>
      <x:c r="M120" s="26" t="n">
        <x:f>IF(E120="有效",G120*K120+H120*ROUNDUP(K120/J120,0),"n.a.")</x:f>
        <x:v>1143052.4609281668</x:v>
      </x:c>
      <x:c r="N120" s="26" t="n">
        <x:f>IF(E120="有效",L120-M120,"n.a.")</x:f>
        <x:v>-201291.91014300007</x:v>
      </x:c>
      <x:c r="O120" s="32" t="n">
        <x:f>IF(E120="有效",N120/L120,"n.a.")</x:f>
        <x:v>-0.2137400106377131</x:v>
      </x:c>
      <x:c r="P120" s="26" t="n">
        <x:f>IF(E120="有效",L120/(K120*I120),"n.a.")</x:f>
        <x:v>17.63596537050874</x:v>
      </x:c>
      <x:c r="Q120" s="26" t="n">
        <x:f>IF(E120="有效",M120/(K120*I120),"n.a.")</x:f>
        <x:v>21.405476796407616</x:v>
      </x:c>
      <x:c r="R120" s="10" t="str">
        <x:f>IF(E120="有效",IF(F120-G120&lt;=0,"未回本",IF(ROUNDUP(H120/(F120-G120),0)&gt;MIN(J120,K120),"未回本",MAX(1,ROUNDUP(H120/(F120-G120),0)))),"n.a.")</x:f>
        <x:v>未回本</x:v>
      </x:c>
    </x:row>
    <x:row r="121" ht="22" customHeight="1">
      <x:c r="A121" s="11" t="str">
        <x:v>lade_0829_20aoi</x:v>
      </x:c>
      <x:c r="B121" s="10" t="n">
        <x:v>20</x:v>
      </x:c>
      <x:c r="C121" s="10" t="n">
        <x:v>42</x:v>
      </x:c>
      <x:c r="D121" s="11" t="str">
        <x:v>M2 / M4</x:v>
      </x:c>
      <x:c r="E121" s="11" t="str">
        <x:v>有效</x:v>
      </x:c>
      <x:c r="F121" s="26" t="n">
        <x:f>IF(E121="有效",'成本明细'!U351,"n.a.")</x:f>
        <x:v>2890.6705351683336</x:v>
      </x:c>
      <x:c r="G121" s="26" t="n">
        <x:f>IF(E121="有效",'成本明细'!U357,"n.a.")</x:f>
        <x:v>3806.242023653889</x:v>
      </x:c>
      <x:c r="H121" s="26" t="n">
        <x:f>IF(E121="有效",'成本明细'!V357,"n.a.")</x:f>
        <x:v>6497</x:v>
      </x:c>
      <x:c r="I121" s="22" t="n">
        <x:f>IF(E121="有效",'成本明细'!G351,"n.a.")</x:f>
        <x:v>178</x:v>
      </x:c>
      <x:c r="J121" s="22" t="n">
        <x:f>IF(E121="有效",'参数'!$B$8,"n.a.")</x:f>
        <x:v>50</x:v>
      </x:c>
      <x:c r="K121" s="22" t="n">
        <x:f>IF(E121="有效",'参数'!$B$9,"n.a.")</x:f>
        <x:v>300</x:v>
      </x:c>
      <x:c r="L121" s="26" t="n">
        <x:f>IF(E121="有效",F121*K121,"n.a.")</x:f>
        <x:v>867201.1605505</x:v>
      </x:c>
      <x:c r="M121" s="26" t="n">
        <x:f>IF(E121="有效",G121*K121+H121*ROUNDUP(K121/J121,0),"n.a.")</x:f>
        <x:v>1180854.6070961668</x:v>
      </x:c>
      <x:c r="N121" s="26" t="n">
        <x:f>IF(E121="有效",L121-M121,"n.a.")</x:f>
        <x:v>-313653.4465456668</x:v>
      </x:c>
      <x:c r="O121" s="32" t="n">
        <x:f>IF(E121="有效",N121/L121,"n.a.")</x:f>
        <x:v>-0.3616847633674283</x:v>
      </x:c>
      <x:c r="P121" s="26" t="n">
        <x:f>IF(E121="有效",L121/(K121*I121),"n.a.")</x:f>
        <x:v>16.239722107687268</x:v>
      </x:c>
      <x:c r="Q121" s="26" t="n">
        <x:f>IF(E121="有效",M121/(K121*I121),"n.a.")</x:f>
        <x:v>22.11338215535893</x:v>
      </x:c>
      <x:c r="R121" s="10" t="str">
        <x:f>IF(E121="有效",IF(F121-G121&lt;=0,"未回本",IF(ROUNDUP(H121/(F121-G121),0)&gt;MIN(J121,K121),"未回本",MAX(1,ROUNDUP(H121/(F121-G121),0)))),"n.a.")</x:f>
        <x:v>未回本</x:v>
      </x:c>
    </x:row>
    <x:row r="122" ht="22" customHeight="1">
      <x:c r="A122" s="11" t="str">
        <x:v>lade_0829_20aoi</x:v>
      </x:c>
      <x:c r="B122" s="10" t="n">
        <x:v>20</x:v>
      </x:c>
      <x:c r="C122" s="10" t="n">
        <x:v>43</x:v>
      </x:c>
      <x:c r="D122" s="11" t="str">
        <x:v>M1 / M3</x:v>
      </x:c>
      <x:c r="E122" s="11" t="str">
        <x:v>有效</x:v>
      </x:c>
      <x:c r="F122" s="26" t="n">
        <x:f>IF(E122="有效",'成本明细'!U349,"n.a.")</x:f>
        <x:v>3139.2018359505555</x:v>
      </x:c>
      <x:c r="G122" s="26" t="n">
        <x:f>IF(E122="有效",'成本明细'!U355,"n.a.")</x:f>
        <x:v>3674.734802818889</x:v>
      </x:c>
      <x:c r="H122" s="26" t="n">
        <x:f>IF(E122="有效",'成本明细'!V355,"n.a.")</x:f>
        <x:v>6497</x:v>
      </x:c>
      <x:c r="I122" s="22" t="n">
        <x:f>IF(E122="有效",'成本明细'!G349,"n.a.")</x:f>
        <x:v>178</x:v>
      </x:c>
      <x:c r="J122" s="22" t="n">
        <x:f>IF(E122="有效",'参数'!$B$8,"n.a.")</x:f>
        <x:v>50</x:v>
      </x:c>
      <x:c r="K122" s="22" t="n">
        <x:f>IF(E122="有效",'参数'!$B$9,"n.a.")</x:f>
        <x:v>300</x:v>
      </x:c>
      <x:c r="L122" s="26" t="n">
        <x:f>IF(E122="有效",F122*K122,"n.a.")</x:f>
        <x:v>941760.5507851667</x:v>
      </x:c>
      <x:c r="M122" s="26" t="n">
        <x:f>IF(E122="有效",G122*K122+H122*ROUNDUP(K122/J122,0),"n.a.")</x:f>
        <x:v>1141402.4408456667</x:v>
      </x:c>
      <x:c r="N122" s="26" t="n">
        <x:f>IF(E122="有效",L122-M122,"n.a.")</x:f>
        <x:v>-199641.8900605</x:v>
      </x:c>
      <x:c r="O122" s="32" t="n">
        <x:f>IF(E122="有效",N122/L122,"n.a.")</x:f>
        <x:v>-0.21198795160198008</x:v>
      </x:c>
      <x:c r="P122" s="26" t="n">
        <x:f>IF(E122="有效",L122/(K122*I122),"n.a.")</x:f>
        <x:v>17.63596537050874</x:v>
      </x:c>
      <x:c r="Q122" s="26" t="n">
        <x:f>IF(E122="有效",M122/(K122*I122),"n.a.")</x:f>
        <x:v>21.374577543926343</x:v>
      </x:c>
      <x:c r="R122" s="10" t="str">
        <x:f>IF(E122="有效",IF(F122-G122&lt;=0,"未回本",IF(ROUNDUP(H122/(F122-G122),0)&gt;MIN(J122,K122),"未回本",MAX(1,ROUNDUP(H122/(F122-G122),0)))),"n.a.")</x:f>
        <x:v>未回本</x:v>
      </x:c>
    </x:row>
    <x:row r="123" ht="22" customHeight="1">
      <x:c r="A123" s="11" t="str">
        <x:v>lade_0829_20aoi</x:v>
      </x:c>
      <x:c r="B123" s="10" t="n">
        <x:v>20</x:v>
      </x:c>
      <x:c r="C123" s="10" t="n">
        <x:v>43</x:v>
      </x:c>
      <x:c r="D123" s="11" t="str">
        <x:v>M2 / M4</x:v>
      </x:c>
      <x:c r="E123" s="11" t="str">
        <x:v>有效</x:v>
      </x:c>
      <x:c r="F123" s="26" t="n">
        <x:f>IF(E123="有效",'成本明细'!U352,"n.a.")</x:f>
        <x:v>2886.6267509850004</x:v>
      </x:c>
      <x:c r="G123" s="26" t="n">
        <x:f>IF(E123="有效",'成本明细'!U358,"n.a.")</x:f>
        <x:v>3669.0801981333334</x:v>
      </x:c>
      <x:c r="H123" s="26" t="n">
        <x:f>IF(E123="有效",'成本明细'!V358,"n.a.")</x:f>
        <x:v>6497</x:v>
      </x:c>
      <x:c r="I123" s="22" t="n">
        <x:f>IF(E123="有效",'成本明细'!G352,"n.a.")</x:f>
        <x:v>178</x:v>
      </x:c>
      <x:c r="J123" s="22" t="n">
        <x:f>IF(E123="有效",'参数'!$B$8,"n.a.")</x:f>
        <x:v>50</x:v>
      </x:c>
      <x:c r="K123" s="22" t="n">
        <x:f>IF(E123="有效",'参数'!$B$9,"n.a.")</x:f>
        <x:v>300</x:v>
      </x:c>
      <x:c r="L123" s="26" t="n">
        <x:f>IF(E123="有效",F123*K123,"n.a.")</x:f>
        <x:v>865988.0252955002</x:v>
      </x:c>
      <x:c r="M123" s="26" t="n">
        <x:f>IF(E123="有效",G123*K123+H123*ROUNDUP(K123/J123,0),"n.a.")</x:f>
        <x:v>1139706.05944</x:v>
      </x:c>
      <x:c r="N123" s="26" t="n">
        <x:f>IF(E123="有效",L123-M123,"n.a.")</x:f>
        <x:v>-273718.0341444998</x:v>
      </x:c>
      <x:c r="O123" s="32" t="n">
        <x:f>IF(E123="有效",N123/L123,"n.a.")</x:f>
        <x:v>-0.31607600353492105</x:v>
      </x:c>
      <x:c r="P123" s="26" t="n">
        <x:f>IF(E123="有效",L123/(K123*I123),"n.a.")</x:f>
        <x:v>16.217004219016857</x:v>
      </x:c>
      <x:c r="Q123" s="26" t="n">
        <x:f>IF(E123="有效",M123/(K123*I123),"n.a.")</x:f>
        <x:v>21.342810101872658</x:v>
      </x:c>
      <x:c r="R123" s="10" t="str">
        <x:f>IF(E123="有效",IF(F123-G123&lt;=0,"未回本",IF(ROUNDUP(H123/(F123-G123),0)&gt;MIN(J123,K123),"未回本",MAX(1,ROUNDUP(H123/(F123-G123),0)))),"n.a.")</x:f>
        <x:v>未回本</x:v>
      </x:c>
    </x:row>
    <x:row r="124" ht="22" customHeight="1">
      <x:c r="A124" s="11" t="str">
        <x:v>lade_0829_20aoi</x:v>
      </x:c>
      <x:c r="B124" s="10" t="n">
        <x:v>20</x:v>
      </x:c>
      <x:c r="C124" s="10" t="n">
        <x:v>44</x:v>
      </x:c>
      <x:c r="D124" s="11" t="str">
        <x:v>M1 / M3</x:v>
      </x:c>
      <x:c r="E124" s="11" t="str">
        <x:v>有效</x:v>
      </x:c>
      <x:c r="F124" s="26" t="n">
        <x:f>IF(E124="有效",'成本明细'!U350,"n.a.")</x:f>
        <x:v>2808.8584607344446</x:v>
      </x:c>
      <x:c r="G124" s="26" t="n">
        <x:f>IF(E124="有效",'成本明细'!U356,"n.a.")</x:f>
        <x:v>3674.0483427688887</x:v>
      </x:c>
      <x:c r="H124" s="26" t="n">
        <x:f>IF(E124="有效",'成本明细'!V356,"n.a.")</x:f>
        <x:v>6497</x:v>
      </x:c>
      <x:c r="I124" s="22" t="n">
        <x:f>IF(E124="有效",'成本明细'!G350,"n.a.")</x:f>
        <x:v>178</x:v>
      </x:c>
      <x:c r="J124" s="22" t="n">
        <x:f>IF(E124="有效",'参数'!$B$8,"n.a.")</x:f>
        <x:v>50</x:v>
      </x:c>
      <x:c r="K124" s="22" t="n">
        <x:f>IF(E124="有效",'参数'!$B$9,"n.a.")</x:f>
        <x:v>300</x:v>
      </x:c>
      <x:c r="L124" s="26" t="n">
        <x:f>IF(E124="有效",F124*K124,"n.a.")</x:f>
        <x:v>842657.5382203334</x:v>
      </x:c>
      <x:c r="M124" s="26" t="n">
        <x:f>IF(E124="有效",G124*K124+H124*ROUNDUP(K124/J124,0),"n.a.")</x:f>
        <x:v>1141196.5028306665</x:v>
      </x:c>
      <x:c r="N124" s="26" t="n">
        <x:f>IF(E124="有效",L124-M124,"n.a.")</x:f>
        <x:v>-298538.9646103331</x:v>
      </x:c>
      <x:c r="O124" s="32" t="n">
        <x:f>IF(E124="有效",N124/L124,"n.a.")</x:f>
        <x:v>-0.3542826724612683</x:v>
      </x:c>
      <x:c r="P124" s="26" t="n">
        <x:f>IF(E124="有效",L124/(K124*I124),"n.a.")</x:f>
        <x:v>15.780103711991263</x:v>
      </x:c>
      <x:c r="Q124" s="26" t="n">
        <x:f>IF(E124="有效",M124/(K124*I124),"n.a.")</x:f>
        <x:v>21.370721026791507</x:v>
      </x:c>
      <x:c r="R124" s="10" t="str">
        <x:f>IF(E124="有效",IF(F124-G124&lt;=0,"未回本",IF(ROUNDUP(H124/(F124-G124),0)&gt;MIN(J124,K124),"未回本",MAX(1,ROUNDUP(H124/(F124-G124),0)))),"n.a.")</x:f>
        <x:v>未回本</x:v>
      </x:c>
    </x:row>
    <x:row r="125" ht="22" customHeight="1">
      <x:c r="A125" s="11" t="str">
        <x:v>lade_0829_20aoi</x:v>
      </x:c>
      <x:c r="B125" s="10" t="n">
        <x:v>20</x:v>
      </x:c>
      <x:c r="C125" s="10" t="n">
        <x:v>44</x:v>
      </x:c>
      <x:c r="D125" s="11" t="str">
        <x:v>M2 / M4</x:v>
      </x:c>
      <x:c r="E125" s="11" t="str">
        <x:v>有效</x:v>
      </x:c>
      <x:c r="F125" s="26" t="n">
        <x:f>IF(E125="有效",'成本明细'!U353,"n.a.")</x:f>
        <x:v>2886.6267509850004</x:v>
      </x:c>
      <x:c r="G125" s="26" t="n">
        <x:f>IF(E125="有效",'成本明细'!U359,"n.a.")</x:f>
        <x:v>3646.088604367778</x:v>
      </x:c>
      <x:c r="H125" s="26" t="n">
        <x:f>IF(E125="有效",'成本明细'!V359,"n.a.")</x:f>
        <x:v>6497</x:v>
      </x:c>
      <x:c r="I125" s="22" t="n">
        <x:f>IF(E125="有效",'成本明细'!G353,"n.a.")</x:f>
        <x:v>178</x:v>
      </x:c>
      <x:c r="J125" s="22" t="n">
        <x:f>IF(E125="有效",'参数'!$B$8,"n.a.")</x:f>
        <x:v>50</x:v>
      </x:c>
      <x:c r="K125" s="22" t="n">
        <x:f>IF(E125="有效",'参数'!$B$9,"n.a.")</x:f>
        <x:v>300</x:v>
      </x:c>
      <x:c r="L125" s="26" t="n">
        <x:f>IF(E125="有效",F125*K125,"n.a.")</x:f>
        <x:v>865988.0252955002</x:v>
      </x:c>
      <x:c r="M125" s="26" t="n">
        <x:f>IF(E125="有效",G125*K125+H125*ROUNDUP(K125/J125,0),"n.a.")</x:f>
        <x:v>1132808.5813103335</x:v>
      </x:c>
      <x:c r="N125" s="26" t="n">
        <x:f>IF(E125="有效",L125-M125,"n.a.")</x:f>
        <x:v>-266820.5560148333</x:v>
      </x:c>
      <x:c r="O125" s="32" t="n">
        <x:f>IF(E125="有效",N125/L125,"n.a.")</x:f>
        <x:v>-0.3081111380538852</x:v>
      </x:c>
      <x:c r="P125" s="26" t="n">
        <x:f>IF(E125="有效",L125/(K125*I125),"n.a.")</x:f>
        <x:v>16.217004219016857</x:v>
      </x:c>
      <x:c r="Q125" s="26" t="n">
        <x:f>IF(E125="有效",M125/(K125*I125),"n.a.")</x:f>
        <x:v>21.2136438447628</x:v>
      </x:c>
      <x:c r="R125" s="10" t="str">
        <x:f>IF(E125="有效",IF(F125-G125&lt;=0,"未回本",IF(ROUNDUP(H125/(F125-G125),0)&gt;MIN(J125,K125),"未回本",MAX(1,ROUNDUP(H125/(F125-G125),0)))),"n.a.")</x:f>
        <x:v>未回本</x:v>
      </x:c>
    </x:row>
    <x:row r="126" ht="22" customHeight="1">
      <x:c r="A126" s="11" t="str">
        <x:v>lade_0829_30aoi</x:v>
      </x:c>
      <x:c r="B126" s="10" t="n">
        <x:v>30</x:v>
      </x:c>
      <x:c r="C126" s="10" t="n">
        <x:v>42</x:v>
      </x:c>
      <x:c r="D126" s="11" t="str">
        <x:v>M1 / M3</x:v>
      </x:c>
      <x:c r="E126" s="11" t="str">
        <x:v>有效</x:v>
      </x:c>
      <x:c r="F126" s="26" t="n">
        <x:f>IF(E126="有效",'成本明细'!U366,"n.a.")</x:f>
        <x:v>3398.1342447805555</x:v>
      </x:c>
      <x:c r="G126" s="26" t="n">
        <x:f>IF(E126="有效",'成本明细'!U372,"n.a.")</x:f>
        <x:v>4027.9009913377777</x:v>
      </x:c>
      <x:c r="H126" s="26" t="n">
        <x:f>IF(E126="有效",'成本明细'!V372,"n.a.")</x:f>
        <x:v>8577.5</x:v>
      </x:c>
      <x:c r="I126" s="22" t="n">
        <x:f>IF(E126="有效",'成本明细'!G366,"n.a.")</x:f>
        <x:v>235</x:v>
      </x:c>
      <x:c r="J126" s="22" t="n">
        <x:f>IF(E126="有效",'参数'!$B$8,"n.a.")</x:f>
        <x:v>50</x:v>
      </x:c>
      <x:c r="K126" s="22" t="n">
        <x:f>IF(E126="有效",'参数'!$B$9,"n.a.")</x:f>
        <x:v>300</x:v>
      </x:c>
      <x:c r="L126" s="26" t="n">
        <x:f>IF(E126="有效",F126*K126,"n.a.")</x:f>
        <x:v>1019440.2734341667</x:v>
      </x:c>
      <x:c r="M126" s="26" t="n">
        <x:f>IF(E126="有效",G126*K126+H126*ROUNDUP(K126/J126,0),"n.a.")</x:f>
        <x:v>1259835.2974013332</x:v>
      </x:c>
      <x:c r="N126" s="26" t="n">
        <x:f>IF(E126="有效",L126-M126,"n.a.")</x:f>
        <x:v>-240395.02396716655</x:v>
      </x:c>
      <x:c r="O126" s="32" t="n">
        <x:f>IF(E126="有效",N126/L126,"n.a.")</x:f>
        <x:v>-0.235810797583416</x:v>
      </x:c>
      <x:c r="P126" s="26" t="n">
        <x:f>IF(E126="有效",L126/(K126*I126),"n.a.")</x:f>
        <x:v>14.460145722470449</x:v>
      </x:c>
      <x:c r="Q126" s="26" t="n">
        <x:f>IF(E126="有效",M126/(K126*I126),"n.a.")</x:f>
        <x:v>17.87000421845863</x:v>
      </x:c>
      <x:c r="R126" s="10" t="str">
        <x:f>IF(E126="有效",IF(F126-G126&lt;=0,"未回本",IF(ROUNDUP(H126/(F126-G126),0)&gt;MIN(J126,K126),"未回本",MAX(1,ROUNDUP(H126/(F126-G126),0)))),"n.a.")</x:f>
        <x:v>未回本</x:v>
      </x:c>
    </x:row>
    <x:row r="127" ht="22" customHeight="1">
      <x:c r="A127" s="11" t="str">
        <x:v>lade_0829_30aoi</x:v>
      </x:c>
      <x:c r="B127" s="10" t="n">
        <x:v>30</x:v>
      </x:c>
      <x:c r="C127" s="10" t="n">
        <x:v>42</x:v>
      </x:c>
      <x:c r="D127" s="11" t="str">
        <x:v>M2 / M4</x:v>
      </x:c>
      <x:c r="E127" s="11" t="str">
        <x:v>有效</x:v>
      </x:c>
      <x:c r="F127" s="26" t="n">
        <x:f>IF(E127="有效",'成本明细'!U369,"n.a.")</x:f>
        <x:v>2969.0131921383336</x:v>
      </x:c>
      <x:c r="G127" s="26" t="n">
        <x:f>IF(E127="有效",'成本明细'!U375,"n.a.")</x:f>
        <x:v>4030.8475010211114</x:v>
      </x:c>
      <x:c r="H127" s="26" t="n">
        <x:f>IF(E127="有效",'成本明细'!V375,"n.a.")</x:f>
        <x:v>8577.5</x:v>
      </x:c>
      <x:c r="I127" s="22" t="n">
        <x:f>IF(E127="有效",'成本明细'!G369,"n.a.")</x:f>
        <x:v>235</x:v>
      </x:c>
      <x:c r="J127" s="22" t="n">
        <x:f>IF(E127="有效",'参数'!$B$8,"n.a.")</x:f>
        <x:v>50</x:v>
      </x:c>
      <x:c r="K127" s="22" t="n">
        <x:f>IF(E127="有效",'参数'!$B$9,"n.a.")</x:f>
        <x:v>300</x:v>
      </x:c>
      <x:c r="L127" s="26" t="n">
        <x:f>IF(E127="有效",F127*K127,"n.a.")</x:f>
        <x:v>890703.9576415</x:v>
      </x:c>
      <x:c r="M127" s="26" t="n">
        <x:f>IF(E127="有效",G127*K127+H127*ROUNDUP(K127/J127,0),"n.a.")</x:f>
        <x:v>1260719.2503063334</x:v>
      </x:c>
      <x:c r="N127" s="26" t="n">
        <x:f>IF(E127="有效",L127-M127,"n.a.")</x:f>
        <x:v>-370015.29266483337</x:v>
      </x:c>
      <x:c r="O127" s="32" t="n">
        <x:f>IF(E127="有效",N127/L127,"n.a.")</x:f>
        <x:v>-0.41541893857146306</x:v>
      </x:c>
      <x:c r="P127" s="26" t="n">
        <x:f>IF(E127="有效",L127/(K127*I127),"n.a.")</x:f>
        <x:v>12.634098689950354</x:v>
      </x:c>
      <x:c r="Q127" s="26" t="n">
        <x:f>IF(E127="有效",M127/(K127*I127),"n.a.")</x:f>
        <x:v>17.882542557536645</x:v>
      </x:c>
      <x:c r="R127" s="10" t="str">
        <x:f>IF(E127="有效",IF(F127-G127&lt;=0,"未回本",IF(ROUNDUP(H127/(F127-G127),0)&gt;MIN(J127,K127),"未回本",MAX(1,ROUNDUP(H127/(F127-G127),0)))),"n.a.")</x:f>
        <x:v>未回本</x:v>
      </x:c>
    </x:row>
    <x:row r="128" ht="22" customHeight="1">
      <x:c r="A128" s="11" t="str">
        <x:v>lade_0829_30aoi</x:v>
      </x:c>
      <x:c r="B128" s="10" t="n">
        <x:v>30</x:v>
      </x:c>
      <x:c r="C128" s="10" t="n">
        <x:v>43</x:v>
      </x:c>
      <x:c r="D128" s="11" t="str">
        <x:v>M1 / M3</x:v>
      </x:c>
      <x:c r="E128" s="11" t="str">
        <x:v>有效</x:v>
      </x:c>
      <x:c r="F128" s="26" t="n">
        <x:f>IF(E128="有效",'成本明细'!U367,"n.a.")</x:f>
        <x:v>3399.449591368889</x:v>
      </x:c>
      <x:c r="G128" s="26" t="n">
        <x:f>IF(E128="有效",'成本明细'!U373,"n.a.")</x:f>
        <x:v>4026.7072719311113</x:v>
      </x:c>
      <x:c r="H128" s="26" t="n">
        <x:f>IF(E128="有效",'成本明细'!V373,"n.a.")</x:f>
        <x:v>8577.5</x:v>
      </x:c>
      <x:c r="I128" s="22" t="n">
        <x:f>IF(E128="有效",'成本明细'!G367,"n.a.")</x:f>
        <x:v>235</x:v>
      </x:c>
      <x:c r="J128" s="22" t="n">
        <x:f>IF(E128="有效",'参数'!$B$8,"n.a.")</x:f>
        <x:v>50</x:v>
      </x:c>
      <x:c r="K128" s="22" t="n">
        <x:f>IF(E128="有效",'参数'!$B$9,"n.a.")</x:f>
        <x:v>300</x:v>
      </x:c>
      <x:c r="L128" s="26" t="n">
        <x:f>IF(E128="有效",F128*K128,"n.a.")</x:f>
        <x:v>1019834.8774106667</x:v>
      </x:c>
      <x:c r="M128" s="26" t="n">
        <x:f>IF(E128="有效",G128*K128+H128*ROUNDUP(K128/J128,0),"n.a.")</x:f>
        <x:v>1259477.1815793335</x:v>
      </x:c>
      <x:c r="N128" s="26" t="n">
        <x:f>IF(E128="有效",L128-M128,"n.a.")</x:f>
        <x:v>-239642.30416866683</x:v>
      </x:c>
      <x:c r="O128" s="32" t="n">
        <x:f>IF(E128="有效",N128/L128,"n.a.")</x:f>
        <x:v>-0.23498147541012934</x:v>
      </x:c>
      <x:c r="P128" s="26" t="n">
        <x:f>IF(E128="有效",L128/(K128*I128),"n.a.")</x:f>
        <x:v>14.465742941995272</x:v>
      </x:c>
      <x:c r="Q128" s="26" t="n">
        <x:f>IF(E128="有效",M128/(K128*I128),"n.a.")</x:f>
        <x:v>17.864924561408987</x:v>
      </x:c>
      <x:c r="R128" s="10" t="str">
        <x:f>IF(E128="有效",IF(F128-G128&lt;=0,"未回本",IF(ROUNDUP(H128/(F128-G128),0)&gt;MIN(J128,K128),"未回本",MAX(1,ROUNDUP(H128/(F128-G128),0)))),"n.a.")</x:f>
        <x:v>未回本</x:v>
      </x:c>
    </x:row>
    <x:row r="129" ht="22" customHeight="1">
      <x:c r="A129" s="11" t="str">
        <x:v>lade_0829_30aoi</x:v>
      </x:c>
      <x:c r="B129" s="10" t="n">
        <x:v>30</x:v>
      </x:c>
      <x:c r="C129" s="10" t="n">
        <x:v>43</x:v>
      </x:c>
      <x:c r="D129" s="11" t="str">
        <x:v>M2 / M4</x:v>
      </x:c>
      <x:c r="E129" s="11" t="str">
        <x:v>有效</x:v>
      </x:c>
      <x:c r="F129" s="26" t="n">
        <x:f>IF(E129="有效",'成本明细'!U370,"n.a.")</x:f>
        <x:v>2967.551779295</x:v>
      </x:c>
      <x:c r="G129" s="26" t="n">
        <x:f>IF(E129="有效",'成本明细'!U376,"n.a.")</x:f>
        <x:v>3707.921149573889</x:v>
      </x:c>
      <x:c r="H129" s="26" t="n">
        <x:f>IF(E129="有效",'成本明细'!V376,"n.a.")</x:f>
        <x:v>8577.5</x:v>
      </x:c>
      <x:c r="I129" s="22" t="n">
        <x:f>IF(E129="有效",'成本明细'!G370,"n.a.")</x:f>
        <x:v>235</x:v>
      </x:c>
      <x:c r="J129" s="22" t="n">
        <x:f>IF(E129="有效",'参数'!$B$8,"n.a.")</x:f>
        <x:v>50</x:v>
      </x:c>
      <x:c r="K129" s="22" t="n">
        <x:f>IF(E129="有效",'参数'!$B$9,"n.a.")</x:f>
        <x:v>300</x:v>
      </x:c>
      <x:c r="L129" s="26" t="n">
        <x:f>IF(E129="有效",F129*K129,"n.a.")</x:f>
        <x:v>890265.5337885</x:v>
      </x:c>
      <x:c r="M129" s="26" t="n">
        <x:f>IF(E129="有效",G129*K129+H129*ROUNDUP(K129/J129,0),"n.a.")</x:f>
        <x:v>1163841.3448721666</x:v>
      </x:c>
      <x:c r="N129" s="26" t="n">
        <x:f>IF(E129="有效",L129-M129,"n.a.")</x:f>
        <x:v>-273575.81108366663</x:v>
      </x:c>
      <x:c r="O129" s="32" t="n">
        <x:f>IF(E129="有效",N129/L129,"n.a.")</x:f>
        <x:v>-0.3072968689683767</x:v>
      </x:c>
      <x:c r="P129" s="26" t="n">
        <x:f>IF(E129="有效",L129/(K129*I129),"n.a.")</x:f>
        <x:v>12.627879911893617</x:v>
      </x:c>
      <x:c r="Q129" s="26" t="n">
        <x:f>IF(E129="有效",M129/(K129*I129),"n.a.")</x:f>
        <x:v>16.508387870527187</x:v>
      </x:c>
      <x:c r="R129" s="10" t="str">
        <x:f>IF(E129="有效",IF(F129-G129&lt;=0,"未回本",IF(ROUNDUP(H129/(F129-G129),0)&gt;MIN(J129,K129),"未回本",MAX(1,ROUNDUP(H129/(F129-G129),0)))),"n.a.")</x:f>
        <x:v>未回本</x:v>
      </x:c>
    </x:row>
    <x:row r="130" ht="22" customHeight="1">
      <x:c r="A130" s="11" t="str">
        <x:v>lade_0829_30aoi</x:v>
      </x:c>
      <x:c r="B130" s="10" t="n">
        <x:v>30</x:v>
      </x:c>
      <x:c r="C130" s="10" t="n">
        <x:v>44</x:v>
      </x:c>
      <x:c r="D130" s="11" t="str">
        <x:v>M1 / M3</x:v>
      </x:c>
      <x:c r="E130" s="11" t="str">
        <x:v>有效</x:v>
      </x:c>
      <x:c r="F130" s="26" t="n">
        <x:f>IF(E130="有效",'成本明细'!U368,"n.a.")</x:f>
        <x:v>3392.6110091416667</x:v>
      </x:c>
      <x:c r="G130" s="26" t="n">
        <x:f>IF(E130="有效",'成本明细'!U374,"n.a.")</x:f>
        <x:v>4027.9249212505556</x:v>
      </x:c>
      <x:c r="H130" s="26" t="n">
        <x:f>IF(E130="有效",'成本明细'!V374,"n.a.")</x:f>
        <x:v>8577.5</x:v>
      </x:c>
      <x:c r="I130" s="22" t="n">
        <x:f>IF(E130="有效",'成本明细'!G368,"n.a.")</x:f>
        <x:v>235</x:v>
      </x:c>
      <x:c r="J130" s="22" t="n">
        <x:f>IF(E130="有效",'参数'!$B$8,"n.a.")</x:f>
        <x:v>50</x:v>
      </x:c>
      <x:c r="K130" s="22" t="n">
        <x:f>IF(E130="有效",'参数'!$B$9,"n.a.")</x:f>
        <x:v>300</x:v>
      </x:c>
      <x:c r="L130" s="26" t="n">
        <x:f>IF(E130="有效",F130*K130,"n.a.")</x:f>
        <x:v>1017783.3027425</x:v>
      </x:c>
      <x:c r="M130" s="26" t="n">
        <x:f>IF(E130="有效",G130*K130+H130*ROUNDUP(K130/J130,0),"n.a.")</x:f>
        <x:v>1259842.4763751668</x:v>
      </x:c>
      <x:c r="N130" s="26" t="n">
        <x:f>IF(E130="有效",L130-M130,"n.a.")</x:f>
        <x:v>-242059.17363266682</x:v>
      </x:c>
      <x:c r="O130" s="32" t="n">
        <x:f>IF(E130="有效",N130/L130,"n.a.")</x:f>
        <x:v>-0.23782977474715755</x:v>
      </x:c>
      <x:c r="P130" s="26" t="n">
        <x:f>IF(E130="有效",L130/(K130*I130),"n.a.")</x:f>
        <x:v>14.436642592092198</x:v>
      </x:c>
      <x:c r="Q130" s="26" t="n">
        <x:f>IF(E130="有效",M130/(K130*I130),"n.a.")</x:f>
        <x:v>17.870106047874707</x:v>
      </x:c>
      <x:c r="R130" s="10" t="str">
        <x:f>IF(E130="有效",IF(F130-G130&lt;=0,"未回本",IF(ROUNDUP(H130/(F130-G130),0)&gt;MIN(J130,K130),"未回本",MAX(1,ROUNDUP(H130/(F130-G130),0)))),"n.a.")</x:f>
        <x:v>未回本</x:v>
      </x:c>
    </x:row>
    <x:row r="131" ht="22" customHeight="1">
      <x:c r="A131" s="12" t="str">
        <x:v>lade_0829_30aoi</x:v>
      </x:c>
      <x:c r="B131" s="13" t="n">
        <x:v>30</x:v>
      </x:c>
      <x:c r="C131" s="13" t="n">
        <x:v>44</x:v>
      </x:c>
      <x:c r="D131" s="12" t="str">
        <x:v>M2 / M4</x:v>
      </x:c>
      <x:c r="E131" s="12" t="str">
        <x:v>有效</x:v>
      </x:c>
      <x:c r="F131" s="27" t="n">
        <x:f>IF(E131="有效",'成本明细'!U371,"n.a.")</x:f>
        <x:v>2968.025223990556</x:v>
      </x:c>
      <x:c r="G131" s="27" t="n">
        <x:f>IF(E131="有效",'成本明细'!U377,"n.a.")</x:f>
        <x:v>3899.4931969027775</x:v>
      </x:c>
      <x:c r="H131" s="27" t="n">
        <x:f>IF(E131="有效",'成本明细'!V377,"n.a.")</x:f>
        <x:v>8577.5</x:v>
      </x:c>
      <x:c r="I131" s="23" t="n">
        <x:f>IF(E131="有效",'成本明细'!G371,"n.a.")</x:f>
        <x:v>235</x:v>
      </x:c>
      <x:c r="J131" s="23" t="n">
        <x:f>IF(E131="有效",'参数'!$B$8,"n.a.")</x:f>
        <x:v>50</x:v>
      </x:c>
      <x:c r="K131" s="23" t="n">
        <x:f>IF(E131="有效",'参数'!$B$9,"n.a.")</x:f>
        <x:v>300</x:v>
      </x:c>
      <x:c r="L131" s="27" t="n">
        <x:f>IF(E131="有效",F131*K131,"n.a.")</x:f>
        <x:v>890407.5671971667</x:v>
      </x:c>
      <x:c r="M131" s="27" t="n">
        <x:f>IF(E131="有效",G131*K131+H131*ROUNDUP(K131/J131,0),"n.a.")</x:f>
        <x:v>1221312.9590708332</x:v>
      </x:c>
      <x:c r="N131" s="27" t="n">
        <x:f>IF(E131="有效",L131-M131,"n.a.")</x:f>
        <x:v>-330905.39187366643</x:v>
      </x:c>
      <x:c r="O131" s="33" t="n">
        <x:f>IF(E131="有效",N131/L131,"n.a.")</x:f>
        <x:v>-0.3716336249424446</x:v>
      </x:c>
      <x:c r="P131" s="27" t="n">
        <x:f>IF(E131="有效",L131/(K131*I131),"n.a.")</x:f>
        <x:v>12.629894570172578</x:v>
      </x:c>
      <x:c r="Q131" s="27" t="n">
        <x:f>IF(E131="有效",M131/(K131*I131),"n.a.")</x:f>
        <x:v>17.32358807192671</x:v>
      </x:c>
      <x:c r="R131" s="13" t="str">
        <x:f>IF(E131="有效",IF(F131-G131&lt;=0,"未回本",IF(ROUNDUP(H131/(F131-G131),0)&gt;MIN(J131,K131),"未回本",MAX(1,ROUNDUP(H131/(F131-G131),0)))),"n.a.")</x:f>
        <x:v>未回本</x:v>
      </x:c>
    </x:row>
  </x:sheetData>
  <x:conditionalFormatting sqref="N6:N13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多批运营策略费用（人民币）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" t="str">
        <x:v>B1 M1 与 B2/B3 M5 的策略对照。没有同批次数一次性控制组，不报告多批现金回本。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0" customHeight="1">
      <x:c r="A5" s="9" t="str">
        <x:v>案例</x:v>
      </x:c>
      <x:c r="B5" s="9" t="str">
        <x:v>AOI数</x:v>
      </x:c>
      <x:c r="C5" s="9" t="str">
        <x:v>批次数</x:v>
      </x:c>
      <x:c r="D5" s="9" t="str">
        <x:v>种子</x:v>
      </x:c>
      <x:c r="E5" s="9" t="str">
        <x:v>配对状态</x:v>
      </x:c>
      <x:c r="F5" s="9" t="str">
        <x:v>B1一次性费用</x:v>
      </x:c>
      <x:c r="G5" s="9" t="str">
        <x:v>M5分摊总费</x:v>
      </x:c>
      <x:c r="H5" s="9" t="str">
        <x:v>周期节省</x:v>
      </x:c>
      <x:c r="I5" s="9" t="str">
        <x:v>节省比例</x:v>
      </x:c>
      <x:c r="J5" s="9" t="str">
        <x:v>M5元/件</x:v>
      </x:c>
      <x:c r="K5" s="9" t="str">
        <x:v>初始箱池投入</x:v>
      </x:c>
      <x:c r="L5" s="9" t="str">
        <x:v>箱池数量</x:v>
      </x:c>
      <x:c r="M5" s="9" t="str">
        <x:v>配送件数</x:v>
      </x:c>
    </x:row>
    <x:row r="6" ht="22" customHeight="1">
      <x:c r="A6" s="11" t="str">
        <x:v>lade_0823_10aoi</x:v>
      </x:c>
      <x:c r="B6" s="10" t="n">
        <x:v>10</x:v>
      </x:c>
      <x:c r="C6" s="10" t="n">
        <x:v>2</x:v>
      </x:c>
      <x:c r="D6" s="10" t="n">
        <x:v>42</x:v>
      </x:c>
      <x:c r="E6" s="10" t="str">
        <x:v>有效</x:v>
      </x:c>
      <x:c r="F6" s="26" t="n">
        <x:f>IF(E6="有效",'成本明细'!U6,"n.a.")</x:f>
        <x:v>1844.3413821266668</x:v>
      </x:c>
      <x:c r="G6" s="26" t="n">
        <x:f>IF(E6="有效",'成本明细'!X18,"n.a.")</x:f>
        <x:v>3193.176836694445</x:v>
      </x:c>
      <x:c r="H6" s="26" t="n">
        <x:f>IF(E6="有效",F6-G6,"n.a.")</x:f>
        <x:v>-1348.835454567778</x:v>
      </x:c>
      <x:c r="I6" s="32" t="n">
        <x:f>IF(E6="有效",H6/F6,"n.a.")</x:f>
        <x:v>-0.731337195835441</x:v>
      </x:c>
      <x:c r="J6" s="26" t="n">
        <x:f>IF(E6="有效",'成本明细'!Y18,"n.a.")</x:f>
        <x:v>24.375395699957593</x:v>
      </x:c>
      <x:c r="K6" s="26" t="n">
        <x:f>IF(E6="有效",'成本明细'!V18,"n.a.")</x:f>
        <x:v>4781.5</x:v>
      </x:c>
      <x:c r="L6" s="22" t="n">
        <x:f>IF(E6="有效",'成本明细'!H18,"n.a.")</x:f>
        <x:v>131</x:v>
      </x:c>
      <x:c r="M6" s="22" t="n">
        <x:f>IF(E6="有效",'成本明细'!G18,"n.a.")</x:f>
        <x:v>131</x:v>
      </x:c>
    </x:row>
    <x:row r="7" ht="22" customHeight="1">
      <x:c r="A7" s="11" t="str">
        <x:v>lade_0823_10aoi</x:v>
      </x:c>
      <x:c r="B7" s="10" t="n">
        <x:v>10</x:v>
      </x:c>
      <x:c r="C7" s="10" t="n">
        <x:v>2</x:v>
      </x:c>
      <x:c r="D7" s="10" t="n">
        <x:v>43</x:v>
      </x:c>
      <x:c r="E7" s="10" t="str">
        <x:v>有效</x:v>
      </x:c>
      <x:c r="F7" s="26" t="n">
        <x:f>IF(E7="有效",'成本明细'!U7,"n.a.")</x:f>
        <x:v>1844.3413821266668</x:v>
      </x:c>
      <x:c r="G7" s="26" t="n">
        <x:f>IF(E7="有效",'成本明细'!X19,"n.a.")</x:f>
        <x:v>2269.3194109972223</x:v>
      </x:c>
      <x:c r="H7" s="26" t="n">
        <x:f>IF(E7="有效",F7-G7,"n.a.")</x:f>
        <x:v>-424.9780288705556</x:v>
      </x:c>
      <x:c r="I7" s="32" t="n">
        <x:f>IF(E7="有效",H7/F7,"n.a.")</x:f>
        <x:v>-0.23042265005219553</x:v>
      </x:c>
      <x:c r="J7" s="26" t="n">
        <x:f>IF(E7="有效",'成本明细'!Y19,"n.a.")</x:f>
        <x:v>17.323048938910095</x:v>
      </x:c>
      <x:c r="K7" s="26" t="n">
        <x:f>IF(E7="有效",'成本明细'!V19,"n.a.")</x:f>
        <x:v>4781.5</x:v>
      </x:c>
      <x:c r="L7" s="22" t="n">
        <x:f>IF(E7="有效",'成本明细'!H19,"n.a.")</x:f>
        <x:v>131</x:v>
      </x:c>
      <x:c r="M7" s="22" t="n">
        <x:f>IF(E7="有效",'成本明细'!G19,"n.a.")</x:f>
        <x:v>131</x:v>
      </x:c>
    </x:row>
    <x:row r="8" ht="22" customHeight="1">
      <x:c r="A8" s="11" t="str">
        <x:v>lade_0823_10aoi</x:v>
      </x:c>
      <x:c r="B8" s="10" t="n">
        <x:v>10</x:v>
      </x:c>
      <x:c r="C8" s="10" t="n">
        <x:v>2</x:v>
      </x:c>
      <x:c r="D8" s="10" t="n">
        <x:v>44</x:v>
      </x:c>
      <x:c r="E8" s="10" t="str">
        <x:v>有效</x:v>
      </x:c>
      <x:c r="F8" s="26" t="n">
        <x:f>IF(E8="有效",'成本明细'!U8,"n.a.")</x:f>
        <x:v>1844.3413821266668</x:v>
      </x:c>
      <x:c r="G8" s="26" t="n">
        <x:f>IF(E8="有效",'成本明细'!X20,"n.a.")</x:f>
        <x:v>2269.3194109972223</x:v>
      </x:c>
      <x:c r="H8" s="26" t="n">
        <x:f>IF(E8="有效",F8-G8,"n.a.")</x:f>
        <x:v>-424.9780288705556</x:v>
      </x:c>
      <x:c r="I8" s="32" t="n">
        <x:f>IF(E8="有效",H8/F8,"n.a.")</x:f>
        <x:v>-0.23042265005219553</x:v>
      </x:c>
      <x:c r="J8" s="26" t="n">
        <x:f>IF(E8="有效",'成本明细'!Y20,"n.a.")</x:f>
        <x:v>17.323048938910095</x:v>
      </x:c>
      <x:c r="K8" s="26" t="n">
        <x:f>IF(E8="有效",'成本明细'!V20,"n.a.")</x:f>
        <x:v>4781.5</x:v>
      </x:c>
      <x:c r="L8" s="22" t="n">
        <x:f>IF(E8="有效",'成本明细'!H20,"n.a.")</x:f>
        <x:v>131</x:v>
      </x:c>
      <x:c r="M8" s="22" t="n">
        <x:f>IF(E8="有效",'成本明细'!G20,"n.a.")</x:f>
        <x:v>131</x:v>
      </x:c>
    </x:row>
    <x:row r="9" ht="22" customHeight="1">
      <x:c r="A9" s="11" t="str">
        <x:v>lade_0823_10aoi</x:v>
      </x:c>
      <x:c r="B9" s="10" t="n">
        <x:v>10</x:v>
      </x:c>
      <x:c r="C9" s="10" t="n">
        <x:v>3</x:v>
      </x:c>
      <x:c r="D9" s="10" t="n">
        <x:v>42</x:v>
      </x:c>
      <x:c r="E9" s="10" t="str">
        <x:v>有效</x:v>
      </x:c>
      <x:c r="F9" s="26" t="n">
        <x:f>IF(E9="有效",'成本明细'!U6,"n.a.")</x:f>
        <x:v>1844.3413821266668</x:v>
      </x:c>
      <x:c r="G9" s="26" t="n">
        <x:f>IF(E9="有效",'成本明细'!X21,"n.a.")</x:f>
        <x:v>2715.765647828334</x:v>
      </x:c>
      <x:c r="H9" s="26" t="n">
        <x:f>IF(E9="有效",F9-G9,"n.a.")</x:f>
        <x:v>-871.4242657016671</x:v>
      </x:c>
      <x:c r="I9" s="32" t="n">
        <x:f>IF(E9="有效",H9/F9,"n.a.")</x:f>
        <x:v>-0.47248534037491924</x:v>
      </x:c>
      <x:c r="J9" s="26" t="n">
        <x:f>IF(E9="有效",'成本明细'!Y21,"n.a.")</x:f>
        <x:v>20.731035479605602</x:v>
      </x:c>
      <x:c r="K9" s="26" t="n">
        <x:f>IF(E9="有效",'成本明细'!V21,"n.a.")</x:f>
        <x:v>4781.5</x:v>
      </x:c>
      <x:c r="L9" s="22" t="n">
        <x:f>IF(E9="有效",'成本明细'!H21,"n.a.")</x:f>
        <x:v>131</x:v>
      </x:c>
      <x:c r="M9" s="22" t="n">
        <x:f>IF(E9="有效",'成本明细'!G21,"n.a.")</x:f>
        <x:v>131</x:v>
      </x:c>
    </x:row>
    <x:row r="10" ht="22" customHeight="1">
      <x:c r="A10" s="11" t="str">
        <x:v>lade_0823_10aoi</x:v>
      </x:c>
      <x:c r="B10" s="10" t="n">
        <x:v>10</x:v>
      </x:c>
      <x:c r="C10" s="10" t="n">
        <x:v>3</x:v>
      </x:c>
      <x:c r="D10" s="10" t="n">
        <x:v>43</x:v>
      </x:c>
      <x:c r="E10" s="10" t="str">
        <x:v>有效</x:v>
      </x:c>
      <x:c r="F10" s="26" t="n">
        <x:f>IF(E10="有效",'成本明细'!U7,"n.a.")</x:f>
        <x:v>1844.3413821266668</x:v>
      </x:c>
      <x:c r="G10" s="26" t="n">
        <x:f>IF(E10="有效",'成本明细'!X22,"n.a.")</x:f>
        <x:v>3258.1969383394444</x:v>
      </x:c>
      <x:c r="H10" s="26" t="n">
        <x:f>IF(E10="有效",F10-G10,"n.a.")</x:f>
        <x:v>-1413.8555562127776</x:v>
      </x:c>
      <x:c r="I10" s="32" t="n">
        <x:f>IF(E10="有效",H10/F10,"n.a.")</x:f>
        <x:v>-0.7665910280571235</x:v>
      </x:c>
      <x:c r="J10" s="26" t="n">
        <x:f>IF(E10="有效",'成本明细'!Y22,"n.a.")</x:f>
        <x:v>24.871732353736217</x:v>
      </x:c>
      <x:c r="K10" s="26" t="n">
        <x:f>IF(E10="有效",'成本明细'!V22,"n.a.")</x:f>
        <x:v>4781.5</x:v>
      </x:c>
      <x:c r="L10" s="22" t="n">
        <x:f>IF(E10="有效",'成本明细'!H22,"n.a.")</x:f>
        <x:v>131</x:v>
      </x:c>
      <x:c r="M10" s="22" t="n">
        <x:f>IF(E10="有效",'成本明细'!G22,"n.a.")</x:f>
        <x:v>131</x:v>
      </x:c>
    </x:row>
    <x:row r="11" ht="22" customHeight="1">
      <x:c r="A11" s="11" t="str">
        <x:v>lade_0823_10aoi</x:v>
      </x:c>
      <x:c r="B11" s="10" t="n">
        <x:v>10</x:v>
      </x:c>
      <x:c r="C11" s="10" t="n">
        <x:v>3</x:v>
      </x:c>
      <x:c r="D11" s="10" t="n">
        <x:v>44</x:v>
      </x:c>
      <x:c r="E11" s="10" t="str">
        <x:v>有效</x:v>
      </x:c>
      <x:c r="F11" s="26" t="n">
        <x:f>IF(E11="有效",'成本明细'!U8,"n.a.")</x:f>
        <x:v>1844.3413821266668</x:v>
      </x:c>
      <x:c r="G11" s="26" t="n">
        <x:f>IF(E11="有效",'成本明细'!X23,"n.a.")</x:f>
        <x:v>2846.6111379394447</x:v>
      </x:c>
      <x:c r="H11" s="26" t="n">
        <x:f>IF(E11="有效",F11-G11,"n.a.")</x:f>
        <x:v>-1002.2697558127779</x:v>
      </x:c>
      <x:c r="I11" s="32" t="n">
        <x:f>IF(E11="有效",H11/F11,"n.a.")</x:f>
        <x:v>-0.5434296305042422</x:v>
      </x:c>
      <x:c r="J11" s="26" t="n">
        <x:f>IF(E11="有效",'成本明细'!Y23,"n.a.")</x:f>
        <x:v>21.72985601480492</x:v>
      </x:c>
      <x:c r="K11" s="26" t="n">
        <x:f>IF(E11="有效",'成本明细'!V23,"n.a.")</x:f>
        <x:v>4781.5</x:v>
      </x:c>
      <x:c r="L11" s="22" t="n">
        <x:f>IF(E11="有效",'成本明细'!H23,"n.a.")</x:f>
        <x:v>131</x:v>
      </x:c>
      <x:c r="M11" s="22" t="n">
        <x:f>IF(E11="有效",'成本明细'!G23,"n.a.")</x:f>
        <x:v>131</x:v>
      </x:c>
    </x:row>
    <x:row r="12" ht="22" customHeight="1">
      <x:c r="A12" s="11" t="str">
        <x:v>lade_0823_20aoi</x:v>
      </x:c>
      <x:c r="B12" s="10" t="n">
        <x:v>20</x:v>
      </x:c>
      <x:c r="C12" s="10" t="n">
        <x:v>2</x:v>
      </x:c>
      <x:c r="D12" s="10" t="n">
        <x:v>42</x:v>
      </x:c>
      <x:c r="E12" s="10" t="str">
        <x:v>有效</x:v>
      </x:c>
      <x:c r="F12" s="26" t="n">
        <x:f>IF(E12="有效",'成本明细'!U24,"n.a.")</x:f>
        <x:v>3233.2171199111117</x:v>
      </x:c>
      <x:c r="G12" s="26" t="n">
        <x:f>IF(E12="有效",'成本明细'!X36,"n.a.")</x:f>
        <x:v>4418.474375885</x:v>
      </x:c>
      <x:c r="H12" s="26" t="n">
        <x:f>IF(E12="有效",F12-G12,"n.a.")</x:f>
        <x:v>-1185.2572559738883</x:v>
      </x:c>
      <x:c r="I12" s="32" t="n">
        <x:f>IF(E12="有效",H12/F12,"n.a.")</x:f>
        <x:v>-0.36658758506341005</x:v>
      </x:c>
      <x:c r="J12" s="26" t="n">
        <x:f>IF(E12="有效",'成本明细'!Y36,"n.a.")</x:f>
        <x:v>21.982459581517414</x:v>
      </x:c>
      <x:c r="K12" s="26" t="n">
        <x:f>IF(E12="有效",'成本明细'!V36,"n.a.")</x:f>
        <x:v>7336.5</x:v>
      </x:c>
      <x:c r="L12" s="22" t="n">
        <x:f>IF(E12="有效",'成本明细'!H36,"n.a.")</x:f>
        <x:v>201</x:v>
      </x:c>
      <x:c r="M12" s="22" t="n">
        <x:f>IF(E12="有效",'成本明细'!G36,"n.a.")</x:f>
        <x:v>201</x:v>
      </x:c>
    </x:row>
    <x:row r="13" ht="22" customHeight="1">
      <x:c r="A13" s="11" t="str">
        <x:v>lade_0823_20aoi</x:v>
      </x:c>
      <x:c r="B13" s="10" t="n">
        <x:v>20</x:v>
      </x:c>
      <x:c r="C13" s="10" t="n">
        <x:v>2</x:v>
      </x:c>
      <x:c r="D13" s="10" t="n">
        <x:v>43</x:v>
      </x:c>
      <x:c r="E13" s="10" t="str">
        <x:v>有效</x:v>
      </x:c>
      <x:c r="F13" s="26" t="n">
        <x:f>IF(E13="有效",'成本明细'!U25,"n.a.")</x:f>
        <x:v>3233.303355891111</x:v>
      </x:c>
      <x:c r="G13" s="26" t="n">
        <x:f>IF(E13="有效",'成本明细'!X37,"n.a.")</x:f>
        <x:v>3770.277677541111</x:v>
      </x:c>
      <x:c r="H13" s="26" t="n">
        <x:f>IF(E13="有效",F13-G13,"n.a.")</x:f>
        <x:v>-536.9743216500001</x:v>
      </x:c>
      <x:c r="I13" s="32" t="n">
        <x:f>IF(E13="有效",H13/F13,"n.a.")</x:f>
        <x:v>-0.16607607222243082</x:v>
      </x:c>
      <x:c r="J13" s="26" t="n">
        <x:f>IF(E13="有效",'成本明细'!Y37,"n.a.")</x:f>
        <x:v>18.757600385776673</x:v>
      </x:c>
      <x:c r="K13" s="26" t="n">
        <x:f>IF(E13="有效",'成本明细'!V37,"n.a.")</x:f>
        <x:v>7336.5</x:v>
      </x:c>
      <x:c r="L13" s="22" t="n">
        <x:f>IF(E13="有效",'成本明细'!H37,"n.a.")</x:f>
        <x:v>201</x:v>
      </x:c>
      <x:c r="M13" s="22" t="n">
        <x:f>IF(E13="有效",'成本明细'!G37,"n.a.")</x:f>
        <x:v>201</x:v>
      </x:c>
    </x:row>
    <x:row r="14" ht="22" customHeight="1">
      <x:c r="A14" s="11" t="str">
        <x:v>lade_0823_20aoi</x:v>
      </x:c>
      <x:c r="B14" s="10" t="n">
        <x:v>20</x:v>
      </x:c>
      <x:c r="C14" s="10" t="n">
        <x:v>2</x:v>
      </x:c>
      <x:c r="D14" s="10" t="n">
        <x:v>44</x:v>
      </x:c>
      <x:c r="E14" s="10" t="str">
        <x:v>有效</x:v>
      </x:c>
      <x:c r="F14" s="26" t="n">
        <x:f>IF(E14="有效",'成本明细'!U26,"n.a.")</x:f>
        <x:v>3233.2171199111117</x:v>
      </x:c>
      <x:c r="G14" s="26" t="n">
        <x:f>IF(E14="有效",'成本明细'!X38,"n.a.")</x:f>
        <x:v>4356.051578907777</x:v>
      </x:c>
      <x:c r="H14" s="26" t="n">
        <x:f>IF(E14="有效",F14-G14,"n.a.")</x:f>
        <x:v>-1122.8344589966655</x:v>
      </x:c>
      <x:c r="I14" s="32" t="n">
        <x:f>IF(E14="有效",H14/F14,"n.a.")</x:f>
        <x:v>-0.3472808714521265</x:v>
      </x:c>
      <x:c r="J14" s="26" t="n">
        <x:f>IF(E14="有效",'成本明细'!Y38,"n.a.")</x:f>
        <x:v>21.671898402526253</x:v>
      </x:c>
      <x:c r="K14" s="26" t="n">
        <x:f>IF(E14="有效",'成本明细'!V38,"n.a.")</x:f>
        <x:v>7336.5</x:v>
      </x:c>
      <x:c r="L14" s="22" t="n">
        <x:f>IF(E14="有效",'成本明细'!H38,"n.a.")</x:f>
        <x:v>201</x:v>
      </x:c>
      <x:c r="M14" s="22" t="n">
        <x:f>IF(E14="有效",'成本明细'!G38,"n.a.")</x:f>
        <x:v>201</x:v>
      </x:c>
    </x:row>
    <x:row r="15" ht="22" customHeight="1">
      <x:c r="A15" s="11" t="str">
        <x:v>lade_0823_20aoi</x:v>
      </x:c>
      <x:c r="B15" s="10" t="n">
        <x:v>20</x:v>
      </x:c>
      <x:c r="C15" s="10" t="n">
        <x:v>3</x:v>
      </x:c>
      <x:c r="D15" s="10" t="n">
        <x:v>42</x:v>
      </x:c>
      <x:c r="E15" s="10" t="str">
        <x:v>有效</x:v>
      </x:c>
      <x:c r="F15" s="26" t="n">
        <x:f>IF(E15="有效",'成本明细'!U24,"n.a.")</x:f>
        <x:v>3233.2171199111117</x:v>
      </x:c>
      <x:c r="G15" s="26" t="n">
        <x:f>IF(E15="有效",'成本明细'!X39,"n.a.")</x:f>
        <x:v>3788.666282932222</x:v>
      </x:c>
      <x:c r="H15" s="26" t="n">
        <x:f>IF(E15="有效",F15-G15,"n.a.")</x:f>
        <x:v>-555.4491630211105</x:v>
      </x:c>
      <x:c r="I15" s="32" t="n">
        <x:f>IF(E15="有效",H15/F15,"n.a.")</x:f>
        <x:v>-0.17179457562577208</x:v>
      </x:c>
      <x:c r="J15" s="26" t="n">
        <x:f>IF(E15="有效",'成本明细'!Y39,"n.a.")</x:f>
        <x:v>18.849085984737425</x:v>
      </x:c>
      <x:c r="K15" s="26" t="n">
        <x:f>IF(E15="有效",'成本明细'!V39,"n.a.")</x:f>
        <x:v>7336.5</x:v>
      </x:c>
      <x:c r="L15" s="22" t="n">
        <x:f>IF(E15="有效",'成本明细'!H39,"n.a.")</x:f>
        <x:v>201</x:v>
      </x:c>
      <x:c r="M15" s="22" t="n">
        <x:f>IF(E15="有效",'成本明细'!G39,"n.a.")</x:f>
        <x:v>201</x:v>
      </x:c>
    </x:row>
    <x:row r="16" ht="22" customHeight="1">
      <x:c r="A16" s="11" t="str">
        <x:v>lade_0823_20aoi</x:v>
      </x:c>
      <x:c r="B16" s="10" t="n">
        <x:v>20</x:v>
      </x:c>
      <x:c r="C16" s="10" t="n">
        <x:v>3</x:v>
      </x:c>
      <x:c r="D16" s="10" t="n">
        <x:v>43</x:v>
      </x:c>
      <x:c r="E16" s="10" t="str">
        <x:v>有效</x:v>
      </x:c>
      <x:c r="F16" s="26" t="n">
        <x:f>IF(E16="有效",'成本明细'!U25,"n.a.")</x:f>
        <x:v>3233.303355891111</x:v>
      </x:c>
      <x:c r="G16" s="26" t="n">
        <x:f>IF(E16="有效",'成本明细'!X40,"n.a.")</x:f>
        <x:v>4024.045327182778</x:v>
      </x:c>
      <x:c r="H16" s="26" t="n">
        <x:f>IF(E16="有效",F16-G16,"n.a.")</x:f>
        <x:v>-790.7419712916667</x:v>
      </x:c>
      <x:c r="I16" s="32" t="n">
        <x:f>IF(E16="有效",H16/F16,"n.a.")</x:f>
        <x:v>-0.2445616399868348</x:v>
      </x:c>
      <x:c r="J16" s="26" t="n">
        <x:f>IF(E16="有效",'成本明细'!Y40,"n.a.")</x:f>
        <x:v>20.020126005884467</x:v>
      </x:c>
      <x:c r="K16" s="26" t="n">
        <x:f>IF(E16="有效",'成本明细'!V40,"n.a.")</x:f>
        <x:v>7336.5</x:v>
      </x:c>
      <x:c r="L16" s="22" t="n">
        <x:f>IF(E16="有效",'成本明细'!H40,"n.a.")</x:f>
        <x:v>201</x:v>
      </x:c>
      <x:c r="M16" s="22" t="n">
        <x:f>IF(E16="有效",'成本明细'!G40,"n.a.")</x:f>
        <x:v>201</x:v>
      </x:c>
    </x:row>
    <x:row r="17" ht="22" customHeight="1">
      <x:c r="A17" s="11" t="str">
        <x:v>lade_0823_20aoi</x:v>
      </x:c>
      <x:c r="B17" s="10" t="n">
        <x:v>20</x:v>
      </x:c>
      <x:c r="C17" s="10" t="n">
        <x:v>3</x:v>
      </x:c>
      <x:c r="D17" s="10" t="n">
        <x:v>44</x:v>
      </x:c>
      <x:c r="E17" s="10" t="str">
        <x:v>有效</x:v>
      </x:c>
      <x:c r="F17" s="26" t="n">
        <x:f>IF(E17="有效",'成本明细'!U26,"n.a.")</x:f>
        <x:v>3233.2171199111117</x:v>
      </x:c>
      <x:c r="G17" s="26" t="n">
        <x:f>IF(E17="有效",'成本明细'!X41,"n.a.")</x:f>
        <x:v>4317.191450980556</x:v>
      </x:c>
      <x:c r="H17" s="26" t="n">
        <x:f>IF(E17="有效",F17-G17,"n.a.")</x:f>
        <x:v>-1083.974331069444</x:v>
      </x:c>
      <x:c r="I17" s="32" t="n">
        <x:f>IF(E17="有效",H17/F17,"n.a.")</x:f>
        <x:v>-0.33526184319450986</x:v>
      </x:c>
      <x:c r="J17" s="26" t="n">
        <x:f>IF(E17="有效",'成本明细'!Y41,"n.a.")</x:f>
        <x:v>21.478564432739084</x:v>
      </x:c>
      <x:c r="K17" s="26" t="n">
        <x:f>IF(E17="有效",'成本明细'!V41,"n.a.")</x:f>
        <x:v>7336.5</x:v>
      </x:c>
      <x:c r="L17" s="22" t="n">
        <x:f>IF(E17="有效",'成本明细'!H41,"n.a.")</x:f>
        <x:v>201</x:v>
      </x:c>
      <x:c r="M17" s="22" t="n">
        <x:f>IF(E17="有效",'成本明细'!G41,"n.a.")</x:f>
        <x:v>201</x:v>
      </x:c>
    </x:row>
    <x:row r="18" ht="22" customHeight="1">
      <x:c r="A18" s="11" t="str">
        <x:v>lade_0823_30aoi</x:v>
      </x:c>
      <x:c r="B18" s="10" t="n">
        <x:v>30</x:v>
      </x:c>
      <x:c r="C18" s="10" t="n">
        <x:v>2</x:v>
      </x:c>
      <x:c r="D18" s="10" t="n">
        <x:v>42</x:v>
      </x:c>
      <x:c r="E18" s="10" t="str">
        <x:v>有效</x:v>
      </x:c>
      <x:c r="F18" s="26" t="n">
        <x:f>IF(E18="有效",'成本明细'!U42,"n.a.")</x:f>
        <x:v>3643.0965361505555</x:v>
      </x:c>
      <x:c r="G18" s="26" t="n">
        <x:f>IF(E18="有效",'成本明细'!X54,"n.a.")</x:f>
        <x:v>4566.46975919611</x:v>
      </x:c>
      <x:c r="H18" s="26" t="n">
        <x:f>IF(E18="有效",F18-G18,"n.a.")</x:f>
        <x:v>-923.3732230455548</x:v>
      </x:c>
      <x:c r="I18" s="32" t="n">
        <x:f>IF(E18="有效",H18/F18,"n.a.")</x:f>
        <x:v>-0.2534583461851463</x:v>
      </x:c>
      <x:c r="J18" s="26" t="n">
        <x:f>IF(E18="有效",'成本明细'!Y54,"n.a.")</x:f>
        <x:v>17.9077245458671</x:v>
      </x:c>
      <x:c r="K18" s="26" t="n">
        <x:f>IF(E18="有效",'成本明细'!V54,"n.a.")</x:f>
        <x:v>9307.5</x:v>
      </x:c>
      <x:c r="L18" s="22" t="n">
        <x:f>IF(E18="有效",'成本明细'!H54,"n.a.")</x:f>
        <x:v>255</x:v>
      </x:c>
      <x:c r="M18" s="22" t="n">
        <x:f>IF(E18="有效",'成本明细'!G54,"n.a.")</x:f>
        <x:v>255</x:v>
      </x:c>
    </x:row>
    <x:row r="19" ht="22" customHeight="1">
      <x:c r="A19" s="11" t="str">
        <x:v>lade_0823_30aoi</x:v>
      </x:c>
      <x:c r="B19" s="10" t="n">
        <x:v>30</x:v>
      </x:c>
      <x:c r="C19" s="10" t="n">
        <x:v>2</x:v>
      </x:c>
      <x:c r="D19" s="10" t="n">
        <x:v>43</x:v>
      </x:c>
      <x:c r="E19" s="10" t="str">
        <x:v>有效</x:v>
      </x:c>
      <x:c r="F19" s="26" t="n">
        <x:f>IF(E19="有效",'成本明细'!U43,"n.a.")</x:f>
        <x:v>3644.1533779305555</x:v>
      </x:c>
      <x:c r="G19" s="26" t="n">
        <x:f>IF(E19="有效",'成本明细'!X55,"n.a.")</x:f>
        <x:v>4765.904456605</x:v>
      </x:c>
      <x:c r="H19" s="26" t="n">
        <x:f>IF(E19="有效",F19-G19,"n.a.")</x:f>
        <x:v>-1121.7510786744442</x:v>
      </x:c>
      <x:c r="I19" s="32" t="n">
        <x:f>IF(E19="有效",H19/F19,"n.a.")</x:f>
        <x:v>-0.3078221365401105</x:v>
      </x:c>
      <x:c r="J19" s="26" t="n">
        <x:f>IF(E19="有效",'成本明细'!Y55,"n.a.")</x:f>
        <x:v>18.68982139845098</x:v>
      </x:c>
      <x:c r="K19" s="26" t="n">
        <x:f>IF(E19="有效",'成本明细'!V55,"n.a.")</x:f>
        <x:v>9307.5</x:v>
      </x:c>
      <x:c r="L19" s="22" t="n">
        <x:f>IF(E19="有效",'成本明细'!H55,"n.a.")</x:f>
        <x:v>255</x:v>
      </x:c>
      <x:c r="M19" s="22" t="n">
        <x:f>IF(E19="有效",'成本明细'!G55,"n.a.")</x:f>
        <x:v>255</x:v>
      </x:c>
    </x:row>
    <x:row r="20" ht="22" customHeight="1">
      <x:c r="A20" s="11" t="str">
        <x:v>lade_0823_30aoi</x:v>
      </x:c>
      <x:c r="B20" s="10" t="n">
        <x:v>30</x:v>
      </x:c>
      <x:c r="C20" s="10" t="n">
        <x:v>2</x:v>
      </x:c>
      <x:c r="D20" s="10" t="n">
        <x:v>44</x:v>
      </x:c>
      <x:c r="E20" s="10" t="str">
        <x:v>有效</x:v>
      </x:c>
      <x:c r="F20" s="26" t="n">
        <x:f>IF(E20="有效",'成本明细'!U44,"n.a.")</x:f>
        <x:v>3480.288131316667</x:v>
      </x:c>
      <x:c r="G20" s="26" t="n">
        <x:f>IF(E20="有效",'成本明细'!X56,"n.a.")</x:f>
        <x:v>5103.382844915</x:v>
      </x:c>
      <x:c r="H20" s="26" t="n">
        <x:f>IF(E20="有效",F20-G20,"n.a.")</x:f>
        <x:v>-1623.0947135983324</x:v>
      </x:c>
      <x:c r="I20" s="32" t="n">
        <x:f>IF(E20="有效",H20/F20,"n.a.")</x:f>
        <x:v>-0.4663679133325898</x:v>
      </x:c>
      <x:c r="J20" s="26" t="n">
        <x:f>IF(E20="有效",'成本明细'!Y56,"n.a.")</x:f>
        <x:v>20.013266058490196</x:v>
      </x:c>
      <x:c r="K20" s="26" t="n">
        <x:f>IF(E20="有效",'成本明细'!V56,"n.a.")</x:f>
        <x:v>9307.5</x:v>
      </x:c>
      <x:c r="L20" s="22" t="n">
        <x:f>IF(E20="有效",'成本明细'!H56,"n.a.")</x:f>
        <x:v>255</x:v>
      </x:c>
      <x:c r="M20" s="22" t="n">
        <x:f>IF(E20="有效",'成本明细'!G56,"n.a.")</x:f>
        <x:v>255</x:v>
      </x:c>
    </x:row>
    <x:row r="21" ht="22" customHeight="1">
      <x:c r="A21" s="11" t="str">
        <x:v>lade_0823_30aoi</x:v>
      </x:c>
      <x:c r="B21" s="10" t="n">
        <x:v>30</x:v>
      </x:c>
      <x:c r="C21" s="10" t="n">
        <x:v>3</x:v>
      </x:c>
      <x:c r="D21" s="10" t="n">
        <x:v>42</x:v>
      </x:c>
      <x:c r="E21" s="10" t="str">
        <x:v>有效</x:v>
      </x:c>
      <x:c r="F21" s="26" t="n">
        <x:f>IF(E21="有效",'成本明细'!U42,"n.a.")</x:f>
        <x:v>3643.0965361505555</x:v>
      </x:c>
      <x:c r="G21" s="26" t="n">
        <x:f>IF(E21="有效",'成本明细'!X57,"n.a.")</x:f>
        <x:v>5475.358302854444</x:v>
      </x:c>
      <x:c r="H21" s="26" t="n">
        <x:f>IF(E21="有效",F21-G21,"n.a.")</x:f>
        <x:v>-1832.261766703889</x:v>
      </x:c>
      <x:c r="I21" s="32" t="n">
        <x:f>IF(E21="有效",H21/F21,"n.a.")</x:f>
        <x:v>-0.5029407671529702</x:v>
      </x:c>
      <x:c r="J21" s="26" t="n">
        <x:f>IF(E21="有效",'成本明细'!Y57,"n.a.")</x:f>
        <x:v>21.471993344527235</x:v>
      </x:c>
      <x:c r="K21" s="26" t="n">
        <x:f>IF(E21="有效",'成本明细'!V57,"n.a.")</x:f>
        <x:v>9307.5</x:v>
      </x:c>
      <x:c r="L21" s="22" t="n">
        <x:f>IF(E21="有效",'成本明细'!H57,"n.a.")</x:f>
        <x:v>255</x:v>
      </x:c>
      <x:c r="M21" s="22" t="n">
        <x:f>IF(E21="有效",'成本明细'!G57,"n.a.")</x:f>
        <x:v>255</x:v>
      </x:c>
    </x:row>
    <x:row r="22" ht="22" customHeight="1">
      <x:c r="A22" s="11" t="str">
        <x:v>lade_0823_30aoi</x:v>
      </x:c>
      <x:c r="B22" s="10" t="n">
        <x:v>30</x:v>
      </x:c>
      <x:c r="C22" s="10" t="n">
        <x:v>3</x:v>
      </x:c>
      <x:c r="D22" s="10" t="n">
        <x:v>43</x:v>
      </x:c>
      <x:c r="E22" s="10" t="str">
        <x:v>有效</x:v>
      </x:c>
      <x:c r="F22" s="26" t="n">
        <x:f>IF(E22="有效",'成本明细'!U43,"n.a.")</x:f>
        <x:v>3644.1533779305555</x:v>
      </x:c>
      <x:c r="G22" s="26" t="n">
        <x:f>IF(E22="有效",'成本明细'!X58,"n.a.")</x:f>
        <x:v>5059.697202652777</x:v>
      </x:c>
      <x:c r="H22" s="26" t="n">
        <x:f>IF(E22="有效",F22-G22,"n.a.")</x:f>
        <x:v>-1415.5438247222219</x:v>
      </x:c>
      <x:c r="I22" s="32" t="n">
        <x:f>IF(E22="有效",H22/F22,"n.a.")</x:f>
        <x:v>-0.3884424385907933</x:v>
      </x:c>
      <x:c r="J22" s="26" t="n">
        <x:f>IF(E22="有效",'成本明细'!Y58,"n.a.")</x:f>
        <x:v>19.841949814324618</x:v>
      </x:c>
      <x:c r="K22" s="26" t="n">
        <x:f>IF(E22="有效",'成本明细'!V58,"n.a.")</x:f>
        <x:v>9307.5</x:v>
      </x:c>
      <x:c r="L22" s="22" t="n">
        <x:f>IF(E22="有效",'成本明细'!H58,"n.a.")</x:f>
        <x:v>255</x:v>
      </x:c>
      <x:c r="M22" s="22" t="n">
        <x:f>IF(E22="有效",'成本明细'!G58,"n.a.")</x:f>
        <x:v>255</x:v>
      </x:c>
    </x:row>
    <x:row r="23" ht="22" customHeight="1">
      <x:c r="A23" s="11" t="str">
        <x:v>lade_0823_30aoi</x:v>
      </x:c>
      <x:c r="B23" s="10" t="n">
        <x:v>30</x:v>
      </x:c>
      <x:c r="C23" s="10" t="n">
        <x:v>3</x:v>
      </x:c>
      <x:c r="D23" s="10" t="n">
        <x:v>44</x:v>
      </x:c>
      <x:c r="E23" s="10" t="str">
        <x:v>有效</x:v>
      </x:c>
      <x:c r="F23" s="26" t="n">
        <x:f>IF(E23="有效",'成本明细'!U44,"n.a.")</x:f>
        <x:v>3480.288131316667</x:v>
      </x:c>
      <x:c r="G23" s="26" t="n">
        <x:f>IF(E23="有效",'成本明细'!X59,"n.a.")</x:f>
        <x:v>4768.815467369444</x:v>
      </x:c>
      <x:c r="H23" s="26" t="n">
        <x:f>IF(E23="有效",F23-G23,"n.a.")</x:f>
        <x:v>-1288.5273360527772</x:v>
      </x:c>
      <x:c r="I23" s="32" t="n">
        <x:f>IF(E23="有效",H23/F23,"n.a.")</x:f>
        <x:v>-0.3702358217005728</x:v>
      </x:c>
      <x:c r="J23" s="26" t="n">
        <x:f>IF(E23="有效",'成本明细'!Y59,"n.a.")</x:f>
        <x:v>18.701237126939</x:v>
      </x:c>
      <x:c r="K23" s="26" t="n">
        <x:f>IF(E23="有效",'成本明细'!V59,"n.a.")</x:f>
        <x:v>9307.5</x:v>
      </x:c>
      <x:c r="L23" s="22" t="n">
        <x:f>IF(E23="有效",'成本明细'!H59,"n.a.")</x:f>
        <x:v>255</x:v>
      </x:c>
      <x:c r="M23" s="22" t="n">
        <x:f>IF(E23="有效",'成本明细'!G59,"n.a.")</x:f>
        <x:v>255</x:v>
      </x:c>
    </x:row>
    <x:row r="24" ht="22" customHeight="1">
      <x:c r="A24" s="11" t="str">
        <x:v>lade_0824_10aoi</x:v>
      </x:c>
      <x:c r="B24" s="10" t="n">
        <x:v>10</x:v>
      </x:c>
      <x:c r="C24" s="10" t="n">
        <x:v>2</x:v>
      </x:c>
      <x:c r="D24" s="10" t="n">
        <x:v>42</x:v>
      </x:c>
      <x:c r="E24" s="10" t="str">
        <x:v>有效</x:v>
      </x:c>
      <x:c r="F24" s="26" t="n">
        <x:f>IF(E24="有效",'成本明细'!U60,"n.a.")</x:f>
        <x:v>1846.2131281672223</x:v>
      </x:c>
      <x:c r="G24" s="26" t="n">
        <x:f>IF(E24="有效",'成本明细'!X72,"n.a.")</x:f>
        <x:v>2255.3981930283335</x:v>
      </x:c>
      <x:c r="H24" s="26" t="n">
        <x:f>IF(E24="有效",F24-G24,"n.a.")</x:f>
        <x:v>-409.1850648611112</x:v>
      </x:c>
      <x:c r="I24" s="32" t="n">
        <x:f>IF(E24="有效",H24/F24,"n.a.")</x:f>
        <x:v>-0.2216347931981821</x:v>
      </x:c>
      <x:c r="J24" s="26" t="n">
        <x:f>IF(E24="有效",'成本明细'!Y72,"n.a.")</x:f>
        <x:v>17.216780099452926</x:v>
      </x:c>
      <x:c r="K24" s="26" t="n">
        <x:f>IF(E24="有效",'成本明细'!V72,"n.a.")</x:f>
        <x:v>4781.5</x:v>
      </x:c>
      <x:c r="L24" s="22" t="n">
        <x:f>IF(E24="有效",'成本明细'!H72,"n.a.")</x:f>
        <x:v>131</x:v>
      </x:c>
      <x:c r="M24" s="22" t="n">
        <x:f>IF(E24="有效",'成本明细'!G72,"n.a.")</x:f>
        <x:v>131</x:v>
      </x:c>
    </x:row>
    <x:row r="25" ht="22" customHeight="1">
      <x:c r="A25" s="11" t="str">
        <x:v>lade_0824_10aoi</x:v>
      </x:c>
      <x:c r="B25" s="10" t="n">
        <x:v>10</x:v>
      </x:c>
      <x:c r="C25" s="10" t="n">
        <x:v>2</x:v>
      </x:c>
      <x:c r="D25" s="10" t="n">
        <x:v>43</x:v>
      </x:c>
      <x:c r="E25" s="10" t="str">
        <x:v>有效</x:v>
      </x:c>
      <x:c r="F25" s="26" t="n">
        <x:f>IF(E25="有效",'成本明细'!U61,"n.a.")</x:f>
        <x:v>1846.2131281672223</x:v>
      </x:c>
      <x:c r="G25" s="26" t="n">
        <x:f>IF(E25="有效",'成本明细'!X73,"n.a.")</x:f>
        <x:v>2979.676840431111</x:v>
      </x:c>
      <x:c r="H25" s="26" t="n">
        <x:f>IF(E25="有效",F25-G25,"n.a.")</x:f>
        <x:v>-1133.4637122638887</x:v>
      </x:c>
      <x:c r="I25" s="32" t="n">
        <x:f>IF(E25="有效",H25/F25,"n.a.")</x:f>
        <x:v>-0.61393979653319</x:v>
      </x:c>
      <x:c r="J25" s="26" t="n">
        <x:f>IF(E25="有效",'成本明细'!Y73,"n.a.")</x:f>
        <x:v>22.745624736115353</x:v>
      </x:c>
      <x:c r="K25" s="26" t="n">
        <x:f>IF(E25="有效",'成本明细'!V73,"n.a.")</x:f>
        <x:v>4781.5</x:v>
      </x:c>
      <x:c r="L25" s="22" t="n">
        <x:f>IF(E25="有效",'成本明细'!H73,"n.a.")</x:f>
        <x:v>131</x:v>
      </x:c>
      <x:c r="M25" s="22" t="n">
        <x:f>IF(E25="有效",'成本明细'!G73,"n.a.")</x:f>
        <x:v>131</x:v>
      </x:c>
    </x:row>
    <x:row r="26" ht="22" customHeight="1">
      <x:c r="A26" s="11" t="str">
        <x:v>lade_0824_10aoi</x:v>
      </x:c>
      <x:c r="B26" s="10" t="n">
        <x:v>10</x:v>
      </x:c>
      <x:c r="C26" s="10" t="n">
        <x:v>2</x:v>
      </x:c>
      <x:c r="D26" s="10" t="n">
        <x:v>44</x:v>
      </x:c>
      <x:c r="E26" s="10" t="str">
        <x:v>有效</x:v>
      </x:c>
      <x:c r="F26" s="26" t="n">
        <x:f>IF(E26="有效",'成本明细'!U62,"n.a.")</x:f>
        <x:v>1846.2131281672223</x:v>
      </x:c>
      <x:c r="G26" s="26" t="n">
        <x:f>IF(E26="有效",'成本明细'!X74,"n.a.")</x:f>
        <x:v>2761.00955542</x:v>
      </x:c>
      <x:c r="H26" s="26" t="n">
        <x:f>IF(E26="有效",F26-G26,"n.a.")</x:f>
        <x:v>-914.7964272527779</x:v>
      </x:c>
      <x:c r="I26" s="32" t="n">
        <x:f>IF(E26="有效",H26/F26,"n.a.")</x:f>
        <x:v>-0.49549882042108384</x:v>
      </x:c>
      <x:c r="J26" s="26" t="n">
        <x:f>IF(E26="有效",'成本明细'!Y74,"n.a.")</x:f>
        <x:v>21.07640882</x:v>
      </x:c>
      <x:c r="K26" s="26" t="n">
        <x:f>IF(E26="有效",'成本明细'!V74,"n.a.")</x:f>
        <x:v>4781.5</x:v>
      </x:c>
      <x:c r="L26" s="22" t="n">
        <x:f>IF(E26="有效",'成本明细'!H74,"n.a.")</x:f>
        <x:v>131</x:v>
      </x:c>
      <x:c r="M26" s="22" t="n">
        <x:f>IF(E26="有效",'成本明细'!G74,"n.a.")</x:f>
        <x:v>131</x:v>
      </x:c>
    </x:row>
    <x:row r="27" ht="22" customHeight="1">
      <x:c r="A27" s="11" t="str">
        <x:v>lade_0824_10aoi</x:v>
      </x:c>
      <x:c r="B27" s="10" t="n">
        <x:v>10</x:v>
      </x:c>
      <x:c r="C27" s="10" t="n">
        <x:v>3</x:v>
      </x:c>
      <x:c r="D27" s="10" t="n">
        <x:v>42</x:v>
      </x:c>
      <x:c r="E27" s="10" t="str">
        <x:v>有效</x:v>
      </x:c>
      <x:c r="F27" s="26" t="n">
        <x:f>IF(E27="有效",'成本明细'!U60,"n.a.")</x:f>
        <x:v>1846.2131281672223</x:v>
      </x:c>
      <x:c r="G27" s="26" t="n">
        <x:f>IF(E27="有效",'成本明细'!X75,"n.a.")</x:f>
        <x:v>3320.312733032778</x:v>
      </x:c>
      <x:c r="H27" s="26" t="n">
        <x:f>IF(E27="有效",F27-G27,"n.a.")</x:f>
        <x:v>-1474.0996048655556</x:v>
      </x:c>
      <x:c r="I27" s="32" t="n">
        <x:f>IF(E27="有效",H27/F27,"n.a.")</x:f>
        <x:v>-0.7984449803630894</x:v>
      </x:c>
      <x:c r="J27" s="26" t="n">
        <x:f>IF(E27="有效",'成本明细'!Y75,"n.a.")</x:f>
        <x:v>25.345898725441053</x:v>
      </x:c>
      <x:c r="K27" s="26" t="n">
        <x:f>IF(E27="有效",'成本明细'!V75,"n.a.")</x:f>
        <x:v>4781.5</x:v>
      </x:c>
      <x:c r="L27" s="22" t="n">
        <x:f>IF(E27="有效",'成本明细'!H75,"n.a.")</x:f>
        <x:v>131</x:v>
      </x:c>
      <x:c r="M27" s="22" t="n">
        <x:f>IF(E27="有效",'成本明细'!G75,"n.a.")</x:f>
        <x:v>131</x:v>
      </x:c>
    </x:row>
    <x:row r="28" ht="22" customHeight="1">
      <x:c r="A28" s="11" t="str">
        <x:v>lade_0824_10aoi</x:v>
      </x:c>
      <x:c r="B28" s="10" t="n">
        <x:v>10</x:v>
      </x:c>
      <x:c r="C28" s="10" t="n">
        <x:v>3</x:v>
      </x:c>
      <x:c r="D28" s="10" t="n">
        <x:v>43</x:v>
      </x:c>
      <x:c r="E28" s="10" t="str">
        <x:v>有效</x:v>
      </x:c>
      <x:c r="F28" s="26" t="n">
        <x:f>IF(E28="有效",'成本明细'!U61,"n.a.")</x:f>
        <x:v>1846.2131281672223</x:v>
      </x:c>
      <x:c r="G28" s="26" t="n">
        <x:f>IF(E28="有效",'成本明细'!X76,"n.a.")</x:f>
        <x:v>3130.6267813022223</x:v>
      </x:c>
      <x:c r="H28" s="26" t="n">
        <x:f>IF(E28="有效",F28-G28,"n.a.")</x:f>
        <x:v>-1284.413653135</x:v>
      </x:c>
      <x:c r="I28" s="32" t="n">
        <x:f>IF(E28="有效",H28/F28,"n.a.")</x:f>
        <x:v>-0.6957017223737687</x:v>
      </x:c>
      <x:c r="J28" s="26" t="n">
        <x:f>IF(E28="有效",'成本明细'!Y76,"n.a.")</x:f>
        <x:v>23.897914361085668</x:v>
      </x:c>
      <x:c r="K28" s="26" t="n">
        <x:f>IF(E28="有效",'成本明细'!V76,"n.a.")</x:f>
        <x:v>4781.5</x:v>
      </x:c>
      <x:c r="L28" s="22" t="n">
        <x:f>IF(E28="有效",'成本明细'!H76,"n.a.")</x:f>
        <x:v>131</x:v>
      </x:c>
      <x:c r="M28" s="22" t="n">
        <x:f>IF(E28="有效",'成本明细'!G76,"n.a.")</x:f>
        <x:v>131</x:v>
      </x:c>
    </x:row>
    <x:row r="29" ht="22" customHeight="1">
      <x:c r="A29" s="11" t="str">
        <x:v>lade_0824_10aoi</x:v>
      </x:c>
      <x:c r="B29" s="10" t="n">
        <x:v>10</x:v>
      </x:c>
      <x:c r="C29" s="10" t="n">
        <x:v>3</x:v>
      </x:c>
      <x:c r="D29" s="10" t="n">
        <x:v>44</x:v>
      </x:c>
      <x:c r="E29" s="10" t="str">
        <x:v>有效</x:v>
      </x:c>
      <x:c r="F29" s="26" t="n">
        <x:f>IF(E29="有效",'成本明细'!U62,"n.a.")</x:f>
        <x:v>1846.2131281672223</x:v>
      </x:c>
      <x:c r="G29" s="26" t="n">
        <x:f>IF(E29="有效",'成本明细'!X77,"n.a.")</x:f>
        <x:v>3029.0769493577777</x:v>
      </x:c>
      <x:c r="H29" s="26" t="n">
        <x:f>IF(E29="有效",F29-G29,"n.a.")</x:f>
        <x:v>-1182.8638211905554</x:v>
      </x:c>
      <x:c r="I29" s="32" t="n">
        <x:f>IF(E29="有效",H29/F29,"n.a.")</x:f>
        <x:v>-0.6406973296548981</x:v>
      </x:c>
      <x:c r="J29" s="26" t="n">
        <x:f>IF(E29="有效",'成本明细'!Y77,"n.a.")</x:f>
        <x:v>23.122724804257846</x:v>
      </x:c>
      <x:c r="K29" s="26" t="n">
        <x:f>IF(E29="有效",'成本明细'!V77,"n.a.")</x:f>
        <x:v>4781.5</x:v>
      </x:c>
      <x:c r="L29" s="22" t="n">
        <x:f>IF(E29="有效",'成本明细'!H77,"n.a.")</x:f>
        <x:v>131</x:v>
      </x:c>
      <x:c r="M29" s="22" t="n">
        <x:f>IF(E29="有效",'成本明细'!G77,"n.a.")</x:f>
        <x:v>131</x:v>
      </x:c>
    </x:row>
    <x:row r="30" ht="22" customHeight="1">
      <x:c r="A30" s="11" t="str">
        <x:v>lade_0824_20aoi</x:v>
      </x:c>
      <x:c r="B30" s="10" t="n">
        <x:v>20</x:v>
      </x:c>
      <x:c r="C30" s="10" t="n">
        <x:v>2</x:v>
      </x:c>
      <x:c r="D30" s="10" t="n">
        <x:v>42</x:v>
      </x:c>
      <x:c r="E30" s="10" t="str">
        <x:v>有效</x:v>
      </x:c>
      <x:c r="F30" s="26" t="n">
        <x:f>IF(E30="有效",'成本明细'!U78,"n.a.")</x:f>
        <x:v>2778.658806945</x:v>
      </x:c>
      <x:c r="G30" s="26" t="n">
        <x:f>IF(E30="有效",'成本明细'!X90,"n.a.")</x:f>
        <x:v>4093.0592767038884</x:v>
      </x:c>
      <x:c r="H30" s="26" t="n">
        <x:f>IF(E30="有效",F30-G30,"n.a.")</x:f>
        <x:v>-1314.4004697588884</x:v>
      </x:c>
      <x:c r="I30" s="32" t="n">
        <x:f>IF(E30="有效",H30/F30,"n.a.")</x:f>
        <x:v>-0.47303413663947025</x:v>
      </x:c>
      <x:c r="J30" s="26" t="n">
        <x:f>IF(E30="有效",'成本明细'!Y90,"n.a.")</x:f>
        <x:v>21.09824369434994</x:v>
      </x:c>
      <x:c r="K30" s="26" t="n">
        <x:f>IF(E30="有效",'成本明细'!V90,"n.a.")</x:f>
        <x:v>7081</x:v>
      </x:c>
      <x:c r="L30" s="22" t="n">
        <x:f>IF(E30="有效",'成本明细'!H90,"n.a.")</x:f>
        <x:v>194</x:v>
      </x:c>
      <x:c r="M30" s="22" t="n">
        <x:f>IF(E30="有效",'成本明细'!G90,"n.a.")</x:f>
        <x:v>194</x:v>
      </x:c>
    </x:row>
    <x:row r="31" ht="22" customHeight="1">
      <x:c r="A31" s="11" t="str">
        <x:v>lade_0824_20aoi</x:v>
      </x:c>
      <x:c r="B31" s="10" t="n">
        <x:v>20</x:v>
      </x:c>
      <x:c r="C31" s="10" t="n">
        <x:v>2</x:v>
      </x:c>
      <x:c r="D31" s="10" t="n">
        <x:v>43</x:v>
      </x:c>
      <x:c r="E31" s="10" t="str">
        <x:v>有效</x:v>
      </x:c>
      <x:c r="F31" s="26" t="n">
        <x:f>IF(E31="有效",'成本明细'!U79,"n.a.")</x:f>
        <x:v>3017.7847579866666</x:v>
      </x:c>
      <x:c r="G31" s="26" t="n">
        <x:f>IF(E31="有效",'成本明细'!X91,"n.a.")</x:f>
        <x:v>4339.806368149444</x:v>
      </x:c>
      <x:c r="H31" s="26" t="n">
        <x:f>IF(E31="有效",F31-G31,"n.a.")</x:f>
        <x:v>-1322.0216101627775</x:v>
      </x:c>
      <x:c r="I31" s="32" t="n">
        <x:f>IF(E31="有效",H31/F31,"n.a.")</x:f>
        <x:v>-0.43807683986208884</x:v>
      </x:c>
      <x:c r="J31" s="26" t="n">
        <x:f>IF(E31="有效",'成本明细'!Y91,"n.a.")</x:f>
        <x:v>22.370135918296103</x:v>
      </x:c>
      <x:c r="K31" s="26" t="n">
        <x:f>IF(E31="有效",'成本明细'!V91,"n.a.")</x:f>
        <x:v>7081</x:v>
      </x:c>
      <x:c r="L31" s="22" t="n">
        <x:f>IF(E31="有效",'成本明细'!H91,"n.a.")</x:f>
        <x:v>194</x:v>
      </x:c>
      <x:c r="M31" s="22" t="n">
        <x:f>IF(E31="有效",'成本明细'!G91,"n.a.")</x:f>
        <x:v>194</x:v>
      </x:c>
    </x:row>
    <x:row r="32" ht="22" customHeight="1">
      <x:c r="A32" s="11" t="str">
        <x:v>lade_0824_20aoi</x:v>
      </x:c>
      <x:c r="B32" s="10" t="n">
        <x:v>20</x:v>
      </x:c>
      <x:c r="C32" s="10" t="n">
        <x:v>2</x:v>
      </x:c>
      <x:c r="D32" s="10" t="n">
        <x:v>44</x:v>
      </x:c>
      <x:c r="E32" s="10" t="str">
        <x:v>有效</x:v>
      </x:c>
      <x:c r="F32" s="26" t="n">
        <x:f>IF(E32="有效",'成本明细'!U80,"n.a.")</x:f>
        <x:v>3017.04927882</x:v>
      </x:c>
      <x:c r="G32" s="26" t="n">
        <x:f>IF(E32="有效",'成本明细'!X92,"n.a.")</x:f>
        <x:v>4000.3030958011104</x:v>
      </x:c>
      <x:c r="H32" s="26" t="n">
        <x:f>IF(E32="有效",F32-G32,"n.a.")</x:f>
        <x:v>-983.2538169811105</x:v>
      </x:c>
      <x:c r="I32" s="32" t="n">
        <x:f>IF(E32="有效",H32/F32,"n.a.")</x:f>
        <x:v>-0.3258991571280107</x:v>
      </x:c>
      <x:c r="J32" s="26" t="n">
        <x:f>IF(E32="有效",'成本明细'!Y92,"n.a.")</x:f>
        <x:v>20.620119050521186</x:v>
      </x:c>
      <x:c r="K32" s="26" t="n">
        <x:f>IF(E32="有效",'成本明细'!V92,"n.a.")</x:f>
        <x:v>7081</x:v>
      </x:c>
      <x:c r="L32" s="22" t="n">
        <x:f>IF(E32="有效",'成本明细'!H92,"n.a.")</x:f>
        <x:v>194</x:v>
      </x:c>
      <x:c r="M32" s="22" t="n">
        <x:f>IF(E32="有效",'成本明细'!G92,"n.a.")</x:f>
        <x:v>194</x:v>
      </x:c>
    </x:row>
    <x:row r="33" ht="22" customHeight="1">
      <x:c r="A33" s="11" t="str">
        <x:v>lade_0824_20aoi</x:v>
      </x:c>
      <x:c r="B33" s="10" t="n">
        <x:v>20</x:v>
      </x:c>
      <x:c r="C33" s="10" t="n">
        <x:v>3</x:v>
      </x:c>
      <x:c r="D33" s="10" t="n">
        <x:v>42</x:v>
      </x:c>
      <x:c r="E33" s="10" t="str">
        <x:v>有效</x:v>
      </x:c>
      <x:c r="F33" s="26" t="n">
        <x:f>IF(E33="有效",'成本明细'!U78,"n.a.")</x:f>
        <x:v>2778.658806945</x:v>
      </x:c>
      <x:c r="G33" s="26" t="n">
        <x:f>IF(E33="有效",'成本明细'!X93,"n.a.")</x:f>
        <x:v>3829.7910614072216</x:v>
      </x:c>
      <x:c r="H33" s="26" t="n">
        <x:f>IF(E33="有效",F33-G33,"n.a.")</x:f>
        <x:v>-1051.1322544622217</x:v>
      </x:c>
      <x:c r="I33" s="32" t="n">
        <x:f>IF(E33="有效",H33/F33,"n.a.")</x:f>
        <x:v>-0.3782876299295956</x:v>
      </x:c>
      <x:c r="J33" s="26" t="n">
        <x:f>IF(E33="有效",'成本明细'!Y93,"n.a.")</x:f>
        <x:v>19.741191038181555</x:v>
      </x:c>
      <x:c r="K33" s="26" t="n">
        <x:f>IF(E33="有效",'成本明细'!V93,"n.a.")</x:f>
        <x:v>7081</x:v>
      </x:c>
      <x:c r="L33" s="22" t="n">
        <x:f>IF(E33="有效",'成本明细'!H93,"n.a.")</x:f>
        <x:v>194</x:v>
      </x:c>
      <x:c r="M33" s="22" t="n">
        <x:f>IF(E33="有效",'成本明细'!G93,"n.a.")</x:f>
        <x:v>194</x:v>
      </x:c>
    </x:row>
    <x:row r="34" ht="22" customHeight="1">
      <x:c r="A34" s="11" t="str">
        <x:v>lade_0824_20aoi</x:v>
      </x:c>
      <x:c r="B34" s="10" t="n">
        <x:v>20</x:v>
      </x:c>
      <x:c r="C34" s="10" t="n">
        <x:v>3</x:v>
      </x:c>
      <x:c r="D34" s="10" t="n">
        <x:v>43</x:v>
      </x:c>
      <x:c r="E34" s="10" t="str">
        <x:v>有效</x:v>
      </x:c>
      <x:c r="F34" s="26" t="n">
        <x:f>IF(E34="有效",'成本明细'!U79,"n.a.")</x:f>
        <x:v>3017.7847579866666</x:v>
      </x:c>
      <x:c r="G34" s="26" t="n">
        <x:f>IF(E34="有效",'成本明细'!X94,"n.a.")</x:f>
        <x:v>3881.5079737461106</x:v>
      </x:c>
      <x:c r="H34" s="26" t="n">
        <x:f>IF(E34="有效",F34-G34,"n.a.")</x:f>
        <x:v>-863.723215759444</x:v>
      </x:c>
      <x:c r="I34" s="32" t="n">
        <x:f>IF(E34="有效",H34/F34,"n.a.")</x:f>
        <x:v>-0.28621100741978767</x:v>
      </x:c>
      <x:c r="J34" s="26" t="n">
        <x:f>IF(E34="有效",'成本明细'!Y94,"n.a.")</x:f>
        <x:v>20.007773060546963</x:v>
      </x:c>
      <x:c r="K34" s="26" t="n">
        <x:f>IF(E34="有效",'成本明细'!V94,"n.a.")</x:f>
        <x:v>7081</x:v>
      </x:c>
      <x:c r="L34" s="22" t="n">
        <x:f>IF(E34="有效",'成本明细'!H94,"n.a.")</x:f>
        <x:v>194</x:v>
      </x:c>
      <x:c r="M34" s="22" t="n">
        <x:f>IF(E34="有效",'成本明细'!G94,"n.a.")</x:f>
        <x:v>194</x:v>
      </x:c>
    </x:row>
    <x:row r="35" ht="22" customHeight="1">
      <x:c r="A35" s="11" t="str">
        <x:v>lade_0824_20aoi</x:v>
      </x:c>
      <x:c r="B35" s="10" t="n">
        <x:v>20</x:v>
      </x:c>
      <x:c r="C35" s="10" t="n">
        <x:v>3</x:v>
      </x:c>
      <x:c r="D35" s="10" t="n">
        <x:v>44</x:v>
      </x:c>
      <x:c r="E35" s="10" t="str">
        <x:v>有效</x:v>
      </x:c>
      <x:c r="F35" s="26" t="n">
        <x:f>IF(E35="有效",'成本明细'!U80,"n.a.")</x:f>
        <x:v>3017.04927882</x:v>
      </x:c>
      <x:c r="G35" s="26" t="n">
        <x:f>IF(E35="有效",'成本明细'!X95,"n.a.")</x:f>
        <x:v>3881.5079737461106</x:v>
      </x:c>
      <x:c r="H35" s="26" t="n">
        <x:f>IF(E35="有效",F35-G35,"n.a.")</x:f>
        <x:v>-864.4586949261106</x:v>
      </x:c>
      <x:c r="I35" s="32" t="n">
        <x:f>IF(E35="有效",H35/F35,"n.a.")</x:f>
        <x:v>-0.286524552646422</x:v>
      </x:c>
      <x:c r="J35" s="26" t="n">
        <x:f>IF(E35="有效",'成本明细'!Y95,"n.a.")</x:f>
        <x:v>20.007773060546963</x:v>
      </x:c>
      <x:c r="K35" s="26" t="n">
        <x:f>IF(E35="有效",'成本明细'!V95,"n.a.")</x:f>
        <x:v>7081</x:v>
      </x:c>
      <x:c r="L35" s="22" t="n">
        <x:f>IF(E35="有效",'成本明细'!H95,"n.a.")</x:f>
        <x:v>194</x:v>
      </x:c>
      <x:c r="M35" s="22" t="n">
        <x:f>IF(E35="有效",'成本明细'!G95,"n.a.")</x:f>
        <x:v>194</x:v>
      </x:c>
    </x:row>
    <x:row r="36" ht="22" customHeight="1">
      <x:c r="A36" s="11" t="str">
        <x:v>lade_0824_30aoi</x:v>
      </x:c>
      <x:c r="B36" s="10" t="n">
        <x:v>30</x:v>
      </x:c>
      <x:c r="C36" s="10" t="n">
        <x:v>2</x:v>
      </x:c>
      <x:c r="D36" s="10" t="n">
        <x:v>42</x:v>
      </x:c>
      <x:c r="E36" s="10" t="str">
        <x:v>有效</x:v>
      </x:c>
      <x:c r="F36" s="26" t="n">
        <x:f>IF(E36="有效",'成本明细'!U96,"n.a.")</x:f>
        <x:v>3068.849954911111</x:v>
      </x:c>
      <x:c r="G36" s="26" t="n">
        <x:f>IF(E36="有效",'成本明细'!X108,"n.a.")</x:f>
        <x:v>4909.494109206667</x:v>
      </x:c>
      <x:c r="H36" s="26" t="n">
        <x:f>IF(E36="有效",F36-G36,"n.a.")</x:f>
        <x:v>-1840.6441542955563</x:v>
      </x:c>
      <x:c r="I36" s="32" t="n">
        <x:f>IF(E36="有效",H36/F36,"n.a.")</x:f>
        <x:v>-0.5997830396855849</x:v>
      </x:c>
      <x:c r="J36" s="26" t="n">
        <x:f>IF(E36="有效",'成本明细'!Y108,"n.a.")</x:f>
        <x:v>20.802941140706217</x:v>
      </x:c>
      <x:c r="K36" s="26" t="n">
        <x:f>IF(E36="有效",'成本明细'!V108,"n.a.")</x:f>
        <x:v>8614</x:v>
      </x:c>
      <x:c r="L36" s="22" t="n">
        <x:f>IF(E36="有效",'成本明细'!H108,"n.a.")</x:f>
        <x:v>236</x:v>
      </x:c>
      <x:c r="M36" s="22" t="n">
        <x:f>IF(E36="有效",'成本明细'!G108,"n.a.")</x:f>
        <x:v>236</x:v>
      </x:c>
    </x:row>
    <x:row r="37" ht="22" customHeight="1">
      <x:c r="A37" s="11" t="str">
        <x:v>lade_0824_30aoi</x:v>
      </x:c>
      <x:c r="B37" s="10" t="n">
        <x:v>30</x:v>
      </x:c>
      <x:c r="C37" s="10" t="n">
        <x:v>2</x:v>
      </x:c>
      <x:c r="D37" s="10" t="n">
        <x:v>43</x:v>
      </x:c>
      <x:c r="E37" s="10" t="str">
        <x:v>有效</x:v>
      </x:c>
      <x:c r="F37" s="26" t="n">
        <x:f>IF(E37="有效",'成本明细'!U97,"n.a.")</x:f>
        <x:v>3068.849954911111</x:v>
      </x:c>
      <x:c r="G37" s="26" t="n">
        <x:f>IF(E37="有效",'成本明细'!X109,"n.a.")</x:f>
        <x:v>4673.600422110556</x:v>
      </x:c>
      <x:c r="H37" s="26" t="n">
        <x:f>IF(E37="有效",F37-G37,"n.a.")</x:f>
        <x:v>-1604.7504671994448</x:v>
      </x:c>
      <x:c r="I37" s="32" t="n">
        <x:f>IF(E37="有效",H37/F37,"n.a.")</x:f>
        <x:v>-0.5229159101217531</x:v>
      </x:c>
      <x:c r="J37" s="26" t="n">
        <x:f>IF(E37="有效",'成本明细'!Y109,"n.a.")</x:f>
        <x:v>19.803391619112524</x:v>
      </x:c>
      <x:c r="K37" s="26" t="n">
        <x:f>IF(E37="有效",'成本明细'!V109,"n.a.")</x:f>
        <x:v>8614</x:v>
      </x:c>
      <x:c r="L37" s="22" t="n">
        <x:f>IF(E37="有效",'成本明细'!H109,"n.a.")</x:f>
        <x:v>236</x:v>
      </x:c>
      <x:c r="M37" s="22" t="n">
        <x:f>IF(E37="有效",'成本明细'!G109,"n.a.")</x:f>
        <x:v>236</x:v>
      </x:c>
    </x:row>
    <x:row r="38" ht="22" customHeight="1">
      <x:c r="A38" s="11" t="str">
        <x:v>lade_0824_30aoi</x:v>
      </x:c>
      <x:c r="B38" s="10" t="n">
        <x:v>30</x:v>
      </x:c>
      <x:c r="C38" s="10" t="n">
        <x:v>2</x:v>
      </x:c>
      <x:c r="D38" s="10" t="n">
        <x:v>44</x:v>
      </x:c>
      <x:c r="E38" s="10" t="str">
        <x:v>有效</x:v>
      </x:c>
      <x:c r="F38" s="26" t="n">
        <x:f>IF(E38="有效",'成本明细'!U98,"n.a.")</x:f>
        <x:v>3233.1314847722224</x:v>
      </x:c>
      <x:c r="G38" s="26" t="n">
        <x:f>IF(E38="有效",'成本明细'!X110,"n.a.")</x:f>
        <x:v>5417.501567125555</x:v>
      </x:c>
      <x:c r="H38" s="26" t="n">
        <x:f>IF(E38="有效",F38-G38,"n.a.")</x:f>
        <x:v>-2184.3700823533327</x:v>
      </x:c>
      <x:c r="I38" s="32" t="n">
        <x:f>IF(E38="有效",H38/F38,"n.a.")</x:f>
        <x:v>-0.6756205532133575</x:v>
      </x:c>
      <x:c r="J38" s="26" t="n">
        <x:f>IF(E38="有效",'成本明细'!Y110,"n.a.")</x:f>
        <x:v>22.95551511493879</x:v>
      </x:c>
      <x:c r="K38" s="26" t="n">
        <x:f>IF(E38="有效",'成本明细'!V110,"n.a.")</x:f>
        <x:v>8614</x:v>
      </x:c>
      <x:c r="L38" s="22" t="n">
        <x:f>IF(E38="有效",'成本明细'!H110,"n.a.")</x:f>
        <x:v>236</x:v>
      </x:c>
      <x:c r="M38" s="22" t="n">
        <x:f>IF(E38="有效",'成本明细'!G110,"n.a.")</x:f>
        <x:v>236</x:v>
      </x:c>
    </x:row>
    <x:row r="39" ht="22" customHeight="1">
      <x:c r="A39" s="11" t="str">
        <x:v>lade_0824_30aoi</x:v>
      </x:c>
      <x:c r="B39" s="10" t="n">
        <x:v>30</x:v>
      </x:c>
      <x:c r="C39" s="10" t="n">
        <x:v>3</x:v>
      </x:c>
      <x:c r="D39" s="10" t="n">
        <x:v>42</x:v>
      </x:c>
      <x:c r="E39" s="10" t="str">
        <x:v>有效</x:v>
      </x:c>
      <x:c r="F39" s="26" t="n">
        <x:f>IF(E39="有效",'成本明细'!U96,"n.a.")</x:f>
        <x:v>3068.849954911111</x:v>
      </x:c>
      <x:c r="G39" s="26" t="n">
        <x:f>IF(E39="有效",'成本明细'!X111,"n.a.")</x:f>
        <x:v>4537.2562001822225</x:v>
      </x:c>
      <x:c r="H39" s="26" t="n">
        <x:f>IF(E39="有效",F39-G39,"n.a.")</x:f>
        <x:v>-1468.4062452711114</x:v>
      </x:c>
      <x:c r="I39" s="32" t="n">
        <x:f>IF(E39="有效",H39/F39,"n.a.")</x:f>
        <x:v>-0.47848746821955446</x:v>
      </x:c>
      <x:c r="J39" s="26" t="n">
        <x:f>IF(E39="有效",'成本明细'!Y111,"n.a.")</x:f>
        <x:v>19.22566186517891</x:v>
      </x:c>
      <x:c r="K39" s="26" t="n">
        <x:f>IF(E39="有效",'成本明细'!V111,"n.a.")</x:f>
        <x:v>8614</x:v>
      </x:c>
      <x:c r="L39" s="22" t="n">
        <x:f>IF(E39="有效",'成本明细'!H111,"n.a.")</x:f>
        <x:v>236</x:v>
      </x:c>
      <x:c r="M39" s="22" t="n">
        <x:f>IF(E39="有效",'成本明细'!G111,"n.a.")</x:f>
        <x:v>236</x:v>
      </x:c>
    </x:row>
    <x:row r="40" ht="22" customHeight="1">
      <x:c r="A40" s="11" t="str">
        <x:v>lade_0824_30aoi</x:v>
      </x:c>
      <x:c r="B40" s="10" t="n">
        <x:v>30</x:v>
      </x:c>
      <x:c r="C40" s="10" t="n">
        <x:v>3</x:v>
      </x:c>
      <x:c r="D40" s="10" t="n">
        <x:v>43</x:v>
      </x:c>
      <x:c r="E40" s="10" t="str">
        <x:v>有效</x:v>
      </x:c>
      <x:c r="F40" s="26" t="n">
        <x:f>IF(E40="有效",'成本明细'!U97,"n.a.")</x:f>
        <x:v>3068.849954911111</x:v>
      </x:c>
      <x:c r="G40" s="26" t="n">
        <x:f>IF(E40="有效",'成本明细'!X112,"n.a.")</x:f>
        <x:v>4405.093254071111</x:v>
      </x:c>
      <x:c r="H40" s="26" t="n">
        <x:f>IF(E40="有效",F40-G40,"n.a.")</x:f>
        <x:v>-1336.2432991599999</x:v>
      </x:c>
      <x:c r="I40" s="32" t="n">
        <x:f>IF(E40="有效",H40/F40,"n.a.")</x:f>
        <x:v>-0.4354215158097242</x:v>
      </x:c>
      <x:c r="J40" s="26" t="n">
        <x:f>IF(E40="有效",'成本明细'!Y112,"n.a.")</x:f>
        <x:v>18.66564938165725</x:v>
      </x:c>
      <x:c r="K40" s="26" t="n">
        <x:f>IF(E40="有效",'成本明细'!V112,"n.a.")</x:f>
        <x:v>8614</x:v>
      </x:c>
      <x:c r="L40" s="22" t="n">
        <x:f>IF(E40="有效",'成本明细'!H112,"n.a.")</x:f>
        <x:v>236</x:v>
      </x:c>
      <x:c r="M40" s="22" t="n">
        <x:f>IF(E40="有效",'成本明细'!G112,"n.a.")</x:f>
        <x:v>236</x:v>
      </x:c>
    </x:row>
    <x:row r="41" ht="22" customHeight="1">
      <x:c r="A41" s="11" t="str">
        <x:v>lade_0824_30aoi</x:v>
      </x:c>
      <x:c r="B41" s="10" t="n">
        <x:v>30</x:v>
      </x:c>
      <x:c r="C41" s="10" t="n">
        <x:v>3</x:v>
      </x:c>
      <x:c r="D41" s="10" t="n">
        <x:v>44</x:v>
      </x:c>
      <x:c r="E41" s="10" t="str">
        <x:v>有效</x:v>
      </x:c>
      <x:c r="F41" s="26" t="n">
        <x:f>IF(E41="有效",'成本明细'!U98,"n.a.")</x:f>
        <x:v>3233.1314847722224</x:v>
      </x:c>
      <x:c r="G41" s="26" t="n">
        <x:f>IF(E41="有效",'成本明细'!X113,"n.a.")</x:f>
        <x:v>3797.1330500844447</x:v>
      </x:c>
      <x:c r="H41" s="26" t="n">
        <x:f>IF(E41="有效",F41-G41,"n.a.")</x:f>
        <x:v>-564.0015653122223</x:v>
      </x:c>
      <x:c r="I41" s="32" t="n">
        <x:f>IF(E41="有效",H41/F41,"n.a.")</x:f>
        <x:v>-0.17444436391424917</x:v>
      </x:c>
      <x:c r="J41" s="26" t="n">
        <x:f>IF(E41="有效",'成本明细'!Y113,"n.a.")</x:f>
        <x:v>16.089546822391714</x:v>
      </x:c>
      <x:c r="K41" s="26" t="n">
        <x:f>IF(E41="有效",'成本明细'!V113,"n.a.")</x:f>
        <x:v>8614</x:v>
      </x:c>
      <x:c r="L41" s="22" t="n">
        <x:f>IF(E41="有效",'成本明细'!H113,"n.a.")</x:f>
        <x:v>236</x:v>
      </x:c>
      <x:c r="M41" s="22" t="n">
        <x:f>IF(E41="有效",'成本明细'!G113,"n.a.")</x:f>
        <x:v>236</x:v>
      </x:c>
    </x:row>
    <x:row r="42" ht="22" customHeight="1">
      <x:c r="A42" s="11" t="str">
        <x:v>lade_0825_10aoi</x:v>
      </x:c>
      <x:c r="B42" s="10" t="n">
        <x:v>10</x:v>
      </x:c>
      <x:c r="C42" s="10" t="n">
        <x:v>2</x:v>
      </x:c>
      <x:c r="D42" s="10" t="n">
        <x:v>42</x:v>
      </x:c>
      <x:c r="E42" s="10" t="str">
        <x:v>有效</x:v>
      </x:c>
      <x:c r="F42" s="26" t="n">
        <x:f>IF(E42="有效",'成本明细'!U114,"n.a.")</x:f>
        <x:v>1785.4312734355556</x:v>
      </x:c>
      <x:c r="G42" s="26" t="n">
        <x:f>IF(E42="有效",'成本明细'!X126,"n.a.")</x:f>
        <x:v>2359.045163273888</x:v>
      </x:c>
      <x:c r="H42" s="26" t="n">
        <x:f>IF(E42="有效",F42-G42,"n.a.")</x:f>
        <x:v>-573.6138898383326</x:v>
      </x:c>
      <x:c r="I42" s="32" t="n">
        <x:f>IF(E42="有效",H42/F42,"n.a.")</x:f>
        <x:v>-0.3212746961324227</x:v>
      </x:c>
      <x:c r="J42" s="26" t="n">
        <x:f>IF(E42="有效",'成本明细'!Y126,"n.a.")</x:f>
        <x:v>20.162779173281095</x:v>
      </x:c>
      <x:c r="K42" s="26" t="n">
        <x:f>IF(E42="有效",'成本明细'!V126,"n.a.")</x:f>
        <x:v>4270.5</x:v>
      </x:c>
      <x:c r="L42" s="22" t="n">
        <x:f>IF(E42="有效",'成本明细'!H126,"n.a.")</x:f>
        <x:v>117</x:v>
      </x:c>
      <x:c r="M42" s="22" t="n">
        <x:f>IF(E42="有效",'成本明细'!G126,"n.a.")</x:f>
        <x:v>117</x:v>
      </x:c>
    </x:row>
    <x:row r="43" ht="22" customHeight="1">
      <x:c r="A43" s="11" t="str">
        <x:v>lade_0825_10aoi</x:v>
      </x:c>
      <x:c r="B43" s="10" t="n">
        <x:v>10</x:v>
      </x:c>
      <x:c r="C43" s="10" t="n">
        <x:v>2</x:v>
      </x:c>
      <x:c r="D43" s="10" t="n">
        <x:v>43</x:v>
      </x:c>
      <x:c r="E43" s="10" t="str">
        <x:v>有效</x:v>
      </x:c>
      <x:c r="F43" s="26" t="n">
        <x:f>IF(E43="有效",'成本明细'!U115,"n.a.")</x:f>
        <x:v>1785.4312734355556</x:v>
      </x:c>
      <x:c r="G43" s="26" t="n">
        <x:f>IF(E43="有效",'成本明细'!X127,"n.a.")</x:f>
        <x:v>2883.3238106766657</x:v>
      </x:c>
      <x:c r="H43" s="26" t="n">
        <x:f>IF(E43="有效",F43-G43,"n.a.")</x:f>
        <x:v>-1097.8925372411102</x:v>
      </x:c>
      <x:c r="I43" s="32" t="n">
        <x:f>IF(E43="有效",H43/F43,"n.a.")</x:f>
        <x:v>-0.614917277173334</x:v>
      </x:c>
      <x:c r="J43" s="26" t="n">
        <x:f>IF(E43="有效",'成本明细'!Y127,"n.a.")</x:f>
        <x:v>24.643793253646717</x:v>
      </x:c>
      <x:c r="K43" s="26" t="n">
        <x:f>IF(E43="有效",'成本明细'!V127,"n.a.")</x:f>
        <x:v>4270.5</x:v>
      </x:c>
      <x:c r="L43" s="22" t="n">
        <x:f>IF(E43="有效",'成本明细'!H127,"n.a.")</x:f>
        <x:v>117</x:v>
      </x:c>
      <x:c r="M43" s="22" t="n">
        <x:f>IF(E43="有效",'成本明细'!G127,"n.a.")</x:f>
        <x:v>117</x:v>
      </x:c>
    </x:row>
    <x:row r="44" ht="22" customHeight="1">
      <x:c r="A44" s="11" t="str">
        <x:v>lade_0825_10aoi</x:v>
      </x:c>
      <x:c r="B44" s="10" t="n">
        <x:v>10</x:v>
      </x:c>
      <x:c r="C44" s="10" t="n">
        <x:v>2</x:v>
      </x:c>
      <x:c r="D44" s="10" t="n">
        <x:v>44</x:v>
      </x:c>
      <x:c r="E44" s="10" t="str">
        <x:v>有效</x:v>
      </x:c>
      <x:c r="F44" s="26" t="n">
        <x:f>IF(E44="有效",'成本明细'!U116,"n.a.")</x:f>
        <x:v>1785.4312734355556</x:v>
      </x:c>
      <x:c r="G44" s="26" t="n">
        <x:f>IF(E44="有效",'成本明细'!X128,"n.a.")</x:f>
        <x:v>2840.2275104905552</x:v>
      </x:c>
      <x:c r="H44" s="26" t="n">
        <x:f>IF(E44="有效",F44-G44,"n.a.")</x:f>
        <x:v>-1054.7962370549997</x:v>
      </x:c>
      <x:c r="I44" s="32" t="n">
        <x:f>IF(E44="有效",H44/F44,"n.a.")</x:f>
        <x:v>-0.5907795235519449</x:v>
      </x:c>
      <x:c r="J44" s="26" t="n">
        <x:f>IF(E44="有效",'成本明细'!Y128,"n.a.")</x:f>
        <x:v>24.275448807611582</x:v>
      </x:c>
      <x:c r="K44" s="26" t="n">
        <x:f>IF(E44="有效",'成本明细'!V128,"n.a.")</x:f>
        <x:v>4270.5</x:v>
      </x:c>
      <x:c r="L44" s="22" t="n">
        <x:f>IF(E44="有效",'成本明细'!H128,"n.a.")</x:f>
        <x:v>117</x:v>
      </x:c>
      <x:c r="M44" s="22" t="n">
        <x:f>IF(E44="有效",'成本明细'!G128,"n.a.")</x:f>
        <x:v>117</x:v>
      </x:c>
    </x:row>
    <x:row r="45" ht="22" customHeight="1">
      <x:c r="A45" s="11" t="str">
        <x:v>lade_0825_10aoi</x:v>
      </x:c>
      <x:c r="B45" s="10" t="n">
        <x:v>10</x:v>
      </x:c>
      <x:c r="C45" s="10" t="n">
        <x:v>3</x:v>
      </x:c>
      <x:c r="D45" s="10" t="n">
        <x:v>42</x:v>
      </x:c>
      <x:c r="E45" s="10" t="str">
        <x:v>有效</x:v>
      </x:c>
      <x:c r="F45" s="26" t="n">
        <x:f>IF(E45="有效",'成本明细'!U114,"n.a.")</x:f>
        <x:v>1785.4312734355556</x:v>
      </x:c>
      <x:c r="G45" s="26" t="n">
        <x:f>IF(E45="有效",'成本明细'!X129,"n.a.")</x:f>
        <x:v>2894.373696089444</x:v>
      </x:c>
      <x:c r="H45" s="26" t="n">
        <x:f>IF(E45="有效",F45-G45,"n.a.")</x:f>
        <x:v>-1108.9424226538883</x:v>
      </x:c>
      <x:c r="I45" s="32" t="n">
        <x:f>IF(E45="有效",H45/F45,"n.a.")</x:f>
        <x:v>-0.6211061938665629</x:v>
      </x:c>
      <x:c r="J45" s="26" t="n">
        <x:f>IF(E45="有效",'成本明细'!Y129,"n.a.")</x:f>
        <x:v>24.738236718713196</x:v>
      </x:c>
      <x:c r="K45" s="26" t="n">
        <x:f>IF(E45="有效",'成本明细'!V129,"n.a.")</x:f>
        <x:v>4270.5</x:v>
      </x:c>
      <x:c r="L45" s="22" t="n">
        <x:f>IF(E45="有效",'成本明细'!H129,"n.a.")</x:f>
        <x:v>117</x:v>
      </x:c>
      <x:c r="M45" s="22" t="n">
        <x:f>IF(E45="有效",'成本明细'!G129,"n.a.")</x:f>
        <x:v>117</x:v>
      </x:c>
    </x:row>
    <x:row r="46" ht="22" customHeight="1">
      <x:c r="A46" s="11" t="str">
        <x:v>lade_0825_10aoi</x:v>
      </x:c>
      <x:c r="B46" s="10" t="n">
        <x:v>10</x:v>
      </x:c>
      <x:c r="C46" s="10" t="n">
        <x:v>3</x:v>
      </x:c>
      <x:c r="D46" s="10" t="n">
        <x:v>43</x:v>
      </x:c>
      <x:c r="E46" s="10" t="str">
        <x:v>有效</x:v>
      </x:c>
      <x:c r="F46" s="26" t="n">
        <x:f>IF(E46="有效",'成本明细'!U115,"n.a.")</x:f>
        <x:v>1785.4312734355556</x:v>
      </x:c>
      <x:c r="G46" s="26" t="n">
        <x:f>IF(E46="有效",'成本明细'!X130,"n.a.")</x:f>
        <x:v>2894.373696089444</x:v>
      </x:c>
      <x:c r="H46" s="26" t="n">
        <x:f>IF(E46="有效",F46-G46,"n.a.")</x:f>
        <x:v>-1108.9424226538883</x:v>
      </x:c>
      <x:c r="I46" s="32" t="n">
        <x:f>IF(E46="有效",H46/F46,"n.a.")</x:f>
        <x:v>-0.6211061938665629</x:v>
      </x:c>
      <x:c r="J46" s="26" t="n">
        <x:f>IF(E46="有效",'成本明细'!Y130,"n.a.")</x:f>
        <x:v>24.738236718713196</x:v>
      </x:c>
      <x:c r="K46" s="26" t="n">
        <x:f>IF(E46="有效",'成本明细'!V130,"n.a.")</x:f>
        <x:v>4270.5</x:v>
      </x:c>
      <x:c r="L46" s="22" t="n">
        <x:f>IF(E46="有效",'成本明细'!H130,"n.a.")</x:f>
        <x:v>117</x:v>
      </x:c>
      <x:c r="M46" s="22" t="n">
        <x:f>IF(E46="有效",'成本明细'!G130,"n.a.")</x:f>
        <x:v>117</x:v>
      </x:c>
    </x:row>
    <x:row r="47" ht="22" customHeight="1">
      <x:c r="A47" s="11" t="str">
        <x:v>lade_0825_10aoi</x:v>
      </x:c>
      <x:c r="B47" s="10" t="n">
        <x:v>10</x:v>
      </x:c>
      <x:c r="C47" s="10" t="n">
        <x:v>3</x:v>
      </x:c>
      <x:c r="D47" s="10" t="n">
        <x:v>44</x:v>
      </x:c>
      <x:c r="E47" s="10" t="str">
        <x:v>有效</x:v>
      </x:c>
      <x:c r="F47" s="26" t="n">
        <x:f>IF(E47="有效",'成本明细'!U116,"n.a.")</x:f>
        <x:v>1785.4312734355556</x:v>
      </x:c>
      <x:c r="G47" s="26" t="n">
        <x:f>IF(E47="有效",'成本明细'!X131,"n.a.")</x:f>
        <x:v>3420.3037175033323</x:v>
      </x:c>
      <x:c r="H47" s="26" t="n">
        <x:f>IF(E47="有效",F47-G47,"n.a.")</x:f>
        <x:v>-1634.8724440677768</x:v>
      </x:c>
      <x:c r="I47" s="32" t="n">
        <x:f>IF(E47="有效",H47/F47,"n.a.")</x:f>
        <x:v>-0.915673690940749</x:v>
      </x:c>
      <x:c r="J47" s="26" t="n">
        <x:f>IF(E47="有效",'成本明细'!Y131,"n.a.")</x:f>
        <x:v>29.23336510686609</x:v>
      </x:c>
      <x:c r="K47" s="26" t="n">
        <x:f>IF(E47="有效",'成本明细'!V131,"n.a.")</x:f>
        <x:v>4270.5</x:v>
      </x:c>
      <x:c r="L47" s="22" t="n">
        <x:f>IF(E47="有效",'成本明细'!H131,"n.a.")</x:f>
        <x:v>117</x:v>
      </x:c>
      <x:c r="M47" s="22" t="n">
        <x:f>IF(E47="有效",'成本明细'!G131,"n.a.")</x:f>
        <x:v>117</x:v>
      </x:c>
    </x:row>
    <x:row r="48" ht="22" customHeight="1">
      <x:c r="A48" s="11" t="str">
        <x:v>lade_0825_20aoi</x:v>
      </x:c>
      <x:c r="B48" s="10" t="n">
        <x:v>20</x:v>
      </x:c>
      <x:c r="C48" s="10" t="n">
        <x:v>2</x:v>
      </x:c>
      <x:c r="D48" s="10" t="n">
        <x:v>42</x:v>
      </x:c>
      <x:c r="E48" s="10" t="str">
        <x:v>有效</x:v>
      </x:c>
      <x:c r="F48" s="26" t="n">
        <x:f>IF(E48="有效",'成本明细'!U132,"n.a.")</x:f>
        <x:v>3187.268107245</x:v>
      </x:c>
      <x:c r="G48" s="26" t="n">
        <x:f>IF(E48="有效",'成本明细'!X144,"n.a.")</x:f>
        <x:v>5094.289088791111</x:v>
      </x:c>
      <x:c r="H48" s="26" t="n">
        <x:f>IF(E48="有效",F48-G48,"n.a.")</x:f>
        <x:v>-1907.0209815461108</x:v>
      </x:c>
      <x:c r="I48" s="32" t="n">
        <x:f>IF(E48="有效",H48/F48,"n.a.")</x:f>
        <x:v>-0.5983246207657426</x:v>
      </x:c>
      <x:c r="J48" s="26" t="n">
        <x:f>IF(E48="有效",'成本明细'!Y144,"n.a.")</x:f>
        <x:v>26.95391052270429</x:v>
      </x:c>
      <x:c r="K48" s="26" t="n">
        <x:f>IF(E48="有效",'成本明细'!V144,"n.a.")</x:f>
        <x:v>6898.5</x:v>
      </x:c>
      <x:c r="L48" s="22" t="n">
        <x:f>IF(E48="有效",'成本明细'!H144,"n.a.")</x:f>
        <x:v>189</x:v>
      </x:c>
      <x:c r="M48" s="22" t="n">
        <x:f>IF(E48="有效",'成本明细'!G144,"n.a.")</x:f>
        <x:v>189</x:v>
      </x:c>
    </x:row>
    <x:row r="49" ht="22" customHeight="1">
      <x:c r="A49" s="11" t="str">
        <x:v>lade_0825_20aoi</x:v>
      </x:c>
      <x:c r="B49" s="10" t="n">
        <x:v>20</x:v>
      </x:c>
      <x:c r="C49" s="10" t="n">
        <x:v>2</x:v>
      </x:c>
      <x:c r="D49" s="10" t="n">
        <x:v>43</x:v>
      </x:c>
      <x:c r="E49" s="10" t="str">
        <x:v>有效</x:v>
      </x:c>
      <x:c r="F49" s="26" t="n">
        <x:f>IF(E49="有效",'成本明细'!U133,"n.a.")</x:f>
        <x:v>3187.268107245</x:v>
      </x:c>
      <x:c r="G49" s="26" t="n">
        <x:f>IF(E49="有效",'成本明细'!X145,"n.a.")</x:f>
        <x:v>4759.332254413888</x:v>
      </x:c>
      <x:c r="H49" s="26" t="n">
        <x:f>IF(E49="有效",F49-G49,"n.a.")</x:f>
        <x:v>-1572.0641471688882</x:v>
      </x:c>
      <x:c r="I49" s="32" t="n">
        <x:f>IF(E49="有效",H49/F49,"n.a.")</x:f>
        <x:v>-0.49323247818262256</x:v>
      </x:c>
      <x:c r="J49" s="26" t="n">
        <x:f>IF(E49="有效",'成本明细'!Y145,"n.a.")</x:f>
        <x:v>25.18165213975602</x:v>
      </x:c>
      <x:c r="K49" s="26" t="n">
        <x:f>IF(E49="有效",'成本明细'!V145,"n.a.")</x:f>
        <x:v>6898.5</x:v>
      </x:c>
      <x:c r="L49" s="22" t="n">
        <x:f>IF(E49="有效",'成本明细'!H145,"n.a.")</x:f>
        <x:v>189</x:v>
      </x:c>
      <x:c r="M49" s="22" t="n">
        <x:f>IF(E49="有效",'成本明细'!G145,"n.a.")</x:f>
        <x:v>189</x:v>
      </x:c>
    </x:row>
    <x:row r="50" ht="22" customHeight="1">
      <x:c r="A50" s="11" t="str">
        <x:v>lade_0825_20aoi</x:v>
      </x:c>
      <x:c r="B50" s="10" t="n">
        <x:v>20</x:v>
      </x:c>
      <x:c r="C50" s="10" t="n">
        <x:v>2</x:v>
      </x:c>
      <x:c r="D50" s="10" t="n">
        <x:v>44</x:v>
      </x:c>
      <x:c r="E50" s="10" t="str">
        <x:v>有效</x:v>
      </x:c>
      <x:c r="F50" s="26" t="n">
        <x:f>IF(E50="有效",'成本明细'!U134,"n.a.")</x:f>
        <x:v>3187.268107245</x:v>
      </x:c>
      <x:c r="G50" s="26" t="n">
        <x:f>IF(E50="有效",'成本明细'!X146,"n.a.")</x:f>
        <x:v>3932.965831719444</x:v>
      </x:c>
      <x:c r="H50" s="26" t="n">
        <x:f>IF(E50="有效",F50-G50,"n.a.")</x:f>
        <x:v>-745.6977244744439</x:v>
      </x:c>
      <x:c r="I50" s="32" t="n">
        <x:f>IF(E50="有效",H50/F50,"n.a.")</x:f>
        <x:v>-0.23396140499739998</x:v>
      </x:c>
      <x:c r="J50" s="26" t="n">
        <x:f>IF(E50="有效",'成本明细'!Y146,"n.a.")</x:f>
        <x:v>20.8093430249706</x:v>
      </x:c>
      <x:c r="K50" s="26" t="n">
        <x:f>IF(E50="有效",'成本明细'!V146,"n.a.")</x:f>
        <x:v>6898.5</x:v>
      </x:c>
      <x:c r="L50" s="22" t="n">
        <x:f>IF(E50="有效",'成本明细'!H146,"n.a.")</x:f>
        <x:v>189</x:v>
      </x:c>
      <x:c r="M50" s="22" t="n">
        <x:f>IF(E50="有效",'成本明细'!G146,"n.a.")</x:f>
        <x:v>189</x:v>
      </x:c>
    </x:row>
    <x:row r="51" ht="22" customHeight="1">
      <x:c r="A51" s="11" t="str">
        <x:v>lade_0825_20aoi</x:v>
      </x:c>
      <x:c r="B51" s="10" t="n">
        <x:v>20</x:v>
      </x:c>
      <x:c r="C51" s="10" t="n">
        <x:v>3</x:v>
      </x:c>
      <x:c r="D51" s="10" t="n">
        <x:v>42</x:v>
      </x:c>
      <x:c r="E51" s="10" t="str">
        <x:v>有效</x:v>
      </x:c>
      <x:c r="F51" s="26" t="n">
        <x:f>IF(E51="有效",'成本明细'!U132,"n.a.")</x:f>
        <x:v>3187.268107245</x:v>
      </x:c>
      <x:c r="G51" s="26" t="n">
        <x:f>IF(E51="有效",'成本明细'!X147,"n.a.")</x:f>
        <x:v>4392.392412138333</x:v>
      </x:c>
      <x:c r="H51" s="26" t="n">
        <x:f>IF(E51="有效",F51-G51,"n.a.")</x:f>
        <x:v>-1205.1243048933334</x:v>
      </x:c>
      <x:c r="I51" s="32" t="n">
        <x:f>IF(E51="有效",H51/F51,"n.a.")</x:f>
        <x:v>-0.378105720743717</x:v>
      </x:c>
      <x:c r="J51" s="26" t="n">
        <x:f>IF(E51="有效",'成本明细'!Y147,"n.a.")</x:f>
        <x:v>23.240171492795415</x:v>
      </x:c>
      <x:c r="K51" s="26" t="n">
        <x:f>IF(E51="有效",'成本明细'!V147,"n.a.")</x:f>
        <x:v>6898.5</x:v>
      </x:c>
      <x:c r="L51" s="22" t="n">
        <x:f>IF(E51="有效",'成本明细'!H147,"n.a.")</x:f>
        <x:v>189</x:v>
      </x:c>
      <x:c r="M51" s="22" t="n">
        <x:f>IF(E51="有效",'成本明细'!G147,"n.a.")</x:f>
        <x:v>189</x:v>
      </x:c>
    </x:row>
    <x:row r="52" ht="22" customHeight="1">
      <x:c r="A52" s="11" t="str">
        <x:v>lade_0825_20aoi</x:v>
      </x:c>
      <x:c r="B52" s="10" t="n">
        <x:v>20</x:v>
      </x:c>
      <x:c r="C52" s="10" t="n">
        <x:v>3</x:v>
      </x:c>
      <x:c r="D52" s="10" t="n">
        <x:v>43</x:v>
      </x:c>
      <x:c r="E52" s="10" t="str">
        <x:v>有效</x:v>
      </x:c>
      <x:c r="F52" s="26" t="n">
        <x:f>IF(E52="有效",'成本明细'!U133,"n.a.")</x:f>
        <x:v>3187.268107245</x:v>
      </x:c>
      <x:c r="G52" s="26" t="n">
        <x:f>IF(E52="有效",'成本明细'!X148,"n.a.")</x:f>
        <x:v>4104.429652505555</x:v>
      </x:c>
      <x:c r="H52" s="26" t="n">
        <x:f>IF(E52="有效",F52-G52,"n.a.")</x:f>
        <x:v>-917.1615452605552</x:v>
      </x:c>
      <x:c r="I52" s="32" t="n">
        <x:f>IF(E52="有效",H52/F52,"n.a.")</x:f>
        <x:v>-0.28775788995464463</x:v>
      </x:c>
      <x:c r="J52" s="26" t="n">
        <x:f>IF(E52="有效",'成本明细'!Y148,"n.a.")</x:f>
        <x:v>21.716559007965902</x:v>
      </x:c>
      <x:c r="K52" s="26" t="n">
        <x:f>IF(E52="有效",'成本明细'!V148,"n.a.")</x:f>
        <x:v>6898.5</x:v>
      </x:c>
      <x:c r="L52" s="22" t="n">
        <x:f>IF(E52="有效",'成本明细'!H148,"n.a.")</x:f>
        <x:v>189</x:v>
      </x:c>
      <x:c r="M52" s="22" t="n">
        <x:f>IF(E52="有效",'成本明细'!G148,"n.a.")</x:f>
        <x:v>189</x:v>
      </x:c>
    </x:row>
    <x:row r="53" ht="22" customHeight="1">
      <x:c r="A53" s="11" t="str">
        <x:v>lade_0825_20aoi</x:v>
      </x:c>
      <x:c r="B53" s="10" t="n">
        <x:v>20</x:v>
      </x:c>
      <x:c r="C53" s="10" t="n">
        <x:v>3</x:v>
      </x:c>
      <x:c r="D53" s="10" t="n">
        <x:v>44</x:v>
      </x:c>
      <x:c r="E53" s="10" t="str">
        <x:v>有效</x:v>
      </x:c>
      <x:c r="F53" s="26" t="n">
        <x:f>IF(E53="有效",'成本明细'!U134,"n.a.")</x:f>
        <x:v>3187.268107245</x:v>
      </x:c>
      <x:c r="G53" s="26" t="n">
        <x:f>IF(E53="有效",'成本明细'!X149,"n.a.")</x:f>
        <x:v>4211.967114568889</x:v>
      </x:c>
      <x:c r="H53" s="26" t="n">
        <x:f>IF(E53="有效",F53-G53,"n.a.")</x:f>
        <x:v>-1024.699007323889</x:v>
      </x:c>
      <x:c r="I53" s="32" t="n">
        <x:f>IF(E53="有效",H53/F53,"n.a.")</x:f>
        <x:v>-0.32149758754045166</x:v>
      </x:c>
      <x:c r="J53" s="26" t="n">
        <x:f>IF(E53="有效",'成本明细'!Y149,"n.a.")</x:f>
        <x:v>22.28554028872428</x:v>
      </x:c>
      <x:c r="K53" s="26" t="n">
        <x:f>IF(E53="有效",'成本明细'!V149,"n.a.")</x:f>
        <x:v>6898.5</x:v>
      </x:c>
      <x:c r="L53" s="22" t="n">
        <x:f>IF(E53="有效",'成本明细'!H149,"n.a.")</x:f>
        <x:v>189</x:v>
      </x:c>
      <x:c r="M53" s="22" t="n">
        <x:f>IF(E53="有效",'成本明细'!G149,"n.a.")</x:f>
        <x:v>189</x:v>
      </x:c>
    </x:row>
    <x:row r="54" ht="22" customHeight="1">
      <x:c r="A54" s="11" t="str">
        <x:v>lade_0825_30aoi</x:v>
      </x:c>
      <x:c r="B54" s="10" t="n">
        <x:v>30</x:v>
      </x:c>
      <x:c r="C54" s="10" t="n">
        <x:v>2</x:v>
      </x:c>
      <x:c r="D54" s="10" t="n">
        <x:v>42</x:v>
      </x:c>
      <x:c r="E54" s="10" t="str">
        <x:v>有效</x:v>
      </x:c>
      <x:c r="F54" s="26" t="n">
        <x:f>IF(E54="有效",'成本明细'!U150,"n.a.")</x:f>
        <x:v>3526.477919171667</x:v>
      </x:c>
      <x:c r="G54" s="26" t="n">
        <x:f>IF(E54="有效",'成本明细'!X162,"n.a.")</x:f>
        <x:v>3922.8642317599997</x:v>
      </x:c>
      <x:c r="H54" s="26" t="n">
        <x:f>IF(E54="有效",F54-G54,"n.a.")</x:f>
        <x:v>-396.38631258833266</x:v>
      </x:c>
      <x:c r="I54" s="32" t="n">
        <x:f>IF(E54="有效",H54/F54,"n.a.")</x:f>
        <x:v>-0.11240289083716698</x:v>
      </x:c>
      <x:c r="J54" s="26" t="n">
        <x:f>IF(E54="有效",'成本明细'!Y162,"n.a.")</x:f>
        <x:v>17.28134022801762</x:v>
      </x:c>
      <x:c r="K54" s="26" t="n">
        <x:f>IF(E54="有效",'成本明细'!V162,"n.a.")</x:f>
        <x:v>8285.5</x:v>
      </x:c>
      <x:c r="L54" s="22" t="n">
        <x:f>IF(E54="有效",'成本明细'!H162,"n.a.")</x:f>
        <x:v>227</x:v>
      </x:c>
      <x:c r="M54" s="22" t="n">
        <x:f>IF(E54="有效",'成本明细'!G162,"n.a.")</x:f>
        <x:v>227</x:v>
      </x:c>
    </x:row>
    <x:row r="55" ht="22" customHeight="1">
      <x:c r="A55" s="11" t="str">
        <x:v>lade_0825_30aoi</x:v>
      </x:c>
      <x:c r="B55" s="10" t="n">
        <x:v>30</x:v>
      </x:c>
      <x:c r="C55" s="10" t="n">
        <x:v>2</x:v>
      </x:c>
      <x:c r="D55" s="10" t="n">
        <x:v>43</x:v>
      </x:c>
      <x:c r="E55" s="10" t="str">
        <x:v>有效</x:v>
      </x:c>
      <x:c r="F55" s="26" t="n">
        <x:f>IF(E55="有效",'成本明细'!U151,"n.a.")</x:f>
        <x:v>3205.0335811511113</x:v>
      </x:c>
      <x:c r="G55" s="26" t="n">
        <x:f>IF(E55="有效",'成本明细'!X163,"n.a.")</x:f>
        <x:v>3662.8612339805554</x:v>
      </x:c>
      <x:c r="H55" s="26" t="n">
        <x:f>IF(E55="有效",F55-G55,"n.a.")</x:f>
        <x:v>-457.8276528294441</x:v>
      </x:c>
      <x:c r="I55" s="32" t="n">
        <x:f>IF(E55="有效",H55/F55,"n.a.")</x:f>
        <x:v>-0.14284644489279016</x:v>
      </x:c>
      <x:c r="J55" s="26" t="n">
        <x:f>IF(E55="有效",'成本明细'!Y163,"n.a.")</x:f>
        <x:v>16.135952572601564</x:v>
      </x:c>
      <x:c r="K55" s="26" t="n">
        <x:f>IF(E55="有效",'成本明细'!V163,"n.a.")</x:f>
        <x:v>8285.5</x:v>
      </x:c>
      <x:c r="L55" s="22" t="n">
        <x:f>IF(E55="有效",'成本明细'!H163,"n.a.")</x:f>
        <x:v>227</x:v>
      </x:c>
      <x:c r="M55" s="22" t="n">
        <x:f>IF(E55="有效",'成本明细'!G163,"n.a.")</x:f>
        <x:v>227</x:v>
      </x:c>
    </x:row>
    <x:row r="56" ht="22" customHeight="1">
      <x:c r="A56" s="11" t="str">
        <x:v>lade_0825_30aoi</x:v>
      </x:c>
      <x:c r="B56" s="10" t="n">
        <x:v>30</x:v>
      </x:c>
      <x:c r="C56" s="10" t="n">
        <x:v>2</x:v>
      </x:c>
      <x:c r="D56" s="10" t="n">
        <x:v>44</x:v>
      </x:c>
      <x:c r="E56" s="10" t="str">
        <x:v>有效</x:v>
      </x:c>
      <x:c r="F56" s="26" t="n">
        <x:f>IF(E56="有效",'成本明细'!U152,"n.a.")</x:f>
        <x:v>3364.3537948661115</x:v>
      </x:c>
      <x:c r="G56" s="26" t="n">
        <x:f>IF(E56="有效",'成本明细'!X164,"n.a.")</x:f>
        <x:v>4248.457499082778</x:v>
      </x:c>
      <x:c r="H56" s="26" t="n">
        <x:f>IF(E56="有效",F56-G56,"n.a.")</x:f>
        <x:v>-884.1037042166663</x:v>
      </x:c>
      <x:c r="I56" s="32" t="n">
        <x:f>IF(E56="有效",H56/F56,"n.a.")</x:f>
        <x:v>-0.26278559215911784</x:v>
      </x:c>
      <x:c r="J56" s="26" t="n">
        <x:f>IF(E56="有效",'成本明细'!Y164,"n.a.")</x:f>
        <x:v>18.715671802126774</x:v>
      </x:c>
      <x:c r="K56" s="26" t="n">
        <x:f>IF(E56="有效",'成本明细'!V164,"n.a.")</x:f>
        <x:v>8285.5</x:v>
      </x:c>
      <x:c r="L56" s="22" t="n">
        <x:f>IF(E56="有效",'成本明细'!H164,"n.a.")</x:f>
        <x:v>227</x:v>
      </x:c>
      <x:c r="M56" s="22" t="n">
        <x:f>IF(E56="有效",'成本明细'!G164,"n.a.")</x:f>
        <x:v>227</x:v>
      </x:c>
    </x:row>
    <x:row r="57" ht="22" customHeight="1">
      <x:c r="A57" s="11" t="str">
        <x:v>lade_0825_30aoi</x:v>
      </x:c>
      <x:c r="B57" s="10" t="n">
        <x:v>30</x:v>
      </x:c>
      <x:c r="C57" s="10" t="n">
        <x:v>3</x:v>
      </x:c>
      <x:c r="D57" s="10" t="n">
        <x:v>42</x:v>
      </x:c>
      <x:c r="E57" s="10" t="str">
        <x:v>有效</x:v>
      </x:c>
      <x:c r="F57" s="26" t="n">
        <x:f>IF(E57="有效",'成本明细'!U150,"n.a.")</x:f>
        <x:v>3526.477919171667</x:v>
      </x:c>
      <x:c r="G57" s="26" t="n">
        <x:f>IF(E57="有效",'成本明细'!X165,"n.a.")</x:f>
        <x:v>3718.8329027844443</x:v>
      </x:c>
      <x:c r="H57" s="26" t="n">
        <x:f>IF(E57="有效",F57-G57,"n.a.")</x:f>
        <x:v>-192.35498361277723</x:v>
      </x:c>
      <x:c r="I57" s="32" t="n">
        <x:f>IF(E57="有效",H57/F57,"n.a.")</x:f>
        <x:v>-0.054545920326635536</x:v>
      </x:c>
      <x:c r="J57" s="26" t="n">
        <x:f>IF(E57="有效",'成本明细'!Y165,"n.a.")</x:f>
        <x:v>16.38252380081253</x:v>
      </x:c>
      <x:c r="K57" s="26" t="n">
        <x:f>IF(E57="有效",'成本明细'!V165,"n.a.")</x:f>
        <x:v>8285.5</x:v>
      </x:c>
      <x:c r="L57" s="22" t="n">
        <x:f>IF(E57="有效",'成本明细'!H165,"n.a.")</x:f>
        <x:v>227</x:v>
      </x:c>
      <x:c r="M57" s="22" t="n">
        <x:f>IF(E57="有效",'成本明细'!G165,"n.a.")</x:f>
        <x:v>227</x:v>
      </x:c>
    </x:row>
    <x:row r="58" ht="22" customHeight="1">
      <x:c r="A58" s="11" t="str">
        <x:v>lade_0825_30aoi</x:v>
      </x:c>
      <x:c r="B58" s="10" t="n">
        <x:v>30</x:v>
      </x:c>
      <x:c r="C58" s="10" t="n">
        <x:v>3</x:v>
      </x:c>
      <x:c r="D58" s="10" t="n">
        <x:v>43</x:v>
      </x:c>
      <x:c r="E58" s="10" t="str">
        <x:v>有效</x:v>
      </x:c>
      <x:c r="F58" s="26" t="n">
        <x:f>IF(E58="有效",'成本明细'!U151,"n.a.")</x:f>
        <x:v>3205.0335811511113</x:v>
      </x:c>
      <x:c r="G58" s="26" t="n">
        <x:f>IF(E58="有效",'成本明细'!X166,"n.a.")</x:f>
        <x:v>4107.930626047221</x:v>
      </x:c>
      <x:c r="H58" s="26" t="n">
        <x:f>IF(E58="有效",F58-G58,"n.a.")</x:f>
        <x:v>-902.89704489611</x:v>
      </x:c>
      <x:c r="I58" s="32" t="n">
        <x:f>IF(E58="有效",H58/F58,"n.a.")</x:f>
        <x:v>-0.281712194906809</x:v>
      </x:c>
      <x:c r="J58" s="26" t="n">
        <x:f>IF(E58="有效",'成本明细'!Y166,"n.a.")</x:f>
        <x:v>18.096610687432694</x:v>
      </x:c>
      <x:c r="K58" s="26" t="n">
        <x:f>IF(E58="有效",'成本明细'!V166,"n.a.")</x:f>
        <x:v>8285.5</x:v>
      </x:c>
      <x:c r="L58" s="22" t="n">
        <x:f>IF(E58="有效",'成本明细'!H166,"n.a.")</x:f>
        <x:v>227</x:v>
      </x:c>
      <x:c r="M58" s="22" t="n">
        <x:f>IF(E58="有效",'成本明细'!G166,"n.a.")</x:f>
        <x:v>227</x:v>
      </x:c>
    </x:row>
    <x:row r="59" ht="22" customHeight="1">
      <x:c r="A59" s="11" t="str">
        <x:v>lade_0825_30aoi</x:v>
      </x:c>
      <x:c r="B59" s="10" t="n">
        <x:v>30</x:v>
      </x:c>
      <x:c r="C59" s="10" t="n">
        <x:v>3</x:v>
      </x:c>
      <x:c r="D59" s="10" t="n">
        <x:v>44</x:v>
      </x:c>
      <x:c r="E59" s="10" t="str">
        <x:v>有效</x:v>
      </x:c>
      <x:c r="F59" s="26" t="n">
        <x:f>IF(E59="有效",'成本明细'!U152,"n.a.")</x:f>
        <x:v>3364.3537948661115</x:v>
      </x:c>
      <x:c r="G59" s="26" t="n">
        <x:f>IF(E59="有效",'成本明细'!X167,"n.a.")</x:f>
        <x:v>3893.0757445966665</x:v>
      </x:c>
      <x:c r="H59" s="26" t="n">
        <x:f>IF(E59="有效",F59-G59,"n.a.")</x:f>
        <x:v>-528.721949730555</x:v>
      </x:c>
      <x:c r="I59" s="32" t="n">
        <x:f>IF(E59="有效",H59/F59,"n.a.")</x:f>
        <x:v>-0.15715408722393184</x:v>
      </x:c>
      <x:c r="J59" s="26" t="n">
        <x:f>IF(E59="有效",'成本明细'!Y167,"n.a.")</x:f>
        <x:v>17.150113412320117</x:v>
      </x:c>
      <x:c r="K59" s="26" t="n">
        <x:f>IF(E59="有效",'成本明细'!V167,"n.a.")</x:f>
        <x:v>8285.5</x:v>
      </x:c>
      <x:c r="L59" s="22" t="n">
        <x:f>IF(E59="有效",'成本明细'!H167,"n.a.")</x:f>
        <x:v>227</x:v>
      </x:c>
      <x:c r="M59" s="22" t="n">
        <x:f>IF(E59="有效",'成本明细'!G167,"n.a.")</x:f>
        <x:v>227</x:v>
      </x:c>
    </x:row>
    <x:row r="60" ht="22" customHeight="1">
      <x:c r="A60" s="11" t="str">
        <x:v>lade_0826_10aoi</x:v>
      </x:c>
      <x:c r="B60" s="10" t="n">
        <x:v>10</x:v>
      </x:c>
      <x:c r="C60" s="10" t="n">
        <x:v>2</x:v>
      </x:c>
      <x:c r="D60" s="10" t="n">
        <x:v>42</x:v>
      </x:c>
      <x:c r="E60" s="10" t="str">
        <x:v>有效</x:v>
      </x:c>
      <x:c r="F60" s="26" t="n">
        <x:f>IF(E60="有效",'成本明细'!U168,"n.a.")</x:f>
        <x:v>1789.0146343094443</x:v>
      </x:c>
      <x:c r="G60" s="26" t="n">
        <x:f>IF(E60="有效",'成本明细'!X180,"n.a.")</x:f>
        <x:v>2394.0540185533323</x:v>
      </x:c>
      <x:c r="H60" s="26" t="n">
        <x:f>IF(E60="有效",F60-G60,"n.a.")</x:f>
        <x:v>-605.039384243888</x:v>
      </x:c>
      <x:c r="I60" s="32" t="n">
        <x:f>IF(E60="有效",H60/F60,"n.a.")</x:f>
        <x:v>-0.33819700109799933</x:v>
      </x:c>
      <x:c r="J60" s="26" t="n">
        <x:f>IF(E60="有效",'成本明细'!Y180,"n.a.")</x:f>
        <x:v>20.46200015857549</x:v>
      </x:c>
      <x:c r="K60" s="26" t="n">
        <x:f>IF(E60="有效",'成本明细'!V180,"n.a.")</x:f>
        <x:v>4270.5</x:v>
      </x:c>
      <x:c r="L60" s="22" t="n">
        <x:f>IF(E60="有效",'成本明细'!H180,"n.a.")</x:f>
        <x:v>117</x:v>
      </x:c>
      <x:c r="M60" s="22" t="n">
        <x:f>IF(E60="有效",'成本明细'!G180,"n.a.")</x:f>
        <x:v>117</x:v>
      </x:c>
    </x:row>
    <x:row r="61" ht="22" customHeight="1">
      <x:c r="A61" s="11" t="str">
        <x:v>lade_0826_10aoi</x:v>
      </x:c>
      <x:c r="B61" s="10" t="n">
        <x:v>10</x:v>
      </x:c>
      <x:c r="C61" s="10" t="n">
        <x:v>2</x:v>
      </x:c>
      <x:c r="D61" s="10" t="n">
        <x:v>43</x:v>
      </x:c>
      <x:c r="E61" s="10" t="str">
        <x:v>有效</x:v>
      </x:c>
      <x:c r="F61" s="26" t="n">
        <x:f>IF(E61="有效",'成本明细'!U169,"n.a.")</x:f>
        <x:v>1789.0146343094443</x:v>
      </x:c>
      <x:c r="G61" s="26" t="n">
        <x:f>IF(E61="有效",'成本明细'!X181,"n.a.")</x:f>
        <x:v>2211.655835914444</x:v>
      </x:c>
      <x:c r="H61" s="26" t="n">
        <x:f>IF(E61="有效",F61-G61,"n.a.")</x:f>
        <x:v>-422.6412016049999</x:v>
      </x:c>
      <x:c r="I61" s="32" t="n">
        <x:f>IF(E61="有效",H61/F61,"n.a.")</x:f>
        <x:v>-0.2362424507321811</x:v>
      </x:c>
      <x:c r="J61" s="26" t="n">
        <x:f>IF(E61="有效",'成本明细'!Y181,"n.a.")</x:f>
        <x:v>18.903041332602086</x:v>
      </x:c>
      <x:c r="K61" s="26" t="n">
        <x:f>IF(E61="有效",'成本明细'!V181,"n.a.")</x:f>
        <x:v>4270.5</x:v>
      </x:c>
      <x:c r="L61" s="22" t="n">
        <x:f>IF(E61="有效",'成本明细'!H181,"n.a.")</x:f>
        <x:v>117</x:v>
      </x:c>
      <x:c r="M61" s="22" t="n">
        <x:f>IF(E61="有效",'成本明细'!G181,"n.a.")</x:f>
        <x:v>117</x:v>
      </x:c>
    </x:row>
    <x:row r="62" ht="22" customHeight="1">
      <x:c r="A62" s="11" t="str">
        <x:v>lade_0826_10aoi</x:v>
      </x:c>
      <x:c r="B62" s="10" t="n">
        <x:v>10</x:v>
      </x:c>
      <x:c r="C62" s="10" t="n">
        <x:v>2</x:v>
      </x:c>
      <x:c r="D62" s="10" t="n">
        <x:v>44</x:v>
      </x:c>
      <x:c r="E62" s="10" t="str">
        <x:v>有效</x:v>
      </x:c>
      <x:c r="F62" s="26" t="n">
        <x:f>IF(E62="有效",'成本明细'!U170,"n.a.")</x:f>
        <x:v>1789.0146343094443</x:v>
      </x:c>
      <x:c r="G62" s="26" t="n">
        <x:f>IF(E62="有效",'成本明细'!X182,"n.a.")</x:f>
        <x:v>2311.655835914444</x:v>
      </x:c>
      <x:c r="H62" s="26" t="n">
        <x:f>IF(E62="有效",F62-G62,"n.a.")</x:f>
        <x:v>-522.6412016049999</x:v>
      </x:c>
      <x:c r="I62" s="32" t="n">
        <x:f>IF(E62="有效",H62/F62,"n.a.")</x:f>
        <x:v>-0.29213914273358543</x:v>
      </x:c>
      <x:c r="J62" s="26" t="n">
        <x:f>IF(E62="有效",'成本明细'!Y182,"n.a.")</x:f>
        <x:v>19.75774218730294</x:v>
      </x:c>
      <x:c r="K62" s="26" t="n">
        <x:f>IF(E62="有效",'成本明细'!V182,"n.a.")</x:f>
        <x:v>4270.5</x:v>
      </x:c>
      <x:c r="L62" s="22" t="n">
        <x:f>IF(E62="有效",'成本明细'!H182,"n.a.")</x:f>
        <x:v>117</x:v>
      </x:c>
      <x:c r="M62" s="22" t="n">
        <x:f>IF(E62="有效",'成本明细'!G182,"n.a.")</x:f>
        <x:v>117</x:v>
      </x:c>
    </x:row>
    <x:row r="63" ht="22" customHeight="1">
      <x:c r="A63" s="11" t="str">
        <x:v>lade_0826_10aoi</x:v>
      </x:c>
      <x:c r="B63" s="10" t="n">
        <x:v>10</x:v>
      </x:c>
      <x:c r="C63" s="10" t="n">
        <x:v>3</x:v>
      </x:c>
      <x:c r="D63" s="10" t="n">
        <x:v>42</x:v>
      </x:c>
      <x:c r="E63" s="10" t="str">
        <x:v>有效</x:v>
      </x:c>
      <x:c r="F63" s="26" t="n">
        <x:f>IF(E63="有效",'成本明细'!U168,"n.a.")</x:f>
        <x:v>1789.0146343094443</x:v>
      </x:c>
      <x:c r="G63" s="26" t="n">
        <x:f>IF(E63="有效",'成本明细'!X183,"n.a.")</x:f>
        <x:v>2688.3576675805552</x:v>
      </x:c>
      <x:c r="H63" s="26" t="n">
        <x:f>IF(E63="有效",F63-G63,"n.a.")</x:f>
        <x:v>-899.3430332711109</x:v>
      </x:c>
      <x:c r="I63" s="32" t="n">
        <x:f>IF(E63="有效",H63/F63,"n.a.")</x:f>
        <x:v>-0.5027030053436401</x:v>
      </x:c>
      <x:c r="J63" s="26" t="n">
        <x:f>IF(E63="有效",'成本明细'!Y183,"n.a.")</x:f>
        <x:v>22.977415962226967</x:v>
      </x:c>
      <x:c r="K63" s="26" t="n">
        <x:f>IF(E63="有效",'成本明细'!V183,"n.a.")</x:f>
        <x:v>4270.5</x:v>
      </x:c>
      <x:c r="L63" s="22" t="n">
        <x:f>IF(E63="有效",'成本明细'!H183,"n.a.")</x:f>
        <x:v>117</x:v>
      </x:c>
      <x:c r="M63" s="22" t="n">
        <x:f>IF(E63="有效",'成本明细'!G183,"n.a.")</x:f>
        <x:v>117</x:v>
      </x:c>
    </x:row>
    <x:row r="64" ht="22" customHeight="1">
      <x:c r="A64" s="11" t="str">
        <x:v>lade_0826_10aoi</x:v>
      </x:c>
      <x:c r="B64" s="10" t="n">
        <x:v>10</x:v>
      </x:c>
      <x:c r="C64" s="10" t="n">
        <x:v>3</x:v>
      </x:c>
      <x:c r="D64" s="10" t="n">
        <x:v>43</x:v>
      </x:c>
      <x:c r="E64" s="10" t="str">
        <x:v>有效</x:v>
      </x:c>
      <x:c r="F64" s="26" t="n">
        <x:f>IF(E64="有效",'成本明细'!U169,"n.a.")</x:f>
        <x:v>1789.0146343094443</x:v>
      </x:c>
      <x:c r="G64" s="26" t="n">
        <x:f>IF(E64="有效",'成本明细'!X184,"n.a.")</x:f>
        <x:v>2713.1923474416662</x:v>
      </x:c>
      <x:c r="H64" s="26" t="n">
        <x:f>IF(E64="有效",F64-G64,"n.a.")</x:f>
        <x:v>-924.1777131322219</x:v>
      </x:c>
      <x:c r="I64" s="32" t="n">
        <x:f>IF(E64="有效",H64/F64,"n.a.")</x:f>
        <x:v>-0.5165847698551401</x:v>
      </x:c>
      <x:c r="J64" s="26" t="n">
        <x:f>IF(E64="有效",'成本明细'!Y184,"n.a.")</x:f>
        <x:v>23.189678183262103</x:v>
      </x:c>
      <x:c r="K64" s="26" t="n">
        <x:f>IF(E64="有效",'成本明细'!V184,"n.a.")</x:f>
        <x:v>4270.5</x:v>
      </x:c>
      <x:c r="L64" s="22" t="n">
        <x:f>IF(E64="有效",'成本明细'!H184,"n.a.")</x:f>
        <x:v>117</x:v>
      </x:c>
      <x:c r="M64" s="22" t="n">
        <x:f>IF(E64="有效",'成本明细'!G184,"n.a.")</x:f>
        <x:v>117</x:v>
      </x:c>
    </x:row>
    <x:row r="65" ht="22" customHeight="1">
      <x:c r="A65" s="11" t="str">
        <x:v>lade_0826_10aoi</x:v>
      </x:c>
      <x:c r="B65" s="10" t="n">
        <x:v>10</x:v>
      </x:c>
      <x:c r="C65" s="10" t="n">
        <x:v>3</x:v>
      </x:c>
      <x:c r="D65" s="10" t="n">
        <x:v>44</x:v>
      </x:c>
      <x:c r="E65" s="10" t="str">
        <x:v>有效</x:v>
      </x:c>
      <x:c r="F65" s="26" t="n">
        <x:f>IF(E65="有效",'成本明细'!U170,"n.a.")</x:f>
        <x:v>1789.0146343094443</x:v>
      </x:c>
      <x:c r="G65" s="26" t="n">
        <x:f>IF(E65="有效",'成本明细'!X185,"n.a.")</x:f>
        <x:v>2137.5107821377774</x:v>
      </x:c>
      <x:c r="H65" s="26" t="n">
        <x:f>IF(E65="有效",F65-G65,"n.a.")</x:f>
        <x:v>-348.49614782833305</x:v>
      </x:c>
      <x:c r="I65" s="32" t="n">
        <x:f>IF(E65="有效",H65/F65,"n.a.")</x:f>
        <x:v>-0.19479781838836202</x:v>
      </x:c>
      <x:c r="J65" s="26" t="n">
        <x:f>IF(E65="有效",'成本明细'!Y185,"n.a.")</x:f>
        <x:v>18.269322924254507</x:v>
      </x:c>
      <x:c r="K65" s="26" t="n">
        <x:f>IF(E65="有效",'成本明细'!V185,"n.a.")</x:f>
        <x:v>4270.5</x:v>
      </x:c>
      <x:c r="L65" s="22" t="n">
        <x:f>IF(E65="有效",'成本明细'!H185,"n.a.")</x:f>
        <x:v>117</x:v>
      </x:c>
      <x:c r="M65" s="22" t="n">
        <x:f>IF(E65="有效",'成本明细'!G185,"n.a.")</x:f>
        <x:v>117</x:v>
      </x:c>
    </x:row>
    <x:row r="66" ht="22" customHeight="1">
      <x:c r="A66" s="11" t="str">
        <x:v>lade_0826_20aoi</x:v>
      </x:c>
      <x:c r="B66" s="10" t="n">
        <x:v>20</x:v>
      </x:c>
      <x:c r="C66" s="10" t="n">
        <x:v>2</x:v>
      </x:c>
      <x:c r="D66" s="10" t="n">
        <x:v>42</x:v>
      </x:c>
      <x:c r="E66" s="10" t="str">
        <x:v>有效</x:v>
      </x:c>
      <x:c r="F66" s="26" t="n">
        <x:f>IF(E66="有效",'成本明细'!U186,"n.a.")</x:f>
        <x:v>3144.8283786111115</x:v>
      </x:c>
      <x:c r="G66" s="26" t="n">
        <x:f>IF(E66="有效",'成本明细'!X198,"n.a.")</x:f>
        <x:v>4485.254775851112</x:v>
      </x:c>
      <x:c r="H66" s="26" t="n">
        <x:f>IF(E66="有效",F66-G66,"n.a.")</x:f>
        <x:v>-1340.4263972400004</x:v>
      </x:c>
      <x:c r="I66" s="32" t="n">
        <x:f>IF(E66="有效",H66/F66,"n.a.")</x:f>
        <x:v>-0.42623197067179514</x:v>
      </x:c>
      <x:c r="J66" s="26" t="n">
        <x:f>IF(E66="有效",'成本明细'!Y198,"n.a.")</x:f>
        <x:v>24.780413126249236</x:v>
      </x:c>
      <x:c r="K66" s="26" t="n">
        <x:f>IF(E66="有效",'成本明细'!V198,"n.a.")</x:f>
        <x:v>6606.5</x:v>
      </x:c>
      <x:c r="L66" s="22" t="n">
        <x:f>IF(E66="有效",'成本明细'!H198,"n.a.")</x:f>
        <x:v>181</x:v>
      </x:c>
      <x:c r="M66" s="22" t="n">
        <x:f>IF(E66="有效",'成本明细'!G198,"n.a.")</x:f>
        <x:v>181</x:v>
      </x:c>
    </x:row>
    <x:row r="67" ht="22" customHeight="1">
      <x:c r="A67" s="11" t="str">
        <x:v>lade_0826_20aoi</x:v>
      </x:c>
      <x:c r="B67" s="10" t="n">
        <x:v>20</x:v>
      </x:c>
      <x:c r="C67" s="10" t="n">
        <x:v>2</x:v>
      </x:c>
      <x:c r="D67" s="10" t="n">
        <x:v>43</x:v>
      </x:c>
      <x:c r="E67" s="10" t="str">
        <x:v>有效</x:v>
      </x:c>
      <x:c r="F67" s="26" t="n">
        <x:f>IF(E67="有效",'成本明细'!U187,"n.a.")</x:f>
        <x:v>3144.8283786111115</x:v>
      </x:c>
      <x:c r="G67" s="26" t="n">
        <x:f>IF(E67="有效",'成本明细'!X199,"n.a.")</x:f>
        <x:v>4486.737992170556</x:v>
      </x:c>
      <x:c r="H67" s="26" t="n">
        <x:f>IF(E67="有效",F67-G67,"n.a.")</x:f>
        <x:v>-1341.9096135594446</x:v>
      </x:c>
      <x:c r="I67" s="32" t="n">
        <x:f>IF(E67="有效",H67/F67,"n.a.")</x:f>
        <x:v>-0.4267036073212009</x:v>
      </x:c>
      <x:c r="J67" s="26" t="n">
        <x:f>IF(E67="有效",'成本明细'!Y199,"n.a.")</x:f>
        <x:v>24.788607691550034</x:v>
      </x:c>
      <x:c r="K67" s="26" t="n">
        <x:f>IF(E67="有效",'成本明细'!V199,"n.a.")</x:f>
        <x:v>6606.5</x:v>
      </x:c>
      <x:c r="L67" s="22" t="n">
        <x:f>IF(E67="有效",'成本明细'!H199,"n.a.")</x:f>
        <x:v>181</x:v>
      </x:c>
      <x:c r="M67" s="22" t="n">
        <x:f>IF(E67="有效",'成本明细'!G199,"n.a.")</x:f>
        <x:v>181</x:v>
      </x:c>
    </x:row>
    <x:row r="68" ht="22" customHeight="1">
      <x:c r="A68" s="11" t="str">
        <x:v>lade_0826_20aoi</x:v>
      </x:c>
      <x:c r="B68" s="10" t="n">
        <x:v>20</x:v>
      </x:c>
      <x:c r="C68" s="10" t="n">
        <x:v>2</x:v>
      </x:c>
      <x:c r="D68" s="10" t="n">
        <x:v>44</x:v>
      </x:c>
      <x:c r="E68" s="10" t="str">
        <x:v>有效</x:v>
      </x:c>
      <x:c r="F68" s="26" t="n">
        <x:f>IF(E68="有效",'成本明细'!U188,"n.a.")</x:f>
        <x:v>3144.8283786111115</x:v>
      </x:c>
      <x:c r="G68" s="26" t="n">
        <x:f>IF(E68="有效",'成本明细'!X200,"n.a.")</x:f>
        <x:v>4767.654226442222</x:v>
      </x:c>
      <x:c r="H68" s="26" t="n">
        <x:f>IF(E68="有效",F68-G68,"n.a.")</x:f>
        <x:v>-1622.8258478311109</x:v>
      </x:c>
      <x:c r="I68" s="32" t="n">
        <x:f>IF(E68="有效",H68/F68,"n.a.")</x:f>
        <x:v>-0.5160300189569705</x:v>
      </x:c>
      <x:c r="J68" s="26" t="n">
        <x:f>IF(E68="有效",'成本明细'!Y200,"n.a.")</x:f>
        <x:v>26.340631085316147</x:v>
      </x:c>
      <x:c r="K68" s="26" t="n">
        <x:f>IF(E68="有效",'成本明细'!V200,"n.a.")</x:f>
        <x:v>6606.5</x:v>
      </x:c>
      <x:c r="L68" s="22" t="n">
        <x:f>IF(E68="有效",'成本明细'!H200,"n.a.")</x:f>
        <x:v>181</x:v>
      </x:c>
      <x:c r="M68" s="22" t="n">
        <x:f>IF(E68="有效",'成本明细'!G200,"n.a.")</x:f>
        <x:v>181</x:v>
      </x:c>
    </x:row>
    <x:row r="69" ht="22" customHeight="1">
      <x:c r="A69" s="11" t="str">
        <x:v>lade_0826_20aoi</x:v>
      </x:c>
      <x:c r="B69" s="10" t="n">
        <x:v>20</x:v>
      </x:c>
      <x:c r="C69" s="10" t="n">
        <x:v>3</x:v>
      </x:c>
      <x:c r="D69" s="10" t="n">
        <x:v>42</x:v>
      </x:c>
      <x:c r="E69" s="10" t="str">
        <x:v>有效</x:v>
      </x:c>
      <x:c r="F69" s="26" t="n">
        <x:f>IF(E69="有效",'成本明细'!U186,"n.a.")</x:f>
        <x:v>3144.8283786111115</x:v>
      </x:c>
      <x:c r="G69" s="26" t="n">
        <x:f>IF(E69="有效",'成本明细'!X201,"n.a.")</x:f>
        <x:v>4014.480781243889</x:v>
      </x:c>
      <x:c r="H69" s="26" t="n">
        <x:f>IF(E69="有效",F69-G69,"n.a.")</x:f>
        <x:v>-869.6524026327775</x:v>
      </x:c>
      <x:c r="I69" s="32" t="n">
        <x:f>IF(E69="有效",H69/F69,"n.a.")</x:f>
        <x:v>-0.2765341372990448</x:v>
      </x:c>
      <x:c r="J69" s="26" t="n">
        <x:f>IF(E69="有效",'成本明细'!Y201,"n.a.")</x:f>
        <x:v>22.179451830076733</x:v>
      </x:c>
      <x:c r="K69" s="26" t="n">
        <x:f>IF(E69="有效",'成本明细'!V201,"n.a.")</x:f>
        <x:v>6606.5</x:v>
      </x:c>
      <x:c r="L69" s="22" t="n">
        <x:f>IF(E69="有效",'成本明细'!H201,"n.a.")</x:f>
        <x:v>181</x:v>
      </x:c>
      <x:c r="M69" s="22" t="n">
        <x:f>IF(E69="有效",'成本明细'!G201,"n.a.")</x:f>
        <x:v>181</x:v>
      </x:c>
    </x:row>
    <x:row r="70" ht="22" customHeight="1">
      <x:c r="A70" s="11" t="str">
        <x:v>lade_0826_20aoi</x:v>
      </x:c>
      <x:c r="B70" s="10" t="n">
        <x:v>20</x:v>
      </x:c>
      <x:c r="C70" s="10" t="n">
        <x:v>3</x:v>
      </x:c>
      <x:c r="D70" s="10" t="n">
        <x:v>43</x:v>
      </x:c>
      <x:c r="E70" s="10" t="str">
        <x:v>有效</x:v>
      </x:c>
      <x:c r="F70" s="26" t="n">
        <x:f>IF(E70="有效",'成本明细'!U187,"n.a.")</x:f>
        <x:v>3144.8283786111115</x:v>
      </x:c>
      <x:c r="G70" s="26" t="n">
        <x:f>IF(E70="有效",'成本明细'!X202,"n.a.")</x:f>
        <x:v>4267.906430751112</x:v>
      </x:c>
      <x:c r="H70" s="26" t="n">
        <x:f>IF(E70="有效",F70-G70,"n.a.")</x:f>
        <x:v>-1123.0780521400002</x:v>
      </x:c>
      <x:c r="I70" s="32" t="n">
        <x:f>IF(E70="有效",H70/F70,"n.a.")</x:f>
        <x:v>-0.35711902747328894</x:v>
      </x:c>
      <x:c r="J70" s="26" t="n">
        <x:f>IF(E70="有效",'成本明细'!Y202,"n.a.")</x:f>
        <x:v>23.579593540061392</x:v>
      </x:c>
      <x:c r="K70" s="26" t="n">
        <x:f>IF(E70="有效",'成本明细'!V202,"n.a.")</x:f>
        <x:v>6606.5</x:v>
      </x:c>
      <x:c r="L70" s="22" t="n">
        <x:f>IF(E70="有效",'成本明细'!H202,"n.a.")</x:f>
        <x:v>181</x:v>
      </x:c>
      <x:c r="M70" s="22" t="n">
        <x:f>IF(E70="有效",'成本明细'!G202,"n.a.")</x:f>
        <x:v>181</x:v>
      </x:c>
    </x:row>
    <x:row r="71" ht="22" customHeight="1">
      <x:c r="A71" s="11" t="str">
        <x:v>lade_0826_20aoi</x:v>
      </x:c>
      <x:c r="B71" s="10" t="n">
        <x:v>20</x:v>
      </x:c>
      <x:c r="C71" s="10" t="n">
        <x:v>3</x:v>
      </x:c>
      <x:c r="D71" s="10" t="n">
        <x:v>44</x:v>
      </x:c>
      <x:c r="E71" s="10" t="str">
        <x:v>有效</x:v>
      </x:c>
      <x:c r="F71" s="26" t="n">
        <x:f>IF(E71="有效",'成本明细'!U188,"n.a.")</x:f>
        <x:v>3144.8283786111115</x:v>
      </x:c>
      <x:c r="G71" s="26" t="n">
        <x:f>IF(E71="有效",'成本明细'!X203,"n.a.")</x:f>
        <x:v>4453.9117890844445</x:v>
      </x:c>
      <x:c r="H71" s="26" t="n">
        <x:f>IF(E71="有效",F71-G71,"n.a.")</x:f>
        <x:v>-1309.083410473333</x:v>
      </x:c>
      <x:c r="I71" s="32" t="n">
        <x:f>IF(E71="有效",H71/F71,"n.a.")</x:f>
        <x:v>-0.4162654532682255</x:v>
      </x:c>
      <x:c r="J71" s="26" t="n">
        <x:f>IF(E71="有效",'成本明细'!Y203,"n.a.")</x:f>
        <x:v>24.60724745350522</x:v>
      </x:c>
      <x:c r="K71" s="26" t="n">
        <x:f>IF(E71="有效",'成本明细'!V203,"n.a.")</x:f>
        <x:v>6606.5</x:v>
      </x:c>
      <x:c r="L71" s="22" t="n">
        <x:f>IF(E71="有效",'成本明细'!H203,"n.a.")</x:f>
        <x:v>181</x:v>
      </x:c>
      <x:c r="M71" s="22" t="n">
        <x:f>IF(E71="有效",'成本明细'!G203,"n.a.")</x:f>
        <x:v>181</x:v>
      </x:c>
    </x:row>
    <x:row r="72" ht="22" customHeight="1">
      <x:c r="A72" s="11" t="str">
        <x:v>lade_0826_30aoi</x:v>
      </x:c>
      <x:c r="B72" s="10" t="n">
        <x:v>30</x:v>
      </x:c>
      <x:c r="C72" s="10" t="n">
        <x:v>2</x:v>
      </x:c>
      <x:c r="D72" s="10" t="n">
        <x:v>42</x:v>
      </x:c>
      <x:c r="E72" s="10" t="str">
        <x:v>有效</x:v>
      </x:c>
      <x:c r="F72" s="26" t="n">
        <x:f>IF(E72="有效",'成本明细'!U204,"n.a.")</x:f>
        <x:v>3111.322919631667</x:v>
      </x:c>
      <x:c r="G72" s="26" t="n">
        <x:f>IF(E72="有效",'成本明细'!X216,"n.a.")</x:f>
        <x:v>4386.460010192777</x:v>
      </x:c>
      <x:c r="H72" s="26" t="n">
        <x:f>IF(E72="有效",F72-G72,"n.a.")</x:f>
        <x:v>-1275.1370905611102</x:v>
      </x:c>
      <x:c r="I72" s="32" t="n">
        <x:f>IF(E72="有效",H72/F72,"n.a.")</x:f>
        <x:v>-0.40983759111447904</x:v>
      </x:c>
      <x:c r="J72" s="26" t="n">
        <x:f>IF(E72="有效",'成本明细'!Y216,"n.a.")</x:f>
        <x:v>19.23885969382797</x:v>
      </x:c>
      <x:c r="K72" s="26" t="n">
        <x:f>IF(E72="有效",'成本明细'!V216,"n.a.")</x:f>
        <x:v>8322</x:v>
      </x:c>
      <x:c r="L72" s="22" t="n">
        <x:f>IF(E72="有效",'成本明细'!H216,"n.a.")</x:f>
        <x:v>228</x:v>
      </x:c>
      <x:c r="M72" s="22" t="n">
        <x:f>IF(E72="有效",'成本明细'!G216,"n.a.")</x:f>
        <x:v>228</x:v>
      </x:c>
    </x:row>
    <x:row r="73" ht="22" customHeight="1">
      <x:c r="A73" s="11" t="str">
        <x:v>lade_0826_30aoi</x:v>
      </x:c>
      <x:c r="B73" s="10" t="n">
        <x:v>30</x:v>
      </x:c>
      <x:c r="C73" s="10" t="n">
        <x:v>2</x:v>
      </x:c>
      <x:c r="D73" s="10" t="n">
        <x:v>43</x:v>
      </x:c>
      <x:c r="E73" s="10" t="str">
        <x:v>有效</x:v>
      </x:c>
      <x:c r="F73" s="26" t="n">
        <x:f>IF(E73="有效",'成本明细'!U205,"n.a.")</x:f>
        <x:v>3039.425992795</x:v>
      </x:c>
      <x:c r="G73" s="26" t="n">
        <x:f>IF(E73="有效",'成本明细'!X217,"n.a.")</x:f>
        <x:v>3739.1339797183336</x:v>
      </x:c>
      <x:c r="H73" s="26" t="n">
        <x:f>IF(E73="有效",F73-G73,"n.a.")</x:f>
        <x:v>-699.7079869233335</x:v>
      </x:c>
      <x:c r="I73" s="32" t="n">
        <x:f>IF(E73="有效",H73/F73,"n.a.")</x:f>
        <x:v>-0.2302105688975486</x:v>
      </x:c>
      <x:c r="J73" s="26" t="n">
        <x:f>IF(E73="有效",'成本明细'!Y217,"n.a.")</x:f>
        <x:v>16.39971043736111</x:v>
      </x:c>
      <x:c r="K73" s="26" t="n">
        <x:f>IF(E73="有效",'成本明细'!V217,"n.a.")</x:f>
        <x:v>8322</x:v>
      </x:c>
      <x:c r="L73" s="22" t="n">
        <x:f>IF(E73="有效",'成本明细'!H217,"n.a.")</x:f>
        <x:v>228</x:v>
      </x:c>
      <x:c r="M73" s="22" t="n">
        <x:f>IF(E73="有效",'成本明细'!G217,"n.a.")</x:f>
        <x:v>228</x:v>
      </x:c>
    </x:row>
    <x:row r="74" ht="22" customHeight="1">
      <x:c r="A74" s="11" t="str">
        <x:v>lade_0826_30aoi</x:v>
      </x:c>
      <x:c r="B74" s="10" t="n">
        <x:v>30</x:v>
      </x:c>
      <x:c r="C74" s="10" t="n">
        <x:v>2</x:v>
      </x:c>
      <x:c r="D74" s="10" t="n">
        <x:v>44</x:v>
      </x:c>
      <x:c r="E74" s="10" t="str">
        <x:v>有效</x:v>
      </x:c>
      <x:c r="F74" s="26" t="n">
        <x:f>IF(E74="有效",'成本明细'!U206,"n.a.")</x:f>
        <x:v>3353.5016498311115</x:v>
      </x:c>
      <x:c r="G74" s="26" t="n">
        <x:f>IF(E74="有效",'成本明细'!X218,"n.a.")</x:f>
        <x:v>3912.8531065850007</x:v>
      </x:c>
      <x:c r="H74" s="26" t="n">
        <x:f>IF(E74="有效",F74-G74,"n.a.")</x:f>
        <x:v>-559.3514567538891</x:v>
      </x:c>
      <x:c r="I74" s="32" t="n">
        <x:f>IF(E74="有效",H74/F74,"n.a.")</x:f>
        <x:v>-0.16679623723520728</x:v>
      </x:c>
      <x:c r="J74" s="26" t="n">
        <x:f>IF(E74="有效",'成本明细'!Y218,"n.a.")</x:f>
        <x:v>17.161636432390353</x:v>
      </x:c>
      <x:c r="K74" s="26" t="n">
        <x:f>IF(E74="有效",'成本明细'!V218,"n.a.")</x:f>
        <x:v>8322</x:v>
      </x:c>
      <x:c r="L74" s="22" t="n">
        <x:f>IF(E74="有效",'成本明细'!H218,"n.a.")</x:f>
        <x:v>228</x:v>
      </x:c>
      <x:c r="M74" s="22" t="n">
        <x:f>IF(E74="有效",'成本明细'!G218,"n.a.")</x:f>
        <x:v>228</x:v>
      </x:c>
    </x:row>
    <x:row r="75" ht="22" customHeight="1">
      <x:c r="A75" s="11" t="str">
        <x:v>lade_0826_30aoi</x:v>
      </x:c>
      <x:c r="B75" s="10" t="n">
        <x:v>30</x:v>
      </x:c>
      <x:c r="C75" s="10" t="n">
        <x:v>3</x:v>
      </x:c>
      <x:c r="D75" s="10" t="n">
        <x:v>42</x:v>
      </x:c>
      <x:c r="E75" s="10" t="str">
        <x:v>有效</x:v>
      </x:c>
      <x:c r="F75" s="26" t="n">
        <x:f>IF(E75="有效",'成本明细'!U204,"n.a.")</x:f>
        <x:v>3111.322919631667</x:v>
      </x:c>
      <x:c r="G75" s="26" t="n">
        <x:f>IF(E75="有效",'成本明细'!X219,"n.a.")</x:f>
        <x:v>3790.91021541</x:v>
      </x:c>
      <x:c r="H75" s="26" t="n">
        <x:f>IF(E75="有效",F75-G75,"n.a.")</x:f>
        <x:v>-679.5872957783331</x:v>
      </x:c>
      <x:c r="I75" s="32" t="n">
        <x:f>IF(E75="有效",H75/F75,"n.a.")</x:f>
        <x:v>-0.21842390305754114</x:v>
      </x:c>
      <x:c r="J75" s="26" t="n">
        <x:f>IF(E75="有效",'成本明细'!Y219,"n.a.")</x:f>
        <x:v>16.62679919039474</x:v>
      </x:c>
      <x:c r="K75" s="26" t="n">
        <x:f>IF(E75="有效",'成本明细'!V219,"n.a.")</x:f>
        <x:v>8322</x:v>
      </x:c>
      <x:c r="L75" s="22" t="n">
        <x:f>IF(E75="有效",'成本明细'!H219,"n.a.")</x:f>
        <x:v>228</x:v>
      </x:c>
      <x:c r="M75" s="22" t="n">
        <x:f>IF(E75="有效",'成本明细'!G219,"n.a.")</x:f>
        <x:v>228</x:v>
      </x:c>
    </x:row>
    <x:row r="76" ht="22" customHeight="1">
      <x:c r="A76" s="11" t="str">
        <x:v>lade_0826_30aoi</x:v>
      </x:c>
      <x:c r="B76" s="10" t="n">
        <x:v>30</x:v>
      </x:c>
      <x:c r="C76" s="10" t="n">
        <x:v>3</x:v>
      </x:c>
      <x:c r="D76" s="10" t="n">
        <x:v>43</x:v>
      </x:c>
      <x:c r="E76" s="10" t="str">
        <x:v>有效</x:v>
      </x:c>
      <x:c r="F76" s="26" t="n">
        <x:f>IF(E76="有效",'成本明细'!U205,"n.a.")</x:f>
        <x:v>3039.425992795</x:v>
      </x:c>
      <x:c r="G76" s="26" t="n">
        <x:f>IF(E76="有效",'成本明细'!X220,"n.a.")</x:f>
        <x:v>4327.6604672466665</x:v>
      </x:c>
      <x:c r="H76" s="26" t="n">
        <x:f>IF(E76="有效",F76-G76,"n.a.")</x:f>
        <x:v>-1288.2344744516663</x:v>
      </x:c>
      <x:c r="I76" s="32" t="n">
        <x:f>IF(E76="有效",H76/F76,"n.a.")</x:f>
        <x:v>-0.4238413692274276</x:v>
      </x:c>
      <x:c r="J76" s="26" t="n">
        <x:f>IF(E76="有效",'成本明细'!Y220,"n.a.")</x:f>
        <x:v>18.980966961608186</x:v>
      </x:c>
      <x:c r="K76" s="26" t="n">
        <x:f>IF(E76="有效",'成本明细'!V220,"n.a.")</x:f>
        <x:v>8322</x:v>
      </x:c>
      <x:c r="L76" s="22" t="n">
        <x:f>IF(E76="有效",'成本明细'!H220,"n.a.")</x:f>
        <x:v>228</x:v>
      </x:c>
      <x:c r="M76" s="22" t="n">
        <x:f>IF(E76="有效",'成本明细'!G220,"n.a.")</x:f>
        <x:v>228</x:v>
      </x:c>
    </x:row>
    <x:row r="77" ht="22" customHeight="1">
      <x:c r="A77" s="11" t="str">
        <x:v>lade_0826_30aoi</x:v>
      </x:c>
      <x:c r="B77" s="10" t="n">
        <x:v>30</x:v>
      </x:c>
      <x:c r="C77" s="10" t="n">
        <x:v>3</x:v>
      </x:c>
      <x:c r="D77" s="10" t="n">
        <x:v>44</x:v>
      </x:c>
      <x:c r="E77" s="10" t="str">
        <x:v>有效</x:v>
      </x:c>
      <x:c r="F77" s="26" t="n">
        <x:f>IF(E77="有效",'成本明细'!U206,"n.a.")</x:f>
        <x:v>3353.5016498311115</x:v>
      </x:c>
      <x:c r="G77" s="26" t="n">
        <x:f>IF(E77="有效",'成本明细'!X221,"n.a.")</x:f>
        <x:v>4514.434603128888</x:v>
      </x:c>
      <x:c r="H77" s="26" t="n">
        <x:f>IF(E77="有效",F77-G77,"n.a.")</x:f>
        <x:v>-1160.9329532977763</x:v>
      </x:c>
      <x:c r="I77" s="32" t="n">
        <x:f>IF(E77="有效",H77/F77,"n.a.")</x:f>
        <x:v>-0.34618529361875905</x:v>
      </x:c>
      <x:c r="J77" s="26" t="n">
        <x:f>IF(E77="有效",'成本明细'!Y221,"n.a.")</x:f>
        <x:v>19.800151768109156</x:v>
      </x:c>
      <x:c r="K77" s="26" t="n">
        <x:f>IF(E77="有效",'成本明细'!V221,"n.a.")</x:f>
        <x:v>8322</x:v>
      </x:c>
      <x:c r="L77" s="22" t="n">
        <x:f>IF(E77="有效",'成本明细'!H221,"n.a.")</x:f>
        <x:v>228</x:v>
      </x:c>
      <x:c r="M77" s="22" t="n">
        <x:f>IF(E77="有效",'成本明细'!G221,"n.a.")</x:f>
        <x:v>228</x:v>
      </x:c>
    </x:row>
    <x:row r="78" ht="22" customHeight="1">
      <x:c r="A78" s="11" t="str">
        <x:v>lade_0827_10aoi</x:v>
      </x:c>
      <x:c r="B78" s="10" t="n">
        <x:v>10</x:v>
      </x:c>
      <x:c r="C78" s="10" t="n">
        <x:v>2</x:v>
      </x:c>
      <x:c r="D78" s="10" t="n">
        <x:v>42</x:v>
      </x:c>
      <x:c r="E78" s="10" t="str">
        <x:v>有效</x:v>
      </x:c>
      <x:c r="F78" s="26" t="n">
        <x:f>IF(E78="有效",'成本明细'!U222,"n.a.")</x:f>
        <x:v>1808.0033778788888</x:v>
      </x:c>
      <x:c r="G78" s="26" t="n">
        <x:f>IF(E78="有效",'成本明细'!X234,"n.a.")</x:f>
        <x:v>2345.7784258044444</x:v>
      </x:c>
      <x:c r="H78" s="26" t="n">
        <x:f>IF(E78="有效",F78-G78,"n.a.")</x:f>
        <x:v>-537.7750479255556</x:v>
      </x:c>
      <x:c r="I78" s="32" t="n">
        <x:f>IF(E78="有效",H78/F78,"n.a.")</x:f>
        <x:v>-0.2974413955777349</x:v>
      </x:c>
      <x:c r="J78" s="26" t="n">
        <x:f>IF(E78="有效",'成本明细'!Y234,"n.a.")</x:f>
        <x:v>19.386598560367307</x:v>
      </x:c>
      <x:c r="K78" s="26" t="n">
        <x:f>IF(E78="有效",'成本明细'!V234,"n.a.")</x:f>
        <x:v>4416.5</x:v>
      </x:c>
      <x:c r="L78" s="22" t="n">
        <x:f>IF(E78="有效",'成本明细'!H234,"n.a.")</x:f>
        <x:v>121</x:v>
      </x:c>
      <x:c r="M78" s="22" t="n">
        <x:f>IF(E78="有效",'成本明细'!G234,"n.a.")</x:f>
        <x:v>121</x:v>
      </x:c>
    </x:row>
    <x:row r="79" ht="22" customHeight="1">
      <x:c r="A79" s="11" t="str">
        <x:v>lade_0827_10aoi</x:v>
      </x:c>
      <x:c r="B79" s="10" t="n">
        <x:v>10</x:v>
      </x:c>
      <x:c r="C79" s="10" t="n">
        <x:v>2</x:v>
      </x:c>
      <x:c r="D79" s="10" t="n">
        <x:v>43</x:v>
      </x:c>
      <x:c r="E79" s="10" t="str">
        <x:v>有效</x:v>
      </x:c>
      <x:c r="F79" s="26" t="n">
        <x:f>IF(E79="有效",'成本明细'!U223,"n.a.")</x:f>
        <x:v>1808.0033778788888</x:v>
      </x:c>
      <x:c r="G79" s="26" t="n">
        <x:f>IF(E79="有效",'成本明细'!X235,"n.a.")</x:f>
        <x:v>3050.9446680999995</x:v>
      </x:c>
      <x:c r="H79" s="26" t="n">
        <x:f>IF(E79="有效",F79-G79,"n.a.")</x:f>
        <x:v>-1242.9412902211106</x:v>
      </x:c>
      <x:c r="I79" s="32" t="n">
        <x:f>IF(E79="有效",H79/F79,"n.a.")</x:f>
        <x:v>-0.6874662433868365</x:v>
      </x:c>
      <x:c r="J79" s="26" t="n">
        <x:f>IF(E79="有效",'成本明细'!Y235,"n.a.")</x:f>
        <x:v>25.214418744628095</x:v>
      </x:c>
      <x:c r="K79" s="26" t="n">
        <x:f>IF(E79="有效",'成本明细'!V235,"n.a.")</x:f>
        <x:v>4416.5</x:v>
      </x:c>
      <x:c r="L79" s="22" t="n">
        <x:f>IF(E79="有效",'成本明细'!H235,"n.a.")</x:f>
        <x:v>121</x:v>
      </x:c>
      <x:c r="M79" s="22" t="n">
        <x:f>IF(E79="有效",'成本明细'!G235,"n.a.")</x:f>
        <x:v>121</x:v>
      </x:c>
    </x:row>
    <x:row r="80" ht="22" customHeight="1">
      <x:c r="A80" s="11" t="str">
        <x:v>lade_0827_10aoi</x:v>
      </x:c>
      <x:c r="B80" s="10" t="n">
        <x:v>10</x:v>
      </x:c>
      <x:c r="C80" s="10" t="n">
        <x:v>2</x:v>
      </x:c>
      <x:c r="D80" s="10" t="n">
        <x:v>44</x:v>
      </x:c>
      <x:c r="E80" s="10" t="str">
        <x:v>有效</x:v>
      </x:c>
      <x:c r="F80" s="26" t="n">
        <x:f>IF(E80="有效",'成本明细'!U224,"n.a.")</x:f>
        <x:v>1808.0033778788888</x:v>
      </x:c>
      <x:c r="G80" s="26" t="n">
        <x:f>IF(E80="有效",'成本明细'!X236,"n.a.")</x:f>
        <x:v>2345.7784258044444</x:v>
      </x:c>
      <x:c r="H80" s="26" t="n">
        <x:f>IF(E80="有效",F80-G80,"n.a.")</x:f>
        <x:v>-537.7750479255556</x:v>
      </x:c>
      <x:c r="I80" s="32" t="n">
        <x:f>IF(E80="有效",H80/F80,"n.a.")</x:f>
        <x:v>-0.2974413955777349</x:v>
      </x:c>
      <x:c r="J80" s="26" t="n">
        <x:f>IF(E80="有效",'成本明细'!Y236,"n.a.")</x:f>
        <x:v>19.386598560367307</x:v>
      </x:c>
      <x:c r="K80" s="26" t="n">
        <x:f>IF(E80="有效",'成本明细'!V236,"n.a.")</x:f>
        <x:v>4416.5</x:v>
      </x:c>
      <x:c r="L80" s="22" t="n">
        <x:f>IF(E80="有效",'成本明细'!H236,"n.a.")</x:f>
        <x:v>121</x:v>
      </x:c>
      <x:c r="M80" s="22" t="n">
        <x:f>IF(E80="有效",'成本明细'!G236,"n.a.")</x:f>
        <x:v>121</x:v>
      </x:c>
    </x:row>
    <x:row r="81" ht="22" customHeight="1">
      <x:c r="A81" s="11" t="str">
        <x:v>lade_0827_10aoi</x:v>
      </x:c>
      <x:c r="B81" s="10" t="n">
        <x:v>10</x:v>
      </x:c>
      <x:c r="C81" s="10" t="n">
        <x:v>3</x:v>
      </x:c>
      <x:c r="D81" s="10" t="n">
        <x:v>42</x:v>
      </x:c>
      <x:c r="E81" s="10" t="str">
        <x:v>有效</x:v>
      </x:c>
      <x:c r="F81" s="26" t="n">
        <x:f>IF(E81="有效",'成本明细'!U222,"n.a.")</x:f>
        <x:v>1808.0033778788888</x:v>
      </x:c>
      <x:c r="G81" s="26" t="n">
        <x:f>IF(E81="有效",'成本明细'!X237,"n.a.")</x:f>
        <x:v>2762.4399406638886</x:v>
      </x:c>
      <x:c r="H81" s="26" t="n">
        <x:f>IF(E81="有效",F81-G81,"n.a.")</x:f>
        <x:v>-954.4365627849998</x:v>
      </x:c>
      <x:c r="I81" s="32" t="n">
        <x:f>IF(E81="有效",H81/F81,"n.a.")</x:f>
        <x:v>-0.5278953427093286</x:v>
      </x:c>
      <x:c r="J81" s="26" t="n">
        <x:f>IF(E81="有效",'成本明细'!Y237,"n.a.")</x:f>
        <x:v>22.830082154247012</x:v>
      </x:c>
      <x:c r="K81" s="26" t="n">
        <x:f>IF(E81="有效",'成本明细'!V237,"n.a.")</x:f>
        <x:v>4416.5</x:v>
      </x:c>
      <x:c r="L81" s="22" t="n">
        <x:f>IF(E81="有效",'成本明细'!H237,"n.a.")</x:f>
        <x:v>121</x:v>
      </x:c>
      <x:c r="M81" s="22" t="n">
        <x:f>IF(E81="有效",'成本明细'!G237,"n.a.")</x:f>
        <x:v>121</x:v>
      </x:c>
    </x:row>
    <x:row r="82" ht="22" customHeight="1">
      <x:c r="A82" s="11" t="str">
        <x:v>lade_0827_10aoi</x:v>
      </x:c>
      <x:c r="B82" s="10" t="n">
        <x:v>10</x:v>
      </x:c>
      <x:c r="C82" s="10" t="n">
        <x:v>3</x:v>
      </x:c>
      <x:c r="D82" s="10" t="n">
        <x:v>43</x:v>
      </x:c>
      <x:c r="E82" s="10" t="str">
        <x:v>有效</x:v>
      </x:c>
      <x:c r="F82" s="26" t="n">
        <x:f>IF(E82="有效",'成本明细'!U223,"n.a.")</x:f>
        <x:v>1808.0033778788888</x:v>
      </x:c>
      <x:c r="G82" s="26" t="n">
        <x:f>IF(E82="有效",'成本明细'!X238,"n.a.")</x:f>
        <x:v>2550.2772763166663</x:v>
      </x:c>
      <x:c r="H82" s="26" t="n">
        <x:f>IF(E82="有效",F82-G82,"n.a.")</x:f>
        <x:v>-742.2738984377775</x:v>
      </x:c>
      <x:c r="I82" s="32" t="n">
        <x:f>IF(E82="有效",H82/F82,"n.a.")</x:f>
        <x:v>-0.4105489555603582</x:v>
      </x:c>
      <x:c r="J82" s="26" t="n">
        <x:f>IF(E82="有效",'成本明细'!Y238,"n.a.")</x:f>
        <x:v>21.076671705096416</x:v>
      </x:c>
      <x:c r="K82" s="26" t="n">
        <x:f>IF(E82="有效",'成本明细'!V238,"n.a.")</x:f>
        <x:v>4416.5</x:v>
      </x:c>
      <x:c r="L82" s="22" t="n">
        <x:f>IF(E82="有效",'成本明细'!H238,"n.a.")</x:f>
        <x:v>121</x:v>
      </x:c>
      <x:c r="M82" s="22" t="n">
        <x:f>IF(E82="有效",'成本明细'!G238,"n.a.")</x:f>
        <x:v>121</x:v>
      </x:c>
    </x:row>
    <x:row r="83" ht="22" customHeight="1">
      <x:c r="A83" s="11" t="str">
        <x:v>lade_0827_10aoi</x:v>
      </x:c>
      <x:c r="B83" s="10" t="n">
        <x:v>10</x:v>
      </x:c>
      <x:c r="C83" s="10" t="n">
        <x:v>3</x:v>
      </x:c>
      <x:c r="D83" s="10" t="n">
        <x:v>44</x:v>
      </x:c>
      <x:c r="E83" s="10" t="str">
        <x:v>有效</x:v>
      </x:c>
      <x:c r="F83" s="26" t="n">
        <x:f>IF(E83="有效",'成本明细'!U224,"n.a.")</x:f>
        <x:v>1808.0033778788888</x:v>
      </x:c>
      <x:c r="G83" s="26" t="n">
        <x:f>IF(E83="有效",'成本明细'!X239,"n.a.")</x:f>
        <x:v>2801.4959042055557</x:v>
      </x:c>
      <x:c r="H83" s="26" t="n">
        <x:f>IF(E83="有效",F83-G83,"n.a.")</x:f>
        <x:v>-993.4925263266668</x:v>
      </x:c>
      <x:c r="I83" s="32" t="n">
        <x:f>IF(E83="有效",H83/F83,"n.a.")</x:f>
        <x:v>-0.5494970520974419</x:v>
      </x:c>
      <x:c r="J83" s="26" t="n">
        <x:f>IF(E83="有效",'成本明细'!Y239,"n.a.")</x:f>
        <x:v>23.152858712442608</x:v>
      </x:c>
      <x:c r="K83" s="26" t="n">
        <x:f>IF(E83="有效",'成本明细'!V239,"n.a.")</x:f>
        <x:v>4416.5</x:v>
      </x:c>
      <x:c r="L83" s="22" t="n">
        <x:f>IF(E83="有效",'成本明细'!H239,"n.a.")</x:f>
        <x:v>121</x:v>
      </x:c>
      <x:c r="M83" s="22" t="n">
        <x:f>IF(E83="有效",'成本明细'!G239,"n.a.")</x:f>
        <x:v>121</x:v>
      </x:c>
    </x:row>
    <x:row r="84" ht="22" customHeight="1">
      <x:c r="A84" s="11" t="str">
        <x:v>lade_0827_20aoi</x:v>
      </x:c>
      <x:c r="B84" s="10" t="n">
        <x:v>20</x:v>
      </x:c>
      <x:c r="C84" s="10" t="n">
        <x:v>2</x:v>
      </x:c>
      <x:c r="D84" s="10" t="n">
        <x:v>42</x:v>
      </x:c>
      <x:c r="E84" s="10" t="str">
        <x:v>有效</x:v>
      </x:c>
      <x:c r="F84" s="26" t="n">
        <x:f>IF(E84="有效",'成本明细'!U240,"n.a.")</x:f>
        <x:v>2935.3362110044445</x:v>
      </x:c>
      <x:c r="G84" s="26" t="n">
        <x:f>IF(E84="有效",'成本明细'!X252,"n.a.")</x:f>
        <x:v>4593.894288035555</x:v>
      </x:c>
      <x:c r="H84" s="26" t="n">
        <x:f>IF(E84="有效",F84-G84,"n.a.")</x:f>
        <x:v>-1658.5580770311108</x:v>
      </x:c>
      <x:c r="I84" s="32" t="n">
        <x:f>IF(E84="有效",H84/F84,"n.a.")</x:f>
        <x:v>-0.5650317230487092</x:v>
      </x:c>
      <x:c r="J84" s="26" t="n">
        <x:f>IF(E84="有效",'成本明细'!Y252,"n.a.")</x:f>
        <x:v>24.566279615163396</x:v>
      </x:c>
      <x:c r="K84" s="26" t="n">
        <x:f>IF(E84="有效",'成本明细'!V252,"n.a.")</x:f>
        <x:v>6825.5</x:v>
      </x:c>
      <x:c r="L84" s="22" t="n">
        <x:f>IF(E84="有效",'成本明细'!H252,"n.a.")</x:f>
        <x:v>187</x:v>
      </x:c>
      <x:c r="M84" s="22" t="n">
        <x:f>IF(E84="有效",'成本明细'!G252,"n.a.")</x:f>
        <x:v>187</x:v>
      </x:c>
    </x:row>
    <x:row r="85" ht="22" customHeight="1">
      <x:c r="A85" s="11" t="str">
        <x:v>lade_0827_20aoi</x:v>
      </x:c>
      <x:c r="B85" s="10" t="n">
        <x:v>20</x:v>
      </x:c>
      <x:c r="C85" s="10" t="n">
        <x:v>2</x:v>
      </x:c>
      <x:c r="D85" s="10" t="n">
        <x:v>43</x:v>
      </x:c>
      <x:c r="E85" s="10" t="str">
        <x:v>有效</x:v>
      </x:c>
      <x:c r="F85" s="26" t="n">
        <x:f>IF(E85="有效",'成本明细'!U241,"n.a.")</x:f>
        <x:v>3343.5936147722223</x:v>
      </x:c>
      <x:c r="G85" s="26" t="n">
        <x:f>IF(E85="有效",'成本明细'!X253,"n.a.")</x:f>
        <x:v>5334.371755885</x:v>
      </x:c>
      <x:c r="H85" s="26" t="n">
        <x:f>IF(E85="有效",F85-G85,"n.a.")</x:f>
        <x:v>-1990.778141112778</x:v>
      </x:c>
      <x:c r="I85" s="32" t="n">
        <x:f>IF(E85="有效",H85/F85,"n.a.")</x:f>
        <x:v>-0.595400748559091</x:v>
      </x:c>
      <x:c r="J85" s="26" t="n">
        <x:f>IF(E85="有效",'成本明细'!Y253,"n.a.")</x:f>
        <x:v>28.526052170508024</x:v>
      </x:c>
      <x:c r="K85" s="26" t="n">
        <x:f>IF(E85="有效",'成本明细'!V253,"n.a.")</x:f>
        <x:v>6825.5</x:v>
      </x:c>
      <x:c r="L85" s="22" t="n">
        <x:f>IF(E85="有效",'成本明细'!H253,"n.a.")</x:f>
        <x:v>187</x:v>
      </x:c>
      <x:c r="M85" s="22" t="n">
        <x:f>IF(E85="有效",'成本明细'!G253,"n.a.")</x:f>
        <x:v>187</x:v>
      </x:c>
    </x:row>
    <x:row r="86" ht="22" customHeight="1">
      <x:c r="A86" s="11" t="str">
        <x:v>lade_0827_20aoi</x:v>
      </x:c>
      <x:c r="B86" s="10" t="n">
        <x:v>20</x:v>
      </x:c>
      <x:c r="C86" s="10" t="n">
        <x:v>2</x:v>
      </x:c>
      <x:c r="D86" s="10" t="n">
        <x:v>44</x:v>
      </x:c>
      <x:c r="E86" s="10" t="str">
        <x:v>有效</x:v>
      </x:c>
      <x:c r="F86" s="26" t="n">
        <x:f>IF(E86="有效",'成本明细'!U242,"n.a.")</x:f>
        <x:v>3343.5936147722223</x:v>
      </x:c>
      <x:c r="G86" s="26" t="n">
        <x:f>IF(E86="有效",'成本明细'!X254,"n.a.")</x:f>
        <x:v>5368.203438212223</x:v>
      </x:c>
      <x:c r="H86" s="26" t="n">
        <x:f>IF(E86="有效",F86-G86,"n.a.")</x:f>
        <x:v>-2024.6098234400006</x:v>
      </x:c>
      <x:c r="I86" s="32" t="n">
        <x:f>IF(E86="有效",H86/F86,"n.a.")</x:f>
        <x:v>-0.6055191080923046</x:v>
      </x:c>
      <x:c r="J86" s="26" t="n">
        <x:f>IF(E86="有效",'成本明细'!Y254,"n.a.")</x:f>
        <x:v>28.706970257819375</x:v>
      </x:c>
      <x:c r="K86" s="26" t="n">
        <x:f>IF(E86="有效",'成本明细'!V254,"n.a.")</x:f>
        <x:v>6825.5</x:v>
      </x:c>
      <x:c r="L86" s="22" t="n">
        <x:f>IF(E86="有效",'成本明细'!H254,"n.a.")</x:f>
        <x:v>187</x:v>
      </x:c>
      <x:c r="M86" s="22" t="n">
        <x:f>IF(E86="有效",'成本明细'!G254,"n.a.")</x:f>
        <x:v>187</x:v>
      </x:c>
    </x:row>
    <x:row r="87" ht="22" customHeight="1">
      <x:c r="A87" s="11" t="str">
        <x:v>lade_0827_20aoi</x:v>
      </x:c>
      <x:c r="B87" s="10" t="n">
        <x:v>20</x:v>
      </x:c>
      <x:c r="C87" s="10" t="n">
        <x:v>3</x:v>
      </x:c>
      <x:c r="D87" s="10" t="n">
        <x:v>42</x:v>
      </x:c>
      <x:c r="E87" s="10" t="str">
        <x:v>有效</x:v>
      </x:c>
      <x:c r="F87" s="26" t="n">
        <x:f>IF(E87="有效",'成本明细'!U240,"n.a.")</x:f>
        <x:v>2935.3362110044445</x:v>
      </x:c>
      <x:c r="G87" s="26" t="n">
        <x:f>IF(E87="有效",'成本明细'!X255,"n.a.")</x:f>
        <x:v>3416.585388276666</x:v>
      </x:c>
      <x:c r="H87" s="26" t="n">
        <x:f>IF(E87="有效",F87-G87,"n.a.")</x:f>
        <x:v>-481.24917727222146</x:v>
      </x:c>
      <x:c r="I87" s="32" t="n">
        <x:f>IF(E87="有效",H87/F87,"n.a.")</x:f>
        <x:v>-0.16395027440742213</x:v>
      </x:c>
      <x:c r="J87" s="26" t="n">
        <x:f>IF(E87="有效",'成本明细'!Y255,"n.a.")</x:f>
        <x:v>18.27051009773618</x:v>
      </x:c>
      <x:c r="K87" s="26" t="n">
        <x:f>IF(E87="有效",'成本明细'!V255,"n.a.")</x:f>
        <x:v>6825.5</x:v>
      </x:c>
      <x:c r="L87" s="22" t="n">
        <x:f>IF(E87="有效",'成本明细'!H255,"n.a.")</x:f>
        <x:v>187</x:v>
      </x:c>
      <x:c r="M87" s="22" t="n">
        <x:f>IF(E87="有效",'成本明细'!G255,"n.a.")</x:f>
        <x:v>187</x:v>
      </x:c>
    </x:row>
    <x:row r="88" ht="22" customHeight="1">
      <x:c r="A88" s="11" t="str">
        <x:v>lade_0827_20aoi</x:v>
      </x:c>
      <x:c r="B88" s="10" t="n">
        <x:v>20</x:v>
      </x:c>
      <x:c r="C88" s="10" t="n">
        <x:v>3</x:v>
      </x:c>
      <x:c r="D88" s="10" t="n">
        <x:v>43</x:v>
      </x:c>
      <x:c r="E88" s="10" t="str">
        <x:v>有效</x:v>
      </x:c>
      <x:c r="F88" s="26" t="n">
        <x:f>IF(E88="有效",'成本明细'!U241,"n.a.")</x:f>
        <x:v>3343.5936147722223</x:v>
      </x:c>
      <x:c r="G88" s="26" t="n">
        <x:f>IF(E88="有效",'成本明细'!X256,"n.a.")</x:f>
        <x:v>4236.994548103334</x:v>
      </x:c>
      <x:c r="H88" s="26" t="n">
        <x:f>IF(E88="有效",F88-G88,"n.a.")</x:f>
        <x:v>-893.4009333311114</x:v>
      </x:c>
      <x:c r="I88" s="32" t="n">
        <x:f>IF(E88="有效",H88/F88,"n.a.")</x:f>
        <x:v>-0.2671978225415929</x:v>
      </x:c>
      <x:c r="J88" s="26" t="n">
        <x:f>IF(E88="有效",'成本明细'!Y256,"n.a.")</x:f>
        <x:v>22.65772485616756</x:v>
      </x:c>
      <x:c r="K88" s="26" t="n">
        <x:f>IF(E88="有效",'成本明细'!V256,"n.a.")</x:f>
        <x:v>6825.5</x:v>
      </x:c>
      <x:c r="L88" s="22" t="n">
        <x:f>IF(E88="有效",'成本明细'!H256,"n.a.")</x:f>
        <x:v>187</x:v>
      </x:c>
      <x:c r="M88" s="22" t="n">
        <x:f>IF(E88="有效",'成本明细'!G256,"n.a.")</x:f>
        <x:v>187</x:v>
      </x:c>
    </x:row>
    <x:row r="89" ht="22" customHeight="1">
      <x:c r="A89" s="11" t="str">
        <x:v>lade_0827_20aoi</x:v>
      </x:c>
      <x:c r="B89" s="10" t="n">
        <x:v>20</x:v>
      </x:c>
      <x:c r="C89" s="10" t="n">
        <x:v>3</x:v>
      </x:c>
      <x:c r="D89" s="10" t="n">
        <x:v>44</x:v>
      </x:c>
      <x:c r="E89" s="10" t="str">
        <x:v>有效</x:v>
      </x:c>
      <x:c r="F89" s="26" t="n">
        <x:f>IF(E89="有效",'成本明细'!U242,"n.a.")</x:f>
        <x:v>3343.5936147722223</x:v>
      </x:c>
      <x:c r="G89" s="26" t="n">
        <x:f>IF(E89="有效",'成本明细'!X257,"n.a.")</x:f>
        <x:v>3998.576570725555</x:v>
      </x:c>
      <x:c r="H89" s="26" t="n">
        <x:f>IF(E89="有效",F89-G89,"n.a.")</x:f>
        <x:v>-654.9829559533327</x:v>
      </x:c>
      <x:c r="I89" s="32" t="n">
        <x:f>IF(E89="有效",H89/F89,"n.a.")</x:f>
        <x:v>-0.19589191493235716</x:v>
      </x:c>
      <x:c r="J89" s="26" t="n">
        <x:f>IF(E89="有效",'成本明细'!Y257,"n.a.")</x:f>
        <x:v>21.382762410297087</x:v>
      </x:c>
      <x:c r="K89" s="26" t="n">
        <x:f>IF(E89="有效",'成本明细'!V257,"n.a.")</x:f>
        <x:v>6825.5</x:v>
      </x:c>
      <x:c r="L89" s="22" t="n">
        <x:f>IF(E89="有效",'成本明细'!H257,"n.a.")</x:f>
        <x:v>187</x:v>
      </x:c>
      <x:c r="M89" s="22" t="n">
        <x:f>IF(E89="有效",'成本明细'!G257,"n.a.")</x:f>
        <x:v>187</x:v>
      </x:c>
    </x:row>
    <x:row r="90" ht="22" customHeight="1">
      <x:c r="A90" s="11" t="str">
        <x:v>lade_0827_30aoi</x:v>
      </x:c>
      <x:c r="B90" s="10" t="n">
        <x:v>30</x:v>
      </x:c>
      <x:c r="C90" s="10" t="n">
        <x:v>2</x:v>
      </x:c>
      <x:c r="D90" s="10" t="n">
        <x:v>42</x:v>
      </x:c>
      <x:c r="E90" s="10" t="str">
        <x:v>有效</x:v>
      </x:c>
      <x:c r="F90" s="26" t="n">
        <x:f>IF(E90="有效",'成本明细'!U258,"n.a.")</x:f>
        <x:v>3429.805392835</x:v>
      </x:c>
      <x:c r="G90" s="26" t="n">
        <x:f>IF(E90="有效",'成本明细'!X270,"n.a.")</x:f>
        <x:v>3618.077531451111</x:v>
      </x:c>
      <x:c r="H90" s="26" t="n">
        <x:f>IF(E90="有效",F90-G90,"n.a.")</x:f>
        <x:v>-188.27213861611108</x:v>
      </x:c>
      <x:c r="I90" s="32" t="n">
        <x:f>IF(E90="有效",H90/F90,"n.a.")</x:f>
        <x:v>-0.05489295078065335</x:v>
      </x:c>
      <x:c r="J90" s="26" t="n">
        <x:f>IF(E90="有效",'成本明细'!Y270,"n.a.")</x:f>
        <x:v>15.202006434668535</x:v>
      </x:c>
      <x:c r="K90" s="26" t="n">
        <x:f>IF(E90="有效",'成本明细'!V270,"n.a.")</x:f>
        <x:v>8687</x:v>
      </x:c>
      <x:c r="L90" s="22" t="n">
        <x:f>IF(E90="有效",'成本明细'!H270,"n.a.")</x:f>
        <x:v>238</x:v>
      </x:c>
      <x:c r="M90" s="22" t="n">
        <x:f>IF(E90="有效",'成本明细'!G270,"n.a.")</x:f>
        <x:v>238</x:v>
      </x:c>
    </x:row>
    <x:row r="91" ht="22" customHeight="1">
      <x:c r="A91" s="11" t="str">
        <x:v>lade_0827_30aoi</x:v>
      </x:c>
      <x:c r="B91" s="10" t="n">
        <x:v>30</x:v>
      </x:c>
      <x:c r="C91" s="10" t="n">
        <x:v>2</x:v>
      </x:c>
      <x:c r="D91" s="10" t="n">
        <x:v>43</x:v>
      </x:c>
      <x:c r="E91" s="10" t="str">
        <x:v>有效</x:v>
      </x:c>
      <x:c r="F91" s="26" t="n">
        <x:f>IF(E91="有效",'成本明细'!U259,"n.a.")</x:f>
        <x:v>3264.5807109494444</x:v>
      </x:c>
      <x:c r="G91" s="26" t="n">
        <x:f>IF(E91="有效",'成本明细'!X271,"n.a.")</x:f>
        <x:v>4059.3490677733334</x:v>
      </x:c>
      <x:c r="H91" s="26" t="n">
        <x:f>IF(E91="有效",F91-G91,"n.a.")</x:f>
        <x:v>-794.768356823889</x:v>
      </x:c>
      <x:c r="I91" s="32" t="n">
        <x:f>IF(E91="有效",H91/F91,"n.a.")</x:f>
        <x:v>-0.24345189388585983</x:v>
      </x:c>
      <x:c r="J91" s="26" t="n">
        <x:f>IF(E91="有效",'成本明细'!Y271,"n.a.")</x:f>
        <x:v>17.056088520056022</x:v>
      </x:c>
      <x:c r="K91" s="26" t="n">
        <x:f>IF(E91="有效",'成本明细'!V271,"n.a.")</x:f>
        <x:v>8687</x:v>
      </x:c>
      <x:c r="L91" s="22" t="n">
        <x:f>IF(E91="有效",'成本明细'!H271,"n.a.")</x:f>
        <x:v>238</x:v>
      </x:c>
      <x:c r="M91" s="22" t="n">
        <x:f>IF(E91="有效",'成本明细'!G271,"n.a.")</x:f>
        <x:v>238</x:v>
      </x:c>
    </x:row>
    <x:row r="92" ht="22" customHeight="1">
      <x:c r="A92" s="11" t="str">
        <x:v>lade_0827_30aoi</x:v>
      </x:c>
      <x:c r="B92" s="10" t="n">
        <x:v>30</x:v>
      </x:c>
      <x:c r="C92" s="10" t="n">
        <x:v>2</x:v>
      </x:c>
      <x:c r="D92" s="10" t="n">
        <x:v>44</x:v>
      </x:c>
      <x:c r="E92" s="10" t="str">
        <x:v>有效</x:v>
      </x:c>
      <x:c r="F92" s="26" t="n">
        <x:f>IF(E92="有效",'成本明细'!U260,"n.a.")</x:f>
        <x:v>3429.805392835</x:v>
      </x:c>
      <x:c r="G92" s="26" t="n">
        <x:f>IF(E92="有效",'成本明细'!X272,"n.a.")</x:f>
        <x:v>5132.141703982222</x:v>
      </x:c>
      <x:c r="H92" s="26" t="n">
        <x:f>IF(E92="有效",F92-G92,"n.a.")</x:f>
        <x:v>-1702.3363111472217</x:v>
      </x:c>
      <x:c r="I92" s="32" t="n">
        <x:f>IF(E92="有效",H92/F92,"n.a.")</x:f>
        <x:v>-0.4963361229483953</x:v>
      </x:c>
      <x:c r="J92" s="26" t="n">
        <x:f>IF(E92="有效",'成本明细'!Y272,"n.a.")</x:f>
        <x:v>21.56362060496732</x:v>
      </x:c>
      <x:c r="K92" s="26" t="n">
        <x:f>IF(E92="有效",'成本明细'!V272,"n.a.")</x:f>
        <x:v>8687</x:v>
      </x:c>
      <x:c r="L92" s="22" t="n">
        <x:f>IF(E92="有效",'成本明细'!H272,"n.a.")</x:f>
        <x:v>238</x:v>
      </x:c>
      <x:c r="M92" s="22" t="n">
        <x:f>IF(E92="有效",'成本明细'!G272,"n.a.")</x:f>
        <x:v>238</x:v>
      </x:c>
    </x:row>
    <x:row r="93" ht="22" customHeight="1">
      <x:c r="A93" s="11" t="str">
        <x:v>lade_0827_30aoi</x:v>
      </x:c>
      <x:c r="B93" s="10" t="n">
        <x:v>30</x:v>
      </x:c>
      <x:c r="C93" s="10" t="n">
        <x:v>3</x:v>
      </x:c>
      <x:c r="D93" s="10" t="n">
        <x:v>42</x:v>
      </x:c>
      <x:c r="E93" s="10" t="str">
        <x:v>有效</x:v>
      </x:c>
      <x:c r="F93" s="26" t="n">
        <x:f>IF(E93="有效",'成本明细'!U258,"n.a.")</x:f>
        <x:v>3429.805392835</x:v>
      </x:c>
      <x:c r="G93" s="26" t="n">
        <x:f>IF(E93="有效",'成本明细'!X273,"n.a.")</x:f>
        <x:v>4601.724567698333</x:v>
      </x:c>
      <x:c r="H93" s="26" t="n">
        <x:f>IF(E93="有效",F93-G93,"n.a.")</x:f>
        <x:v>-1171.919174863333</x:v>
      </x:c>
      <x:c r="I93" s="32" t="n">
        <x:f>IF(E93="有效",H93/F93,"n.a.")</x:f>
        <x:v>-0.34168678412819536</x:v>
      </x:c>
      <x:c r="J93" s="26" t="n">
        <x:f>IF(E93="有效",'成本明细'!Y273,"n.a.")</x:f>
        <x:v>19.33497717520308</x:v>
      </x:c>
      <x:c r="K93" s="26" t="n">
        <x:f>IF(E93="有效",'成本明细'!V273,"n.a.")</x:f>
        <x:v>8687</x:v>
      </x:c>
      <x:c r="L93" s="22" t="n">
        <x:f>IF(E93="有效",'成本明细'!H273,"n.a.")</x:f>
        <x:v>238</x:v>
      </x:c>
      <x:c r="M93" s="22" t="n">
        <x:f>IF(E93="有效",'成本明细'!G273,"n.a.")</x:f>
        <x:v>238</x:v>
      </x:c>
    </x:row>
    <x:row r="94" ht="22" customHeight="1">
      <x:c r="A94" s="11" t="str">
        <x:v>lade_0827_30aoi</x:v>
      </x:c>
      <x:c r="B94" s="10" t="n">
        <x:v>30</x:v>
      </x:c>
      <x:c r="C94" s="10" t="n">
        <x:v>3</x:v>
      </x:c>
      <x:c r="D94" s="10" t="n">
        <x:v>43</x:v>
      </x:c>
      <x:c r="E94" s="10" t="str">
        <x:v>有效</x:v>
      </x:c>
      <x:c r="F94" s="26" t="n">
        <x:f>IF(E94="有效",'成本明细'!U259,"n.a.")</x:f>
        <x:v>3264.5807109494444</x:v>
      </x:c>
      <x:c r="G94" s="26" t="n">
        <x:f>IF(E94="有效",'成本明细'!X274,"n.a.")</x:f>
        <x:v>4382.594229770555</x:v>
      </x:c>
      <x:c r="H94" s="26" t="n">
        <x:f>IF(E94="有效",F94-G94,"n.a.")</x:f>
        <x:v>-1118.0135188211107</x:v>
      </x:c>
      <x:c r="I94" s="32" t="n">
        <x:f>IF(E94="有效",H94/F94,"n.a.")</x:f>
        <x:v>-0.3424677218337042</x:v>
      </x:c>
      <x:c r="J94" s="26" t="n">
        <x:f>IF(E94="有效",'成本明细'!Y274,"n.a.")</x:f>
        <x:v>18.414261469624183</x:v>
      </x:c>
      <x:c r="K94" s="26" t="n">
        <x:f>IF(E94="有效",'成本明细'!V274,"n.a.")</x:f>
        <x:v>8687</x:v>
      </x:c>
      <x:c r="L94" s="22" t="n">
        <x:f>IF(E94="有效",'成本明细'!H274,"n.a.")</x:f>
        <x:v>238</x:v>
      </x:c>
      <x:c r="M94" s="22" t="n">
        <x:f>IF(E94="有效",'成本明细'!G274,"n.a.")</x:f>
        <x:v>238</x:v>
      </x:c>
    </x:row>
    <x:row r="95" ht="22" customHeight="1">
      <x:c r="A95" s="11" t="str">
        <x:v>lade_0827_30aoi</x:v>
      </x:c>
      <x:c r="B95" s="10" t="n">
        <x:v>30</x:v>
      </x:c>
      <x:c r="C95" s="10" t="n">
        <x:v>3</x:v>
      </x:c>
      <x:c r="D95" s="10" t="n">
        <x:v>44</x:v>
      </x:c>
      <x:c r="E95" s="10" t="str">
        <x:v>有效</x:v>
      </x:c>
      <x:c r="F95" s="26" t="n">
        <x:f>IF(E95="有效",'成本明细'!U260,"n.a.")</x:f>
        <x:v>3429.805392835</x:v>
      </x:c>
      <x:c r="G95" s="26" t="n">
        <x:f>IF(E95="有效",'成本明细'!X275,"n.a.")</x:f>
        <x:v>4172.449968312222</x:v>
      </x:c>
      <x:c r="H95" s="26" t="n">
        <x:f>IF(E95="有效",F95-G95,"n.a.")</x:f>
        <x:v>-742.6445754772221</x:v>
      </x:c>
      <x:c r="I95" s="32" t="n">
        <x:f>IF(E95="有效",H95/F95,"n.a.")</x:f>
        <x:v>-0.21652673852243517</x:v>
      </x:c>
      <x:c r="J95" s="26" t="n">
        <x:f>IF(E95="有效",'成本明细'!Y275,"n.a.")</x:f>
        <x:v>17.53130238786648</x:v>
      </x:c>
      <x:c r="K95" s="26" t="n">
        <x:f>IF(E95="有效",'成本明细'!V275,"n.a.")</x:f>
        <x:v>8687</x:v>
      </x:c>
      <x:c r="L95" s="22" t="n">
        <x:f>IF(E95="有效",'成本明细'!H275,"n.a.")</x:f>
        <x:v>238</x:v>
      </x:c>
      <x:c r="M95" s="22" t="n">
        <x:f>IF(E95="有效",'成本明细'!G275,"n.a.")</x:f>
        <x:v>238</x:v>
      </x:c>
    </x:row>
    <x:row r="96" ht="22" customHeight="1">
      <x:c r="A96" s="11" t="str">
        <x:v>lade_0828_10aoi</x:v>
      </x:c>
      <x:c r="B96" s="10" t="n">
        <x:v>10</x:v>
      </x:c>
      <x:c r="C96" s="10" t="n">
        <x:v>2</x:v>
      </x:c>
      <x:c r="D96" s="10" t="n">
        <x:v>42</x:v>
      </x:c>
      <x:c r="E96" s="10" t="str">
        <x:v>有效</x:v>
      </x:c>
      <x:c r="F96" s="26" t="n">
        <x:f>IF(E96="有效",'成本明细'!U276,"n.a.")</x:f>
        <x:v>1795.7832468372221</x:v>
      </x:c>
      <x:c r="G96" s="26" t="n">
        <x:f>IF(E96="有效",'成本明细'!X288,"n.a.")</x:f>
        <x:v>2331.826474931667</x:v>
      </x:c>
      <x:c r="H96" s="26" t="n">
        <x:f>IF(E96="有效",F96-G96,"n.a.")</x:f>
        <x:v>-536.0432280944447</x:v>
      </x:c>
      <x:c r="I96" s="32" t="n">
        <x:f>IF(E96="有效",H96/F96,"n.a.")</x:f>
        <x:v>-0.2985010741349421</x:v>
      </x:c>
      <x:c r="J96" s="26" t="n">
        <x:f>IF(E96="有效",'成本明细'!Y288,"n.a.")</x:f>
        <x:v>19.76124131298023</x:v>
      </x:c>
      <x:c r="K96" s="26" t="n">
        <x:f>IF(E96="有效",'成本明细'!V288,"n.a.")</x:f>
        <x:v>4307</x:v>
      </x:c>
      <x:c r="L96" s="22" t="n">
        <x:f>IF(E96="有效",'成本明细'!H288,"n.a.")</x:f>
        <x:v>118</x:v>
      </x:c>
      <x:c r="M96" s="22" t="n">
        <x:f>IF(E96="有效",'成本明细'!G288,"n.a.")</x:f>
        <x:v>118</x:v>
      </x:c>
    </x:row>
    <x:row r="97" ht="22" customHeight="1">
      <x:c r="A97" s="11" t="str">
        <x:v>lade_0828_10aoi</x:v>
      </x:c>
      <x:c r="B97" s="10" t="n">
        <x:v>10</x:v>
      </x:c>
      <x:c r="C97" s="10" t="n">
        <x:v>2</x:v>
      </x:c>
      <x:c r="D97" s="10" t="n">
        <x:v>43</x:v>
      </x:c>
      <x:c r="E97" s="10" t="str">
        <x:v>有效</x:v>
      </x:c>
      <x:c r="F97" s="26" t="n">
        <x:f>IF(E97="有效",'成本明细'!U277,"n.a.")</x:f>
        <x:v>1795.7832468372221</x:v>
      </x:c>
      <x:c r="G97" s="26" t="n">
        <x:f>IF(E97="有效",'成本明细'!X289,"n.a.")</x:f>
        <x:v>2331.826474931667</x:v>
      </x:c>
      <x:c r="H97" s="26" t="n">
        <x:f>IF(E97="有效",F97-G97,"n.a.")</x:f>
        <x:v>-536.0432280944447</x:v>
      </x:c>
      <x:c r="I97" s="32" t="n">
        <x:f>IF(E97="有效",H97/F97,"n.a.")</x:f>
        <x:v>-0.2985010741349421</x:v>
      </x:c>
      <x:c r="J97" s="26" t="n">
        <x:f>IF(E97="有效",'成本明细'!Y289,"n.a.")</x:f>
        <x:v>19.76124131298023</x:v>
      </x:c>
      <x:c r="K97" s="26" t="n">
        <x:f>IF(E97="有效",'成本明细'!V289,"n.a.")</x:f>
        <x:v>4307</x:v>
      </x:c>
      <x:c r="L97" s="22" t="n">
        <x:f>IF(E97="有效",'成本明细'!H289,"n.a.")</x:f>
        <x:v>118</x:v>
      </x:c>
      <x:c r="M97" s="22" t="n">
        <x:f>IF(E97="有效",'成本明细'!G289,"n.a.")</x:f>
        <x:v>118</x:v>
      </x:c>
    </x:row>
    <x:row r="98" ht="22" customHeight="1">
      <x:c r="A98" s="11" t="str">
        <x:v>lade_0828_10aoi</x:v>
      </x:c>
      <x:c r="B98" s="10" t="n">
        <x:v>10</x:v>
      </x:c>
      <x:c r="C98" s="10" t="n">
        <x:v>2</x:v>
      </x:c>
      <x:c r="D98" s="10" t="n">
        <x:v>44</x:v>
      </x:c>
      <x:c r="E98" s="10" t="str">
        <x:v>有效</x:v>
      </x:c>
      <x:c r="F98" s="26" t="n">
        <x:f>IF(E98="有效",'成本明细'!U278,"n.a.")</x:f>
        <x:v>1795.7832468372221</x:v>
      </x:c>
      <x:c r="G98" s="26" t="n">
        <x:f>IF(E98="有效",'成本明细'!X290,"n.a.")</x:f>
        <x:v>2405.1905218066668</x:v>
      </x:c>
      <x:c r="H98" s="26" t="n">
        <x:f>IF(E98="有效",F98-G98,"n.a.")</x:f>
        <x:v>-609.4072749694446</x:v>
      </x:c>
      <x:c r="I98" s="32" t="n">
        <x:f>IF(E98="有效",H98/F98,"n.a.")</x:f>
        <x:v>-0.3393545830448902</x:v>
      </x:c>
      <x:c r="J98" s="26" t="n">
        <x:f>IF(E98="有效",'成本明细'!Y290,"n.a.")</x:f>
        <x:v>20.38297052378531</x:v>
      </x:c>
      <x:c r="K98" s="26" t="n">
        <x:f>IF(E98="有效",'成本明细'!V290,"n.a.")</x:f>
        <x:v>4307</x:v>
      </x:c>
      <x:c r="L98" s="22" t="n">
        <x:f>IF(E98="有效",'成本明细'!H290,"n.a.")</x:f>
        <x:v>118</x:v>
      </x:c>
      <x:c r="M98" s="22" t="n">
        <x:f>IF(E98="有效",'成本明细'!G290,"n.a.")</x:f>
        <x:v>118</x:v>
      </x:c>
    </x:row>
    <x:row r="99" ht="22" customHeight="1">
      <x:c r="A99" s="11" t="str">
        <x:v>lade_0828_10aoi</x:v>
      </x:c>
      <x:c r="B99" s="10" t="n">
        <x:v>10</x:v>
      </x:c>
      <x:c r="C99" s="10" t="n">
        <x:v>3</x:v>
      </x:c>
      <x:c r="D99" s="10" t="n">
        <x:v>42</x:v>
      </x:c>
      <x:c r="E99" s="10" t="str">
        <x:v>有效</x:v>
      </x:c>
      <x:c r="F99" s="26" t="n">
        <x:f>IF(E99="有效",'成本明细'!U276,"n.a.")</x:f>
        <x:v>1795.7832468372221</x:v>
      </x:c>
      <x:c r="G99" s="26" t="n">
        <x:f>IF(E99="有效",'成本明细'!X291,"n.a.")</x:f>
        <x:v>2318.972765241111</x:v>
      </x:c>
      <x:c r="H99" s="26" t="n">
        <x:f>IF(E99="有效",F99-G99,"n.a.")</x:f>
        <x:v>-523.189518403889</x:v>
      </x:c>
      <x:c r="I99" s="32" t="n">
        <x:f>IF(E99="有效",H99/F99,"n.a.")</x:f>
        <x:v>-0.29134335634623126</x:v>
      </x:c>
      <x:c r="J99" s="26" t="n">
        <x:f>IF(E99="有效",'成本明细'!Y291,"n.a.")</x:f>
        <x:v>19.652311569839924</x:v>
      </x:c>
      <x:c r="K99" s="26" t="n">
        <x:f>IF(E99="有效",'成本明细'!V291,"n.a.")</x:f>
        <x:v>4307</x:v>
      </x:c>
      <x:c r="L99" s="22" t="n">
        <x:f>IF(E99="有效",'成本明细'!H291,"n.a.")</x:f>
        <x:v>118</x:v>
      </x:c>
      <x:c r="M99" s="22" t="n">
        <x:f>IF(E99="有效",'成本明细'!G291,"n.a.")</x:f>
        <x:v>118</x:v>
      </x:c>
    </x:row>
    <x:row r="100" ht="22" customHeight="1">
      <x:c r="A100" s="11" t="str">
        <x:v>lade_0828_10aoi</x:v>
      </x:c>
      <x:c r="B100" s="10" t="n">
        <x:v>10</x:v>
      </x:c>
      <x:c r="C100" s="10" t="n">
        <x:v>3</x:v>
      </x:c>
      <x:c r="D100" s="10" t="n">
        <x:v>43</x:v>
      </x:c>
      <x:c r="E100" s="10" t="str">
        <x:v>有效</x:v>
      </x:c>
      <x:c r="F100" s="26" t="n">
        <x:f>IF(E100="有效",'成本明细'!U277,"n.a.")</x:f>
        <x:v>1795.7832468372221</x:v>
      </x:c>
      <x:c r="G100" s="26" t="n">
        <x:f>IF(E100="有效",'成本明细'!X292,"n.a.")</x:f>
        <x:v>2318.972765241111</x:v>
      </x:c>
      <x:c r="H100" s="26" t="n">
        <x:f>IF(E100="有效",F100-G100,"n.a.")</x:f>
        <x:v>-523.189518403889</x:v>
      </x:c>
      <x:c r="I100" s="32" t="n">
        <x:f>IF(E100="有效",H100/F100,"n.a.")</x:f>
        <x:v>-0.29134335634623126</x:v>
      </x:c>
      <x:c r="J100" s="26" t="n">
        <x:f>IF(E100="有效",'成本明细'!Y292,"n.a.")</x:f>
        <x:v>19.652311569839924</x:v>
      </x:c>
      <x:c r="K100" s="26" t="n">
        <x:f>IF(E100="有效",'成本明细'!V292,"n.a.")</x:f>
        <x:v>4307</x:v>
      </x:c>
      <x:c r="L100" s="22" t="n">
        <x:f>IF(E100="有效",'成本明细'!H292,"n.a.")</x:f>
        <x:v>118</x:v>
      </x:c>
      <x:c r="M100" s="22" t="n">
        <x:f>IF(E100="有效",'成本明细'!G292,"n.a.")</x:f>
        <x:v>118</x:v>
      </x:c>
    </x:row>
    <x:row r="101" ht="22" customHeight="1">
      <x:c r="A101" s="11" t="str">
        <x:v>lade_0828_10aoi</x:v>
      </x:c>
      <x:c r="B101" s="10" t="n">
        <x:v>10</x:v>
      </x:c>
      <x:c r="C101" s="10" t="n">
        <x:v>3</x:v>
      </x:c>
      <x:c r="D101" s="10" t="n">
        <x:v>44</x:v>
      </x:c>
      <x:c r="E101" s="10" t="str">
        <x:v>有效</x:v>
      </x:c>
      <x:c r="F101" s="26" t="n">
        <x:f>IF(E101="有效",'成本明细'!U278,"n.a.")</x:f>
        <x:v>1795.7832468372221</x:v>
      </x:c>
      <x:c r="G101" s="26" t="n">
        <x:f>IF(E101="有效",'成本明细'!X293,"n.a.")</x:f>
        <x:v>2214.43731038</x:v>
      </x:c>
      <x:c r="H101" s="26" t="n">
        <x:f>IF(E101="有效",F101-G101,"n.a.")</x:f>
        <x:v>-418.65406354277775</x:v>
      </x:c>
      <x:c r="I101" s="32" t="n">
        <x:f>IF(E101="有效",H101/F101,"n.a.")</x:f>
        <x:v>-0.233131734734758</x:v>
      </x:c>
      <x:c r="J101" s="26" t="n">
        <x:f>IF(E101="有效",'成本明细'!Y293,"n.a.")</x:f>
        <x:v>18.76641788457627</x:v>
      </x:c>
      <x:c r="K101" s="26" t="n">
        <x:f>IF(E101="有效",'成本明细'!V293,"n.a.")</x:f>
        <x:v>4307</x:v>
      </x:c>
      <x:c r="L101" s="22" t="n">
        <x:f>IF(E101="有效",'成本明细'!H293,"n.a.")</x:f>
        <x:v>118</x:v>
      </x:c>
      <x:c r="M101" s="22" t="n">
        <x:f>IF(E101="有效",'成本明细'!G293,"n.a.")</x:f>
        <x:v>118</x:v>
      </x:c>
    </x:row>
    <x:row r="102" ht="22" customHeight="1">
      <x:c r="A102" s="11" t="str">
        <x:v>lade_0828_20aoi</x:v>
      </x:c>
      <x:c r="B102" s="10" t="n">
        <x:v>20</x:v>
      </x:c>
      <x:c r="C102" s="10" t="n">
        <x:v>2</x:v>
      </x:c>
      <x:c r="D102" s="10" t="n">
        <x:v>42</x:v>
      </x:c>
      <x:c r="E102" s="10" t="str">
        <x:v>有效</x:v>
      </x:c>
      <x:c r="F102" s="26" t="n">
        <x:f>IF(E102="有效",'成本明细'!U294,"n.a.")</x:f>
        <x:v>3326.433337905</x:v>
      </x:c>
      <x:c r="G102" s="26" t="n">
        <x:f>IF(E102="有效",'成本明细'!X306,"n.a.")</x:f>
        <x:v>4505.378556247778</x:v>
      </x:c>
      <x:c r="H102" s="26" t="n">
        <x:f>IF(E102="有效",F102-G102,"n.a.")</x:f>
        <x:v>-1178.945218342778</x:v>
      </x:c>
      <x:c r="I102" s="32" t="n">
        <x:f>IF(E102="有效",H102/F102,"n.a.")</x:f>
        <x:v>-0.35441720863863213</x:v>
      </x:c>
      <x:c r="J102" s="26" t="n">
        <x:f>IF(E102="有效",'成本明细'!Y306,"n.a.")</x:f>
        <x:v>24.09293345587047</x:v>
      </x:c>
      <x:c r="K102" s="26" t="n">
        <x:f>IF(E102="有效",'成本明细'!V306,"n.a.")</x:f>
        <x:v>6825.5</x:v>
      </x:c>
      <x:c r="L102" s="22" t="n">
        <x:f>IF(E102="有效",'成本明细'!H306,"n.a.")</x:f>
        <x:v>187</x:v>
      </x:c>
      <x:c r="M102" s="22" t="n">
        <x:f>IF(E102="有效",'成本明细'!G306,"n.a.")</x:f>
        <x:v>187</x:v>
      </x:c>
    </x:row>
    <x:row r="103" ht="22" customHeight="1">
      <x:c r="A103" s="11" t="str">
        <x:v>lade_0828_20aoi</x:v>
      </x:c>
      <x:c r="B103" s="10" t="n">
        <x:v>20</x:v>
      </x:c>
      <x:c r="C103" s="10" t="n">
        <x:v>2</x:v>
      </x:c>
      <x:c r="D103" s="10" t="n">
        <x:v>43</x:v>
      </x:c>
      <x:c r="E103" s="10" t="str">
        <x:v>有效</x:v>
      </x:c>
      <x:c r="F103" s="26" t="n">
        <x:f>IF(E103="有效",'成本明细'!U295,"n.a.")</x:f>
        <x:v>3326.433337905</x:v>
      </x:c>
      <x:c r="G103" s="26" t="n">
        <x:f>IF(E103="有效",'成本明细'!X307,"n.a.")</x:f>
        <x:v>4535.4039531611115</x:v>
      </x:c>
      <x:c r="H103" s="26" t="n">
        <x:f>IF(E103="有效",F103-G103,"n.a.")</x:f>
        <x:v>-1208.9706152561116</x:v>
      </x:c>
      <x:c r="I103" s="32" t="n">
        <x:f>IF(E103="有效",H103/F103,"n.a.")</x:f>
        <x:v>-0.36344351214851817</x:v>
      </x:c>
      <x:c r="J103" s="26" t="n">
        <x:f>IF(E103="有效",'成本明细'!Y307,"n.a.")</x:f>
        <x:v>24.253497075727868</x:v>
      </x:c>
      <x:c r="K103" s="26" t="n">
        <x:f>IF(E103="有效",'成本明细'!V307,"n.a.")</x:f>
        <x:v>6825.5</x:v>
      </x:c>
      <x:c r="L103" s="22" t="n">
        <x:f>IF(E103="有效",'成本明细'!H307,"n.a.")</x:f>
        <x:v>187</x:v>
      </x:c>
      <x:c r="M103" s="22" t="n">
        <x:f>IF(E103="有效",'成本明细'!G307,"n.a.")</x:f>
        <x:v>187</x:v>
      </x:c>
    </x:row>
    <x:row r="104" ht="22" customHeight="1">
      <x:c r="A104" s="11" t="str">
        <x:v>lade_0828_20aoi</x:v>
      </x:c>
      <x:c r="B104" s="10" t="n">
        <x:v>20</x:v>
      </x:c>
      <x:c r="C104" s="10" t="n">
        <x:v>2</x:v>
      </x:c>
      <x:c r="D104" s="10" t="n">
        <x:v>44</x:v>
      </x:c>
      <x:c r="E104" s="10" t="str">
        <x:v>有效</x:v>
      </x:c>
      <x:c r="F104" s="26" t="n">
        <x:f>IF(E104="有效",'成本明细'!U296,"n.a.")</x:f>
        <x:v>3326.433337905</x:v>
      </x:c>
      <x:c r="G104" s="26" t="n">
        <x:f>IF(E104="有效",'成本明细'!X308,"n.a.")</x:f>
        <x:v>4319.910999626667</x:v>
      </x:c>
      <x:c r="H104" s="26" t="n">
        <x:f>IF(E104="有效",F104-G104,"n.a.")</x:f>
        <x:v>-993.4776617216671</x:v>
      </x:c>
      <x:c r="I104" s="32" t="n">
        <x:f>IF(E104="有效",H104/F104,"n.a.")</x:f>
        <x:v>-0.29866152746874614</x:v>
      </x:c>
      <x:c r="J104" s="26" t="n">
        <x:f>IF(E104="有效",'成本明细'!Y308,"n.a.")</x:f>
        <x:v>23.101128340249556</x:v>
      </x:c>
      <x:c r="K104" s="26" t="n">
        <x:f>IF(E104="有效",'成本明细'!V308,"n.a.")</x:f>
        <x:v>6825.5</x:v>
      </x:c>
      <x:c r="L104" s="22" t="n">
        <x:f>IF(E104="有效",'成本明细'!H308,"n.a.")</x:f>
        <x:v>187</x:v>
      </x:c>
      <x:c r="M104" s="22" t="n">
        <x:f>IF(E104="有效",'成本明细'!G308,"n.a.")</x:f>
        <x:v>187</x:v>
      </x:c>
    </x:row>
    <x:row r="105" ht="22" customHeight="1">
      <x:c r="A105" s="11" t="str">
        <x:v>lade_0828_20aoi</x:v>
      </x:c>
      <x:c r="B105" s="10" t="n">
        <x:v>20</x:v>
      </x:c>
      <x:c r="C105" s="10" t="n">
        <x:v>3</x:v>
      </x:c>
      <x:c r="D105" s="10" t="n">
        <x:v>42</x:v>
      </x:c>
      <x:c r="E105" s="10" t="str">
        <x:v>有效</x:v>
      </x:c>
      <x:c r="F105" s="26" t="n">
        <x:f>IF(E105="有效",'成本明细'!U294,"n.a.")</x:f>
        <x:v>3326.433337905</x:v>
      </x:c>
      <x:c r="G105" s="26" t="n">
        <x:f>IF(E105="有效",'成本明细'!X309,"n.a.")</x:f>
        <x:v>4140.125742054444</x:v>
      </x:c>
      <x:c r="H105" s="26" t="n">
        <x:f>IF(E105="有效",F105-G105,"n.a.")</x:f>
        <x:v>-813.6924041494444</x:v>
      </x:c>
      <x:c r="I105" s="32" t="n">
        <x:f>IF(E105="有效",H105/F105,"n.a.")</x:f>
        <x:v>-0.24461407203846475</x:v>
      </x:c>
      <x:c r="J105" s="26" t="n">
        <x:f>IF(E105="有效",'成本明细'!Y309,"n.a.")</x:f>
        <x:v>22.139709850558525</x:v>
      </x:c>
      <x:c r="K105" s="26" t="n">
        <x:f>IF(E105="有效",'成本明细'!V309,"n.a.")</x:f>
        <x:v>6825.5</x:v>
      </x:c>
      <x:c r="L105" s="22" t="n">
        <x:f>IF(E105="有效",'成本明细'!H309,"n.a.")</x:f>
        <x:v>187</x:v>
      </x:c>
      <x:c r="M105" s="22" t="n">
        <x:f>IF(E105="有效",'成本明细'!G309,"n.a.")</x:f>
        <x:v>187</x:v>
      </x:c>
    </x:row>
    <x:row r="106" ht="22" customHeight="1">
      <x:c r="A106" s="11" t="str">
        <x:v>lade_0828_20aoi</x:v>
      </x:c>
      <x:c r="B106" s="10" t="n">
        <x:v>20</x:v>
      </x:c>
      <x:c r="C106" s="10" t="n">
        <x:v>3</x:v>
      </x:c>
      <x:c r="D106" s="10" t="n">
        <x:v>43</x:v>
      </x:c>
      <x:c r="E106" s="10" t="str">
        <x:v>有效</x:v>
      </x:c>
      <x:c r="F106" s="26" t="n">
        <x:f>IF(E106="有效",'成本明细'!U295,"n.a.")</x:f>
        <x:v>3326.433337905</x:v>
      </x:c>
      <x:c r="G106" s="26" t="n">
        <x:f>IF(E106="有效",'成本明细'!X310,"n.a.")</x:f>
        <x:v>3878.2038790199995</x:v>
      </x:c>
      <x:c r="H106" s="26" t="n">
        <x:f>IF(E106="有效",F106-G106,"n.a.")</x:f>
        <x:v>-551.7705411149996</x:v>
      </x:c>
      <x:c r="I106" s="32" t="n">
        <x:f>IF(E106="有效",H106/F106,"n.a.")</x:f>
        <x:v>-0.16587452236830535</x:v>
      </x:c>
      <x:c r="J106" s="26" t="n">
        <x:f>IF(E106="有效",'成本明细'!Y310,"n.a.")</x:f>
        <x:v>20.739058176577537</x:v>
      </x:c>
      <x:c r="K106" s="26" t="n">
        <x:f>IF(E106="有效",'成本明细'!V310,"n.a.")</x:f>
        <x:v>6825.5</x:v>
      </x:c>
      <x:c r="L106" s="22" t="n">
        <x:f>IF(E106="有效",'成本明细'!H310,"n.a.")</x:f>
        <x:v>187</x:v>
      </x:c>
      <x:c r="M106" s="22" t="n">
        <x:f>IF(E106="有效",'成本明细'!G310,"n.a.")</x:f>
        <x:v>187</x:v>
      </x:c>
    </x:row>
    <x:row r="107" ht="22" customHeight="1">
      <x:c r="A107" s="11" t="str">
        <x:v>lade_0828_20aoi</x:v>
      </x:c>
      <x:c r="B107" s="10" t="n">
        <x:v>20</x:v>
      </x:c>
      <x:c r="C107" s="10" t="n">
        <x:v>3</x:v>
      </x:c>
      <x:c r="D107" s="10" t="n">
        <x:v>44</x:v>
      </x:c>
      <x:c r="E107" s="10" t="str">
        <x:v>有效</x:v>
      </x:c>
      <x:c r="F107" s="26" t="n">
        <x:f>IF(E107="有效",'成本明细'!U296,"n.a.")</x:f>
        <x:v>3326.433337905</x:v>
      </x:c>
      <x:c r="G107" s="26" t="n">
        <x:f>IF(E107="有效",'成本明细'!X311,"n.a.")</x:f>
        <x:v>3581.583931708333</x:v>
      </x:c>
      <x:c r="H107" s="26" t="n">
        <x:f>IF(E107="有效",F107-G107,"n.a.")</x:f>
        <x:v>-255.15059380333287</x:v>
      </x:c>
      <x:c r="I107" s="32" t="n">
        <x:f>IF(E107="有效",H107/F107,"n.a.")</x:f>
        <x:v>-0.07670395522311223</x:v>
      </x:c>
      <x:c r="J107" s="26" t="n">
        <x:f>IF(E107="有效",'成本明细'!Y311,"n.a.")</x:f>
        <x:v>19.15285524977718</x:v>
      </x:c>
      <x:c r="K107" s="26" t="n">
        <x:f>IF(E107="有效",'成本明细'!V311,"n.a.")</x:f>
        <x:v>6825.5</x:v>
      </x:c>
      <x:c r="L107" s="22" t="n">
        <x:f>IF(E107="有效",'成本明细'!H311,"n.a.")</x:f>
        <x:v>187</x:v>
      </x:c>
      <x:c r="M107" s="22" t="n">
        <x:f>IF(E107="有效",'成本明细'!G311,"n.a.")</x:f>
        <x:v>187</x:v>
      </x:c>
    </x:row>
    <x:row r="108" ht="22" customHeight="1">
      <x:c r="A108" s="11" t="str">
        <x:v>lade_0828_30aoi</x:v>
      </x:c>
      <x:c r="B108" s="10" t="n">
        <x:v>30</x:v>
      </x:c>
      <x:c r="C108" s="10" t="n">
        <x:v>2</x:v>
      </x:c>
      <x:c r="D108" s="10" t="n">
        <x:v>42</x:v>
      </x:c>
      <x:c r="E108" s="10" t="str">
        <x:v>有效</x:v>
      </x:c>
      <x:c r="F108" s="26" t="n">
        <x:f>IF(E108="有效",'成本明细'!U312,"n.a.")</x:f>
        <x:v>3594.435462534445</x:v>
      </x:c>
      <x:c r="G108" s="26" t="n">
        <x:f>IF(E108="有效",'成本明细'!X324,"n.a.")</x:f>
        <x:v>4550.542155676666</x:v>
      </x:c>
      <x:c r="H108" s="26" t="n">
        <x:f>IF(E108="有效",F108-G108,"n.a.")</x:f>
        <x:v>-956.106693142221</x:v>
      </x:c>
      <x:c r="I108" s="32" t="n">
        <x:f>IF(E108="有效",H108/F108,"n.a.")</x:f>
        <x:v>-0.265996344379506</x:v>
      </x:c>
      <x:c r="J108" s="26" t="n">
        <x:f>IF(E108="有效",'成本明细'!Y324,"n.a.")</x:f>
        <x:v>19.119925023851536</x:v>
      </x:c>
      <x:c r="K108" s="26" t="n">
        <x:f>IF(E108="有效",'成本明细'!V324,"n.a.")</x:f>
        <x:v>8687</x:v>
      </x:c>
      <x:c r="L108" s="22" t="n">
        <x:f>IF(E108="有效",'成本明细'!H324,"n.a.")</x:f>
        <x:v>238</x:v>
      </x:c>
      <x:c r="M108" s="22" t="n">
        <x:f>IF(E108="有效",'成本明细'!G324,"n.a.")</x:f>
        <x:v>238</x:v>
      </x:c>
    </x:row>
    <x:row r="109" ht="22" customHeight="1">
      <x:c r="A109" s="11" t="str">
        <x:v>lade_0828_30aoi</x:v>
      </x:c>
      <x:c r="B109" s="10" t="n">
        <x:v>30</x:v>
      </x:c>
      <x:c r="C109" s="10" t="n">
        <x:v>2</x:v>
      </x:c>
      <x:c r="D109" s="10" t="n">
        <x:v>43</x:v>
      </x:c>
      <x:c r="E109" s="10" t="str">
        <x:v>有效</x:v>
      </x:c>
      <x:c r="F109" s="26" t="n">
        <x:f>IF(E109="有效",'成本明细'!U313,"n.a.")</x:f>
        <x:v>3594.1749504944446</x:v>
      </x:c>
      <x:c r="G109" s="26" t="n">
        <x:f>IF(E109="有效",'成本明细'!X325,"n.a.")</x:f>
        <x:v>4820.029677465</x:v>
      </x:c>
      <x:c r="H109" s="26" t="n">
        <x:f>IF(E109="有效",F109-G109,"n.a.")</x:f>
        <x:v>-1225.854726970555</x:v>
      </x:c>
      <x:c r="I109" s="32" t="n">
        <x:f>IF(E109="有效",H109/F109,"n.a.")</x:f>
        <x:v>-0.3410670720972879</x:v>
      </x:c>
      <x:c r="J109" s="26" t="n">
        <x:f>IF(E109="有效",'成本明细'!Y325,"n.a.")</x:f>
        <x:v>20.252225535567224</x:v>
      </x:c>
      <x:c r="K109" s="26" t="n">
        <x:f>IF(E109="有效",'成本明细'!V325,"n.a.")</x:f>
        <x:v>8687</x:v>
      </x:c>
      <x:c r="L109" s="22" t="n">
        <x:f>IF(E109="有效",'成本明细'!H325,"n.a.")</x:f>
        <x:v>238</x:v>
      </x:c>
      <x:c r="M109" s="22" t="n">
        <x:f>IF(E109="有效",'成本明细'!G325,"n.a.")</x:f>
        <x:v>238</x:v>
      </x:c>
    </x:row>
    <x:row r="110" ht="22" customHeight="1">
      <x:c r="A110" s="11" t="str">
        <x:v>lade_0828_30aoi</x:v>
      </x:c>
      <x:c r="B110" s="10" t="n">
        <x:v>30</x:v>
      </x:c>
      <x:c r="C110" s="10" t="n">
        <x:v>2</x:v>
      </x:c>
      <x:c r="D110" s="10" t="n">
        <x:v>44</x:v>
      </x:c>
      <x:c r="E110" s="10" t="str">
        <x:v>有效</x:v>
      </x:c>
      <x:c r="F110" s="26" t="n">
        <x:f>IF(E110="有效",'成本明细'!U314,"n.a.")</x:f>
        <x:v>3594.1749504944446</x:v>
      </x:c>
      <x:c r="G110" s="26" t="n">
        <x:f>IF(E110="有效",'成本明细'!X326,"n.a.")</x:f>
        <x:v>4142.981009093333</x:v>
      </x:c>
      <x:c r="H110" s="26" t="n">
        <x:f>IF(E110="有效",F110-G110,"n.a.")</x:f>
        <x:v>-548.8060585988887</x:v>
      </x:c>
      <x:c r="I110" s="32" t="n">
        <x:f>IF(E110="有效",H110/F110,"n.a.")</x:f>
        <x:v>-0.15269319556172145</x:v>
      </x:c>
      <x:c r="J110" s="26" t="n">
        <x:f>IF(E110="有效",'成本明细'!Y326,"n.a.")</x:f>
        <x:v>17.407483231484594</x:v>
      </x:c>
      <x:c r="K110" s="26" t="n">
        <x:f>IF(E110="有效",'成本明细'!V326,"n.a.")</x:f>
        <x:v>8687</x:v>
      </x:c>
      <x:c r="L110" s="22" t="n">
        <x:f>IF(E110="有效",'成本明细'!H326,"n.a.")</x:f>
        <x:v>238</x:v>
      </x:c>
      <x:c r="M110" s="22" t="n">
        <x:f>IF(E110="有效",'成本明细'!G326,"n.a.")</x:f>
        <x:v>238</x:v>
      </x:c>
    </x:row>
    <x:row r="111" ht="22" customHeight="1">
      <x:c r="A111" s="11" t="str">
        <x:v>lade_0828_30aoi</x:v>
      </x:c>
      <x:c r="B111" s="10" t="n">
        <x:v>30</x:v>
      </x:c>
      <x:c r="C111" s="10" t="n">
        <x:v>3</x:v>
      </x:c>
      <x:c r="D111" s="10" t="n">
        <x:v>42</x:v>
      </x:c>
      <x:c r="E111" s="10" t="str">
        <x:v>有效</x:v>
      </x:c>
      <x:c r="F111" s="26" t="n">
        <x:f>IF(E111="有效",'成本明细'!U312,"n.a.")</x:f>
        <x:v>3594.435462534445</x:v>
      </x:c>
      <x:c r="G111" s="26" t="n">
        <x:f>IF(E111="有效",'成本明细'!X327,"n.a.")</x:f>
        <x:v>4631.231451071111</x:v>
      </x:c>
      <x:c r="H111" s="26" t="n">
        <x:f>IF(E111="有效",F111-G111,"n.a.")</x:f>
        <x:v>-1036.7959885366663</x:v>
      </x:c>
      <x:c r="I111" s="32" t="n">
        <x:f>IF(E111="有效",H111/F111,"n.a.")</x:f>
        <x:v>-0.28844473613267185</x:v>
      </x:c>
      <x:c r="J111" s="26" t="n">
        <x:f>IF(E111="有效",'成本明细'!Y327,"n.a.")</x:f>
        <x:v>19.458955676769374</x:v>
      </x:c>
      <x:c r="K111" s="26" t="n">
        <x:f>IF(E111="有效",'成本明细'!V327,"n.a.")</x:f>
        <x:v>8687</x:v>
      </x:c>
      <x:c r="L111" s="22" t="n">
        <x:f>IF(E111="有效",'成本明细'!H327,"n.a.")</x:f>
        <x:v>238</x:v>
      </x:c>
      <x:c r="M111" s="22" t="n">
        <x:f>IF(E111="有效",'成本明细'!G327,"n.a.")</x:f>
        <x:v>238</x:v>
      </x:c>
    </x:row>
    <x:row r="112" ht="22" customHeight="1">
      <x:c r="A112" s="11" t="str">
        <x:v>lade_0828_30aoi</x:v>
      </x:c>
      <x:c r="B112" s="10" t="n">
        <x:v>30</x:v>
      </x:c>
      <x:c r="C112" s="10" t="n">
        <x:v>3</x:v>
      </x:c>
      <x:c r="D112" s="10" t="n">
        <x:v>43</x:v>
      </x:c>
      <x:c r="E112" s="10" t="str">
        <x:v>有效</x:v>
      </x:c>
      <x:c r="F112" s="26" t="n">
        <x:f>IF(E112="有效",'成本明细'!U313,"n.a.")</x:f>
        <x:v>3594.1749504944446</x:v>
      </x:c>
      <x:c r="G112" s="26" t="n">
        <x:f>IF(E112="有效",'成本明细'!X328,"n.a.")</x:f>
        <x:v>4198.733741250556</x:v>
      </x:c>
      <x:c r="H112" s="26" t="n">
        <x:f>IF(E112="有效",F112-G112,"n.a.")</x:f>
        <x:v>-604.5587907561112</x:v>
      </x:c>
      <x:c r="I112" s="32" t="n">
        <x:f>IF(E112="有效",H112/F112,"n.a.")</x:f>
        <x:v>-0.1682051650471113</x:v>
      </x:c>
      <x:c r="J112" s="26" t="n">
        <x:f>IF(E112="有效",'成本明细'!Y328,"n.a.")</x:f>
        <x:v>17.64173840861578</x:v>
      </x:c>
      <x:c r="K112" s="26" t="n">
        <x:f>IF(E112="有效",'成本明细'!V328,"n.a.")</x:f>
        <x:v>8687</x:v>
      </x:c>
      <x:c r="L112" s="22" t="n">
        <x:f>IF(E112="有效",'成本明细'!H328,"n.a.")</x:f>
        <x:v>238</x:v>
      </x:c>
      <x:c r="M112" s="22" t="n">
        <x:f>IF(E112="有效",'成本明细'!G328,"n.a.")</x:f>
        <x:v>238</x:v>
      </x:c>
    </x:row>
    <x:row r="113" ht="22" customHeight="1">
      <x:c r="A113" s="11" t="str">
        <x:v>lade_0828_30aoi</x:v>
      </x:c>
      <x:c r="B113" s="10" t="n">
        <x:v>30</x:v>
      </x:c>
      <x:c r="C113" s="10" t="n">
        <x:v>3</x:v>
      </x:c>
      <x:c r="D113" s="10" t="n">
        <x:v>44</x:v>
      </x:c>
      <x:c r="E113" s="10" t="str">
        <x:v>有效</x:v>
      </x:c>
      <x:c r="F113" s="26" t="n">
        <x:f>IF(E113="有效",'成本明细'!U314,"n.a.")</x:f>
        <x:v>3594.1749504944446</x:v>
      </x:c>
      <x:c r="G113" s="26" t="n">
        <x:f>IF(E113="有效",'成本明细'!X329,"n.a.")</x:f>
        <x:v>4503.750116338889</x:v>
      </x:c>
      <x:c r="H113" s="26" t="n">
        <x:f>IF(E113="有效",F113-G113,"n.a.")</x:f>
        <x:v>-909.5751658444442</x:v>
      </x:c>
      <x:c r="I113" s="32" t="n">
        <x:f>IF(E113="有效",H113/F113,"n.a.")</x:f>
        <x:v>-0.2530692518791595</x:v>
      </x:c>
      <x:c r="J113" s="26" t="n">
        <x:f>IF(E113="有效",'成本明细'!Y329,"n.a.")</x:f>
        <x:v>18.923319816549952</x:v>
      </x:c>
      <x:c r="K113" s="26" t="n">
        <x:f>IF(E113="有效",'成本明细'!V329,"n.a.")</x:f>
        <x:v>8687</x:v>
      </x:c>
      <x:c r="L113" s="22" t="n">
        <x:f>IF(E113="有效",'成本明细'!H329,"n.a.")</x:f>
        <x:v>238</x:v>
      </x:c>
      <x:c r="M113" s="22" t="n">
        <x:f>IF(E113="有效",'成本明细'!G329,"n.a.")</x:f>
        <x:v>238</x:v>
      </x:c>
    </x:row>
    <x:row r="114" ht="22" customHeight="1">
      <x:c r="A114" s="11" t="str">
        <x:v>lade_0829_10aoi</x:v>
      </x:c>
      <x:c r="B114" s="10" t="n">
        <x:v>10</x:v>
      </x:c>
      <x:c r="C114" s="10" t="n">
        <x:v>2</x:v>
      </x:c>
      <x:c r="D114" s="10" t="n">
        <x:v>42</x:v>
      </x:c>
      <x:c r="E114" s="10" t="str">
        <x:v>有效</x:v>
      </x:c>
      <x:c r="F114" s="26" t="n">
        <x:f>IF(E114="有效",'成本明细'!U330,"n.a.")</x:f>
        <x:v>1784.6218747116666</x:v>
      </x:c>
      <x:c r="G114" s="26" t="n">
        <x:f>IF(E114="有效",'成本明细'!X342,"n.a.")</x:f>
        <x:v>2431.881371277222</x:v>
      </x:c>
      <x:c r="H114" s="26" t="n">
        <x:f>IF(E114="有效",F114-G114,"n.a.")</x:f>
        <x:v>-647.2594965655555</x:v>
      </x:c>
      <x:c r="I114" s="32" t="n">
        <x:f>IF(E114="有效",H114/F114,"n.a.")</x:f>
        <x:v>-0.3626871920249943</x:v>
      </x:c>
      <x:c r="J114" s="26" t="n">
        <x:f>IF(E114="有效",'成本明细'!Y342,"n.a.")</x:f>
        <x:v>20.96449457997605</x:v>
      </x:c>
      <x:c r="K114" s="26" t="n">
        <x:f>IF(E114="有效",'成本明细'!V342,"n.a.")</x:f>
        <x:v>4234</x:v>
      </x:c>
      <x:c r="L114" s="22" t="n">
        <x:f>IF(E114="有效",'成本明细'!H342,"n.a.")</x:f>
        <x:v>116</x:v>
      </x:c>
      <x:c r="M114" s="22" t="n">
        <x:f>IF(E114="有效",'成本明细'!G342,"n.a.")</x:f>
        <x:v>116</x:v>
      </x:c>
    </x:row>
    <x:row r="115" ht="22" customHeight="1">
      <x:c r="A115" s="11" t="str">
        <x:v>lade_0829_10aoi</x:v>
      </x:c>
      <x:c r="B115" s="10" t="n">
        <x:v>10</x:v>
      </x:c>
      <x:c r="C115" s="10" t="n">
        <x:v>2</x:v>
      </x:c>
      <x:c r="D115" s="10" t="n">
        <x:v>43</x:v>
      </x:c>
      <x:c r="E115" s="10" t="str">
        <x:v>有效</x:v>
      </x:c>
      <x:c r="F115" s="26" t="n">
        <x:f>IF(E115="有效",'成本明细'!U331,"n.a.")</x:f>
        <x:v>1784.6218747116666</x:v>
      </x:c>
      <x:c r="G115" s="26" t="n">
        <x:f>IF(E115="有效",'成本明细'!X343,"n.a.")</x:f>
        <x:v>2475.605607735555</x:v>
      </x:c>
      <x:c r="H115" s="26" t="n">
        <x:f>IF(E115="有效",F115-G115,"n.a.")</x:f>
        <x:v>-690.9837330238886</x:v>
      </x:c>
      <x:c r="I115" s="32" t="n">
        <x:f>IF(E115="有效",H115/F115,"n.a.")</x:f>
        <x:v>-0.3871877526635875</x:v>
      </x:c>
      <x:c r="J115" s="26" t="n">
        <x:f>IF(E115="有效",'成本明细'!Y343,"n.a.")</x:f>
        <x:v>21.341427652892715</x:v>
      </x:c>
      <x:c r="K115" s="26" t="n">
        <x:f>IF(E115="有效",'成本明细'!V343,"n.a.")</x:f>
        <x:v>4234</x:v>
      </x:c>
      <x:c r="L115" s="22" t="n">
        <x:f>IF(E115="有效",'成本明细'!H343,"n.a.")</x:f>
        <x:v>116</x:v>
      </x:c>
      <x:c r="M115" s="22" t="n">
        <x:f>IF(E115="有效",'成本明细'!G343,"n.a.")</x:f>
        <x:v>116</x:v>
      </x:c>
    </x:row>
    <x:row r="116" ht="22" customHeight="1">
      <x:c r="A116" s="11" t="str">
        <x:v>lade_0829_10aoi</x:v>
      </x:c>
      <x:c r="B116" s="10" t="n">
        <x:v>10</x:v>
      </x:c>
      <x:c r="C116" s="10" t="n">
        <x:v>2</x:v>
      </x:c>
      <x:c r="D116" s="10" t="n">
        <x:v>44</x:v>
      </x:c>
      <x:c r="E116" s="10" t="str">
        <x:v>有效</x:v>
      </x:c>
      <x:c r="F116" s="26" t="n">
        <x:f>IF(E116="有效",'成本明细'!U332,"n.a.")</x:f>
        <x:v>1784.6218747116666</x:v>
      </x:c>
      <x:c r="G116" s="26" t="n">
        <x:f>IF(E116="有效",'成本明细'!X344,"n.a.")</x:f>
        <x:v>2431.881371277222</x:v>
      </x:c>
      <x:c r="H116" s="26" t="n">
        <x:f>IF(E116="有效",F116-G116,"n.a.")</x:f>
        <x:v>-647.2594965655555</x:v>
      </x:c>
      <x:c r="I116" s="32" t="n">
        <x:f>IF(E116="有效",H116/F116,"n.a.")</x:f>
        <x:v>-0.3626871920249943</x:v>
      </x:c>
      <x:c r="J116" s="26" t="n">
        <x:f>IF(E116="有效",'成本明细'!Y344,"n.a.")</x:f>
        <x:v>20.96449457997605</x:v>
      </x:c>
      <x:c r="K116" s="26" t="n">
        <x:f>IF(E116="有效",'成本明细'!V344,"n.a.")</x:f>
        <x:v>4234</x:v>
      </x:c>
      <x:c r="L116" s="22" t="n">
        <x:f>IF(E116="有效",'成本明细'!H344,"n.a.")</x:f>
        <x:v>116</x:v>
      </x:c>
      <x:c r="M116" s="22" t="n">
        <x:f>IF(E116="有效",'成本明细'!G344,"n.a.")</x:f>
        <x:v>116</x:v>
      </x:c>
    </x:row>
    <x:row r="117" ht="22" customHeight="1">
      <x:c r="A117" s="11" t="str">
        <x:v>lade_0829_10aoi</x:v>
      </x:c>
      <x:c r="B117" s="10" t="n">
        <x:v>10</x:v>
      </x:c>
      <x:c r="C117" s="10" t="n">
        <x:v>3</x:v>
      </x:c>
      <x:c r="D117" s="10" t="n">
        <x:v>42</x:v>
      </x:c>
      <x:c r="E117" s="10" t="str">
        <x:v>有效</x:v>
      </x:c>
      <x:c r="F117" s="26" t="n">
        <x:f>IF(E117="有效",'成本明细'!U330,"n.a.")</x:f>
        <x:v>1784.6218747116666</x:v>
      </x:c>
      <x:c r="G117" s="26" t="n">
        <x:f>IF(E117="有效",'成本明细'!X345,"n.a.")</x:f>
        <x:v>2728.6969607138885</x:v>
      </x:c>
      <x:c r="H117" s="26" t="n">
        <x:f>IF(E117="有效",F117-G117,"n.a.")</x:f>
        <x:v>-944.075086002222</x:v>
      </x:c>
      <x:c r="I117" s="32" t="n">
        <x:f>IF(E117="有效",H117/F117,"n.a.")</x:f>
        <x:v>-0.529005667463732</x:v>
      </x:c>
      <x:c r="J117" s="26" t="n">
        <x:f>IF(E117="有效",'成本明细'!Y345,"n.a.")</x:f>
        <x:v>23.523249661326624</x:v>
      </x:c>
      <x:c r="K117" s="26" t="n">
        <x:f>IF(E117="有效",'成本明细'!V345,"n.a.")</x:f>
        <x:v>4234</x:v>
      </x:c>
      <x:c r="L117" s="22" t="n">
        <x:f>IF(E117="有效",'成本明细'!H345,"n.a.")</x:f>
        <x:v>116</x:v>
      </x:c>
      <x:c r="M117" s="22" t="n">
        <x:f>IF(E117="有效",'成本明细'!G345,"n.a.")</x:f>
        <x:v>116</x:v>
      </x:c>
    </x:row>
    <x:row r="118" ht="22" customHeight="1">
      <x:c r="A118" s="11" t="str">
        <x:v>lade_0829_10aoi</x:v>
      </x:c>
      <x:c r="B118" s="10" t="n">
        <x:v>10</x:v>
      </x:c>
      <x:c r="C118" s="10" t="n">
        <x:v>3</x:v>
      </x:c>
      <x:c r="D118" s="10" t="n">
        <x:v>43</x:v>
      </x:c>
      <x:c r="E118" s="10" t="str">
        <x:v>有效</x:v>
      </x:c>
      <x:c r="F118" s="26" t="n">
        <x:f>IF(E118="有效",'成本明细'!U331,"n.a.")</x:f>
        <x:v>1784.6218747116666</x:v>
      </x:c>
      <x:c r="G118" s="26" t="n">
        <x:f>IF(E118="有效",'成本明细'!X346,"n.a.")</x:f>
        <x:v>2728.6969607138885</x:v>
      </x:c>
      <x:c r="H118" s="26" t="n">
        <x:f>IF(E118="有效",F118-G118,"n.a.")</x:f>
        <x:v>-944.075086002222</x:v>
      </x:c>
      <x:c r="I118" s="32" t="n">
        <x:f>IF(E118="有效",H118/F118,"n.a.")</x:f>
        <x:v>-0.529005667463732</x:v>
      </x:c>
      <x:c r="J118" s="26" t="n">
        <x:f>IF(E118="有效",'成本明细'!Y346,"n.a.")</x:f>
        <x:v>23.523249661326624</x:v>
      </x:c>
      <x:c r="K118" s="26" t="n">
        <x:f>IF(E118="有效",'成本明细'!V346,"n.a.")</x:f>
        <x:v>4234</x:v>
      </x:c>
      <x:c r="L118" s="22" t="n">
        <x:f>IF(E118="有效",'成本明细'!H346,"n.a.")</x:f>
        <x:v>116</x:v>
      </x:c>
      <x:c r="M118" s="22" t="n">
        <x:f>IF(E118="有效",'成本明细'!G346,"n.a.")</x:f>
        <x:v>116</x:v>
      </x:c>
    </x:row>
    <x:row r="119" ht="22" customHeight="1">
      <x:c r="A119" s="11" t="str">
        <x:v>lade_0829_10aoi</x:v>
      </x:c>
      <x:c r="B119" s="10" t="n">
        <x:v>10</x:v>
      </x:c>
      <x:c r="C119" s="10" t="n">
        <x:v>3</x:v>
      </x:c>
      <x:c r="D119" s="10" t="n">
        <x:v>44</x:v>
      </x:c>
      <x:c r="E119" s="10" t="str">
        <x:v>有效</x:v>
      </x:c>
      <x:c r="F119" s="26" t="n">
        <x:f>IF(E119="有效",'成本明细'!U332,"n.a.")</x:f>
        <x:v>1784.6218747116666</x:v>
      </x:c>
      <x:c r="G119" s="26" t="n">
        <x:f>IF(E119="有效",'成本明细'!X347,"n.a.")</x:f>
        <x:v>2239.0742938155554</x:v>
      </x:c>
      <x:c r="H119" s="26" t="n">
        <x:f>IF(E119="有效",F119-G119,"n.a.")</x:f>
        <x:v>-454.4524191038888</x:v>
      </x:c>
      <x:c r="I119" s="32" t="n">
        <x:f>IF(E119="有效",H119/F119,"n.a.")</x:f>
        <x:v>-0.25464913634845626</x:v>
      </x:c>
      <x:c r="J119" s="26" t="n">
        <x:f>IF(E119="有效",'成本明细'!Y347,"n.a.")</x:f>
        <x:v>19.302364601858237</x:v>
      </x:c>
      <x:c r="K119" s="26" t="n">
        <x:f>IF(E119="有效",'成本明细'!V347,"n.a.")</x:f>
        <x:v>4234</x:v>
      </x:c>
      <x:c r="L119" s="22" t="n">
        <x:f>IF(E119="有效",'成本明细'!H347,"n.a.")</x:f>
        <x:v>116</x:v>
      </x:c>
      <x:c r="M119" s="22" t="n">
        <x:f>IF(E119="有效",'成本明细'!G347,"n.a.")</x:f>
        <x:v>116</x:v>
      </x:c>
    </x:row>
    <x:row r="120" ht="22" customHeight="1">
      <x:c r="A120" s="11" t="str">
        <x:v>lade_0829_20aoi</x:v>
      </x:c>
      <x:c r="B120" s="10" t="n">
        <x:v>20</x:v>
      </x:c>
      <x:c r="C120" s="10" t="n">
        <x:v>2</x:v>
      </x:c>
      <x:c r="D120" s="10" t="n">
        <x:v>42</x:v>
      </x:c>
      <x:c r="E120" s="10" t="str">
        <x:v>有效</x:v>
      </x:c>
      <x:c r="F120" s="26" t="n">
        <x:f>IF(E120="有效",'成本明细'!U348,"n.a.")</x:f>
        <x:v>3139.2018359505555</x:v>
      </x:c>
      <x:c r="G120" s="26" t="n">
        <x:f>IF(E120="有效",'成本明细'!X360,"n.a.")</x:f>
        <x:v>3983.134024185556</x:v>
      </x:c>
      <x:c r="H120" s="26" t="n">
        <x:f>IF(E120="有效",F120-G120,"n.a.")</x:f>
        <x:v>-843.9321882350005</x:v>
      </x:c>
      <x:c r="I120" s="32" t="n">
        <x:f>IF(E120="有效",H120/F120,"n.a.")</x:f>
        <x:v>-0.2688365490138854</x:v>
      </x:c>
      <x:c r="J120" s="26" t="n">
        <x:f>IF(E120="有效",'成本明细'!Y360,"n.a.")</x:f>
        <x:v>22.377157439244698</x:v>
      </x:c>
      <x:c r="K120" s="26" t="n">
        <x:f>IF(E120="有效",'成本明细'!V360,"n.a.")</x:f>
        <x:v>6497</x:v>
      </x:c>
      <x:c r="L120" s="22" t="n">
        <x:f>IF(E120="有效",'成本明细'!H360,"n.a.")</x:f>
        <x:v>178</x:v>
      </x:c>
      <x:c r="M120" s="22" t="n">
        <x:f>IF(E120="有效",'成本明细'!G360,"n.a.")</x:f>
        <x:v>178</x:v>
      </x:c>
    </x:row>
    <x:row r="121" ht="22" customHeight="1">
      <x:c r="A121" s="11" t="str">
        <x:v>lade_0829_20aoi</x:v>
      </x:c>
      <x:c r="B121" s="10" t="n">
        <x:v>20</x:v>
      </x:c>
      <x:c r="C121" s="10" t="n">
        <x:v>2</x:v>
      </x:c>
      <x:c r="D121" s="10" t="n">
        <x:v>43</x:v>
      </x:c>
      <x:c r="E121" s="10" t="str">
        <x:v>有效</x:v>
      </x:c>
      <x:c r="F121" s="26" t="n">
        <x:f>IF(E121="有效",'成本明细'!U349,"n.a.")</x:f>
        <x:v>3139.2018359505555</x:v>
      </x:c>
      <x:c r="G121" s="26" t="n">
        <x:f>IF(E121="有效",'成本明细'!X361,"n.a.")</x:f>
        <x:v>4255.098623901666</x:v>
      </x:c>
      <x:c r="H121" s="26" t="n">
        <x:f>IF(E121="有效",F121-G121,"n.a.")</x:f>
        <x:v>-1115.8967879511101</x:v>
      </x:c>
      <x:c r="I121" s="32" t="n">
        <x:f>IF(E121="有效",H121/F121,"n.a.")</x:f>
        <x:v>-0.35547150080371137</x:v>
      </x:c>
      <x:c r="J121" s="26" t="n">
        <x:f>IF(E121="有效",'成本明细'!Y361,"n.a.")</x:f>
        <x:v>23.90504844888576</x:v>
      </x:c>
      <x:c r="K121" s="26" t="n">
        <x:f>IF(E121="有效",'成本明细'!V361,"n.a.")</x:f>
        <x:v>6497</x:v>
      </x:c>
      <x:c r="L121" s="22" t="n">
        <x:f>IF(E121="有效",'成本明细'!H361,"n.a.")</x:f>
        <x:v>178</x:v>
      </x:c>
      <x:c r="M121" s="22" t="n">
        <x:f>IF(E121="有效",'成本明细'!G361,"n.a.")</x:f>
        <x:v>178</x:v>
      </x:c>
    </x:row>
    <x:row r="122" ht="22" customHeight="1">
      <x:c r="A122" s="11" t="str">
        <x:v>lade_0829_20aoi</x:v>
      </x:c>
      <x:c r="B122" s="10" t="n">
        <x:v>20</x:v>
      </x:c>
      <x:c r="C122" s="10" t="n">
        <x:v>2</x:v>
      </x:c>
      <x:c r="D122" s="10" t="n">
        <x:v>44</x:v>
      </x:c>
      <x:c r="E122" s="10" t="str">
        <x:v>有效</x:v>
      </x:c>
      <x:c r="F122" s="26" t="n">
        <x:f>IF(E122="有效",'成本明细'!U350,"n.a.")</x:f>
        <x:v>2808.8584607344446</x:v>
      </x:c>
      <x:c r="G122" s="26" t="n">
        <x:f>IF(E122="有效",'成本明细'!X362,"n.a.")</x:f>
        <x:v>3839.294801946111</x:v>
      </x:c>
      <x:c r="H122" s="26" t="n">
        <x:f>IF(E122="有效",F122-G122,"n.a.")</x:f>
        <x:v>-1030.4363412116663</x:v>
      </x:c>
      <x:c r="I122" s="32" t="n">
        <x:f>IF(E122="有效",H122/F122,"n.a.")</x:f>
        <x:v>-0.36685235501052393</x:v>
      </x:c>
      <x:c r="J122" s="26" t="n">
        <x:f>IF(E122="有效",'成本明细'!Y362,"n.a.")</x:f>
        <x:v>21.569071921045566</x:v>
      </x:c>
      <x:c r="K122" s="26" t="n">
        <x:f>IF(E122="有效",'成本明细'!V362,"n.a.")</x:f>
        <x:v>6497</x:v>
      </x:c>
      <x:c r="L122" s="22" t="n">
        <x:f>IF(E122="有效",'成本明细'!H362,"n.a.")</x:f>
        <x:v>178</x:v>
      </x:c>
      <x:c r="M122" s="22" t="n">
        <x:f>IF(E122="有效",'成本明细'!G362,"n.a.")</x:f>
        <x:v>178</x:v>
      </x:c>
    </x:row>
    <x:row r="123" ht="22" customHeight="1">
      <x:c r="A123" s="11" t="str">
        <x:v>lade_0829_20aoi</x:v>
      </x:c>
      <x:c r="B123" s="10" t="n">
        <x:v>20</x:v>
      </x:c>
      <x:c r="C123" s="10" t="n">
        <x:v>3</x:v>
      </x:c>
      <x:c r="D123" s="10" t="n">
        <x:v>42</x:v>
      </x:c>
      <x:c r="E123" s="10" t="str">
        <x:v>有效</x:v>
      </x:c>
      <x:c r="F123" s="26" t="n">
        <x:f>IF(E123="有效",'成本明细'!U348,"n.a.")</x:f>
        <x:v>3139.2018359505555</x:v>
      </x:c>
      <x:c r="G123" s="26" t="n">
        <x:f>IF(E123="有效",'成本明细'!X363,"n.a.")</x:f>
        <x:v>4044.1578469300002</x:v>
      </x:c>
      <x:c r="H123" s="26" t="n">
        <x:f>IF(E123="有效",F123-G123,"n.a.")</x:f>
        <x:v>-904.9560109794447</x:v>
      </x:c>
      <x:c r="I123" s="32" t="n">
        <x:f>IF(E123="有效",H123/F123,"n.a.")</x:f>
        <x:v>-0.2882758287841733</x:v>
      </x:c>
      <x:c r="J123" s="26" t="n">
        <x:f>IF(E123="有效",'成本明细'!Y363,"n.a.")</x:f>
        <x:v>22.719987904101124</x:v>
      </x:c>
      <x:c r="K123" s="26" t="n">
        <x:f>IF(E123="有效",'成本明细'!V363,"n.a.")</x:f>
        <x:v>6497</x:v>
      </x:c>
      <x:c r="L123" s="22" t="n">
        <x:f>IF(E123="有效",'成本明细'!H363,"n.a.")</x:f>
        <x:v>178</x:v>
      </x:c>
      <x:c r="M123" s="22" t="n">
        <x:f>IF(E123="有效",'成本明细'!G363,"n.a.")</x:f>
        <x:v>178</x:v>
      </x:c>
    </x:row>
    <x:row r="124" ht="22" customHeight="1">
      <x:c r="A124" s="11" t="str">
        <x:v>lade_0829_20aoi</x:v>
      </x:c>
      <x:c r="B124" s="10" t="n">
        <x:v>20</x:v>
      </x:c>
      <x:c r="C124" s="10" t="n">
        <x:v>3</x:v>
      </x:c>
      <x:c r="D124" s="10" t="n">
        <x:v>43</x:v>
      </x:c>
      <x:c r="E124" s="10" t="str">
        <x:v>有效</x:v>
      </x:c>
      <x:c r="F124" s="26" t="n">
        <x:f>IF(E124="有效",'成本明细'!U349,"n.a.")</x:f>
        <x:v>3139.2018359505555</x:v>
      </x:c>
      <x:c r="G124" s="26" t="n">
        <x:f>IF(E124="有效",'成本明细'!X364,"n.a.")</x:f>
        <x:v>3916.596515066667</x:v>
      </x:c>
      <x:c r="H124" s="26" t="n">
        <x:f>IF(E124="有效",F124-G124,"n.a.")</x:f>
        <x:v>-777.3946791161115</x:v>
      </x:c>
      <x:c r="I124" s="32" t="n">
        <x:f>IF(E124="有效",H124/F124,"n.a.")</x:f>
        <x:v>-0.24764087170607657</x:v>
      </x:c>
      <x:c r="J124" s="26" t="n">
        <x:f>IF(E124="有效",'成本明细'!Y364,"n.a.")</x:f>
        <x:v>22.003351208239703</x:v>
      </x:c>
      <x:c r="K124" s="26" t="n">
        <x:f>IF(E124="有效",'成本明细'!V364,"n.a.")</x:f>
        <x:v>6497</x:v>
      </x:c>
      <x:c r="L124" s="22" t="n">
        <x:f>IF(E124="有效",'成本明细'!H364,"n.a.")</x:f>
        <x:v>178</x:v>
      </x:c>
      <x:c r="M124" s="22" t="n">
        <x:f>IF(E124="有效",'成本明细'!G364,"n.a.")</x:f>
        <x:v>178</x:v>
      </x:c>
    </x:row>
    <x:row r="125" ht="22" customHeight="1">
      <x:c r="A125" s="11" t="str">
        <x:v>lade_0829_20aoi</x:v>
      </x:c>
      <x:c r="B125" s="10" t="n">
        <x:v>20</x:v>
      </x:c>
      <x:c r="C125" s="10" t="n">
        <x:v>3</x:v>
      </x:c>
      <x:c r="D125" s="10" t="n">
        <x:v>44</x:v>
      </x:c>
      <x:c r="E125" s="10" t="str">
        <x:v>有效</x:v>
      </x:c>
      <x:c r="F125" s="26" t="n">
        <x:f>IF(E125="有效",'成本明细'!U350,"n.a.")</x:f>
        <x:v>2808.8584607344446</x:v>
      </x:c>
      <x:c r="G125" s="26" t="n">
        <x:f>IF(E125="有效",'成本明细'!X365,"n.a.")</x:f>
        <x:v>3646.674285146667</x:v>
      </x:c>
      <x:c r="H125" s="26" t="n">
        <x:f>IF(E125="有效",F125-G125,"n.a.")</x:f>
        <x:v>-837.8158244122224</x:v>
      </x:c>
      <x:c r="I125" s="32" t="n">
        <x:f>IF(E125="有效",H125/F125,"n.a.")</x:f>
        <x:v>-0.2982762699239587</x:v>
      </x:c>
      <x:c r="J125" s="26" t="n">
        <x:f>IF(E125="有效",'成本明细'!Y365,"n.a.")</x:f>
        <x:v>20.48693418621723</x:v>
      </x:c>
      <x:c r="K125" s="26" t="n">
        <x:f>IF(E125="有效",'成本明细'!V365,"n.a.")</x:f>
        <x:v>6497</x:v>
      </x:c>
      <x:c r="L125" s="22" t="n">
        <x:f>IF(E125="有效",'成本明细'!H365,"n.a.")</x:f>
        <x:v>178</x:v>
      </x:c>
      <x:c r="M125" s="22" t="n">
        <x:f>IF(E125="有效",'成本明细'!G365,"n.a.")</x:f>
        <x:v>178</x:v>
      </x:c>
    </x:row>
    <x:row r="126" ht="22" customHeight="1">
      <x:c r="A126" s="11" t="str">
        <x:v>lade_0829_30aoi</x:v>
      </x:c>
      <x:c r="B126" s="10" t="n">
        <x:v>30</x:v>
      </x:c>
      <x:c r="C126" s="10" t="n">
        <x:v>2</x:v>
      </x:c>
      <x:c r="D126" s="10" t="n">
        <x:v>42</x:v>
      </x:c>
      <x:c r="E126" s="10" t="str">
        <x:v>有效</x:v>
      </x:c>
      <x:c r="F126" s="26" t="n">
        <x:f>IF(E126="有效",'成本明细'!U366,"n.a.")</x:f>
        <x:v>3398.1342447805555</x:v>
      </x:c>
      <x:c r="G126" s="26" t="n">
        <x:f>IF(E126="有效",'成本明细'!X378,"n.a.")</x:f>
        <x:v>4443.571148261111</x:v>
      </x:c>
      <x:c r="H126" s="26" t="n">
        <x:f>IF(E126="有效",F126-G126,"n.a.")</x:f>
        <x:v>-1045.4369034805559</x:v>
      </x:c>
      <x:c r="I126" s="32" t="n">
        <x:f>IF(E126="有效",H126/F126,"n.a.")</x:f>
        <x:v>-0.30765026575578036</x:v>
      </x:c>
      <x:c r="J126" s="26" t="n">
        <x:f>IF(E126="有效",'成本明细'!Y378,"n.a.")</x:f>
        <x:v>18.908813396855795</x:v>
      </x:c>
      <x:c r="K126" s="26" t="n">
        <x:f>IF(E126="有效",'成本明细'!V378,"n.a.")</x:f>
        <x:v>8577.5</x:v>
      </x:c>
      <x:c r="L126" s="22" t="n">
        <x:f>IF(E126="有效",'成本明细'!H378,"n.a.")</x:f>
        <x:v>235</x:v>
      </x:c>
      <x:c r="M126" s="22" t="n">
        <x:f>IF(E126="有效",'成本明细'!G378,"n.a.")</x:f>
        <x:v>235</x:v>
      </x:c>
    </x:row>
    <x:row r="127" ht="22" customHeight="1">
      <x:c r="A127" s="11" t="str">
        <x:v>lade_0829_30aoi</x:v>
      </x:c>
      <x:c r="B127" s="10" t="n">
        <x:v>30</x:v>
      </x:c>
      <x:c r="C127" s="10" t="n">
        <x:v>2</x:v>
      </x:c>
      <x:c r="D127" s="10" t="n">
        <x:v>43</x:v>
      </x:c>
      <x:c r="E127" s="10" t="str">
        <x:v>有效</x:v>
      </x:c>
      <x:c r="F127" s="26" t="n">
        <x:f>IF(E127="有效",'成本明细'!U367,"n.a.")</x:f>
        <x:v>3399.449591368889</x:v>
      </x:c>
      <x:c r="G127" s="26" t="n">
        <x:f>IF(E127="有效",'成本明细'!X379,"n.a.")</x:f>
        <x:v>4699.793266176666</x:v>
      </x:c>
      <x:c r="H127" s="26" t="n">
        <x:f>IF(E127="有效",F127-G127,"n.a.")</x:f>
        <x:v>-1300.3436748077775</x:v>
      </x:c>
      <x:c r="I127" s="32" t="n">
        <x:f>IF(E127="有效",H127/F127,"n.a.")</x:f>
        <x:v>-0.38251594555463186</x:v>
      </x:c>
      <x:c r="J127" s="26" t="n">
        <x:f>IF(E127="有效",'成本明细'!Y379,"n.a.")</x:f>
        <x:v>19.999120281602835</x:v>
      </x:c>
      <x:c r="K127" s="26" t="n">
        <x:f>IF(E127="有效",'成本明细'!V379,"n.a.")</x:f>
        <x:v>8577.5</x:v>
      </x:c>
      <x:c r="L127" s="22" t="n">
        <x:f>IF(E127="有效",'成本明细'!H379,"n.a.")</x:f>
        <x:v>235</x:v>
      </x:c>
      <x:c r="M127" s="22" t="n">
        <x:f>IF(E127="有效",'成本明细'!G379,"n.a.")</x:f>
        <x:v>235</x:v>
      </x:c>
    </x:row>
    <x:row r="128" ht="22" customHeight="1">
      <x:c r="A128" s="11" t="str">
        <x:v>lade_0829_30aoi</x:v>
      </x:c>
      <x:c r="B128" s="10" t="n">
        <x:v>30</x:v>
      </x:c>
      <x:c r="C128" s="10" t="n">
        <x:v>2</x:v>
      </x:c>
      <x:c r="D128" s="10" t="n">
        <x:v>44</x:v>
      </x:c>
      <x:c r="E128" s="10" t="str">
        <x:v>有效</x:v>
      </x:c>
      <x:c r="F128" s="26" t="n">
        <x:f>IF(E128="有效",'成本明细'!U368,"n.a.")</x:f>
        <x:v>3392.6110091416667</x:v>
      </x:c>
      <x:c r="G128" s="26" t="n">
        <x:f>IF(E128="有效",'成本明细'!X380,"n.a.")</x:f>
        <x:v>5166.795657941111</x:v>
      </x:c>
      <x:c r="H128" s="26" t="n">
        <x:f>IF(E128="有效",F128-G128,"n.a.")</x:f>
        <x:v>-1774.1846487994444</x:v>
      </x:c>
      <x:c r="I128" s="32" t="n">
        <x:f>IF(E128="有效",H128/F128,"n.a.")</x:f>
        <x:v>-0.5229555183363962</x:v>
      </x:c>
      <x:c r="J128" s="26" t="n">
        <x:f>IF(E128="有效",'成本明细'!Y380,"n.a.")</x:f>
        <x:v>21.98636450187707</x:v>
      </x:c>
      <x:c r="K128" s="26" t="n">
        <x:f>IF(E128="有效",'成本明细'!V380,"n.a.")</x:f>
        <x:v>8577.5</x:v>
      </x:c>
      <x:c r="L128" s="22" t="n">
        <x:f>IF(E128="有效",'成本明细'!H380,"n.a.")</x:f>
        <x:v>235</x:v>
      </x:c>
      <x:c r="M128" s="22" t="n">
        <x:f>IF(E128="有效",'成本明细'!G380,"n.a.")</x:f>
        <x:v>235</x:v>
      </x:c>
    </x:row>
    <x:row r="129" ht="22" customHeight="1">
      <x:c r="A129" s="11" t="str">
        <x:v>lade_0829_30aoi</x:v>
      </x:c>
      <x:c r="B129" s="10" t="n">
        <x:v>30</x:v>
      </x:c>
      <x:c r="C129" s="10" t="n">
        <x:v>3</x:v>
      </x:c>
      <x:c r="D129" s="10" t="n">
        <x:v>42</x:v>
      </x:c>
      <x:c r="E129" s="10" t="str">
        <x:v>有效</x:v>
      </x:c>
      <x:c r="F129" s="26" t="n">
        <x:f>IF(E129="有效",'成本明细'!U366,"n.a.")</x:f>
        <x:v>3398.1342447805555</x:v>
      </x:c>
      <x:c r="G129" s="26" t="n">
        <x:f>IF(E129="有效",'成本明细'!X381,"n.a.")</x:f>
        <x:v>4786.08549939</x:v>
      </x:c>
      <x:c r="H129" s="26" t="n">
        <x:f>IF(E129="有效",F129-G129,"n.a.")</x:f>
        <x:v>-1387.9512546094447</x:v>
      </x:c>
      <x:c r="I129" s="32" t="n">
        <x:f>IF(E129="有效",H129/F129,"n.a.")</x:f>
        <x:v>-0.4084450921093836</x:v>
      </x:c>
      <x:c r="J129" s="26" t="n">
        <x:f>IF(E129="有效",'成本明细'!Y381,"n.a.")</x:f>
        <x:v>20.366321274</x:v>
      </x:c>
      <x:c r="K129" s="26" t="n">
        <x:f>IF(E129="有效",'成本明细'!V381,"n.a.")</x:f>
        <x:v>8577.5</x:v>
      </x:c>
      <x:c r="L129" s="22" t="n">
        <x:f>IF(E129="有效",'成本明细'!H381,"n.a.")</x:f>
        <x:v>235</x:v>
      </x:c>
      <x:c r="M129" s="22" t="n">
        <x:f>IF(E129="有效",'成本明细'!G381,"n.a.")</x:f>
        <x:v>235</x:v>
      </x:c>
    </x:row>
    <x:row r="130" ht="22" customHeight="1">
      <x:c r="A130" s="11" t="str">
        <x:v>lade_0829_30aoi</x:v>
      </x:c>
      <x:c r="B130" s="10" t="n">
        <x:v>30</x:v>
      </x:c>
      <x:c r="C130" s="10" t="n">
        <x:v>3</x:v>
      </x:c>
      <x:c r="D130" s="10" t="n">
        <x:v>43</x:v>
      </x:c>
      <x:c r="E130" s="10" t="str">
        <x:v>有效</x:v>
      </x:c>
      <x:c r="F130" s="26" t="n">
        <x:f>IF(E130="有效",'成本明细'!U367,"n.a.")</x:f>
        <x:v>3399.449591368889</x:v>
      </x:c>
      <x:c r="G130" s="26" t="n">
        <x:f>IF(E130="有效",'成本明细'!X382,"n.a.")</x:f>
        <x:v>4384.192607275</x:v>
      </x:c>
      <x:c r="H130" s="26" t="n">
        <x:f>IF(E130="有效",F130-G130,"n.a.")</x:f>
        <x:v>-984.7430159061114</x:v>
      </x:c>
      <x:c r="I130" s="32" t="n">
        <x:f>IF(E130="有效",H130/F130,"n.a.")</x:f>
        <x:v>-0.28967719315690027</x:v>
      </x:c>
      <x:c r="J130" s="26" t="n">
        <x:f>IF(E130="有效",'成本明细'!Y382,"n.a.")</x:f>
        <x:v>18.656138754361702</x:v>
      </x:c>
      <x:c r="K130" s="26" t="n">
        <x:f>IF(E130="有效",'成本明细'!V382,"n.a.")</x:f>
        <x:v>8577.5</x:v>
      </x:c>
      <x:c r="L130" s="22" t="n">
        <x:f>IF(E130="有效",'成本明细'!H382,"n.a.")</x:f>
        <x:v>235</x:v>
      </x:c>
      <x:c r="M130" s="22" t="n">
        <x:f>IF(E130="有效",'成本明细'!G382,"n.a.")</x:f>
        <x:v>235</x:v>
      </x:c>
    </x:row>
    <x:row r="131" ht="22" customHeight="1">
      <x:c r="A131" s="12" t="str">
        <x:v>lade_0829_30aoi</x:v>
      </x:c>
      <x:c r="B131" s="13" t="n">
        <x:v>30</x:v>
      </x:c>
      <x:c r="C131" s="13" t="n">
        <x:v>3</x:v>
      </x:c>
      <x:c r="D131" s="13" t="n">
        <x:v>44</x:v>
      </x:c>
      <x:c r="E131" s="13" t="str">
        <x:v>有效</x:v>
      </x:c>
      <x:c r="F131" s="27" t="n">
        <x:f>IF(E131="有效",'成本明细'!U368,"n.a.")</x:f>
        <x:v>3392.6110091416667</x:v>
      </x:c>
      <x:c r="G131" s="27" t="n">
        <x:f>IF(E131="有效",'成本明细'!X383,"n.a.")</x:f>
        <x:v>4981.02266605</x:v>
      </x:c>
      <x:c r="H131" s="27" t="n">
        <x:f>IF(E131="有效",F131-G131,"n.a.")</x:f>
        <x:v>-1588.4116569083335</x:v>
      </x:c>
      <x:c r="I131" s="33" t="n">
        <x:f>IF(E131="有效",H131/F131,"n.a.")</x:f>
        <x:v>-0.4681974009481868</x:v>
      </x:c>
      <x:c r="J131" s="27" t="n">
        <x:f>IF(E131="有效",'成本明细'!Y383,"n.a.")</x:f>
        <x:v>21.19584113212766</x:v>
      </x:c>
      <x:c r="K131" s="27" t="n">
        <x:f>IF(E131="有效",'成本明细'!V383,"n.a.")</x:f>
        <x:v>8577.5</x:v>
      </x:c>
      <x:c r="L131" s="23" t="n">
        <x:f>IF(E131="有效",'成本明细'!H383,"n.a.")</x:f>
        <x:v>235</x:v>
      </x:c>
      <x:c r="M131" s="23" t="n">
        <x:f>IF(E131="有效",'成本明细'!G383,"n.a.")</x:f>
        <x:v>235</x:v>
      </x:c>
    </x:row>
  </x:sheetData>
  <x:conditionalFormatting sqref="H6:H131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纸箱价格与寿命敏感性（固定路线）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0" customHeight="1">
      <x:c r="A5" s="9" t="str">
        <x:v>案例</x:v>
      </x:c>
      <x:c r="B5" s="9" t="str">
        <x:v>AOI数</x:v>
      </x:c>
      <x:c r="C5" s="9" t="str">
        <x:v>种子</x:v>
      </x:c>
      <x:c r="D5" s="9" t="str">
        <x:v>包装对照</x:v>
      </x:c>
      <x:c r="E5" s="9" t="str">
        <x:v>纸箱元/件</x:v>
      </x:c>
      <x:c r="F5" s="9" t="str">
        <x:v>寿命周期</x:v>
      </x:c>
      <x:c r="G5" s="9" t="str">
        <x:v>一次性运营费</x:v>
      </x:c>
      <x:c r="H5" s="9" t="str">
        <x:v>循环运营费</x:v>
      </x:c>
      <x:c r="I5" s="9" t="str">
        <x:v>初始箱池投入</x:v>
      </x:c>
      <x:c r="J5" s="9" t="str">
        <x:v>评价周期</x:v>
      </x:c>
      <x:c r="K5" s="9" t="str">
        <x:v>累计节省</x:v>
      </x:c>
      <x:c r="L5" s="9" t="str">
        <x:v>首次回本周期</x:v>
      </x:c>
    </x:row>
    <x:row r="6" ht="22" customHeight="1">
      <x:c r="A6" s="11" t="str">
        <x:v>lade_0823_10aoi</x:v>
      </x:c>
      <x:c r="B6" s="10" t="n">
        <x:v>10</x:v>
      </x:c>
      <x:c r="C6" s="10" t="n">
        <x:v>42</x:v>
      </x:c>
      <x:c r="D6" s="10" t="str">
        <x:v>M1 / M3</x:v>
      </x:c>
      <x:c r="E6" s="16" t="n">
        <x:v>1</x:v>
      </x:c>
      <x:c r="F6" s="14" t="n">
        <x:v>10</x:v>
      </x:c>
      <x:c r="G6" s="26" t="n">
        <x:f>'成本明细'!U6+'成本明细'!G6*(E6-'参数'!$B$6)</x:f>
        <x:v>1451.3413821266668</x:v>
      </x:c>
      <x:c r="H6" s="26" t="n">
        <x:f>'成本明细'!U12</x:f>
        <x:v>2305.6772459783333</x:v>
      </x:c>
      <x:c r="I6" s="26" t="n">
        <x:f>'成本明细'!V12</x:f>
        <x:v>4781.5</x:v>
      </x:c>
      <x:c r="J6" s="22" t="n">
        <x:f>'参数'!$B$9</x:f>
        <x:v>300</x:v>
      </x:c>
      <x:c r="K6" s="26" t="n">
        <x:f>J6*(G6-H6)-I6*ROUNDUP(J6/F6,0)</x:f>
        <x:v>-399745.7591555</x:v>
      </x:c>
      <x:c r="L6" s="10" t="str">
        <x:f>IF(G6-H6&lt;=0,"未回本",IF(ROUNDUP(I6/(G6-H6),0)&gt;MIN(F6,J6),"未回本",MAX(1,ROUNDUP(I6/(G6-H6),0))))</x:f>
        <x:v>未回本</x:v>
      </x:c>
    </x:row>
    <x:row r="7" ht="22" customHeight="1">
      <x:c r="A7" s="11" t="str">
        <x:v>lade_0823_10aoi</x:v>
      </x:c>
      <x:c r="B7" s="10" t="n">
        <x:v>10</x:v>
      </x:c>
      <x:c r="C7" s="10" t="n">
        <x:v>42</x:v>
      </x:c>
      <x:c r="D7" s="10" t="str">
        <x:v>M2 / M4</x:v>
      </x:c>
      <x:c r="E7" s="16" t="n">
        <x:v>1</x:v>
      </x:c>
      <x:c r="F7" s="14" t="n">
        <x:v>10</x:v>
      </x:c>
      <x:c r="G7" s="26" t="n">
        <x:f>'成本明细'!U9+'成本明细'!G9*(E7-'参数'!$B$6)</x:f>
        <x:v>1451.3413821266668</x:v>
      </x:c>
      <x:c r="H7" s="26" t="n">
        <x:f>'成本明细'!U15</x:f>
        <x:v>2297.9809467122222</x:v>
      </x:c>
      <x:c r="I7" s="26" t="n">
        <x:f>'成本明细'!V15</x:f>
        <x:v>4781.5</x:v>
      </x:c>
      <x:c r="J7" s="22" t="n">
        <x:f>'参数'!$B$9</x:f>
        <x:v>300</x:v>
      </x:c>
      <x:c r="K7" s="26" t="n">
        <x:f>J7*(G7-H7)-I7*ROUNDUP(J7/F7,0)</x:f>
        <x:v>-397436.86937566666</x:v>
      </x:c>
      <x:c r="L7" s="10" t="str">
        <x:f>IF(G7-H7&lt;=0,"未回本",IF(ROUNDUP(I7/(G7-H7),0)&gt;MIN(F7,J7),"未回本",MAX(1,ROUNDUP(I7/(G7-H7),0))))</x:f>
        <x:v>未回本</x:v>
      </x:c>
    </x:row>
    <x:row r="8" ht="22" customHeight="1">
      <x:c r="A8" s="11" t="str">
        <x:v>lade_0823_10aoi</x:v>
      </x:c>
      <x:c r="B8" s="10" t="n">
        <x:v>10</x:v>
      </x:c>
      <x:c r="C8" s="10" t="n">
        <x:v>42</x:v>
      </x:c>
      <x:c r="D8" s="10" t="str">
        <x:v>M1 / M3</x:v>
      </x:c>
      <x:c r="E8" s="16" t="n">
        <x:v>1</x:v>
      </x:c>
      <x:c r="F8" s="14" t="n">
        <x:v>20</x:v>
      </x:c>
      <x:c r="G8" s="26" t="n">
        <x:f>'成本明细'!U6+'成本明细'!G6*(E8-'参数'!$B$6)</x:f>
        <x:v>1451.3413821266668</x:v>
      </x:c>
      <x:c r="H8" s="26" t="n">
        <x:f>'成本明细'!U12</x:f>
        <x:v>2305.6772459783333</x:v>
      </x:c>
      <x:c r="I8" s="26" t="n">
        <x:f>'成本明细'!V12</x:f>
        <x:v>4781.5</x:v>
      </x:c>
      <x:c r="J8" s="22" t="n">
        <x:f>'参数'!$B$9</x:f>
        <x:v>300</x:v>
      </x:c>
      <x:c r="K8" s="26" t="n">
        <x:f>J8*(G8-H8)-I8*ROUNDUP(J8/F8,0)</x:f>
        <x:v>-328023.2591555</x:v>
      </x:c>
      <x:c r="L8" s="10" t="str">
        <x:f>IF(G8-H8&lt;=0,"未回本",IF(ROUNDUP(I8/(G8-H8),0)&gt;MIN(F8,J8),"未回本",MAX(1,ROUNDUP(I8/(G8-H8),0))))</x:f>
        <x:v>未回本</x:v>
      </x:c>
    </x:row>
    <x:row r="9" ht="22" customHeight="1">
      <x:c r="A9" s="11" t="str">
        <x:v>lade_0823_10aoi</x:v>
      </x:c>
      <x:c r="B9" s="10" t="n">
        <x:v>10</x:v>
      </x:c>
      <x:c r="C9" s="10" t="n">
        <x:v>42</x:v>
      </x:c>
      <x:c r="D9" s="10" t="str">
        <x:v>M2 / M4</x:v>
      </x:c>
      <x:c r="E9" s="16" t="n">
        <x:v>1</x:v>
      </x:c>
      <x:c r="F9" s="14" t="n">
        <x:v>20</x:v>
      </x:c>
      <x:c r="G9" s="26" t="n">
        <x:f>'成本明细'!U9+'成本明细'!G9*(E9-'参数'!$B$6)</x:f>
        <x:v>1451.3413821266668</x:v>
      </x:c>
      <x:c r="H9" s="26" t="n">
        <x:f>'成本明细'!U15</x:f>
        <x:v>2297.9809467122222</x:v>
      </x:c>
      <x:c r="I9" s="26" t="n">
        <x:f>'成本明细'!V15</x:f>
        <x:v>4781.5</x:v>
      </x:c>
      <x:c r="J9" s="22" t="n">
        <x:f>'参数'!$B$9</x:f>
        <x:v>300</x:v>
      </x:c>
      <x:c r="K9" s="26" t="n">
        <x:f>J9*(G9-H9)-I9*ROUNDUP(J9/F9,0)</x:f>
        <x:v>-325714.36937566666</x:v>
      </x:c>
      <x:c r="L9" s="10" t="str">
        <x:f>IF(G9-H9&lt;=0,"未回本",IF(ROUNDUP(I9/(G9-H9),0)&gt;MIN(F9,J9),"未回本",MAX(1,ROUNDUP(I9/(G9-H9),0))))</x:f>
        <x:v>未回本</x:v>
      </x:c>
    </x:row>
    <x:row r="10" ht="22" customHeight="1">
      <x:c r="A10" s="11" t="str">
        <x:v>lade_0823_10aoi</x:v>
      </x:c>
      <x:c r="B10" s="10" t="n">
        <x:v>10</x:v>
      </x:c>
      <x:c r="C10" s="10" t="n">
        <x:v>42</x:v>
      </x:c>
      <x:c r="D10" s="10" t="str">
        <x:v>M1 / M3</x:v>
      </x:c>
      <x:c r="E10" s="16" t="n">
        <x:v>1</x:v>
      </x:c>
      <x:c r="F10" s="14" t="n">
        <x:v>30</x:v>
      </x:c>
      <x:c r="G10" s="26" t="n">
        <x:f>'成本明细'!U6+'成本明细'!G6*(E10-'参数'!$B$6)</x:f>
        <x:v>1451.3413821266668</x:v>
      </x:c>
      <x:c r="H10" s="26" t="n">
        <x:f>'成本明细'!U12</x:f>
        <x:v>2305.6772459783333</x:v>
      </x:c>
      <x:c r="I10" s="26" t="n">
        <x:f>'成本明细'!V12</x:f>
        <x:v>4781.5</x:v>
      </x:c>
      <x:c r="J10" s="22" t="n">
        <x:f>'参数'!$B$9</x:f>
        <x:v>300</x:v>
      </x:c>
      <x:c r="K10" s="26" t="n">
        <x:f>J10*(G10-H10)-I10*ROUNDUP(J10/F10,0)</x:f>
        <x:v>-304115.7591555</x:v>
      </x:c>
      <x:c r="L10" s="10" t="str">
        <x:f>IF(G10-H10&lt;=0,"未回本",IF(ROUNDUP(I10/(G10-H10),0)&gt;MIN(F10,J10),"未回本",MAX(1,ROUNDUP(I10/(G10-H10),0))))</x:f>
        <x:v>未回本</x:v>
      </x:c>
    </x:row>
    <x:row r="11" ht="22" customHeight="1">
      <x:c r="A11" s="11" t="str">
        <x:v>lade_0823_10aoi</x:v>
      </x:c>
      <x:c r="B11" s="10" t="n">
        <x:v>10</x:v>
      </x:c>
      <x:c r="C11" s="10" t="n">
        <x:v>42</x:v>
      </x:c>
      <x:c r="D11" s="10" t="str">
        <x:v>M2 / M4</x:v>
      </x:c>
      <x:c r="E11" s="16" t="n">
        <x:v>1</x:v>
      </x:c>
      <x:c r="F11" s="14" t="n">
        <x:v>30</x:v>
      </x:c>
      <x:c r="G11" s="26" t="n">
        <x:f>'成本明细'!U9+'成本明细'!G9*(E11-'参数'!$B$6)</x:f>
        <x:v>1451.3413821266668</x:v>
      </x:c>
      <x:c r="H11" s="26" t="n">
        <x:f>'成本明细'!U15</x:f>
        <x:v>2297.9809467122222</x:v>
      </x:c>
      <x:c r="I11" s="26" t="n">
        <x:f>'成本明细'!V15</x:f>
        <x:v>4781.5</x:v>
      </x:c>
      <x:c r="J11" s="22" t="n">
        <x:f>'参数'!$B$9</x:f>
        <x:v>300</x:v>
      </x:c>
      <x:c r="K11" s="26" t="n">
        <x:f>J11*(G11-H11)-I11*ROUNDUP(J11/F11,0)</x:f>
        <x:v>-301806.86937566666</x:v>
      </x:c>
      <x:c r="L11" s="10" t="str">
        <x:f>IF(G11-H11&lt;=0,"未回本",IF(ROUNDUP(I11/(G11-H11),0)&gt;MIN(F11,J11),"未回本",MAX(1,ROUNDUP(I11/(G11-H11),0))))</x:f>
        <x:v>未回本</x:v>
      </x:c>
    </x:row>
    <x:row r="12" ht="22" customHeight="1">
      <x:c r="A12" s="11" t="str">
        <x:v>lade_0823_10aoi</x:v>
      </x:c>
      <x:c r="B12" s="10" t="n">
        <x:v>10</x:v>
      </x:c>
      <x:c r="C12" s="10" t="n">
        <x:v>42</x:v>
      </x:c>
      <x:c r="D12" s="10" t="str">
        <x:v>M1 / M3</x:v>
      </x:c>
      <x:c r="E12" s="16" t="n">
        <x:v>1</x:v>
      </x:c>
      <x:c r="F12" s="14" t="n">
        <x:v>50</x:v>
      </x:c>
      <x:c r="G12" s="26" t="n">
        <x:f>'成本明细'!U6+'成本明细'!G6*(E12-'参数'!$B$6)</x:f>
        <x:v>1451.3413821266668</x:v>
      </x:c>
      <x:c r="H12" s="26" t="n">
        <x:f>'成本明细'!U12</x:f>
        <x:v>2305.6772459783333</x:v>
      </x:c>
      <x:c r="I12" s="26" t="n">
        <x:f>'成本明细'!V12</x:f>
        <x:v>4781.5</x:v>
      </x:c>
      <x:c r="J12" s="22" t="n">
        <x:f>'参数'!$B$9</x:f>
        <x:v>300</x:v>
      </x:c>
      <x:c r="K12" s="26" t="n">
        <x:f>J12*(G12-H12)-I12*ROUNDUP(J12/F12,0)</x:f>
        <x:v>-284989.7591555</x:v>
      </x:c>
      <x:c r="L12" s="10" t="str">
        <x:f>IF(G12-H12&lt;=0,"未回本",IF(ROUNDUP(I12/(G12-H12),0)&gt;MIN(F12,J12),"未回本",MAX(1,ROUNDUP(I12/(G12-H12),0))))</x:f>
        <x:v>未回本</x:v>
      </x:c>
    </x:row>
    <x:row r="13" ht="22" customHeight="1">
      <x:c r="A13" s="11" t="str">
        <x:v>lade_0823_10aoi</x:v>
      </x:c>
      <x:c r="B13" s="10" t="n">
        <x:v>10</x:v>
      </x:c>
      <x:c r="C13" s="10" t="n">
        <x:v>42</x:v>
      </x:c>
      <x:c r="D13" s="10" t="str">
        <x:v>M2 / M4</x:v>
      </x:c>
      <x:c r="E13" s="16" t="n">
        <x:v>1</x:v>
      </x:c>
      <x:c r="F13" s="14" t="n">
        <x:v>50</x:v>
      </x:c>
      <x:c r="G13" s="26" t="n">
        <x:f>'成本明细'!U9+'成本明细'!G9*(E13-'参数'!$B$6)</x:f>
        <x:v>1451.3413821266668</x:v>
      </x:c>
      <x:c r="H13" s="26" t="n">
        <x:f>'成本明细'!U15</x:f>
        <x:v>2297.9809467122222</x:v>
      </x:c>
      <x:c r="I13" s="26" t="n">
        <x:f>'成本明细'!V15</x:f>
        <x:v>4781.5</x:v>
      </x:c>
      <x:c r="J13" s="22" t="n">
        <x:f>'参数'!$B$9</x:f>
        <x:v>300</x:v>
      </x:c>
      <x:c r="K13" s="26" t="n">
        <x:f>J13*(G13-H13)-I13*ROUNDUP(J13/F13,0)</x:f>
        <x:v>-282680.86937566666</x:v>
      </x:c>
      <x:c r="L13" s="10" t="str">
        <x:f>IF(G13-H13&lt;=0,"未回本",IF(ROUNDUP(I13/(G13-H13),0)&gt;MIN(F13,J13),"未回本",MAX(1,ROUNDUP(I13/(G13-H13),0))))</x:f>
        <x:v>未回本</x:v>
      </x:c>
    </x:row>
    <x:row r="14" ht="22" customHeight="1">
      <x:c r="A14" s="11" t="str">
        <x:v>lade_0823_10aoi</x:v>
      </x:c>
      <x:c r="B14" s="10" t="n">
        <x:v>10</x:v>
      </x:c>
      <x:c r="C14" s="10" t="n">
        <x:v>42</x:v>
      </x:c>
      <x:c r="D14" s="10" t="str">
        <x:v>M1 / M3</x:v>
      </x:c>
      <x:c r="E14" s="16" t="n">
        <x:v>2</x:v>
      </x:c>
      <x:c r="F14" s="14" t="n">
        <x:v>10</x:v>
      </x:c>
      <x:c r="G14" s="26" t="n">
        <x:f>'成本明细'!U6+'成本明细'!G6*(E14-'参数'!$B$6)</x:f>
        <x:v>1582.3413821266668</x:v>
      </x:c>
      <x:c r="H14" s="26" t="n">
        <x:f>'成本明细'!U12</x:f>
        <x:v>2305.6772459783333</x:v>
      </x:c>
      <x:c r="I14" s="26" t="n">
        <x:f>'成本明细'!V12</x:f>
        <x:v>4781.5</x:v>
      </x:c>
      <x:c r="J14" s="22" t="n">
        <x:f>'参数'!$B$9</x:f>
        <x:v>300</x:v>
      </x:c>
      <x:c r="K14" s="26" t="n">
        <x:f>J14*(G14-H14)-I14*ROUNDUP(J14/F14,0)</x:f>
        <x:v>-360445.7591555</x:v>
      </x:c>
      <x:c r="L14" s="10" t="str">
        <x:f>IF(G14-H14&lt;=0,"未回本",IF(ROUNDUP(I14/(G14-H14),0)&gt;MIN(F14,J14),"未回本",MAX(1,ROUNDUP(I14/(G14-H14),0))))</x:f>
        <x:v>未回本</x:v>
      </x:c>
    </x:row>
    <x:row r="15" ht="22" customHeight="1">
      <x:c r="A15" s="11" t="str">
        <x:v>lade_0823_10aoi</x:v>
      </x:c>
      <x:c r="B15" s="10" t="n">
        <x:v>10</x:v>
      </x:c>
      <x:c r="C15" s="10" t="n">
        <x:v>42</x:v>
      </x:c>
      <x:c r="D15" s="10" t="str">
        <x:v>M2 / M4</x:v>
      </x:c>
      <x:c r="E15" s="16" t="n">
        <x:v>2</x:v>
      </x:c>
      <x:c r="F15" s="14" t="n">
        <x:v>10</x:v>
      </x:c>
      <x:c r="G15" s="26" t="n">
        <x:f>'成本明细'!U9+'成本明细'!G9*(E15-'参数'!$B$6)</x:f>
        <x:v>1582.3413821266668</x:v>
      </x:c>
      <x:c r="H15" s="26" t="n">
        <x:f>'成本明细'!U15</x:f>
        <x:v>2297.9809467122222</x:v>
      </x:c>
      <x:c r="I15" s="26" t="n">
        <x:f>'成本明细'!V15</x:f>
        <x:v>4781.5</x:v>
      </x:c>
      <x:c r="J15" s="22" t="n">
        <x:f>'参数'!$B$9</x:f>
        <x:v>300</x:v>
      </x:c>
      <x:c r="K15" s="26" t="n">
        <x:f>J15*(G15-H15)-I15*ROUNDUP(J15/F15,0)</x:f>
        <x:v>-358136.86937566666</x:v>
      </x:c>
      <x:c r="L15" s="10" t="str">
        <x:f>IF(G15-H15&lt;=0,"未回本",IF(ROUNDUP(I15/(G15-H15),0)&gt;MIN(F15,J15),"未回本",MAX(1,ROUNDUP(I15/(G15-H15),0))))</x:f>
        <x:v>未回本</x:v>
      </x:c>
    </x:row>
    <x:row r="16" ht="22" customHeight="1">
      <x:c r="A16" s="11" t="str">
        <x:v>lade_0823_10aoi</x:v>
      </x:c>
      <x:c r="B16" s="10" t="n">
        <x:v>10</x:v>
      </x:c>
      <x:c r="C16" s="10" t="n">
        <x:v>42</x:v>
      </x:c>
      <x:c r="D16" s="10" t="str">
        <x:v>M1 / M3</x:v>
      </x:c>
      <x:c r="E16" s="16" t="n">
        <x:v>2</x:v>
      </x:c>
      <x:c r="F16" s="14" t="n">
        <x:v>20</x:v>
      </x:c>
      <x:c r="G16" s="26" t="n">
        <x:f>'成本明细'!U6+'成本明细'!G6*(E16-'参数'!$B$6)</x:f>
        <x:v>1582.3413821266668</x:v>
      </x:c>
      <x:c r="H16" s="26" t="n">
        <x:f>'成本明细'!U12</x:f>
        <x:v>2305.6772459783333</x:v>
      </x:c>
      <x:c r="I16" s="26" t="n">
        <x:f>'成本明细'!V12</x:f>
        <x:v>4781.5</x:v>
      </x:c>
      <x:c r="J16" s="22" t="n">
        <x:f>'参数'!$B$9</x:f>
        <x:v>300</x:v>
      </x:c>
      <x:c r="K16" s="26" t="n">
        <x:f>J16*(G16-H16)-I16*ROUNDUP(J16/F16,0)</x:f>
        <x:v>-288723.2591555</x:v>
      </x:c>
      <x:c r="L16" s="10" t="str">
        <x:f>IF(G16-H16&lt;=0,"未回本",IF(ROUNDUP(I16/(G16-H16),0)&gt;MIN(F16,J16),"未回本",MAX(1,ROUNDUP(I16/(G16-H16),0))))</x:f>
        <x:v>未回本</x:v>
      </x:c>
    </x:row>
    <x:row r="17" ht="22" customHeight="1">
      <x:c r="A17" s="11" t="str">
        <x:v>lade_0823_10aoi</x:v>
      </x:c>
      <x:c r="B17" s="10" t="n">
        <x:v>10</x:v>
      </x:c>
      <x:c r="C17" s="10" t="n">
        <x:v>42</x:v>
      </x:c>
      <x:c r="D17" s="10" t="str">
        <x:v>M2 / M4</x:v>
      </x:c>
      <x:c r="E17" s="16" t="n">
        <x:v>2</x:v>
      </x:c>
      <x:c r="F17" s="14" t="n">
        <x:v>20</x:v>
      </x:c>
      <x:c r="G17" s="26" t="n">
        <x:f>'成本明细'!U9+'成本明细'!G9*(E17-'参数'!$B$6)</x:f>
        <x:v>1582.3413821266668</x:v>
      </x:c>
      <x:c r="H17" s="26" t="n">
        <x:f>'成本明细'!U15</x:f>
        <x:v>2297.9809467122222</x:v>
      </x:c>
      <x:c r="I17" s="26" t="n">
        <x:f>'成本明细'!V15</x:f>
        <x:v>4781.5</x:v>
      </x:c>
      <x:c r="J17" s="22" t="n">
        <x:f>'参数'!$B$9</x:f>
        <x:v>300</x:v>
      </x:c>
      <x:c r="K17" s="26" t="n">
        <x:f>J17*(G17-H17)-I17*ROUNDUP(J17/F17,0)</x:f>
        <x:v>-286414.36937566666</x:v>
      </x:c>
      <x:c r="L17" s="10" t="str">
        <x:f>IF(G17-H17&lt;=0,"未回本",IF(ROUNDUP(I17/(G17-H17),0)&gt;MIN(F17,J17),"未回本",MAX(1,ROUNDUP(I17/(G17-H17),0))))</x:f>
        <x:v>未回本</x:v>
      </x:c>
    </x:row>
    <x:row r="18" ht="22" customHeight="1">
      <x:c r="A18" s="11" t="str">
        <x:v>lade_0823_10aoi</x:v>
      </x:c>
      <x:c r="B18" s="10" t="n">
        <x:v>10</x:v>
      </x:c>
      <x:c r="C18" s="10" t="n">
        <x:v>42</x:v>
      </x:c>
      <x:c r="D18" s="10" t="str">
        <x:v>M1 / M3</x:v>
      </x:c>
      <x:c r="E18" s="16" t="n">
        <x:v>2</x:v>
      </x:c>
      <x:c r="F18" s="14" t="n">
        <x:v>30</x:v>
      </x:c>
      <x:c r="G18" s="26" t="n">
        <x:f>'成本明细'!U6+'成本明细'!G6*(E18-'参数'!$B$6)</x:f>
        <x:v>1582.3413821266668</x:v>
      </x:c>
      <x:c r="H18" s="26" t="n">
        <x:f>'成本明细'!U12</x:f>
        <x:v>2305.6772459783333</x:v>
      </x:c>
      <x:c r="I18" s="26" t="n">
        <x:f>'成本明细'!V12</x:f>
        <x:v>4781.5</x:v>
      </x:c>
      <x:c r="J18" s="22" t="n">
        <x:f>'参数'!$B$9</x:f>
        <x:v>300</x:v>
      </x:c>
      <x:c r="K18" s="26" t="n">
        <x:f>J18*(G18-H18)-I18*ROUNDUP(J18/F18,0)</x:f>
        <x:v>-264815.7591555</x:v>
      </x:c>
      <x:c r="L18" s="10" t="str">
        <x:f>IF(G18-H18&lt;=0,"未回本",IF(ROUNDUP(I18/(G18-H18),0)&gt;MIN(F18,J18),"未回本",MAX(1,ROUNDUP(I18/(G18-H18),0))))</x:f>
        <x:v>未回本</x:v>
      </x:c>
    </x:row>
    <x:row r="19" ht="22" customHeight="1">
      <x:c r="A19" s="11" t="str">
        <x:v>lade_0823_10aoi</x:v>
      </x:c>
      <x:c r="B19" s="10" t="n">
        <x:v>10</x:v>
      </x:c>
      <x:c r="C19" s="10" t="n">
        <x:v>42</x:v>
      </x:c>
      <x:c r="D19" s="10" t="str">
        <x:v>M2 / M4</x:v>
      </x:c>
      <x:c r="E19" s="16" t="n">
        <x:v>2</x:v>
      </x:c>
      <x:c r="F19" s="14" t="n">
        <x:v>30</x:v>
      </x:c>
      <x:c r="G19" s="26" t="n">
        <x:f>'成本明细'!U9+'成本明细'!G9*(E19-'参数'!$B$6)</x:f>
        <x:v>1582.3413821266668</x:v>
      </x:c>
      <x:c r="H19" s="26" t="n">
        <x:f>'成本明细'!U15</x:f>
        <x:v>2297.9809467122222</x:v>
      </x:c>
      <x:c r="I19" s="26" t="n">
        <x:f>'成本明细'!V15</x:f>
        <x:v>4781.5</x:v>
      </x:c>
      <x:c r="J19" s="22" t="n">
        <x:f>'参数'!$B$9</x:f>
        <x:v>300</x:v>
      </x:c>
      <x:c r="K19" s="26" t="n">
        <x:f>J19*(G19-H19)-I19*ROUNDUP(J19/F19,0)</x:f>
        <x:v>-262506.86937566666</x:v>
      </x:c>
      <x:c r="L19" s="10" t="str">
        <x:f>IF(G19-H19&lt;=0,"未回本",IF(ROUNDUP(I19/(G19-H19),0)&gt;MIN(F19,J19),"未回本",MAX(1,ROUNDUP(I19/(G19-H19),0))))</x:f>
        <x:v>未回本</x:v>
      </x:c>
    </x:row>
    <x:row r="20" ht="22" customHeight="1">
      <x:c r="A20" s="11" t="str">
        <x:v>lade_0823_10aoi</x:v>
      </x:c>
      <x:c r="B20" s="10" t="n">
        <x:v>10</x:v>
      </x:c>
      <x:c r="C20" s="10" t="n">
        <x:v>42</x:v>
      </x:c>
      <x:c r="D20" s="10" t="str">
        <x:v>M1 / M3</x:v>
      </x:c>
      <x:c r="E20" s="16" t="n">
        <x:v>2</x:v>
      </x:c>
      <x:c r="F20" s="14" t="n">
        <x:v>50</x:v>
      </x:c>
      <x:c r="G20" s="26" t="n">
        <x:f>'成本明细'!U6+'成本明细'!G6*(E20-'参数'!$B$6)</x:f>
        <x:v>1582.3413821266668</x:v>
      </x:c>
      <x:c r="H20" s="26" t="n">
        <x:f>'成本明细'!U12</x:f>
        <x:v>2305.6772459783333</x:v>
      </x:c>
      <x:c r="I20" s="26" t="n">
        <x:f>'成本明细'!V12</x:f>
        <x:v>4781.5</x:v>
      </x:c>
      <x:c r="J20" s="22" t="n">
        <x:f>'参数'!$B$9</x:f>
        <x:v>300</x:v>
      </x:c>
      <x:c r="K20" s="26" t="n">
        <x:f>J20*(G20-H20)-I20*ROUNDUP(J20/F20,0)</x:f>
        <x:v>-245689.75915549995</x:v>
      </x:c>
      <x:c r="L20" s="10" t="str">
        <x:f>IF(G20-H20&lt;=0,"未回本",IF(ROUNDUP(I20/(G20-H20),0)&gt;MIN(F20,J20),"未回本",MAX(1,ROUNDUP(I20/(G20-H20),0))))</x:f>
        <x:v>未回本</x:v>
      </x:c>
    </x:row>
    <x:row r="21" ht="22" customHeight="1">
      <x:c r="A21" s="11" t="str">
        <x:v>lade_0823_10aoi</x:v>
      </x:c>
      <x:c r="B21" s="10" t="n">
        <x:v>10</x:v>
      </x:c>
      <x:c r="C21" s="10" t="n">
        <x:v>42</x:v>
      </x:c>
      <x:c r="D21" s="10" t="str">
        <x:v>M2 / M4</x:v>
      </x:c>
      <x:c r="E21" s="16" t="n">
        <x:v>2</x:v>
      </x:c>
      <x:c r="F21" s="14" t="n">
        <x:v>50</x:v>
      </x:c>
      <x:c r="G21" s="26" t="n">
        <x:f>'成本明细'!U9+'成本明细'!G9*(E21-'参数'!$B$6)</x:f>
        <x:v>1582.3413821266668</x:v>
      </x:c>
      <x:c r="H21" s="26" t="n">
        <x:f>'成本明细'!U15</x:f>
        <x:v>2297.9809467122222</x:v>
      </x:c>
      <x:c r="I21" s="26" t="n">
        <x:f>'成本明细'!V15</x:f>
        <x:v>4781.5</x:v>
      </x:c>
      <x:c r="J21" s="22" t="n">
        <x:f>'参数'!$B$9</x:f>
        <x:v>300</x:v>
      </x:c>
      <x:c r="K21" s="26" t="n">
        <x:f>J21*(G21-H21)-I21*ROUNDUP(J21/F21,0)</x:f>
        <x:v>-243380.86937566666</x:v>
      </x:c>
      <x:c r="L21" s="10" t="str">
        <x:f>IF(G21-H21&lt;=0,"未回本",IF(ROUNDUP(I21/(G21-H21),0)&gt;MIN(F21,J21),"未回本",MAX(1,ROUNDUP(I21/(G21-H21),0))))</x:f>
        <x:v>未回本</x:v>
      </x:c>
    </x:row>
    <x:row r="22" ht="22" customHeight="1">
      <x:c r="A22" s="11" t="str">
        <x:v>lade_0823_10aoi</x:v>
      </x:c>
      <x:c r="B22" s="10" t="n">
        <x:v>10</x:v>
      </x:c>
      <x:c r="C22" s="10" t="n">
        <x:v>42</x:v>
      </x:c>
      <x:c r="D22" s="10" t="str">
        <x:v>M1 / M3</x:v>
      </x:c>
      <x:c r="E22" s="16" t="n">
        <x:v>3</x:v>
      </x:c>
      <x:c r="F22" s="14" t="n">
        <x:v>10</x:v>
      </x:c>
      <x:c r="G22" s="26" t="n">
        <x:f>'成本明细'!U6+'成本明细'!G6*(E22-'参数'!$B$6)</x:f>
        <x:v>1713.3413821266668</x:v>
      </x:c>
      <x:c r="H22" s="26" t="n">
        <x:f>'成本明细'!U12</x:f>
        <x:v>2305.6772459783333</x:v>
      </x:c>
      <x:c r="I22" s="26" t="n">
        <x:f>'成本明细'!V12</x:f>
        <x:v>4781.5</x:v>
      </x:c>
      <x:c r="J22" s="22" t="n">
        <x:f>'参数'!$B$9</x:f>
        <x:v>300</x:v>
      </x:c>
      <x:c r="K22" s="26" t="n">
        <x:f>J22*(G22-H22)-I22*ROUNDUP(J22/F22,0)</x:f>
        <x:v>-321145.7591555</x:v>
      </x:c>
      <x:c r="L22" s="10" t="str">
        <x:f>IF(G22-H22&lt;=0,"未回本",IF(ROUNDUP(I22/(G22-H22),0)&gt;MIN(F22,J22),"未回本",MAX(1,ROUNDUP(I22/(G22-H22),0))))</x:f>
        <x:v>未回本</x:v>
      </x:c>
    </x:row>
    <x:row r="23" ht="22" customHeight="1">
      <x:c r="A23" s="11" t="str">
        <x:v>lade_0823_10aoi</x:v>
      </x:c>
      <x:c r="B23" s="10" t="n">
        <x:v>10</x:v>
      </x:c>
      <x:c r="C23" s="10" t="n">
        <x:v>42</x:v>
      </x:c>
      <x:c r="D23" s="10" t="str">
        <x:v>M2 / M4</x:v>
      </x:c>
      <x:c r="E23" s="16" t="n">
        <x:v>3</x:v>
      </x:c>
      <x:c r="F23" s="14" t="n">
        <x:v>10</x:v>
      </x:c>
      <x:c r="G23" s="26" t="n">
        <x:f>'成本明细'!U9+'成本明细'!G9*(E23-'参数'!$B$6)</x:f>
        <x:v>1713.3413821266668</x:v>
      </x:c>
      <x:c r="H23" s="26" t="n">
        <x:f>'成本明细'!U15</x:f>
        <x:v>2297.9809467122222</x:v>
      </x:c>
      <x:c r="I23" s="26" t="n">
        <x:f>'成本明细'!V15</x:f>
        <x:v>4781.5</x:v>
      </x:c>
      <x:c r="J23" s="22" t="n">
        <x:f>'参数'!$B$9</x:f>
        <x:v>300</x:v>
      </x:c>
      <x:c r="K23" s="26" t="n">
        <x:f>J23*(G23-H23)-I23*ROUNDUP(J23/F23,0)</x:f>
        <x:v>-318836.86937566666</x:v>
      </x:c>
      <x:c r="L23" s="10" t="str">
        <x:f>IF(G23-H23&lt;=0,"未回本",IF(ROUNDUP(I23/(G23-H23),0)&gt;MIN(F23,J23),"未回本",MAX(1,ROUNDUP(I23/(G23-H23),0))))</x:f>
        <x:v>未回本</x:v>
      </x:c>
    </x:row>
    <x:row r="24" ht="22" customHeight="1">
      <x:c r="A24" s="11" t="str">
        <x:v>lade_0823_10aoi</x:v>
      </x:c>
      <x:c r="B24" s="10" t="n">
        <x:v>10</x:v>
      </x:c>
      <x:c r="C24" s="10" t="n">
        <x:v>42</x:v>
      </x:c>
      <x:c r="D24" s="10" t="str">
        <x:v>M1 / M3</x:v>
      </x:c>
      <x:c r="E24" s="16" t="n">
        <x:v>3</x:v>
      </x:c>
      <x:c r="F24" s="14" t="n">
        <x:v>20</x:v>
      </x:c>
      <x:c r="G24" s="26" t="n">
        <x:f>'成本明细'!U6+'成本明细'!G6*(E24-'参数'!$B$6)</x:f>
        <x:v>1713.3413821266668</x:v>
      </x:c>
      <x:c r="H24" s="26" t="n">
        <x:f>'成本明细'!U12</x:f>
        <x:v>2305.6772459783333</x:v>
      </x:c>
      <x:c r="I24" s="26" t="n">
        <x:f>'成本明细'!V12</x:f>
        <x:v>4781.5</x:v>
      </x:c>
      <x:c r="J24" s="22" t="n">
        <x:f>'参数'!$B$9</x:f>
        <x:v>300</x:v>
      </x:c>
      <x:c r="K24" s="26" t="n">
        <x:f>J24*(G24-H24)-I24*ROUNDUP(J24/F24,0)</x:f>
        <x:v>-249423.25915549995</x:v>
      </x:c>
      <x:c r="L24" s="10" t="str">
        <x:f>IF(G24-H24&lt;=0,"未回本",IF(ROUNDUP(I24/(G24-H24),0)&gt;MIN(F24,J24),"未回本",MAX(1,ROUNDUP(I24/(G24-H24),0))))</x:f>
        <x:v>未回本</x:v>
      </x:c>
    </x:row>
    <x:row r="25" ht="22" customHeight="1">
      <x:c r="A25" s="11" t="str">
        <x:v>lade_0823_10aoi</x:v>
      </x:c>
      <x:c r="B25" s="10" t="n">
        <x:v>10</x:v>
      </x:c>
      <x:c r="C25" s="10" t="n">
        <x:v>42</x:v>
      </x:c>
      <x:c r="D25" s="10" t="str">
        <x:v>M2 / M4</x:v>
      </x:c>
      <x:c r="E25" s="16" t="n">
        <x:v>3</x:v>
      </x:c>
      <x:c r="F25" s="14" t="n">
        <x:v>20</x:v>
      </x:c>
      <x:c r="G25" s="26" t="n">
        <x:f>'成本明细'!U9+'成本明细'!G9*(E25-'参数'!$B$6)</x:f>
        <x:v>1713.3413821266668</x:v>
      </x:c>
      <x:c r="H25" s="26" t="n">
        <x:f>'成本明细'!U15</x:f>
        <x:v>2297.9809467122222</x:v>
      </x:c>
      <x:c r="I25" s="26" t="n">
        <x:f>'成本明细'!V15</x:f>
        <x:v>4781.5</x:v>
      </x:c>
      <x:c r="J25" s="22" t="n">
        <x:f>'参数'!$B$9</x:f>
        <x:v>300</x:v>
      </x:c>
      <x:c r="K25" s="26" t="n">
        <x:f>J25*(G25-H25)-I25*ROUNDUP(J25/F25,0)</x:f>
        <x:v>-247114.36937566666</x:v>
      </x:c>
      <x:c r="L25" s="10" t="str">
        <x:f>IF(G25-H25&lt;=0,"未回本",IF(ROUNDUP(I25/(G25-H25),0)&gt;MIN(F25,J25),"未回本",MAX(1,ROUNDUP(I25/(G25-H25),0))))</x:f>
        <x:v>未回本</x:v>
      </x:c>
    </x:row>
    <x:row r="26" ht="22" customHeight="1">
      <x:c r="A26" s="11" t="str">
        <x:v>lade_0823_10aoi</x:v>
      </x:c>
      <x:c r="B26" s="10" t="n">
        <x:v>10</x:v>
      </x:c>
      <x:c r="C26" s="10" t="n">
        <x:v>42</x:v>
      </x:c>
      <x:c r="D26" s="10" t="str">
        <x:v>M1 / M3</x:v>
      </x:c>
      <x:c r="E26" s="16" t="n">
        <x:v>3</x:v>
      </x:c>
      <x:c r="F26" s="14" t="n">
        <x:v>30</x:v>
      </x:c>
      <x:c r="G26" s="26" t="n">
        <x:f>'成本明细'!U6+'成本明细'!G6*(E26-'参数'!$B$6)</x:f>
        <x:v>1713.3413821266668</x:v>
      </x:c>
      <x:c r="H26" s="26" t="n">
        <x:f>'成本明细'!U12</x:f>
        <x:v>2305.6772459783333</x:v>
      </x:c>
      <x:c r="I26" s="26" t="n">
        <x:f>'成本明细'!V12</x:f>
        <x:v>4781.5</x:v>
      </x:c>
      <x:c r="J26" s="22" t="n">
        <x:f>'参数'!$B$9</x:f>
        <x:v>300</x:v>
      </x:c>
      <x:c r="K26" s="26" t="n">
        <x:f>J26*(G26-H26)-I26*ROUNDUP(J26/F26,0)</x:f>
        <x:v>-225515.75915549995</x:v>
      </x:c>
      <x:c r="L26" s="10" t="str">
        <x:f>IF(G26-H26&lt;=0,"未回本",IF(ROUNDUP(I26/(G26-H26),0)&gt;MIN(F26,J26),"未回本",MAX(1,ROUNDUP(I26/(G26-H26),0))))</x:f>
        <x:v>未回本</x:v>
      </x:c>
    </x:row>
    <x:row r="27" ht="22" customHeight="1">
      <x:c r="A27" s="11" t="str">
        <x:v>lade_0823_10aoi</x:v>
      </x:c>
      <x:c r="B27" s="10" t="n">
        <x:v>10</x:v>
      </x:c>
      <x:c r="C27" s="10" t="n">
        <x:v>42</x:v>
      </x:c>
      <x:c r="D27" s="10" t="str">
        <x:v>M2 / M4</x:v>
      </x:c>
      <x:c r="E27" s="16" t="n">
        <x:v>3</x:v>
      </x:c>
      <x:c r="F27" s="14" t="n">
        <x:v>30</x:v>
      </x:c>
      <x:c r="G27" s="26" t="n">
        <x:f>'成本明细'!U9+'成本明细'!G9*(E27-'参数'!$B$6)</x:f>
        <x:v>1713.3413821266668</x:v>
      </x:c>
      <x:c r="H27" s="26" t="n">
        <x:f>'成本明细'!U15</x:f>
        <x:v>2297.9809467122222</x:v>
      </x:c>
      <x:c r="I27" s="26" t="n">
        <x:f>'成本明细'!V15</x:f>
        <x:v>4781.5</x:v>
      </x:c>
      <x:c r="J27" s="22" t="n">
        <x:f>'参数'!$B$9</x:f>
        <x:v>300</x:v>
      </x:c>
      <x:c r="K27" s="26" t="n">
        <x:f>J27*(G27-H27)-I27*ROUNDUP(J27/F27,0)</x:f>
        <x:v>-223206.86937566666</x:v>
      </x:c>
      <x:c r="L27" s="10" t="str">
        <x:f>IF(G27-H27&lt;=0,"未回本",IF(ROUNDUP(I27/(G27-H27),0)&gt;MIN(F27,J27),"未回本",MAX(1,ROUNDUP(I27/(G27-H27),0))))</x:f>
        <x:v>未回本</x:v>
      </x:c>
    </x:row>
    <x:row r="28" ht="22" customHeight="1">
      <x:c r="A28" s="11" t="str">
        <x:v>lade_0823_10aoi</x:v>
      </x:c>
      <x:c r="B28" s="10" t="n">
        <x:v>10</x:v>
      </x:c>
      <x:c r="C28" s="10" t="n">
        <x:v>42</x:v>
      </x:c>
      <x:c r="D28" s="10" t="str">
        <x:v>M1 / M3</x:v>
      </x:c>
      <x:c r="E28" s="16" t="n">
        <x:v>3</x:v>
      </x:c>
      <x:c r="F28" s="14" t="n">
        <x:v>50</x:v>
      </x:c>
      <x:c r="G28" s="26" t="n">
        <x:f>'成本明细'!U6+'成本明细'!G6*(E28-'参数'!$B$6)</x:f>
        <x:v>1713.3413821266668</x:v>
      </x:c>
      <x:c r="H28" s="26" t="n">
        <x:f>'成本明细'!U12</x:f>
        <x:v>2305.6772459783333</x:v>
      </x:c>
      <x:c r="I28" s="26" t="n">
        <x:f>'成本明细'!V12</x:f>
        <x:v>4781.5</x:v>
      </x:c>
      <x:c r="J28" s="22" t="n">
        <x:f>'参数'!$B$9</x:f>
        <x:v>300</x:v>
      </x:c>
      <x:c r="K28" s="26" t="n">
        <x:f>J28*(G28-H28)-I28*ROUNDUP(J28/F28,0)</x:f>
        <x:v>-206389.75915549995</x:v>
      </x:c>
      <x:c r="L28" s="10" t="str">
        <x:f>IF(G28-H28&lt;=0,"未回本",IF(ROUNDUP(I28/(G28-H28),0)&gt;MIN(F28,J28),"未回本",MAX(1,ROUNDUP(I28/(G28-H28),0))))</x:f>
        <x:v>未回本</x:v>
      </x:c>
    </x:row>
    <x:row r="29" ht="22" customHeight="1">
      <x:c r="A29" s="11" t="str">
        <x:v>lade_0823_10aoi</x:v>
      </x:c>
      <x:c r="B29" s="10" t="n">
        <x:v>10</x:v>
      </x:c>
      <x:c r="C29" s="10" t="n">
        <x:v>42</x:v>
      </x:c>
      <x:c r="D29" s="10" t="str">
        <x:v>M2 / M4</x:v>
      </x:c>
      <x:c r="E29" s="16" t="n">
        <x:v>3</x:v>
      </x:c>
      <x:c r="F29" s="14" t="n">
        <x:v>50</x:v>
      </x:c>
      <x:c r="G29" s="26" t="n">
        <x:f>'成本明细'!U9+'成本明细'!G9*(E29-'参数'!$B$6)</x:f>
        <x:v>1713.3413821266668</x:v>
      </x:c>
      <x:c r="H29" s="26" t="n">
        <x:f>'成本明细'!U15</x:f>
        <x:v>2297.9809467122222</x:v>
      </x:c>
      <x:c r="I29" s="26" t="n">
        <x:f>'成本明细'!V15</x:f>
        <x:v>4781.5</x:v>
      </x:c>
      <x:c r="J29" s="22" t="n">
        <x:f>'参数'!$B$9</x:f>
        <x:v>300</x:v>
      </x:c>
      <x:c r="K29" s="26" t="n">
        <x:f>J29*(G29-H29)-I29*ROUNDUP(J29/F29,0)</x:f>
        <x:v>-204080.86937566666</x:v>
      </x:c>
      <x:c r="L29" s="10" t="str">
        <x:f>IF(G29-H29&lt;=0,"未回本",IF(ROUNDUP(I29/(G29-H29),0)&gt;MIN(F29,J29),"未回本",MAX(1,ROUNDUP(I29/(G29-H29),0))))</x:f>
        <x:v>未回本</x:v>
      </x:c>
    </x:row>
    <x:row r="30" ht="22" customHeight="1">
      <x:c r="A30" s="11" t="str">
        <x:v>lade_0823_10aoi</x:v>
      </x:c>
      <x:c r="B30" s="10" t="n">
        <x:v>10</x:v>
      </x:c>
      <x:c r="C30" s="10" t="n">
        <x:v>42</x:v>
      </x:c>
      <x:c r="D30" s="10" t="str">
        <x:v>M1 / M3</x:v>
      </x:c>
      <x:c r="E30" s="16" t="n">
        <x:v>4</x:v>
      </x:c>
      <x:c r="F30" s="14" t="n">
        <x:v>10</x:v>
      </x:c>
      <x:c r="G30" s="26" t="n">
        <x:f>'成本明细'!U6+'成本明细'!G6*(E30-'参数'!$B$6)</x:f>
        <x:v>1844.3413821266668</x:v>
      </x:c>
      <x:c r="H30" s="26" t="n">
        <x:f>'成本明细'!U12</x:f>
        <x:v>2305.6772459783333</x:v>
      </x:c>
      <x:c r="I30" s="26" t="n">
        <x:f>'成本明细'!V12</x:f>
        <x:v>4781.5</x:v>
      </x:c>
      <x:c r="J30" s="22" t="n">
        <x:f>'参数'!$B$9</x:f>
        <x:v>300</x:v>
      </x:c>
      <x:c r="K30" s="26" t="n">
        <x:f>J30*(G30-H30)-I30*ROUNDUP(J30/F30,0)</x:f>
        <x:v>-281845.7591555</x:v>
      </x:c>
      <x:c r="L30" s="10" t="str">
        <x:f>IF(G30-H30&lt;=0,"未回本",IF(ROUNDUP(I30/(G30-H30),0)&gt;MIN(F30,J30),"未回本",MAX(1,ROUNDUP(I30/(G30-H30),0))))</x:f>
        <x:v>未回本</x:v>
      </x:c>
    </x:row>
    <x:row r="31" ht="22" customHeight="1">
      <x:c r="A31" s="11" t="str">
        <x:v>lade_0823_10aoi</x:v>
      </x:c>
      <x:c r="B31" s="10" t="n">
        <x:v>10</x:v>
      </x:c>
      <x:c r="C31" s="10" t="n">
        <x:v>42</x:v>
      </x:c>
      <x:c r="D31" s="10" t="str">
        <x:v>M2 / M4</x:v>
      </x:c>
      <x:c r="E31" s="16" t="n">
        <x:v>4</x:v>
      </x:c>
      <x:c r="F31" s="14" t="n">
        <x:v>10</x:v>
      </x:c>
      <x:c r="G31" s="26" t="n">
        <x:f>'成本明细'!U9+'成本明细'!G9*(E31-'参数'!$B$6)</x:f>
        <x:v>1844.3413821266668</x:v>
      </x:c>
      <x:c r="H31" s="26" t="n">
        <x:f>'成本明细'!U15</x:f>
        <x:v>2297.9809467122222</x:v>
      </x:c>
      <x:c r="I31" s="26" t="n">
        <x:f>'成本明细'!V15</x:f>
        <x:v>4781.5</x:v>
      </x:c>
      <x:c r="J31" s="22" t="n">
        <x:f>'参数'!$B$9</x:f>
        <x:v>300</x:v>
      </x:c>
      <x:c r="K31" s="26" t="n">
        <x:f>J31*(G31-H31)-I31*ROUNDUP(J31/F31,0)</x:f>
        <x:v>-279536.86937566666</x:v>
      </x:c>
      <x:c r="L31" s="10" t="str">
        <x:f>IF(G31-H31&lt;=0,"未回本",IF(ROUNDUP(I31/(G31-H31),0)&gt;MIN(F31,J31),"未回本",MAX(1,ROUNDUP(I31/(G31-H31),0))))</x:f>
        <x:v>未回本</x:v>
      </x:c>
    </x:row>
    <x:row r="32" ht="22" customHeight="1">
      <x:c r="A32" s="11" t="str">
        <x:v>lade_0823_10aoi</x:v>
      </x:c>
      <x:c r="B32" s="10" t="n">
        <x:v>10</x:v>
      </x:c>
      <x:c r="C32" s="10" t="n">
        <x:v>42</x:v>
      </x:c>
      <x:c r="D32" s="10" t="str">
        <x:v>M1 / M3</x:v>
      </x:c>
      <x:c r="E32" s="16" t="n">
        <x:v>4</x:v>
      </x:c>
      <x:c r="F32" s="14" t="n">
        <x:v>20</x:v>
      </x:c>
      <x:c r="G32" s="26" t="n">
        <x:f>'成本明细'!U6+'成本明细'!G6*(E32-'参数'!$B$6)</x:f>
        <x:v>1844.3413821266668</x:v>
      </x:c>
      <x:c r="H32" s="26" t="n">
        <x:f>'成本明细'!U12</x:f>
        <x:v>2305.6772459783333</x:v>
      </x:c>
      <x:c r="I32" s="26" t="n">
        <x:f>'成本明细'!V12</x:f>
        <x:v>4781.5</x:v>
      </x:c>
      <x:c r="J32" s="22" t="n">
        <x:f>'参数'!$B$9</x:f>
        <x:v>300</x:v>
      </x:c>
      <x:c r="K32" s="26" t="n">
        <x:f>J32*(G32-H32)-I32*ROUNDUP(J32/F32,0)</x:f>
        <x:v>-210123.25915549995</x:v>
      </x:c>
      <x:c r="L32" s="10" t="str">
        <x:f>IF(G32-H32&lt;=0,"未回本",IF(ROUNDUP(I32/(G32-H32),0)&gt;MIN(F32,J32),"未回本",MAX(1,ROUNDUP(I32/(G32-H32),0))))</x:f>
        <x:v>未回本</x:v>
      </x:c>
    </x:row>
    <x:row r="33" ht="22" customHeight="1">
      <x:c r="A33" s="11" t="str">
        <x:v>lade_0823_10aoi</x:v>
      </x:c>
      <x:c r="B33" s="10" t="n">
        <x:v>10</x:v>
      </x:c>
      <x:c r="C33" s="10" t="n">
        <x:v>42</x:v>
      </x:c>
      <x:c r="D33" s="10" t="str">
        <x:v>M2 / M4</x:v>
      </x:c>
      <x:c r="E33" s="16" t="n">
        <x:v>4</x:v>
      </x:c>
      <x:c r="F33" s="14" t="n">
        <x:v>20</x:v>
      </x:c>
      <x:c r="G33" s="26" t="n">
        <x:f>'成本明细'!U9+'成本明细'!G9*(E33-'参数'!$B$6)</x:f>
        <x:v>1844.3413821266668</x:v>
      </x:c>
      <x:c r="H33" s="26" t="n">
        <x:f>'成本明细'!U15</x:f>
        <x:v>2297.9809467122222</x:v>
      </x:c>
      <x:c r="I33" s="26" t="n">
        <x:f>'成本明细'!V15</x:f>
        <x:v>4781.5</x:v>
      </x:c>
      <x:c r="J33" s="22" t="n">
        <x:f>'参数'!$B$9</x:f>
        <x:v>300</x:v>
      </x:c>
      <x:c r="K33" s="26" t="n">
        <x:f>J33*(G33-H33)-I33*ROUNDUP(J33/F33,0)</x:f>
        <x:v>-207814.36937566666</x:v>
      </x:c>
      <x:c r="L33" s="10" t="str">
        <x:f>IF(G33-H33&lt;=0,"未回本",IF(ROUNDUP(I33/(G33-H33),0)&gt;MIN(F33,J33),"未回本",MAX(1,ROUNDUP(I33/(G33-H33),0))))</x:f>
        <x:v>未回本</x:v>
      </x:c>
    </x:row>
    <x:row r="34" ht="22" customHeight="1">
      <x:c r="A34" s="11" t="str">
        <x:v>lade_0823_10aoi</x:v>
      </x:c>
      <x:c r="B34" s="10" t="n">
        <x:v>10</x:v>
      </x:c>
      <x:c r="C34" s="10" t="n">
        <x:v>42</x:v>
      </x:c>
      <x:c r="D34" s="10" t="str">
        <x:v>M1 / M3</x:v>
      </x:c>
      <x:c r="E34" s="16" t="n">
        <x:v>4</x:v>
      </x:c>
      <x:c r="F34" s="14" t="n">
        <x:v>30</x:v>
      </x:c>
      <x:c r="G34" s="26" t="n">
        <x:f>'成本明细'!U6+'成本明细'!G6*(E34-'参数'!$B$6)</x:f>
        <x:v>1844.3413821266668</x:v>
      </x:c>
      <x:c r="H34" s="26" t="n">
        <x:f>'成本明细'!U12</x:f>
        <x:v>2305.6772459783333</x:v>
      </x:c>
      <x:c r="I34" s="26" t="n">
        <x:f>'成本明细'!V12</x:f>
        <x:v>4781.5</x:v>
      </x:c>
      <x:c r="J34" s="22" t="n">
        <x:f>'参数'!$B$9</x:f>
        <x:v>300</x:v>
      </x:c>
      <x:c r="K34" s="26" t="n">
        <x:f>J34*(G34-H34)-I34*ROUNDUP(J34/F34,0)</x:f>
        <x:v>-186215.75915549995</x:v>
      </x:c>
      <x:c r="L34" s="10" t="str">
        <x:f>IF(G34-H34&lt;=0,"未回本",IF(ROUNDUP(I34/(G34-H34),0)&gt;MIN(F34,J34),"未回本",MAX(1,ROUNDUP(I34/(G34-H34),0))))</x:f>
        <x:v>未回本</x:v>
      </x:c>
    </x:row>
    <x:row r="35" ht="22" customHeight="1">
      <x:c r="A35" s="11" t="str">
        <x:v>lade_0823_10aoi</x:v>
      </x:c>
      <x:c r="B35" s="10" t="n">
        <x:v>10</x:v>
      </x:c>
      <x:c r="C35" s="10" t="n">
        <x:v>42</x:v>
      </x:c>
      <x:c r="D35" s="10" t="str">
        <x:v>M2 / M4</x:v>
      </x:c>
      <x:c r="E35" s="16" t="n">
        <x:v>4</x:v>
      </x:c>
      <x:c r="F35" s="14" t="n">
        <x:v>30</x:v>
      </x:c>
      <x:c r="G35" s="26" t="n">
        <x:f>'成本明细'!U9+'成本明细'!G9*(E35-'参数'!$B$6)</x:f>
        <x:v>1844.3413821266668</x:v>
      </x:c>
      <x:c r="H35" s="26" t="n">
        <x:f>'成本明细'!U15</x:f>
        <x:v>2297.9809467122222</x:v>
      </x:c>
      <x:c r="I35" s="26" t="n">
        <x:f>'成本明细'!V15</x:f>
        <x:v>4781.5</x:v>
      </x:c>
      <x:c r="J35" s="22" t="n">
        <x:f>'参数'!$B$9</x:f>
        <x:v>300</x:v>
      </x:c>
      <x:c r="K35" s="26" t="n">
        <x:f>J35*(G35-H35)-I35*ROUNDUP(J35/F35,0)</x:f>
        <x:v>-183906.86937566666</x:v>
      </x:c>
      <x:c r="L35" s="10" t="str">
        <x:f>IF(G35-H35&lt;=0,"未回本",IF(ROUNDUP(I35/(G35-H35),0)&gt;MIN(F35,J35),"未回本",MAX(1,ROUNDUP(I35/(G35-H35),0))))</x:f>
        <x:v>未回本</x:v>
      </x:c>
    </x:row>
    <x:row r="36" ht="22" customHeight="1">
      <x:c r="A36" s="11" t="str">
        <x:v>lade_0823_10aoi</x:v>
      </x:c>
      <x:c r="B36" s="10" t="n">
        <x:v>10</x:v>
      </x:c>
      <x:c r="C36" s="10" t="n">
        <x:v>42</x:v>
      </x:c>
      <x:c r="D36" s="10" t="str">
        <x:v>M1 / M3</x:v>
      </x:c>
      <x:c r="E36" s="16" t="n">
        <x:v>4</x:v>
      </x:c>
      <x:c r="F36" s="14" t="n">
        <x:v>50</x:v>
      </x:c>
      <x:c r="G36" s="26" t="n">
        <x:f>'成本明细'!U6+'成本明细'!G6*(E36-'参数'!$B$6)</x:f>
        <x:v>1844.3413821266668</x:v>
      </x:c>
      <x:c r="H36" s="26" t="n">
        <x:f>'成本明细'!U12</x:f>
        <x:v>2305.6772459783333</x:v>
      </x:c>
      <x:c r="I36" s="26" t="n">
        <x:f>'成本明细'!V12</x:f>
        <x:v>4781.5</x:v>
      </x:c>
      <x:c r="J36" s="22" t="n">
        <x:f>'参数'!$B$9</x:f>
        <x:v>300</x:v>
      </x:c>
      <x:c r="K36" s="26" t="n">
        <x:f>J36*(G36-H36)-I36*ROUNDUP(J36/F36,0)</x:f>
        <x:v>-167089.75915549995</x:v>
      </x:c>
      <x:c r="L36" s="10" t="str">
        <x:f>IF(G36-H36&lt;=0,"未回本",IF(ROUNDUP(I36/(G36-H36),0)&gt;MIN(F36,J36),"未回本",MAX(1,ROUNDUP(I36/(G36-H36),0))))</x:f>
        <x:v>未回本</x:v>
      </x:c>
    </x:row>
    <x:row r="37" ht="22" customHeight="1">
      <x:c r="A37" s="11" t="str">
        <x:v>lade_0823_10aoi</x:v>
      </x:c>
      <x:c r="B37" s="10" t="n">
        <x:v>10</x:v>
      </x:c>
      <x:c r="C37" s="10" t="n">
        <x:v>42</x:v>
      </x:c>
      <x:c r="D37" s="10" t="str">
        <x:v>M2 / M4</x:v>
      </x:c>
      <x:c r="E37" s="16" t="n">
        <x:v>4</x:v>
      </x:c>
      <x:c r="F37" s="14" t="n">
        <x:v>50</x:v>
      </x:c>
      <x:c r="G37" s="26" t="n">
        <x:f>'成本明细'!U9+'成本明细'!G9*(E37-'参数'!$B$6)</x:f>
        <x:v>1844.3413821266668</x:v>
      </x:c>
      <x:c r="H37" s="26" t="n">
        <x:f>'成本明细'!U15</x:f>
        <x:v>2297.9809467122222</x:v>
      </x:c>
      <x:c r="I37" s="26" t="n">
        <x:f>'成本明细'!V15</x:f>
        <x:v>4781.5</x:v>
      </x:c>
      <x:c r="J37" s="22" t="n">
        <x:f>'参数'!$B$9</x:f>
        <x:v>300</x:v>
      </x:c>
      <x:c r="K37" s="26" t="n">
        <x:f>J37*(G37-H37)-I37*ROUNDUP(J37/F37,0)</x:f>
        <x:v>-164780.86937566666</x:v>
      </x:c>
      <x:c r="L37" s="10" t="str">
        <x:f>IF(G37-H37&lt;=0,"未回本",IF(ROUNDUP(I37/(G37-H37),0)&gt;MIN(F37,J37),"未回本",MAX(1,ROUNDUP(I37/(G37-H37),0))))</x:f>
        <x:v>未回本</x:v>
      </x:c>
    </x:row>
    <x:row r="38" ht="22" customHeight="1">
      <x:c r="A38" s="11" t="str">
        <x:v>lade_0823_10aoi</x:v>
      </x:c>
      <x:c r="B38" s="10" t="n">
        <x:v>10</x:v>
      </x:c>
      <x:c r="C38" s="10" t="n">
        <x:v>42</x:v>
      </x:c>
      <x:c r="D38" s="10" t="str">
        <x:v>M1 / M3</x:v>
      </x:c>
      <x:c r="E38" s="16" t="n">
        <x:v>5</x:v>
      </x:c>
      <x:c r="F38" s="14" t="n">
        <x:v>10</x:v>
      </x:c>
      <x:c r="G38" s="26" t="n">
        <x:f>'成本明细'!U6+'成本明细'!G6*(E38-'参数'!$B$6)</x:f>
        <x:v>1975.3413821266668</x:v>
      </x:c>
      <x:c r="H38" s="26" t="n">
        <x:f>'成本明细'!U12</x:f>
        <x:v>2305.6772459783333</x:v>
      </x:c>
      <x:c r="I38" s="26" t="n">
        <x:f>'成本明细'!V12</x:f>
        <x:v>4781.5</x:v>
      </x:c>
      <x:c r="J38" s="22" t="n">
        <x:f>'参数'!$B$9</x:f>
        <x:v>300</x:v>
      </x:c>
      <x:c r="K38" s="26" t="n">
        <x:f>J38*(G38-H38)-I38*ROUNDUP(J38/F38,0)</x:f>
        <x:v>-242545.75915549998</x:v>
      </x:c>
      <x:c r="L38" s="10" t="str">
        <x:f>IF(G38-H38&lt;=0,"未回本",IF(ROUNDUP(I38/(G38-H38),0)&gt;MIN(F38,J38),"未回本",MAX(1,ROUNDUP(I38/(G38-H38),0))))</x:f>
        <x:v>未回本</x:v>
      </x:c>
    </x:row>
    <x:row r="39" ht="22" customHeight="1">
      <x:c r="A39" s="11" t="str">
        <x:v>lade_0823_10aoi</x:v>
      </x:c>
      <x:c r="B39" s="10" t="n">
        <x:v>10</x:v>
      </x:c>
      <x:c r="C39" s="10" t="n">
        <x:v>42</x:v>
      </x:c>
      <x:c r="D39" s="10" t="str">
        <x:v>M2 / M4</x:v>
      </x:c>
      <x:c r="E39" s="16" t="n">
        <x:v>5</x:v>
      </x:c>
      <x:c r="F39" s="14" t="n">
        <x:v>10</x:v>
      </x:c>
      <x:c r="G39" s="26" t="n">
        <x:f>'成本明细'!U9+'成本明细'!G9*(E39-'参数'!$B$6)</x:f>
        <x:v>1975.3413821266668</x:v>
      </x:c>
      <x:c r="H39" s="26" t="n">
        <x:f>'成本明细'!U15</x:f>
        <x:v>2297.9809467122222</x:v>
      </x:c>
      <x:c r="I39" s="26" t="n">
        <x:f>'成本明细'!V15</x:f>
        <x:v>4781.5</x:v>
      </x:c>
      <x:c r="J39" s="22" t="n">
        <x:f>'参数'!$B$9</x:f>
        <x:v>300</x:v>
      </x:c>
      <x:c r="K39" s="26" t="n">
        <x:f>J39*(G39-H39)-I39*ROUNDUP(J39/F39,0)</x:f>
        <x:v>-240236.86937566666</x:v>
      </x:c>
      <x:c r="L39" s="10" t="str">
        <x:f>IF(G39-H39&lt;=0,"未回本",IF(ROUNDUP(I39/(G39-H39),0)&gt;MIN(F39,J39),"未回本",MAX(1,ROUNDUP(I39/(G39-H39),0))))</x:f>
        <x:v>未回本</x:v>
      </x:c>
    </x:row>
    <x:row r="40" ht="22" customHeight="1">
      <x:c r="A40" s="11" t="str">
        <x:v>lade_0823_10aoi</x:v>
      </x:c>
      <x:c r="B40" s="10" t="n">
        <x:v>10</x:v>
      </x:c>
      <x:c r="C40" s="10" t="n">
        <x:v>42</x:v>
      </x:c>
      <x:c r="D40" s="10" t="str">
        <x:v>M1 / M3</x:v>
      </x:c>
      <x:c r="E40" s="16" t="n">
        <x:v>5</x:v>
      </x:c>
      <x:c r="F40" s="14" t="n">
        <x:v>20</x:v>
      </x:c>
      <x:c r="G40" s="26" t="n">
        <x:f>'成本明细'!U6+'成本明细'!G6*(E40-'参数'!$B$6)</x:f>
        <x:v>1975.3413821266668</x:v>
      </x:c>
      <x:c r="H40" s="26" t="n">
        <x:f>'成本明细'!U12</x:f>
        <x:v>2305.6772459783333</x:v>
      </x:c>
      <x:c r="I40" s="26" t="n">
        <x:f>'成本明细'!V12</x:f>
        <x:v>4781.5</x:v>
      </x:c>
      <x:c r="J40" s="22" t="n">
        <x:f>'参数'!$B$9</x:f>
        <x:v>300</x:v>
      </x:c>
      <x:c r="K40" s="26" t="n">
        <x:f>J40*(G40-H40)-I40*ROUNDUP(J40/F40,0)</x:f>
        <x:v>-170823.25915549998</x:v>
      </x:c>
      <x:c r="L40" s="10" t="str">
        <x:f>IF(G40-H40&lt;=0,"未回本",IF(ROUNDUP(I40/(G40-H40),0)&gt;MIN(F40,J40),"未回本",MAX(1,ROUNDUP(I40/(G40-H40),0))))</x:f>
        <x:v>未回本</x:v>
      </x:c>
    </x:row>
    <x:row r="41" ht="22" customHeight="1">
      <x:c r="A41" s="11" t="str">
        <x:v>lade_0823_10aoi</x:v>
      </x:c>
      <x:c r="B41" s="10" t="n">
        <x:v>10</x:v>
      </x:c>
      <x:c r="C41" s="10" t="n">
        <x:v>42</x:v>
      </x:c>
      <x:c r="D41" s="10" t="str">
        <x:v>M2 / M4</x:v>
      </x:c>
      <x:c r="E41" s="16" t="n">
        <x:v>5</x:v>
      </x:c>
      <x:c r="F41" s="14" t="n">
        <x:v>20</x:v>
      </x:c>
      <x:c r="G41" s="26" t="n">
        <x:f>'成本明细'!U9+'成本明细'!G9*(E41-'参数'!$B$6)</x:f>
        <x:v>1975.3413821266668</x:v>
      </x:c>
      <x:c r="H41" s="26" t="n">
        <x:f>'成本明细'!U15</x:f>
        <x:v>2297.9809467122222</x:v>
      </x:c>
      <x:c r="I41" s="26" t="n">
        <x:f>'成本明细'!V15</x:f>
        <x:v>4781.5</x:v>
      </x:c>
      <x:c r="J41" s="22" t="n">
        <x:f>'参数'!$B$9</x:f>
        <x:v>300</x:v>
      </x:c>
      <x:c r="K41" s="26" t="n">
        <x:f>J41*(G41-H41)-I41*ROUNDUP(J41/F41,0)</x:f>
        <x:v>-168514.36937566666</x:v>
      </x:c>
      <x:c r="L41" s="10" t="str">
        <x:f>IF(G41-H41&lt;=0,"未回本",IF(ROUNDUP(I41/(G41-H41),0)&gt;MIN(F41,J41),"未回本",MAX(1,ROUNDUP(I41/(G41-H41),0))))</x:f>
        <x:v>未回本</x:v>
      </x:c>
    </x:row>
    <x:row r="42" ht="22" customHeight="1">
      <x:c r="A42" s="11" t="str">
        <x:v>lade_0823_10aoi</x:v>
      </x:c>
      <x:c r="B42" s="10" t="n">
        <x:v>10</x:v>
      </x:c>
      <x:c r="C42" s="10" t="n">
        <x:v>42</x:v>
      </x:c>
      <x:c r="D42" s="10" t="str">
        <x:v>M1 / M3</x:v>
      </x:c>
      <x:c r="E42" s="16" t="n">
        <x:v>5</x:v>
      </x:c>
      <x:c r="F42" s="14" t="n">
        <x:v>30</x:v>
      </x:c>
      <x:c r="G42" s="26" t="n">
        <x:f>'成本明细'!U6+'成本明细'!G6*(E42-'参数'!$B$6)</x:f>
        <x:v>1975.3413821266668</x:v>
      </x:c>
      <x:c r="H42" s="26" t="n">
        <x:f>'成本明细'!U12</x:f>
        <x:v>2305.6772459783333</x:v>
      </x:c>
      <x:c r="I42" s="26" t="n">
        <x:f>'成本明细'!V12</x:f>
        <x:v>4781.5</x:v>
      </x:c>
      <x:c r="J42" s="22" t="n">
        <x:f>'参数'!$B$9</x:f>
        <x:v>300</x:v>
      </x:c>
      <x:c r="K42" s="26" t="n">
        <x:f>J42*(G42-H42)-I42*ROUNDUP(J42/F42,0)</x:f>
        <x:v>-146915.75915549998</x:v>
      </x:c>
      <x:c r="L42" s="10" t="str">
        <x:f>IF(G42-H42&lt;=0,"未回本",IF(ROUNDUP(I42/(G42-H42),0)&gt;MIN(F42,J42),"未回本",MAX(1,ROUNDUP(I42/(G42-H42),0))))</x:f>
        <x:v>未回本</x:v>
      </x:c>
    </x:row>
    <x:row r="43" ht="22" customHeight="1">
      <x:c r="A43" s="11" t="str">
        <x:v>lade_0823_10aoi</x:v>
      </x:c>
      <x:c r="B43" s="10" t="n">
        <x:v>10</x:v>
      </x:c>
      <x:c r="C43" s="10" t="n">
        <x:v>42</x:v>
      </x:c>
      <x:c r="D43" s="10" t="str">
        <x:v>M2 / M4</x:v>
      </x:c>
      <x:c r="E43" s="16" t="n">
        <x:v>5</x:v>
      </x:c>
      <x:c r="F43" s="14" t="n">
        <x:v>30</x:v>
      </x:c>
      <x:c r="G43" s="26" t="n">
        <x:f>'成本明细'!U9+'成本明细'!G9*(E43-'参数'!$B$6)</x:f>
        <x:v>1975.3413821266668</x:v>
      </x:c>
      <x:c r="H43" s="26" t="n">
        <x:f>'成本明细'!U15</x:f>
        <x:v>2297.9809467122222</x:v>
      </x:c>
      <x:c r="I43" s="26" t="n">
        <x:f>'成本明细'!V15</x:f>
        <x:v>4781.5</x:v>
      </x:c>
      <x:c r="J43" s="22" t="n">
        <x:f>'参数'!$B$9</x:f>
        <x:v>300</x:v>
      </x:c>
      <x:c r="K43" s="26" t="n">
        <x:f>J43*(G43-H43)-I43*ROUNDUP(J43/F43,0)</x:f>
        <x:v>-144606.86937566666</x:v>
      </x:c>
      <x:c r="L43" s="10" t="str">
        <x:f>IF(G43-H43&lt;=0,"未回本",IF(ROUNDUP(I43/(G43-H43),0)&gt;MIN(F43,J43),"未回本",MAX(1,ROUNDUP(I43/(G43-H43),0))))</x:f>
        <x:v>未回本</x:v>
      </x:c>
    </x:row>
    <x:row r="44" ht="22" customHeight="1">
      <x:c r="A44" s="11" t="str">
        <x:v>lade_0823_10aoi</x:v>
      </x:c>
      <x:c r="B44" s="10" t="n">
        <x:v>10</x:v>
      </x:c>
      <x:c r="C44" s="10" t="n">
        <x:v>42</x:v>
      </x:c>
      <x:c r="D44" s="10" t="str">
        <x:v>M1 / M3</x:v>
      </x:c>
      <x:c r="E44" s="16" t="n">
        <x:v>5</x:v>
      </x:c>
      <x:c r="F44" s="14" t="n">
        <x:v>50</x:v>
      </x:c>
      <x:c r="G44" s="26" t="n">
        <x:f>'成本明细'!U6+'成本明细'!G6*(E44-'参数'!$B$6)</x:f>
        <x:v>1975.3413821266668</x:v>
      </x:c>
      <x:c r="H44" s="26" t="n">
        <x:f>'成本明细'!U12</x:f>
        <x:v>2305.6772459783333</x:v>
      </x:c>
      <x:c r="I44" s="26" t="n">
        <x:f>'成本明细'!V12</x:f>
        <x:v>4781.5</x:v>
      </x:c>
      <x:c r="J44" s="22" t="n">
        <x:f>'参数'!$B$9</x:f>
        <x:v>300</x:v>
      </x:c>
      <x:c r="K44" s="26" t="n">
        <x:f>J44*(G44-H44)-I44*ROUNDUP(J44/F44,0)</x:f>
        <x:v>-127789.75915549997</x:v>
      </x:c>
      <x:c r="L44" s="10" t="str">
        <x:f>IF(G44-H44&lt;=0,"未回本",IF(ROUNDUP(I44/(G44-H44),0)&gt;MIN(F44,J44),"未回本",MAX(1,ROUNDUP(I44/(G44-H44),0))))</x:f>
        <x:v>未回本</x:v>
      </x:c>
    </x:row>
    <x:row r="45" ht="22" customHeight="1">
      <x:c r="A45" s="11" t="str">
        <x:v>lade_0823_10aoi</x:v>
      </x:c>
      <x:c r="B45" s="10" t="n">
        <x:v>10</x:v>
      </x:c>
      <x:c r="C45" s="10" t="n">
        <x:v>42</x:v>
      </x:c>
      <x:c r="D45" s="10" t="str">
        <x:v>M2 / M4</x:v>
      </x:c>
      <x:c r="E45" s="16" t="n">
        <x:v>5</x:v>
      </x:c>
      <x:c r="F45" s="14" t="n">
        <x:v>50</x:v>
      </x:c>
      <x:c r="G45" s="26" t="n">
        <x:f>'成本明细'!U9+'成本明细'!G9*(E45-'参数'!$B$6)</x:f>
        <x:v>1975.3413821266668</x:v>
      </x:c>
      <x:c r="H45" s="26" t="n">
        <x:f>'成本明细'!U15</x:f>
        <x:v>2297.9809467122222</x:v>
      </x:c>
      <x:c r="I45" s="26" t="n">
        <x:f>'成本明细'!V15</x:f>
        <x:v>4781.5</x:v>
      </x:c>
      <x:c r="J45" s="22" t="n">
        <x:f>'参数'!$B$9</x:f>
        <x:v>300</x:v>
      </x:c>
      <x:c r="K45" s="26" t="n">
        <x:f>J45*(G45-H45)-I45*ROUNDUP(J45/F45,0)</x:f>
        <x:v>-125480.86937566665</x:v>
      </x:c>
      <x:c r="L45" s="10" t="str">
        <x:f>IF(G45-H45&lt;=0,"未回本",IF(ROUNDUP(I45/(G45-H45),0)&gt;MIN(F45,J45),"未回本",MAX(1,ROUNDUP(I45/(G45-H45),0))))</x:f>
        <x:v>未回本</x:v>
      </x:c>
    </x:row>
    <x:row r="46" ht="22" customHeight="1">
      <x:c r="A46" s="11" t="str">
        <x:v>lade_0823_10aoi</x:v>
      </x:c>
      <x:c r="B46" s="10" t="n">
        <x:v>10</x:v>
      </x:c>
      <x:c r="C46" s="10" t="n">
        <x:v>43</x:v>
      </x:c>
      <x:c r="D46" s="10" t="str">
        <x:v>M1 / M3</x:v>
      </x:c>
      <x:c r="E46" s="16" t="n">
        <x:v>1</x:v>
      </x:c>
      <x:c r="F46" s="14" t="n">
        <x:v>10</x:v>
      </x:c>
      <x:c r="G46" s="26" t="n">
        <x:f>'成本明细'!U7+'成本明细'!G7*(E46-'参数'!$B$6)</x:f>
        <x:v>1451.3413821266668</x:v>
      </x:c>
      <x:c r="H46" s="26" t="n">
        <x:f>'成本明细'!U13</x:f>
        <x:v>2305.6772459783333</x:v>
      </x:c>
      <x:c r="I46" s="26" t="n">
        <x:f>'成本明细'!V13</x:f>
        <x:v>4781.5</x:v>
      </x:c>
      <x:c r="J46" s="22" t="n">
        <x:f>'参数'!$B$9</x:f>
        <x:v>300</x:v>
      </x:c>
      <x:c r="K46" s="26" t="n">
        <x:f>J46*(G46-H46)-I46*ROUNDUP(J46/F46,0)</x:f>
        <x:v>-399745.7591555</x:v>
      </x:c>
      <x:c r="L46" s="10" t="str">
        <x:f>IF(G46-H46&lt;=0,"未回本",IF(ROUNDUP(I46/(G46-H46),0)&gt;MIN(F46,J46),"未回本",MAX(1,ROUNDUP(I46/(G46-H46),0))))</x:f>
        <x:v>未回本</x:v>
      </x:c>
    </x:row>
    <x:row r="47" ht="22" customHeight="1">
      <x:c r="A47" s="11" t="str">
        <x:v>lade_0823_10aoi</x:v>
      </x:c>
      <x:c r="B47" s="10" t="n">
        <x:v>10</x:v>
      </x:c>
      <x:c r="C47" s="10" t="n">
        <x:v>43</x:v>
      </x:c>
      <x:c r="D47" s="10" t="str">
        <x:v>M2 / M4</x:v>
      </x:c>
      <x:c r="E47" s="16" t="n">
        <x:v>1</x:v>
      </x:c>
      <x:c r="F47" s="14" t="n">
        <x:v>10</x:v>
      </x:c>
      <x:c r="G47" s="26" t="n">
        <x:f>'成本明细'!U10+'成本明细'!G10*(E47-'参数'!$B$6)</x:f>
        <x:v>1451.3413821266668</x:v>
      </x:c>
      <x:c r="H47" s="26" t="n">
        <x:f>'成本明细'!U16</x:f>
        <x:v>2304.1988675672224</x:v>
      </x:c>
      <x:c r="I47" s="26" t="n">
        <x:f>'成本明细'!V16</x:f>
        <x:v>4781.5</x:v>
      </x:c>
      <x:c r="J47" s="22" t="n">
        <x:f>'参数'!$B$9</x:f>
        <x:v>300</x:v>
      </x:c>
      <x:c r="K47" s="26" t="n">
        <x:f>J47*(G47-H47)-I47*ROUNDUP(J47/F47,0)</x:f>
        <x:v>-399302.2456321667</x:v>
      </x:c>
      <x:c r="L47" s="10" t="str">
        <x:f>IF(G47-H47&lt;=0,"未回本",IF(ROUNDUP(I47/(G47-H47),0)&gt;MIN(F47,J47),"未回本",MAX(1,ROUNDUP(I47/(G47-H47),0))))</x:f>
        <x:v>未回本</x:v>
      </x:c>
    </x:row>
    <x:row r="48" ht="22" customHeight="1">
      <x:c r="A48" s="11" t="str">
        <x:v>lade_0823_10aoi</x:v>
      </x:c>
      <x:c r="B48" s="10" t="n">
        <x:v>10</x:v>
      </x:c>
      <x:c r="C48" s="10" t="n">
        <x:v>43</x:v>
      </x:c>
      <x:c r="D48" s="10" t="str">
        <x:v>M1 / M3</x:v>
      </x:c>
      <x:c r="E48" s="16" t="n">
        <x:v>1</x:v>
      </x:c>
      <x:c r="F48" s="14" t="n">
        <x:v>20</x:v>
      </x:c>
      <x:c r="G48" s="26" t="n">
        <x:f>'成本明细'!U7+'成本明细'!G7*(E48-'参数'!$B$6)</x:f>
        <x:v>1451.3413821266668</x:v>
      </x:c>
      <x:c r="H48" s="26" t="n">
        <x:f>'成本明细'!U13</x:f>
        <x:v>2305.6772459783333</x:v>
      </x:c>
      <x:c r="I48" s="26" t="n">
        <x:f>'成本明细'!V13</x:f>
        <x:v>4781.5</x:v>
      </x:c>
      <x:c r="J48" s="22" t="n">
        <x:f>'参数'!$B$9</x:f>
        <x:v>300</x:v>
      </x:c>
      <x:c r="K48" s="26" t="n">
        <x:f>J48*(G48-H48)-I48*ROUNDUP(J48/F48,0)</x:f>
        <x:v>-328023.2591555</x:v>
      </x:c>
      <x:c r="L48" s="10" t="str">
        <x:f>IF(G48-H48&lt;=0,"未回本",IF(ROUNDUP(I48/(G48-H48),0)&gt;MIN(F48,J48),"未回本",MAX(1,ROUNDUP(I48/(G48-H48),0))))</x:f>
        <x:v>未回本</x:v>
      </x:c>
    </x:row>
    <x:row r="49" ht="22" customHeight="1">
      <x:c r="A49" s="11" t="str">
        <x:v>lade_0823_10aoi</x:v>
      </x:c>
      <x:c r="B49" s="10" t="n">
        <x:v>10</x:v>
      </x:c>
      <x:c r="C49" s="10" t="n">
        <x:v>43</x:v>
      </x:c>
      <x:c r="D49" s="10" t="str">
        <x:v>M2 / M4</x:v>
      </x:c>
      <x:c r="E49" s="16" t="n">
        <x:v>1</x:v>
      </x:c>
      <x:c r="F49" s="14" t="n">
        <x:v>20</x:v>
      </x:c>
      <x:c r="G49" s="26" t="n">
        <x:f>'成本明细'!U10+'成本明细'!G10*(E49-'参数'!$B$6)</x:f>
        <x:v>1451.3413821266668</x:v>
      </x:c>
      <x:c r="H49" s="26" t="n">
        <x:f>'成本明细'!U16</x:f>
        <x:v>2304.1988675672224</x:v>
      </x:c>
      <x:c r="I49" s="26" t="n">
        <x:f>'成本明细'!V16</x:f>
        <x:v>4781.5</x:v>
      </x:c>
      <x:c r="J49" s="22" t="n">
        <x:f>'参数'!$B$9</x:f>
        <x:v>300</x:v>
      </x:c>
      <x:c r="K49" s="26" t="n">
        <x:f>J49*(G49-H49)-I49*ROUNDUP(J49/F49,0)</x:f>
        <x:v>-327579.7456321667</x:v>
      </x:c>
      <x:c r="L49" s="10" t="str">
        <x:f>IF(G49-H49&lt;=0,"未回本",IF(ROUNDUP(I49/(G49-H49),0)&gt;MIN(F49,J49),"未回本",MAX(1,ROUNDUP(I49/(G49-H49),0))))</x:f>
        <x:v>未回本</x:v>
      </x:c>
    </x:row>
    <x:row r="50" ht="22" customHeight="1">
      <x:c r="A50" s="11" t="str">
        <x:v>lade_0823_10aoi</x:v>
      </x:c>
      <x:c r="B50" s="10" t="n">
        <x:v>10</x:v>
      </x:c>
      <x:c r="C50" s="10" t="n">
        <x:v>43</x:v>
      </x:c>
      <x:c r="D50" s="10" t="str">
        <x:v>M1 / M3</x:v>
      </x:c>
      <x:c r="E50" s="16" t="n">
        <x:v>1</x:v>
      </x:c>
      <x:c r="F50" s="14" t="n">
        <x:v>30</x:v>
      </x:c>
      <x:c r="G50" s="26" t="n">
        <x:f>'成本明细'!U7+'成本明细'!G7*(E50-'参数'!$B$6)</x:f>
        <x:v>1451.3413821266668</x:v>
      </x:c>
      <x:c r="H50" s="26" t="n">
        <x:f>'成本明细'!U13</x:f>
        <x:v>2305.6772459783333</x:v>
      </x:c>
      <x:c r="I50" s="26" t="n">
        <x:f>'成本明细'!V13</x:f>
        <x:v>4781.5</x:v>
      </x:c>
      <x:c r="J50" s="22" t="n">
        <x:f>'参数'!$B$9</x:f>
        <x:v>300</x:v>
      </x:c>
      <x:c r="K50" s="26" t="n">
        <x:f>J50*(G50-H50)-I50*ROUNDUP(J50/F50,0)</x:f>
        <x:v>-304115.7591555</x:v>
      </x:c>
      <x:c r="L50" s="10" t="str">
        <x:f>IF(G50-H50&lt;=0,"未回本",IF(ROUNDUP(I50/(G50-H50),0)&gt;MIN(F50,J50),"未回本",MAX(1,ROUNDUP(I50/(G50-H50),0))))</x:f>
        <x:v>未回本</x:v>
      </x:c>
    </x:row>
    <x:row r="51" ht="22" customHeight="1">
      <x:c r="A51" s="11" t="str">
        <x:v>lade_0823_10aoi</x:v>
      </x:c>
      <x:c r="B51" s="10" t="n">
        <x:v>10</x:v>
      </x:c>
      <x:c r="C51" s="10" t="n">
        <x:v>43</x:v>
      </x:c>
      <x:c r="D51" s="10" t="str">
        <x:v>M2 / M4</x:v>
      </x:c>
      <x:c r="E51" s="16" t="n">
        <x:v>1</x:v>
      </x:c>
      <x:c r="F51" s="14" t="n">
        <x:v>30</x:v>
      </x:c>
      <x:c r="G51" s="26" t="n">
        <x:f>'成本明细'!U10+'成本明细'!G10*(E51-'参数'!$B$6)</x:f>
        <x:v>1451.3413821266668</x:v>
      </x:c>
      <x:c r="H51" s="26" t="n">
        <x:f>'成本明细'!U16</x:f>
        <x:v>2304.1988675672224</x:v>
      </x:c>
      <x:c r="I51" s="26" t="n">
        <x:f>'成本明细'!V16</x:f>
        <x:v>4781.5</x:v>
      </x:c>
      <x:c r="J51" s="22" t="n">
        <x:f>'参数'!$B$9</x:f>
        <x:v>300</x:v>
      </x:c>
      <x:c r="K51" s="26" t="n">
        <x:f>J51*(G51-H51)-I51*ROUNDUP(J51/F51,0)</x:f>
        <x:v>-303672.2456321667</x:v>
      </x:c>
      <x:c r="L51" s="10" t="str">
        <x:f>IF(G51-H51&lt;=0,"未回本",IF(ROUNDUP(I51/(G51-H51),0)&gt;MIN(F51,J51),"未回本",MAX(1,ROUNDUP(I51/(G51-H51),0))))</x:f>
        <x:v>未回本</x:v>
      </x:c>
    </x:row>
    <x:row r="52" ht="22" customHeight="1">
      <x:c r="A52" s="11" t="str">
        <x:v>lade_0823_10aoi</x:v>
      </x:c>
      <x:c r="B52" s="10" t="n">
        <x:v>10</x:v>
      </x:c>
      <x:c r="C52" s="10" t="n">
        <x:v>43</x:v>
      </x:c>
      <x:c r="D52" s="10" t="str">
        <x:v>M1 / M3</x:v>
      </x:c>
      <x:c r="E52" s="16" t="n">
        <x:v>1</x:v>
      </x:c>
      <x:c r="F52" s="14" t="n">
        <x:v>50</x:v>
      </x:c>
      <x:c r="G52" s="26" t="n">
        <x:f>'成本明细'!U7+'成本明细'!G7*(E52-'参数'!$B$6)</x:f>
        <x:v>1451.3413821266668</x:v>
      </x:c>
      <x:c r="H52" s="26" t="n">
        <x:f>'成本明细'!U13</x:f>
        <x:v>2305.6772459783333</x:v>
      </x:c>
      <x:c r="I52" s="26" t="n">
        <x:f>'成本明细'!V13</x:f>
        <x:v>4781.5</x:v>
      </x:c>
      <x:c r="J52" s="22" t="n">
        <x:f>'参数'!$B$9</x:f>
        <x:v>300</x:v>
      </x:c>
      <x:c r="K52" s="26" t="n">
        <x:f>J52*(G52-H52)-I52*ROUNDUP(J52/F52,0)</x:f>
        <x:v>-284989.7591555</x:v>
      </x:c>
      <x:c r="L52" s="10" t="str">
        <x:f>IF(G52-H52&lt;=0,"未回本",IF(ROUNDUP(I52/(G52-H52),0)&gt;MIN(F52,J52),"未回本",MAX(1,ROUNDUP(I52/(G52-H52),0))))</x:f>
        <x:v>未回本</x:v>
      </x:c>
    </x:row>
    <x:row r="53" ht="22" customHeight="1">
      <x:c r="A53" s="11" t="str">
        <x:v>lade_0823_10aoi</x:v>
      </x:c>
      <x:c r="B53" s="10" t="n">
        <x:v>10</x:v>
      </x:c>
      <x:c r="C53" s="10" t="n">
        <x:v>43</x:v>
      </x:c>
      <x:c r="D53" s="10" t="str">
        <x:v>M2 / M4</x:v>
      </x:c>
      <x:c r="E53" s="16" t="n">
        <x:v>1</x:v>
      </x:c>
      <x:c r="F53" s="14" t="n">
        <x:v>50</x:v>
      </x:c>
      <x:c r="G53" s="26" t="n">
        <x:f>'成本明细'!U10+'成本明细'!G10*(E53-'参数'!$B$6)</x:f>
        <x:v>1451.3413821266668</x:v>
      </x:c>
      <x:c r="H53" s="26" t="n">
        <x:f>'成本明细'!U16</x:f>
        <x:v>2304.1988675672224</x:v>
      </x:c>
      <x:c r="I53" s="26" t="n">
        <x:f>'成本明细'!V16</x:f>
        <x:v>4781.5</x:v>
      </x:c>
      <x:c r="J53" s="22" t="n">
        <x:f>'参数'!$B$9</x:f>
        <x:v>300</x:v>
      </x:c>
      <x:c r="K53" s="26" t="n">
        <x:f>J53*(G53-H53)-I53*ROUNDUP(J53/F53,0)</x:f>
        <x:v>-284546.2456321667</x:v>
      </x:c>
      <x:c r="L53" s="10" t="str">
        <x:f>IF(G53-H53&lt;=0,"未回本",IF(ROUNDUP(I53/(G53-H53),0)&gt;MIN(F53,J53),"未回本",MAX(1,ROUNDUP(I53/(G53-H53),0))))</x:f>
        <x:v>未回本</x:v>
      </x:c>
    </x:row>
    <x:row r="54" ht="22" customHeight="1">
      <x:c r="A54" s="11" t="str">
        <x:v>lade_0823_10aoi</x:v>
      </x:c>
      <x:c r="B54" s="10" t="n">
        <x:v>10</x:v>
      </x:c>
      <x:c r="C54" s="10" t="n">
        <x:v>43</x:v>
      </x:c>
      <x:c r="D54" s="10" t="str">
        <x:v>M1 / M3</x:v>
      </x:c>
      <x:c r="E54" s="16" t="n">
        <x:v>2</x:v>
      </x:c>
      <x:c r="F54" s="14" t="n">
        <x:v>10</x:v>
      </x:c>
      <x:c r="G54" s="26" t="n">
        <x:f>'成本明细'!U7+'成本明细'!G7*(E54-'参数'!$B$6)</x:f>
        <x:v>1582.3413821266668</x:v>
      </x:c>
      <x:c r="H54" s="26" t="n">
        <x:f>'成本明细'!U13</x:f>
        <x:v>2305.6772459783333</x:v>
      </x:c>
      <x:c r="I54" s="26" t="n">
        <x:f>'成本明细'!V13</x:f>
        <x:v>4781.5</x:v>
      </x:c>
      <x:c r="J54" s="22" t="n">
        <x:f>'参数'!$B$9</x:f>
        <x:v>300</x:v>
      </x:c>
      <x:c r="K54" s="26" t="n">
        <x:f>J54*(G54-H54)-I54*ROUNDUP(J54/F54,0)</x:f>
        <x:v>-360445.7591555</x:v>
      </x:c>
      <x:c r="L54" s="10" t="str">
        <x:f>IF(G54-H54&lt;=0,"未回本",IF(ROUNDUP(I54/(G54-H54),0)&gt;MIN(F54,J54),"未回本",MAX(1,ROUNDUP(I54/(G54-H54),0))))</x:f>
        <x:v>未回本</x:v>
      </x:c>
    </x:row>
    <x:row r="55" ht="22" customHeight="1">
      <x:c r="A55" s="11" t="str">
        <x:v>lade_0823_10aoi</x:v>
      </x:c>
      <x:c r="B55" s="10" t="n">
        <x:v>10</x:v>
      </x:c>
      <x:c r="C55" s="10" t="n">
        <x:v>43</x:v>
      </x:c>
      <x:c r="D55" s="10" t="str">
        <x:v>M2 / M4</x:v>
      </x:c>
      <x:c r="E55" s="16" t="n">
        <x:v>2</x:v>
      </x:c>
      <x:c r="F55" s="14" t="n">
        <x:v>10</x:v>
      </x:c>
      <x:c r="G55" s="26" t="n">
        <x:f>'成本明细'!U10+'成本明细'!G10*(E55-'参数'!$B$6)</x:f>
        <x:v>1582.3413821266668</x:v>
      </x:c>
      <x:c r="H55" s="26" t="n">
        <x:f>'成本明细'!U16</x:f>
        <x:v>2304.1988675672224</x:v>
      </x:c>
      <x:c r="I55" s="26" t="n">
        <x:f>'成本明细'!V16</x:f>
        <x:v>4781.5</x:v>
      </x:c>
      <x:c r="J55" s="22" t="n">
        <x:f>'参数'!$B$9</x:f>
        <x:v>300</x:v>
      </x:c>
      <x:c r="K55" s="26" t="n">
        <x:f>J55*(G55-H55)-I55*ROUNDUP(J55/F55,0)</x:f>
        <x:v>-360002.2456321667</x:v>
      </x:c>
      <x:c r="L55" s="10" t="str">
        <x:f>IF(G55-H55&lt;=0,"未回本",IF(ROUNDUP(I55/(G55-H55),0)&gt;MIN(F55,J55),"未回本",MAX(1,ROUNDUP(I55/(G55-H55),0))))</x:f>
        <x:v>未回本</x:v>
      </x:c>
    </x:row>
    <x:row r="56" ht="22" customHeight="1">
      <x:c r="A56" s="11" t="str">
        <x:v>lade_0823_10aoi</x:v>
      </x:c>
      <x:c r="B56" s="10" t="n">
        <x:v>10</x:v>
      </x:c>
      <x:c r="C56" s="10" t="n">
        <x:v>43</x:v>
      </x:c>
      <x:c r="D56" s="10" t="str">
        <x:v>M1 / M3</x:v>
      </x:c>
      <x:c r="E56" s="16" t="n">
        <x:v>2</x:v>
      </x:c>
      <x:c r="F56" s="14" t="n">
        <x:v>20</x:v>
      </x:c>
      <x:c r="G56" s="26" t="n">
        <x:f>'成本明细'!U7+'成本明细'!G7*(E56-'参数'!$B$6)</x:f>
        <x:v>1582.3413821266668</x:v>
      </x:c>
      <x:c r="H56" s="26" t="n">
        <x:f>'成本明细'!U13</x:f>
        <x:v>2305.6772459783333</x:v>
      </x:c>
      <x:c r="I56" s="26" t="n">
        <x:f>'成本明细'!V13</x:f>
        <x:v>4781.5</x:v>
      </x:c>
      <x:c r="J56" s="22" t="n">
        <x:f>'参数'!$B$9</x:f>
        <x:v>300</x:v>
      </x:c>
      <x:c r="K56" s="26" t="n">
        <x:f>J56*(G56-H56)-I56*ROUNDUP(J56/F56,0)</x:f>
        <x:v>-288723.2591555</x:v>
      </x:c>
      <x:c r="L56" s="10" t="str">
        <x:f>IF(G56-H56&lt;=0,"未回本",IF(ROUNDUP(I56/(G56-H56),0)&gt;MIN(F56,J56),"未回本",MAX(1,ROUNDUP(I56/(G56-H56),0))))</x:f>
        <x:v>未回本</x:v>
      </x:c>
    </x:row>
    <x:row r="57" ht="22" customHeight="1">
      <x:c r="A57" s="11" t="str">
        <x:v>lade_0823_10aoi</x:v>
      </x:c>
      <x:c r="B57" s="10" t="n">
        <x:v>10</x:v>
      </x:c>
      <x:c r="C57" s="10" t="n">
        <x:v>43</x:v>
      </x:c>
      <x:c r="D57" s="10" t="str">
        <x:v>M2 / M4</x:v>
      </x:c>
      <x:c r="E57" s="16" t="n">
        <x:v>2</x:v>
      </x:c>
      <x:c r="F57" s="14" t="n">
        <x:v>20</x:v>
      </x:c>
      <x:c r="G57" s="26" t="n">
        <x:f>'成本明细'!U10+'成本明细'!G10*(E57-'参数'!$B$6)</x:f>
        <x:v>1582.3413821266668</x:v>
      </x:c>
      <x:c r="H57" s="26" t="n">
        <x:f>'成本明细'!U16</x:f>
        <x:v>2304.1988675672224</x:v>
      </x:c>
      <x:c r="I57" s="26" t="n">
        <x:f>'成本明细'!V16</x:f>
        <x:v>4781.5</x:v>
      </x:c>
      <x:c r="J57" s="22" t="n">
        <x:f>'参数'!$B$9</x:f>
        <x:v>300</x:v>
      </x:c>
      <x:c r="K57" s="26" t="n">
        <x:f>J57*(G57-H57)-I57*ROUNDUP(J57/F57,0)</x:f>
        <x:v>-288279.7456321667</x:v>
      </x:c>
      <x:c r="L57" s="10" t="str">
        <x:f>IF(G57-H57&lt;=0,"未回本",IF(ROUNDUP(I57/(G57-H57),0)&gt;MIN(F57,J57),"未回本",MAX(1,ROUNDUP(I57/(G57-H57),0))))</x:f>
        <x:v>未回本</x:v>
      </x:c>
    </x:row>
    <x:row r="58" ht="22" customHeight="1">
      <x:c r="A58" s="11" t="str">
        <x:v>lade_0823_10aoi</x:v>
      </x:c>
      <x:c r="B58" s="10" t="n">
        <x:v>10</x:v>
      </x:c>
      <x:c r="C58" s="10" t="n">
        <x:v>43</x:v>
      </x:c>
      <x:c r="D58" s="10" t="str">
        <x:v>M1 / M3</x:v>
      </x:c>
      <x:c r="E58" s="16" t="n">
        <x:v>2</x:v>
      </x:c>
      <x:c r="F58" s="14" t="n">
        <x:v>30</x:v>
      </x:c>
      <x:c r="G58" s="26" t="n">
        <x:f>'成本明细'!U7+'成本明细'!G7*(E58-'参数'!$B$6)</x:f>
        <x:v>1582.3413821266668</x:v>
      </x:c>
      <x:c r="H58" s="26" t="n">
        <x:f>'成本明细'!U13</x:f>
        <x:v>2305.6772459783333</x:v>
      </x:c>
      <x:c r="I58" s="26" t="n">
        <x:f>'成本明细'!V13</x:f>
        <x:v>4781.5</x:v>
      </x:c>
      <x:c r="J58" s="22" t="n">
        <x:f>'参数'!$B$9</x:f>
        <x:v>300</x:v>
      </x:c>
      <x:c r="K58" s="26" t="n">
        <x:f>J58*(G58-H58)-I58*ROUNDUP(J58/F58,0)</x:f>
        <x:v>-264815.7591555</x:v>
      </x:c>
      <x:c r="L58" s="10" t="str">
        <x:f>IF(G58-H58&lt;=0,"未回本",IF(ROUNDUP(I58/(G58-H58),0)&gt;MIN(F58,J58),"未回本",MAX(1,ROUNDUP(I58/(G58-H58),0))))</x:f>
        <x:v>未回本</x:v>
      </x:c>
    </x:row>
    <x:row r="59" ht="22" customHeight="1">
      <x:c r="A59" s="11" t="str">
        <x:v>lade_0823_10aoi</x:v>
      </x:c>
      <x:c r="B59" s="10" t="n">
        <x:v>10</x:v>
      </x:c>
      <x:c r="C59" s="10" t="n">
        <x:v>43</x:v>
      </x:c>
      <x:c r="D59" s="10" t="str">
        <x:v>M2 / M4</x:v>
      </x:c>
      <x:c r="E59" s="16" t="n">
        <x:v>2</x:v>
      </x:c>
      <x:c r="F59" s="14" t="n">
        <x:v>30</x:v>
      </x:c>
      <x:c r="G59" s="26" t="n">
        <x:f>'成本明细'!U10+'成本明细'!G10*(E59-'参数'!$B$6)</x:f>
        <x:v>1582.3413821266668</x:v>
      </x:c>
      <x:c r="H59" s="26" t="n">
        <x:f>'成本明细'!U16</x:f>
        <x:v>2304.1988675672224</x:v>
      </x:c>
      <x:c r="I59" s="26" t="n">
        <x:f>'成本明细'!V16</x:f>
        <x:v>4781.5</x:v>
      </x:c>
      <x:c r="J59" s="22" t="n">
        <x:f>'参数'!$B$9</x:f>
        <x:v>300</x:v>
      </x:c>
      <x:c r="K59" s="26" t="n">
        <x:f>J59*(G59-H59)-I59*ROUNDUP(J59/F59,0)</x:f>
        <x:v>-264372.2456321667</x:v>
      </x:c>
      <x:c r="L59" s="10" t="str">
        <x:f>IF(G59-H59&lt;=0,"未回本",IF(ROUNDUP(I59/(G59-H59),0)&gt;MIN(F59,J59),"未回本",MAX(1,ROUNDUP(I59/(G59-H59),0))))</x:f>
        <x:v>未回本</x:v>
      </x:c>
    </x:row>
    <x:row r="60" ht="22" customHeight="1">
      <x:c r="A60" s="11" t="str">
        <x:v>lade_0823_10aoi</x:v>
      </x:c>
      <x:c r="B60" s="10" t="n">
        <x:v>10</x:v>
      </x:c>
      <x:c r="C60" s="10" t="n">
        <x:v>43</x:v>
      </x:c>
      <x:c r="D60" s="10" t="str">
        <x:v>M1 / M3</x:v>
      </x:c>
      <x:c r="E60" s="16" t="n">
        <x:v>2</x:v>
      </x:c>
      <x:c r="F60" s="14" t="n">
        <x:v>50</x:v>
      </x:c>
      <x:c r="G60" s="26" t="n">
        <x:f>'成本明细'!U7+'成本明细'!G7*(E60-'参数'!$B$6)</x:f>
        <x:v>1582.3413821266668</x:v>
      </x:c>
      <x:c r="H60" s="26" t="n">
        <x:f>'成本明细'!U13</x:f>
        <x:v>2305.6772459783333</x:v>
      </x:c>
      <x:c r="I60" s="26" t="n">
        <x:f>'成本明细'!V13</x:f>
        <x:v>4781.5</x:v>
      </x:c>
      <x:c r="J60" s="22" t="n">
        <x:f>'参数'!$B$9</x:f>
        <x:v>300</x:v>
      </x:c>
      <x:c r="K60" s="26" t="n">
        <x:f>J60*(G60-H60)-I60*ROUNDUP(J60/F60,0)</x:f>
        <x:v>-245689.75915549995</x:v>
      </x:c>
      <x:c r="L60" s="10" t="str">
        <x:f>IF(G60-H60&lt;=0,"未回本",IF(ROUNDUP(I60/(G60-H60),0)&gt;MIN(F60,J60),"未回本",MAX(1,ROUNDUP(I60/(G60-H60),0))))</x:f>
        <x:v>未回本</x:v>
      </x:c>
    </x:row>
    <x:row r="61" ht="22" customHeight="1">
      <x:c r="A61" s="11" t="str">
        <x:v>lade_0823_10aoi</x:v>
      </x:c>
      <x:c r="B61" s="10" t="n">
        <x:v>10</x:v>
      </x:c>
      <x:c r="C61" s="10" t="n">
        <x:v>43</x:v>
      </x:c>
      <x:c r="D61" s="10" t="str">
        <x:v>M2 / M4</x:v>
      </x:c>
      <x:c r="E61" s="16" t="n">
        <x:v>2</x:v>
      </x:c>
      <x:c r="F61" s="14" t="n">
        <x:v>50</x:v>
      </x:c>
      <x:c r="G61" s="26" t="n">
        <x:f>'成本明细'!U10+'成本明细'!G10*(E61-'参数'!$B$6)</x:f>
        <x:v>1582.3413821266668</x:v>
      </x:c>
      <x:c r="H61" s="26" t="n">
        <x:f>'成本明细'!U16</x:f>
        <x:v>2304.1988675672224</x:v>
      </x:c>
      <x:c r="I61" s="26" t="n">
        <x:f>'成本明细'!V16</x:f>
        <x:v>4781.5</x:v>
      </x:c>
      <x:c r="J61" s="22" t="n">
        <x:f>'参数'!$B$9</x:f>
        <x:v>300</x:v>
      </x:c>
      <x:c r="K61" s="26" t="n">
        <x:f>J61*(G61-H61)-I61*ROUNDUP(J61/F61,0)</x:f>
        <x:v>-245246.24563216668</x:v>
      </x:c>
      <x:c r="L61" s="10" t="str">
        <x:f>IF(G61-H61&lt;=0,"未回本",IF(ROUNDUP(I61/(G61-H61),0)&gt;MIN(F61,J61),"未回本",MAX(1,ROUNDUP(I61/(G61-H61),0))))</x:f>
        <x:v>未回本</x:v>
      </x:c>
    </x:row>
    <x:row r="62" ht="22" customHeight="1">
      <x:c r="A62" s="11" t="str">
        <x:v>lade_0823_10aoi</x:v>
      </x:c>
      <x:c r="B62" s="10" t="n">
        <x:v>10</x:v>
      </x:c>
      <x:c r="C62" s="10" t="n">
        <x:v>43</x:v>
      </x:c>
      <x:c r="D62" s="10" t="str">
        <x:v>M1 / M3</x:v>
      </x:c>
      <x:c r="E62" s="16" t="n">
        <x:v>3</x:v>
      </x:c>
      <x:c r="F62" s="14" t="n">
        <x:v>10</x:v>
      </x:c>
      <x:c r="G62" s="26" t="n">
        <x:f>'成本明细'!U7+'成本明细'!G7*(E62-'参数'!$B$6)</x:f>
        <x:v>1713.3413821266668</x:v>
      </x:c>
      <x:c r="H62" s="26" t="n">
        <x:f>'成本明细'!U13</x:f>
        <x:v>2305.6772459783333</x:v>
      </x:c>
      <x:c r="I62" s="26" t="n">
        <x:f>'成本明细'!V13</x:f>
        <x:v>4781.5</x:v>
      </x:c>
      <x:c r="J62" s="22" t="n">
        <x:f>'参数'!$B$9</x:f>
        <x:v>300</x:v>
      </x:c>
      <x:c r="K62" s="26" t="n">
        <x:f>J62*(G62-H62)-I62*ROUNDUP(J62/F62,0)</x:f>
        <x:v>-321145.7591555</x:v>
      </x:c>
      <x:c r="L62" s="10" t="str">
        <x:f>IF(G62-H62&lt;=0,"未回本",IF(ROUNDUP(I62/(G62-H62),0)&gt;MIN(F62,J62),"未回本",MAX(1,ROUNDUP(I62/(G62-H62),0))))</x:f>
        <x:v>未回本</x:v>
      </x:c>
    </x:row>
    <x:row r="63" ht="22" customHeight="1">
      <x:c r="A63" s="11" t="str">
        <x:v>lade_0823_10aoi</x:v>
      </x:c>
      <x:c r="B63" s="10" t="n">
        <x:v>10</x:v>
      </x:c>
      <x:c r="C63" s="10" t="n">
        <x:v>43</x:v>
      </x:c>
      <x:c r="D63" s="10" t="str">
        <x:v>M2 / M4</x:v>
      </x:c>
      <x:c r="E63" s="16" t="n">
        <x:v>3</x:v>
      </x:c>
      <x:c r="F63" s="14" t="n">
        <x:v>10</x:v>
      </x:c>
      <x:c r="G63" s="26" t="n">
        <x:f>'成本明细'!U10+'成本明细'!G10*(E63-'参数'!$B$6)</x:f>
        <x:v>1713.3413821266668</x:v>
      </x:c>
      <x:c r="H63" s="26" t="n">
        <x:f>'成本明细'!U16</x:f>
        <x:v>2304.1988675672224</x:v>
      </x:c>
      <x:c r="I63" s="26" t="n">
        <x:f>'成本明细'!V16</x:f>
        <x:v>4781.5</x:v>
      </x:c>
      <x:c r="J63" s="22" t="n">
        <x:f>'参数'!$B$9</x:f>
        <x:v>300</x:v>
      </x:c>
      <x:c r="K63" s="26" t="n">
        <x:f>J63*(G63-H63)-I63*ROUNDUP(J63/F63,0)</x:f>
        <x:v>-320702.2456321667</x:v>
      </x:c>
      <x:c r="L63" s="10" t="str">
        <x:f>IF(G63-H63&lt;=0,"未回本",IF(ROUNDUP(I63/(G63-H63),0)&gt;MIN(F63,J63),"未回本",MAX(1,ROUNDUP(I63/(G63-H63),0))))</x:f>
        <x:v>未回本</x:v>
      </x:c>
    </x:row>
    <x:row r="64" ht="22" customHeight="1">
      <x:c r="A64" s="11" t="str">
        <x:v>lade_0823_10aoi</x:v>
      </x:c>
      <x:c r="B64" s="10" t="n">
        <x:v>10</x:v>
      </x:c>
      <x:c r="C64" s="10" t="n">
        <x:v>43</x:v>
      </x:c>
      <x:c r="D64" s="10" t="str">
        <x:v>M1 / M3</x:v>
      </x:c>
      <x:c r="E64" s="16" t="n">
        <x:v>3</x:v>
      </x:c>
      <x:c r="F64" s="14" t="n">
        <x:v>20</x:v>
      </x:c>
      <x:c r="G64" s="26" t="n">
        <x:f>'成本明细'!U7+'成本明细'!G7*(E64-'参数'!$B$6)</x:f>
        <x:v>1713.3413821266668</x:v>
      </x:c>
      <x:c r="H64" s="26" t="n">
        <x:f>'成本明细'!U13</x:f>
        <x:v>2305.6772459783333</x:v>
      </x:c>
      <x:c r="I64" s="26" t="n">
        <x:f>'成本明细'!V13</x:f>
        <x:v>4781.5</x:v>
      </x:c>
      <x:c r="J64" s="22" t="n">
        <x:f>'参数'!$B$9</x:f>
        <x:v>300</x:v>
      </x:c>
      <x:c r="K64" s="26" t="n">
        <x:f>J64*(G64-H64)-I64*ROUNDUP(J64/F64,0)</x:f>
        <x:v>-249423.25915549995</x:v>
      </x:c>
      <x:c r="L64" s="10" t="str">
        <x:f>IF(G64-H64&lt;=0,"未回本",IF(ROUNDUP(I64/(G64-H64),0)&gt;MIN(F64,J64),"未回本",MAX(1,ROUNDUP(I64/(G64-H64),0))))</x:f>
        <x:v>未回本</x:v>
      </x:c>
    </x:row>
    <x:row r="65" ht="22" customHeight="1">
      <x:c r="A65" s="11" t="str">
        <x:v>lade_0823_10aoi</x:v>
      </x:c>
      <x:c r="B65" s="10" t="n">
        <x:v>10</x:v>
      </x:c>
      <x:c r="C65" s="10" t="n">
        <x:v>43</x:v>
      </x:c>
      <x:c r="D65" s="10" t="str">
        <x:v>M2 / M4</x:v>
      </x:c>
      <x:c r="E65" s="16" t="n">
        <x:v>3</x:v>
      </x:c>
      <x:c r="F65" s="14" t="n">
        <x:v>20</x:v>
      </x:c>
      <x:c r="G65" s="26" t="n">
        <x:f>'成本明细'!U10+'成本明细'!G10*(E65-'参数'!$B$6)</x:f>
        <x:v>1713.3413821266668</x:v>
      </x:c>
      <x:c r="H65" s="26" t="n">
        <x:f>'成本明细'!U16</x:f>
        <x:v>2304.1988675672224</x:v>
      </x:c>
      <x:c r="I65" s="26" t="n">
        <x:f>'成本明细'!V16</x:f>
        <x:v>4781.5</x:v>
      </x:c>
      <x:c r="J65" s="22" t="n">
        <x:f>'参数'!$B$9</x:f>
        <x:v>300</x:v>
      </x:c>
      <x:c r="K65" s="26" t="n">
        <x:f>J65*(G65-H65)-I65*ROUNDUP(J65/F65,0)</x:f>
        <x:v>-248979.74563216668</x:v>
      </x:c>
      <x:c r="L65" s="10" t="str">
        <x:f>IF(G65-H65&lt;=0,"未回本",IF(ROUNDUP(I65/(G65-H65),0)&gt;MIN(F65,J65),"未回本",MAX(1,ROUNDUP(I65/(G65-H65),0))))</x:f>
        <x:v>未回本</x:v>
      </x:c>
    </x:row>
    <x:row r="66" ht="22" customHeight="1">
      <x:c r="A66" s="11" t="str">
        <x:v>lade_0823_10aoi</x:v>
      </x:c>
      <x:c r="B66" s="10" t="n">
        <x:v>10</x:v>
      </x:c>
      <x:c r="C66" s="10" t="n">
        <x:v>43</x:v>
      </x:c>
      <x:c r="D66" s="10" t="str">
        <x:v>M1 / M3</x:v>
      </x:c>
      <x:c r="E66" s="16" t="n">
        <x:v>3</x:v>
      </x:c>
      <x:c r="F66" s="14" t="n">
        <x:v>30</x:v>
      </x:c>
      <x:c r="G66" s="26" t="n">
        <x:f>'成本明细'!U7+'成本明细'!G7*(E66-'参数'!$B$6)</x:f>
        <x:v>1713.3413821266668</x:v>
      </x:c>
      <x:c r="H66" s="26" t="n">
        <x:f>'成本明细'!U13</x:f>
        <x:v>2305.6772459783333</x:v>
      </x:c>
      <x:c r="I66" s="26" t="n">
        <x:f>'成本明细'!V13</x:f>
        <x:v>4781.5</x:v>
      </x:c>
      <x:c r="J66" s="22" t="n">
        <x:f>'参数'!$B$9</x:f>
        <x:v>300</x:v>
      </x:c>
      <x:c r="K66" s="26" t="n">
        <x:f>J66*(G66-H66)-I66*ROUNDUP(J66/F66,0)</x:f>
        <x:v>-225515.75915549995</x:v>
      </x:c>
      <x:c r="L66" s="10" t="str">
        <x:f>IF(G66-H66&lt;=0,"未回本",IF(ROUNDUP(I66/(G66-H66),0)&gt;MIN(F66,J66),"未回本",MAX(1,ROUNDUP(I66/(G66-H66),0))))</x:f>
        <x:v>未回本</x:v>
      </x:c>
    </x:row>
    <x:row r="67" ht="22" customHeight="1">
      <x:c r="A67" s="11" t="str">
        <x:v>lade_0823_10aoi</x:v>
      </x:c>
      <x:c r="B67" s="10" t="n">
        <x:v>10</x:v>
      </x:c>
      <x:c r="C67" s="10" t="n">
        <x:v>43</x:v>
      </x:c>
      <x:c r="D67" s="10" t="str">
        <x:v>M2 / M4</x:v>
      </x:c>
      <x:c r="E67" s="16" t="n">
        <x:v>3</x:v>
      </x:c>
      <x:c r="F67" s="14" t="n">
        <x:v>30</x:v>
      </x:c>
      <x:c r="G67" s="26" t="n">
        <x:f>'成本明细'!U10+'成本明细'!G10*(E67-'参数'!$B$6)</x:f>
        <x:v>1713.3413821266668</x:v>
      </x:c>
      <x:c r="H67" s="26" t="n">
        <x:f>'成本明细'!U16</x:f>
        <x:v>2304.1988675672224</x:v>
      </x:c>
      <x:c r="I67" s="26" t="n">
        <x:f>'成本明细'!V16</x:f>
        <x:v>4781.5</x:v>
      </x:c>
      <x:c r="J67" s="22" t="n">
        <x:f>'参数'!$B$9</x:f>
        <x:v>300</x:v>
      </x:c>
      <x:c r="K67" s="26" t="n">
        <x:f>J67*(G67-H67)-I67*ROUNDUP(J67/F67,0)</x:f>
        <x:v>-225072.24563216668</x:v>
      </x:c>
      <x:c r="L67" s="10" t="str">
        <x:f>IF(G67-H67&lt;=0,"未回本",IF(ROUNDUP(I67/(G67-H67),0)&gt;MIN(F67,J67),"未回本",MAX(1,ROUNDUP(I67/(G67-H67),0))))</x:f>
        <x:v>未回本</x:v>
      </x:c>
    </x:row>
    <x:row r="68" ht="22" customHeight="1">
      <x:c r="A68" s="11" t="str">
        <x:v>lade_0823_10aoi</x:v>
      </x:c>
      <x:c r="B68" s="10" t="n">
        <x:v>10</x:v>
      </x:c>
      <x:c r="C68" s="10" t="n">
        <x:v>43</x:v>
      </x:c>
      <x:c r="D68" s="10" t="str">
        <x:v>M1 / M3</x:v>
      </x:c>
      <x:c r="E68" s="16" t="n">
        <x:v>3</x:v>
      </x:c>
      <x:c r="F68" s="14" t="n">
        <x:v>50</x:v>
      </x:c>
      <x:c r="G68" s="26" t="n">
        <x:f>'成本明细'!U7+'成本明细'!G7*(E68-'参数'!$B$6)</x:f>
        <x:v>1713.3413821266668</x:v>
      </x:c>
      <x:c r="H68" s="26" t="n">
        <x:f>'成本明细'!U13</x:f>
        <x:v>2305.6772459783333</x:v>
      </x:c>
      <x:c r="I68" s="26" t="n">
        <x:f>'成本明细'!V13</x:f>
        <x:v>4781.5</x:v>
      </x:c>
      <x:c r="J68" s="22" t="n">
        <x:f>'参数'!$B$9</x:f>
        <x:v>300</x:v>
      </x:c>
      <x:c r="K68" s="26" t="n">
        <x:f>J68*(G68-H68)-I68*ROUNDUP(J68/F68,0)</x:f>
        <x:v>-206389.75915549995</x:v>
      </x:c>
      <x:c r="L68" s="10" t="str">
        <x:f>IF(G68-H68&lt;=0,"未回本",IF(ROUNDUP(I68/(G68-H68),0)&gt;MIN(F68,J68),"未回本",MAX(1,ROUNDUP(I68/(G68-H68),0))))</x:f>
        <x:v>未回本</x:v>
      </x:c>
    </x:row>
    <x:row r="69" ht="22" customHeight="1">
      <x:c r="A69" s="11" t="str">
        <x:v>lade_0823_10aoi</x:v>
      </x:c>
      <x:c r="B69" s="10" t="n">
        <x:v>10</x:v>
      </x:c>
      <x:c r="C69" s="10" t="n">
        <x:v>43</x:v>
      </x:c>
      <x:c r="D69" s="10" t="str">
        <x:v>M2 / M4</x:v>
      </x:c>
      <x:c r="E69" s="16" t="n">
        <x:v>3</x:v>
      </x:c>
      <x:c r="F69" s="14" t="n">
        <x:v>50</x:v>
      </x:c>
      <x:c r="G69" s="26" t="n">
        <x:f>'成本明细'!U10+'成本明细'!G10*(E69-'参数'!$B$6)</x:f>
        <x:v>1713.3413821266668</x:v>
      </x:c>
      <x:c r="H69" s="26" t="n">
        <x:f>'成本明细'!U16</x:f>
        <x:v>2304.1988675672224</x:v>
      </x:c>
      <x:c r="I69" s="26" t="n">
        <x:f>'成本明细'!V16</x:f>
        <x:v>4781.5</x:v>
      </x:c>
      <x:c r="J69" s="22" t="n">
        <x:f>'参数'!$B$9</x:f>
        <x:v>300</x:v>
      </x:c>
      <x:c r="K69" s="26" t="n">
        <x:f>J69*(G69-H69)-I69*ROUNDUP(J69/F69,0)</x:f>
        <x:v>-205946.24563216668</x:v>
      </x:c>
      <x:c r="L69" s="10" t="str">
        <x:f>IF(G69-H69&lt;=0,"未回本",IF(ROUNDUP(I69/(G69-H69),0)&gt;MIN(F69,J69),"未回本",MAX(1,ROUNDUP(I69/(G69-H69),0))))</x:f>
        <x:v>未回本</x:v>
      </x:c>
    </x:row>
    <x:row r="70" ht="22" customHeight="1">
      <x:c r="A70" s="11" t="str">
        <x:v>lade_0823_10aoi</x:v>
      </x:c>
      <x:c r="B70" s="10" t="n">
        <x:v>10</x:v>
      </x:c>
      <x:c r="C70" s="10" t="n">
        <x:v>43</x:v>
      </x:c>
      <x:c r="D70" s="10" t="str">
        <x:v>M1 / M3</x:v>
      </x:c>
      <x:c r="E70" s="16" t="n">
        <x:v>4</x:v>
      </x:c>
      <x:c r="F70" s="14" t="n">
        <x:v>10</x:v>
      </x:c>
      <x:c r="G70" s="26" t="n">
        <x:f>'成本明细'!U7+'成本明细'!G7*(E70-'参数'!$B$6)</x:f>
        <x:v>1844.3413821266668</x:v>
      </x:c>
      <x:c r="H70" s="26" t="n">
        <x:f>'成本明细'!U13</x:f>
        <x:v>2305.6772459783333</x:v>
      </x:c>
      <x:c r="I70" s="26" t="n">
        <x:f>'成本明细'!V13</x:f>
        <x:v>4781.5</x:v>
      </x:c>
      <x:c r="J70" s="22" t="n">
        <x:f>'参数'!$B$9</x:f>
        <x:v>300</x:v>
      </x:c>
      <x:c r="K70" s="26" t="n">
        <x:f>J70*(G70-H70)-I70*ROUNDUP(J70/F70,0)</x:f>
        <x:v>-281845.7591555</x:v>
      </x:c>
      <x:c r="L70" s="10" t="str">
        <x:f>IF(G70-H70&lt;=0,"未回本",IF(ROUNDUP(I70/(G70-H70),0)&gt;MIN(F70,J70),"未回本",MAX(1,ROUNDUP(I70/(G70-H70),0))))</x:f>
        <x:v>未回本</x:v>
      </x:c>
    </x:row>
    <x:row r="71" ht="22" customHeight="1">
      <x:c r="A71" s="11" t="str">
        <x:v>lade_0823_10aoi</x:v>
      </x:c>
      <x:c r="B71" s="10" t="n">
        <x:v>10</x:v>
      </x:c>
      <x:c r="C71" s="10" t="n">
        <x:v>43</x:v>
      </x:c>
      <x:c r="D71" s="10" t="str">
        <x:v>M2 / M4</x:v>
      </x:c>
      <x:c r="E71" s="16" t="n">
        <x:v>4</x:v>
      </x:c>
      <x:c r="F71" s="14" t="n">
        <x:v>10</x:v>
      </x:c>
      <x:c r="G71" s="26" t="n">
        <x:f>'成本明细'!U10+'成本明细'!G10*(E71-'参数'!$B$6)</x:f>
        <x:v>1844.3413821266668</x:v>
      </x:c>
      <x:c r="H71" s="26" t="n">
        <x:f>'成本明细'!U16</x:f>
        <x:v>2304.1988675672224</x:v>
      </x:c>
      <x:c r="I71" s="26" t="n">
        <x:f>'成本明细'!V16</x:f>
        <x:v>4781.5</x:v>
      </x:c>
      <x:c r="J71" s="22" t="n">
        <x:f>'参数'!$B$9</x:f>
        <x:v>300</x:v>
      </x:c>
      <x:c r="K71" s="26" t="n">
        <x:f>J71*(G71-H71)-I71*ROUNDUP(J71/F71,0)</x:f>
        <x:v>-281402.2456321667</x:v>
      </x:c>
      <x:c r="L71" s="10" t="str">
        <x:f>IF(G71-H71&lt;=0,"未回本",IF(ROUNDUP(I71/(G71-H71),0)&gt;MIN(F71,J71),"未回本",MAX(1,ROUNDUP(I71/(G71-H71),0))))</x:f>
        <x:v>未回本</x:v>
      </x:c>
    </x:row>
    <x:row r="72" ht="22" customHeight="1">
      <x:c r="A72" s="11" t="str">
        <x:v>lade_0823_10aoi</x:v>
      </x:c>
      <x:c r="B72" s="10" t="n">
        <x:v>10</x:v>
      </x:c>
      <x:c r="C72" s="10" t="n">
        <x:v>43</x:v>
      </x:c>
      <x:c r="D72" s="10" t="str">
        <x:v>M1 / M3</x:v>
      </x:c>
      <x:c r="E72" s="16" t="n">
        <x:v>4</x:v>
      </x:c>
      <x:c r="F72" s="14" t="n">
        <x:v>20</x:v>
      </x:c>
      <x:c r="G72" s="26" t="n">
        <x:f>'成本明细'!U7+'成本明细'!G7*(E72-'参数'!$B$6)</x:f>
        <x:v>1844.3413821266668</x:v>
      </x:c>
      <x:c r="H72" s="26" t="n">
        <x:f>'成本明细'!U13</x:f>
        <x:v>2305.6772459783333</x:v>
      </x:c>
      <x:c r="I72" s="26" t="n">
        <x:f>'成本明细'!V13</x:f>
        <x:v>4781.5</x:v>
      </x:c>
      <x:c r="J72" s="22" t="n">
        <x:f>'参数'!$B$9</x:f>
        <x:v>300</x:v>
      </x:c>
      <x:c r="K72" s="26" t="n">
        <x:f>J72*(G72-H72)-I72*ROUNDUP(J72/F72,0)</x:f>
        <x:v>-210123.25915549995</x:v>
      </x:c>
      <x:c r="L72" s="10" t="str">
        <x:f>IF(G72-H72&lt;=0,"未回本",IF(ROUNDUP(I72/(G72-H72),0)&gt;MIN(F72,J72),"未回本",MAX(1,ROUNDUP(I72/(G72-H72),0))))</x:f>
        <x:v>未回本</x:v>
      </x:c>
    </x:row>
    <x:row r="73" ht="22" customHeight="1">
      <x:c r="A73" s="11" t="str">
        <x:v>lade_0823_10aoi</x:v>
      </x:c>
      <x:c r="B73" s="10" t="n">
        <x:v>10</x:v>
      </x:c>
      <x:c r="C73" s="10" t="n">
        <x:v>43</x:v>
      </x:c>
      <x:c r="D73" s="10" t="str">
        <x:v>M2 / M4</x:v>
      </x:c>
      <x:c r="E73" s="16" t="n">
        <x:v>4</x:v>
      </x:c>
      <x:c r="F73" s="14" t="n">
        <x:v>20</x:v>
      </x:c>
      <x:c r="G73" s="26" t="n">
        <x:f>'成本明细'!U10+'成本明细'!G10*(E73-'参数'!$B$6)</x:f>
        <x:v>1844.3413821266668</x:v>
      </x:c>
      <x:c r="H73" s="26" t="n">
        <x:f>'成本明细'!U16</x:f>
        <x:v>2304.1988675672224</x:v>
      </x:c>
      <x:c r="I73" s="26" t="n">
        <x:f>'成本明细'!V16</x:f>
        <x:v>4781.5</x:v>
      </x:c>
      <x:c r="J73" s="22" t="n">
        <x:f>'参数'!$B$9</x:f>
        <x:v>300</x:v>
      </x:c>
      <x:c r="K73" s="26" t="n">
        <x:f>J73*(G73-H73)-I73*ROUNDUP(J73/F73,0)</x:f>
        <x:v>-209679.74563216668</x:v>
      </x:c>
      <x:c r="L73" s="10" t="str">
        <x:f>IF(G73-H73&lt;=0,"未回本",IF(ROUNDUP(I73/(G73-H73),0)&gt;MIN(F73,J73),"未回本",MAX(1,ROUNDUP(I73/(G73-H73),0))))</x:f>
        <x:v>未回本</x:v>
      </x:c>
    </x:row>
    <x:row r="74" ht="22" customHeight="1">
      <x:c r="A74" s="11" t="str">
        <x:v>lade_0823_10aoi</x:v>
      </x:c>
      <x:c r="B74" s="10" t="n">
        <x:v>10</x:v>
      </x:c>
      <x:c r="C74" s="10" t="n">
        <x:v>43</x:v>
      </x:c>
      <x:c r="D74" s="10" t="str">
        <x:v>M1 / M3</x:v>
      </x:c>
      <x:c r="E74" s="16" t="n">
        <x:v>4</x:v>
      </x:c>
      <x:c r="F74" s="14" t="n">
        <x:v>30</x:v>
      </x:c>
      <x:c r="G74" s="26" t="n">
        <x:f>'成本明细'!U7+'成本明细'!G7*(E74-'参数'!$B$6)</x:f>
        <x:v>1844.3413821266668</x:v>
      </x:c>
      <x:c r="H74" s="26" t="n">
        <x:f>'成本明细'!U13</x:f>
        <x:v>2305.6772459783333</x:v>
      </x:c>
      <x:c r="I74" s="26" t="n">
        <x:f>'成本明细'!V13</x:f>
        <x:v>4781.5</x:v>
      </x:c>
      <x:c r="J74" s="22" t="n">
        <x:f>'参数'!$B$9</x:f>
        <x:v>300</x:v>
      </x:c>
      <x:c r="K74" s="26" t="n">
        <x:f>J74*(G74-H74)-I74*ROUNDUP(J74/F74,0)</x:f>
        <x:v>-186215.75915549995</x:v>
      </x:c>
      <x:c r="L74" s="10" t="str">
        <x:f>IF(G74-H74&lt;=0,"未回本",IF(ROUNDUP(I74/(G74-H74),0)&gt;MIN(F74,J74),"未回本",MAX(1,ROUNDUP(I74/(G74-H74),0))))</x:f>
        <x:v>未回本</x:v>
      </x:c>
    </x:row>
    <x:row r="75" ht="22" customHeight="1">
      <x:c r="A75" s="11" t="str">
        <x:v>lade_0823_10aoi</x:v>
      </x:c>
      <x:c r="B75" s="10" t="n">
        <x:v>10</x:v>
      </x:c>
      <x:c r="C75" s="10" t="n">
        <x:v>43</x:v>
      </x:c>
      <x:c r="D75" s="10" t="str">
        <x:v>M2 / M4</x:v>
      </x:c>
      <x:c r="E75" s="16" t="n">
        <x:v>4</x:v>
      </x:c>
      <x:c r="F75" s="14" t="n">
        <x:v>30</x:v>
      </x:c>
      <x:c r="G75" s="26" t="n">
        <x:f>'成本明细'!U10+'成本明细'!G10*(E75-'参数'!$B$6)</x:f>
        <x:v>1844.3413821266668</x:v>
      </x:c>
      <x:c r="H75" s="26" t="n">
        <x:f>'成本明细'!U16</x:f>
        <x:v>2304.1988675672224</x:v>
      </x:c>
      <x:c r="I75" s="26" t="n">
        <x:f>'成本明细'!V16</x:f>
        <x:v>4781.5</x:v>
      </x:c>
      <x:c r="J75" s="22" t="n">
        <x:f>'参数'!$B$9</x:f>
        <x:v>300</x:v>
      </x:c>
      <x:c r="K75" s="26" t="n">
        <x:f>J75*(G75-H75)-I75*ROUNDUP(J75/F75,0)</x:f>
        <x:v>-185772.24563216668</x:v>
      </x:c>
      <x:c r="L75" s="10" t="str">
        <x:f>IF(G75-H75&lt;=0,"未回本",IF(ROUNDUP(I75/(G75-H75),0)&gt;MIN(F75,J75),"未回本",MAX(1,ROUNDUP(I75/(G75-H75),0))))</x:f>
        <x:v>未回本</x:v>
      </x:c>
    </x:row>
    <x:row r="76" ht="22" customHeight="1">
      <x:c r="A76" s="11" t="str">
        <x:v>lade_0823_10aoi</x:v>
      </x:c>
      <x:c r="B76" s="10" t="n">
        <x:v>10</x:v>
      </x:c>
      <x:c r="C76" s="10" t="n">
        <x:v>43</x:v>
      </x:c>
      <x:c r="D76" s="10" t="str">
        <x:v>M1 / M3</x:v>
      </x:c>
      <x:c r="E76" s="16" t="n">
        <x:v>4</x:v>
      </x:c>
      <x:c r="F76" s="14" t="n">
        <x:v>50</x:v>
      </x:c>
      <x:c r="G76" s="26" t="n">
        <x:f>'成本明细'!U7+'成本明细'!G7*(E76-'参数'!$B$6)</x:f>
        <x:v>1844.3413821266668</x:v>
      </x:c>
      <x:c r="H76" s="26" t="n">
        <x:f>'成本明细'!U13</x:f>
        <x:v>2305.6772459783333</x:v>
      </x:c>
      <x:c r="I76" s="26" t="n">
        <x:f>'成本明细'!V13</x:f>
        <x:v>4781.5</x:v>
      </x:c>
      <x:c r="J76" s="22" t="n">
        <x:f>'参数'!$B$9</x:f>
        <x:v>300</x:v>
      </x:c>
      <x:c r="K76" s="26" t="n">
        <x:f>J76*(G76-H76)-I76*ROUNDUP(J76/F76,0)</x:f>
        <x:v>-167089.75915549995</x:v>
      </x:c>
      <x:c r="L76" s="10" t="str">
        <x:f>IF(G76-H76&lt;=0,"未回本",IF(ROUNDUP(I76/(G76-H76),0)&gt;MIN(F76,J76),"未回本",MAX(1,ROUNDUP(I76/(G76-H76),0))))</x:f>
        <x:v>未回本</x:v>
      </x:c>
    </x:row>
    <x:row r="77" ht="22" customHeight="1">
      <x:c r="A77" s="11" t="str">
        <x:v>lade_0823_10aoi</x:v>
      </x:c>
      <x:c r="B77" s="10" t="n">
        <x:v>10</x:v>
      </x:c>
      <x:c r="C77" s="10" t="n">
        <x:v>43</x:v>
      </x:c>
      <x:c r="D77" s="10" t="str">
        <x:v>M2 / M4</x:v>
      </x:c>
      <x:c r="E77" s="16" t="n">
        <x:v>4</x:v>
      </x:c>
      <x:c r="F77" s="14" t="n">
        <x:v>50</x:v>
      </x:c>
      <x:c r="G77" s="26" t="n">
        <x:f>'成本明细'!U10+'成本明细'!G10*(E77-'参数'!$B$6)</x:f>
        <x:v>1844.3413821266668</x:v>
      </x:c>
      <x:c r="H77" s="26" t="n">
        <x:f>'成本明细'!U16</x:f>
        <x:v>2304.1988675672224</x:v>
      </x:c>
      <x:c r="I77" s="26" t="n">
        <x:f>'成本明细'!V16</x:f>
        <x:v>4781.5</x:v>
      </x:c>
      <x:c r="J77" s="22" t="n">
        <x:f>'参数'!$B$9</x:f>
        <x:v>300</x:v>
      </x:c>
      <x:c r="K77" s="26" t="n">
        <x:f>J77*(G77-H77)-I77*ROUNDUP(J77/F77,0)</x:f>
        <x:v>-166646.24563216668</x:v>
      </x:c>
      <x:c r="L77" s="10" t="str">
        <x:f>IF(G77-H77&lt;=0,"未回本",IF(ROUNDUP(I77/(G77-H77),0)&gt;MIN(F77,J77),"未回本",MAX(1,ROUNDUP(I77/(G77-H77),0))))</x:f>
        <x:v>未回本</x:v>
      </x:c>
    </x:row>
    <x:row r="78" ht="22" customHeight="1">
      <x:c r="A78" s="11" t="str">
        <x:v>lade_0823_10aoi</x:v>
      </x:c>
      <x:c r="B78" s="10" t="n">
        <x:v>10</x:v>
      </x:c>
      <x:c r="C78" s="10" t="n">
        <x:v>43</x:v>
      </x:c>
      <x:c r="D78" s="10" t="str">
        <x:v>M1 / M3</x:v>
      </x:c>
      <x:c r="E78" s="16" t="n">
        <x:v>5</x:v>
      </x:c>
      <x:c r="F78" s="14" t="n">
        <x:v>10</x:v>
      </x:c>
      <x:c r="G78" s="26" t="n">
        <x:f>'成本明细'!U7+'成本明细'!G7*(E78-'参数'!$B$6)</x:f>
        <x:v>1975.3413821266668</x:v>
      </x:c>
      <x:c r="H78" s="26" t="n">
        <x:f>'成本明细'!U13</x:f>
        <x:v>2305.6772459783333</x:v>
      </x:c>
      <x:c r="I78" s="26" t="n">
        <x:f>'成本明细'!V13</x:f>
        <x:v>4781.5</x:v>
      </x:c>
      <x:c r="J78" s="22" t="n">
        <x:f>'参数'!$B$9</x:f>
        <x:v>300</x:v>
      </x:c>
      <x:c r="K78" s="26" t="n">
        <x:f>J78*(G78-H78)-I78*ROUNDUP(J78/F78,0)</x:f>
        <x:v>-242545.75915549998</x:v>
      </x:c>
      <x:c r="L78" s="10" t="str">
        <x:f>IF(G78-H78&lt;=0,"未回本",IF(ROUNDUP(I78/(G78-H78),0)&gt;MIN(F78,J78),"未回本",MAX(1,ROUNDUP(I78/(G78-H78),0))))</x:f>
        <x:v>未回本</x:v>
      </x:c>
    </x:row>
    <x:row r="79" ht="22" customHeight="1">
      <x:c r="A79" s="11" t="str">
        <x:v>lade_0823_10aoi</x:v>
      </x:c>
      <x:c r="B79" s="10" t="n">
        <x:v>10</x:v>
      </x:c>
      <x:c r="C79" s="10" t="n">
        <x:v>43</x:v>
      </x:c>
      <x:c r="D79" s="10" t="str">
        <x:v>M2 / M4</x:v>
      </x:c>
      <x:c r="E79" s="16" t="n">
        <x:v>5</x:v>
      </x:c>
      <x:c r="F79" s="14" t="n">
        <x:v>10</x:v>
      </x:c>
      <x:c r="G79" s="26" t="n">
        <x:f>'成本明细'!U10+'成本明细'!G10*(E79-'参数'!$B$6)</x:f>
        <x:v>1975.3413821266668</x:v>
      </x:c>
      <x:c r="H79" s="26" t="n">
        <x:f>'成本明细'!U16</x:f>
        <x:v>2304.1988675672224</x:v>
      </x:c>
      <x:c r="I79" s="26" t="n">
        <x:f>'成本明细'!V16</x:f>
        <x:v>4781.5</x:v>
      </x:c>
      <x:c r="J79" s="22" t="n">
        <x:f>'参数'!$B$9</x:f>
        <x:v>300</x:v>
      </x:c>
      <x:c r="K79" s="26" t="n">
        <x:f>J79*(G79-H79)-I79*ROUNDUP(J79/F79,0)</x:f>
        <x:v>-242102.24563216668</x:v>
      </x:c>
      <x:c r="L79" s="10" t="str">
        <x:f>IF(G79-H79&lt;=0,"未回本",IF(ROUNDUP(I79/(G79-H79),0)&gt;MIN(F79,J79),"未回本",MAX(1,ROUNDUP(I79/(G79-H79),0))))</x:f>
        <x:v>未回本</x:v>
      </x:c>
    </x:row>
    <x:row r="80" ht="22" customHeight="1">
      <x:c r="A80" s="11" t="str">
        <x:v>lade_0823_10aoi</x:v>
      </x:c>
      <x:c r="B80" s="10" t="n">
        <x:v>10</x:v>
      </x:c>
      <x:c r="C80" s="10" t="n">
        <x:v>43</x:v>
      </x:c>
      <x:c r="D80" s="10" t="str">
        <x:v>M1 / M3</x:v>
      </x:c>
      <x:c r="E80" s="16" t="n">
        <x:v>5</x:v>
      </x:c>
      <x:c r="F80" s="14" t="n">
        <x:v>20</x:v>
      </x:c>
      <x:c r="G80" s="26" t="n">
        <x:f>'成本明细'!U7+'成本明细'!G7*(E80-'参数'!$B$6)</x:f>
        <x:v>1975.3413821266668</x:v>
      </x:c>
      <x:c r="H80" s="26" t="n">
        <x:f>'成本明细'!U13</x:f>
        <x:v>2305.6772459783333</x:v>
      </x:c>
      <x:c r="I80" s="26" t="n">
        <x:f>'成本明细'!V13</x:f>
        <x:v>4781.5</x:v>
      </x:c>
      <x:c r="J80" s="22" t="n">
        <x:f>'参数'!$B$9</x:f>
        <x:v>300</x:v>
      </x:c>
      <x:c r="K80" s="26" t="n">
        <x:f>J80*(G80-H80)-I80*ROUNDUP(J80/F80,0)</x:f>
        <x:v>-170823.25915549998</x:v>
      </x:c>
      <x:c r="L80" s="10" t="str">
        <x:f>IF(G80-H80&lt;=0,"未回本",IF(ROUNDUP(I80/(G80-H80),0)&gt;MIN(F80,J80),"未回本",MAX(1,ROUNDUP(I80/(G80-H80),0))))</x:f>
        <x:v>未回本</x:v>
      </x:c>
    </x:row>
    <x:row r="81" ht="22" customHeight="1">
      <x:c r="A81" s="11" t="str">
        <x:v>lade_0823_10aoi</x:v>
      </x:c>
      <x:c r="B81" s="10" t="n">
        <x:v>10</x:v>
      </x:c>
      <x:c r="C81" s="10" t="n">
        <x:v>43</x:v>
      </x:c>
      <x:c r="D81" s="10" t="str">
        <x:v>M2 / M4</x:v>
      </x:c>
      <x:c r="E81" s="16" t="n">
        <x:v>5</x:v>
      </x:c>
      <x:c r="F81" s="14" t="n">
        <x:v>20</x:v>
      </x:c>
      <x:c r="G81" s="26" t="n">
        <x:f>'成本明细'!U10+'成本明细'!G10*(E81-'参数'!$B$6)</x:f>
        <x:v>1975.3413821266668</x:v>
      </x:c>
      <x:c r="H81" s="26" t="n">
        <x:f>'成本明细'!U16</x:f>
        <x:v>2304.1988675672224</x:v>
      </x:c>
      <x:c r="I81" s="26" t="n">
        <x:f>'成本明细'!V16</x:f>
        <x:v>4781.5</x:v>
      </x:c>
      <x:c r="J81" s="22" t="n">
        <x:f>'参数'!$B$9</x:f>
        <x:v>300</x:v>
      </x:c>
      <x:c r="K81" s="26" t="n">
        <x:f>J81*(G81-H81)-I81*ROUNDUP(J81/F81,0)</x:f>
        <x:v>-170379.74563216668</x:v>
      </x:c>
      <x:c r="L81" s="10" t="str">
        <x:f>IF(G81-H81&lt;=0,"未回本",IF(ROUNDUP(I81/(G81-H81),0)&gt;MIN(F81,J81),"未回本",MAX(1,ROUNDUP(I81/(G81-H81),0))))</x:f>
        <x:v>未回本</x:v>
      </x:c>
    </x:row>
    <x:row r="82" ht="22" customHeight="1">
      <x:c r="A82" s="11" t="str">
        <x:v>lade_0823_10aoi</x:v>
      </x:c>
      <x:c r="B82" s="10" t="n">
        <x:v>10</x:v>
      </x:c>
      <x:c r="C82" s="10" t="n">
        <x:v>43</x:v>
      </x:c>
      <x:c r="D82" s="10" t="str">
        <x:v>M1 / M3</x:v>
      </x:c>
      <x:c r="E82" s="16" t="n">
        <x:v>5</x:v>
      </x:c>
      <x:c r="F82" s="14" t="n">
        <x:v>30</x:v>
      </x:c>
      <x:c r="G82" s="26" t="n">
        <x:f>'成本明细'!U7+'成本明细'!G7*(E82-'参数'!$B$6)</x:f>
        <x:v>1975.3413821266668</x:v>
      </x:c>
      <x:c r="H82" s="26" t="n">
        <x:f>'成本明细'!U13</x:f>
        <x:v>2305.6772459783333</x:v>
      </x:c>
      <x:c r="I82" s="26" t="n">
        <x:f>'成本明细'!V13</x:f>
        <x:v>4781.5</x:v>
      </x:c>
      <x:c r="J82" s="22" t="n">
        <x:f>'参数'!$B$9</x:f>
        <x:v>300</x:v>
      </x:c>
      <x:c r="K82" s="26" t="n">
        <x:f>J82*(G82-H82)-I82*ROUNDUP(J82/F82,0)</x:f>
        <x:v>-146915.75915549998</x:v>
      </x:c>
      <x:c r="L82" s="10" t="str">
        <x:f>IF(G82-H82&lt;=0,"未回本",IF(ROUNDUP(I82/(G82-H82),0)&gt;MIN(F82,J82),"未回本",MAX(1,ROUNDUP(I82/(G82-H82),0))))</x:f>
        <x:v>未回本</x:v>
      </x:c>
    </x:row>
    <x:row r="83" ht="22" customHeight="1">
      <x:c r="A83" s="11" t="str">
        <x:v>lade_0823_10aoi</x:v>
      </x:c>
      <x:c r="B83" s="10" t="n">
        <x:v>10</x:v>
      </x:c>
      <x:c r="C83" s="10" t="n">
        <x:v>43</x:v>
      </x:c>
      <x:c r="D83" s="10" t="str">
        <x:v>M2 / M4</x:v>
      </x:c>
      <x:c r="E83" s="16" t="n">
        <x:v>5</x:v>
      </x:c>
      <x:c r="F83" s="14" t="n">
        <x:v>30</x:v>
      </x:c>
      <x:c r="G83" s="26" t="n">
        <x:f>'成本明细'!U10+'成本明细'!G10*(E83-'参数'!$B$6)</x:f>
        <x:v>1975.3413821266668</x:v>
      </x:c>
      <x:c r="H83" s="26" t="n">
        <x:f>'成本明细'!U16</x:f>
        <x:v>2304.1988675672224</x:v>
      </x:c>
      <x:c r="I83" s="26" t="n">
        <x:f>'成本明细'!V16</x:f>
        <x:v>4781.5</x:v>
      </x:c>
      <x:c r="J83" s="22" t="n">
        <x:f>'参数'!$B$9</x:f>
        <x:v>300</x:v>
      </x:c>
      <x:c r="K83" s="26" t="n">
        <x:f>J83*(G83-H83)-I83*ROUNDUP(J83/F83,0)</x:f>
        <x:v>-146472.24563216668</x:v>
      </x:c>
      <x:c r="L83" s="10" t="str">
        <x:f>IF(G83-H83&lt;=0,"未回本",IF(ROUNDUP(I83/(G83-H83),0)&gt;MIN(F83,J83),"未回本",MAX(1,ROUNDUP(I83/(G83-H83),0))))</x:f>
        <x:v>未回本</x:v>
      </x:c>
    </x:row>
    <x:row r="84" ht="22" customHeight="1">
      <x:c r="A84" s="11" t="str">
        <x:v>lade_0823_10aoi</x:v>
      </x:c>
      <x:c r="B84" s="10" t="n">
        <x:v>10</x:v>
      </x:c>
      <x:c r="C84" s="10" t="n">
        <x:v>43</x:v>
      </x:c>
      <x:c r="D84" s="10" t="str">
        <x:v>M1 / M3</x:v>
      </x:c>
      <x:c r="E84" s="16" t="n">
        <x:v>5</x:v>
      </x:c>
      <x:c r="F84" s="14" t="n">
        <x:v>50</x:v>
      </x:c>
      <x:c r="G84" s="26" t="n">
        <x:f>'成本明细'!U7+'成本明细'!G7*(E84-'参数'!$B$6)</x:f>
        <x:v>1975.3413821266668</x:v>
      </x:c>
      <x:c r="H84" s="26" t="n">
        <x:f>'成本明细'!U13</x:f>
        <x:v>2305.6772459783333</x:v>
      </x:c>
      <x:c r="I84" s="26" t="n">
        <x:f>'成本明细'!V13</x:f>
        <x:v>4781.5</x:v>
      </x:c>
      <x:c r="J84" s="22" t="n">
        <x:f>'参数'!$B$9</x:f>
        <x:v>300</x:v>
      </x:c>
      <x:c r="K84" s="26" t="n">
        <x:f>J84*(G84-H84)-I84*ROUNDUP(J84/F84,0)</x:f>
        <x:v>-127789.75915549997</x:v>
      </x:c>
      <x:c r="L84" s="10" t="str">
        <x:f>IF(G84-H84&lt;=0,"未回本",IF(ROUNDUP(I84/(G84-H84),0)&gt;MIN(F84,J84),"未回本",MAX(1,ROUNDUP(I84/(G84-H84),0))))</x:f>
        <x:v>未回本</x:v>
      </x:c>
    </x:row>
    <x:row r="85" ht="22" customHeight="1">
      <x:c r="A85" s="11" t="str">
        <x:v>lade_0823_10aoi</x:v>
      </x:c>
      <x:c r="B85" s="10" t="n">
        <x:v>10</x:v>
      </x:c>
      <x:c r="C85" s="10" t="n">
        <x:v>43</x:v>
      </x:c>
      <x:c r="D85" s="10" t="str">
        <x:v>M2 / M4</x:v>
      </x:c>
      <x:c r="E85" s="16" t="n">
        <x:v>5</x:v>
      </x:c>
      <x:c r="F85" s="14" t="n">
        <x:v>50</x:v>
      </x:c>
      <x:c r="G85" s="26" t="n">
        <x:f>'成本明细'!U10+'成本明细'!G10*(E85-'参数'!$B$6)</x:f>
        <x:v>1975.3413821266668</x:v>
      </x:c>
      <x:c r="H85" s="26" t="n">
        <x:f>'成本明细'!U16</x:f>
        <x:v>2304.1988675672224</x:v>
      </x:c>
      <x:c r="I85" s="26" t="n">
        <x:f>'成本明细'!V16</x:f>
        <x:v>4781.5</x:v>
      </x:c>
      <x:c r="J85" s="22" t="n">
        <x:f>'参数'!$B$9</x:f>
        <x:v>300</x:v>
      </x:c>
      <x:c r="K85" s="26" t="n">
        <x:f>J85*(G85-H85)-I85*ROUNDUP(J85/F85,0)</x:f>
        <x:v>-127346.24563216668</x:v>
      </x:c>
      <x:c r="L85" s="10" t="str">
        <x:f>IF(G85-H85&lt;=0,"未回本",IF(ROUNDUP(I85/(G85-H85),0)&gt;MIN(F85,J85),"未回本",MAX(1,ROUNDUP(I85/(G85-H85),0))))</x:f>
        <x:v>未回本</x:v>
      </x:c>
    </x:row>
    <x:row r="86" ht="22" customHeight="1">
      <x:c r="A86" s="11" t="str">
        <x:v>lade_0823_10aoi</x:v>
      </x:c>
      <x:c r="B86" s="10" t="n">
        <x:v>10</x:v>
      </x:c>
      <x:c r="C86" s="10" t="n">
        <x:v>44</x:v>
      </x:c>
      <x:c r="D86" s="10" t="str">
        <x:v>M1 / M3</x:v>
      </x:c>
      <x:c r="E86" s="16" t="n">
        <x:v>1</x:v>
      </x:c>
      <x:c r="F86" s="14" t="n">
        <x:v>10</x:v>
      </x:c>
      <x:c r="G86" s="26" t="n">
        <x:f>'成本明细'!U8+'成本明细'!G8*(E86-'参数'!$B$6)</x:f>
        <x:v>1451.3413821266668</x:v>
      </x:c>
      <x:c r="H86" s="26" t="n">
        <x:f>'成本明细'!U14</x:f>
        <x:v>2305.6772459783333</x:v>
      </x:c>
      <x:c r="I86" s="26" t="n">
        <x:f>'成本明细'!V14</x:f>
        <x:v>4781.5</x:v>
      </x:c>
      <x:c r="J86" s="22" t="n">
        <x:f>'参数'!$B$9</x:f>
        <x:v>300</x:v>
      </x:c>
      <x:c r="K86" s="26" t="n">
        <x:f>J86*(G86-H86)-I86*ROUNDUP(J86/F86,0)</x:f>
        <x:v>-399745.7591555</x:v>
      </x:c>
      <x:c r="L86" s="10" t="str">
        <x:f>IF(G86-H86&lt;=0,"未回本",IF(ROUNDUP(I86/(G86-H86),0)&gt;MIN(F86,J86),"未回本",MAX(1,ROUNDUP(I86/(G86-H86),0))))</x:f>
        <x:v>未回本</x:v>
      </x:c>
    </x:row>
    <x:row r="87" ht="22" customHeight="1">
      <x:c r="A87" s="11" t="str">
        <x:v>lade_0823_10aoi</x:v>
      </x:c>
      <x:c r="B87" s="10" t="n">
        <x:v>10</x:v>
      </x:c>
      <x:c r="C87" s="10" t="n">
        <x:v>44</x:v>
      </x:c>
      <x:c r="D87" s="10" t="str">
        <x:v>M2 / M4</x:v>
      </x:c>
      <x:c r="E87" s="16" t="n">
        <x:v>1</x:v>
      </x:c>
      <x:c r="F87" s="14" t="n">
        <x:v>10</x:v>
      </x:c>
      <x:c r="G87" s="26" t="n">
        <x:f>'成本明细'!U11+'成本明细'!G11*(E87-'参数'!$B$6)</x:f>
        <x:v>1451.3413821266668</x:v>
      </x:c>
      <x:c r="H87" s="26" t="n">
        <x:f>'成本明细'!U17</x:f>
        <x:v>2304.657504041111</x:v>
      </x:c>
      <x:c r="I87" s="26" t="n">
        <x:f>'成本明细'!V17</x:f>
        <x:v>4781.5</x:v>
      </x:c>
      <x:c r="J87" s="22" t="n">
        <x:f>'参数'!$B$9</x:f>
        <x:v>300</x:v>
      </x:c>
      <x:c r="K87" s="26" t="n">
        <x:f>J87*(G87-H87)-I87*ROUNDUP(J87/F87,0)</x:f>
        <x:v>-399439.83657433337</x:v>
      </x:c>
      <x:c r="L87" s="10" t="str">
        <x:f>IF(G87-H87&lt;=0,"未回本",IF(ROUNDUP(I87/(G87-H87),0)&gt;MIN(F87,J87),"未回本",MAX(1,ROUNDUP(I87/(G87-H87),0))))</x:f>
        <x:v>未回本</x:v>
      </x:c>
    </x:row>
    <x:row r="88" ht="22" customHeight="1">
      <x:c r="A88" s="11" t="str">
        <x:v>lade_0823_10aoi</x:v>
      </x:c>
      <x:c r="B88" s="10" t="n">
        <x:v>10</x:v>
      </x:c>
      <x:c r="C88" s="10" t="n">
        <x:v>44</x:v>
      </x:c>
      <x:c r="D88" s="10" t="str">
        <x:v>M1 / M3</x:v>
      </x:c>
      <x:c r="E88" s="16" t="n">
        <x:v>1</x:v>
      </x:c>
      <x:c r="F88" s="14" t="n">
        <x:v>20</x:v>
      </x:c>
      <x:c r="G88" s="26" t="n">
        <x:f>'成本明细'!U8+'成本明细'!G8*(E88-'参数'!$B$6)</x:f>
        <x:v>1451.3413821266668</x:v>
      </x:c>
      <x:c r="H88" s="26" t="n">
        <x:f>'成本明细'!U14</x:f>
        <x:v>2305.6772459783333</x:v>
      </x:c>
      <x:c r="I88" s="26" t="n">
        <x:f>'成本明细'!V14</x:f>
        <x:v>4781.5</x:v>
      </x:c>
      <x:c r="J88" s="22" t="n">
        <x:f>'参数'!$B$9</x:f>
        <x:v>300</x:v>
      </x:c>
      <x:c r="K88" s="26" t="n">
        <x:f>J88*(G88-H88)-I88*ROUNDUP(J88/F88,0)</x:f>
        <x:v>-328023.2591555</x:v>
      </x:c>
      <x:c r="L88" s="10" t="str">
        <x:f>IF(G88-H88&lt;=0,"未回本",IF(ROUNDUP(I88/(G88-H88),0)&gt;MIN(F88,J88),"未回本",MAX(1,ROUNDUP(I88/(G88-H88),0))))</x:f>
        <x:v>未回本</x:v>
      </x:c>
    </x:row>
    <x:row r="89" ht="22" customHeight="1">
      <x:c r="A89" s="11" t="str">
        <x:v>lade_0823_10aoi</x:v>
      </x:c>
      <x:c r="B89" s="10" t="n">
        <x:v>10</x:v>
      </x:c>
      <x:c r="C89" s="10" t="n">
        <x:v>44</x:v>
      </x:c>
      <x:c r="D89" s="10" t="str">
        <x:v>M2 / M4</x:v>
      </x:c>
      <x:c r="E89" s="16" t="n">
        <x:v>1</x:v>
      </x:c>
      <x:c r="F89" s="14" t="n">
        <x:v>20</x:v>
      </x:c>
      <x:c r="G89" s="26" t="n">
        <x:f>'成本明细'!U11+'成本明细'!G11*(E89-'参数'!$B$6)</x:f>
        <x:v>1451.3413821266668</x:v>
      </x:c>
      <x:c r="H89" s="26" t="n">
        <x:f>'成本明细'!U17</x:f>
        <x:v>2304.657504041111</x:v>
      </x:c>
      <x:c r="I89" s="26" t="n">
        <x:f>'成本明细'!V17</x:f>
        <x:v>4781.5</x:v>
      </x:c>
      <x:c r="J89" s="22" t="n">
        <x:f>'参数'!$B$9</x:f>
        <x:v>300</x:v>
      </x:c>
      <x:c r="K89" s="26" t="n">
        <x:f>J89*(G89-H89)-I89*ROUNDUP(J89/F89,0)</x:f>
        <x:v>-327717.33657433337</x:v>
      </x:c>
      <x:c r="L89" s="10" t="str">
        <x:f>IF(G89-H89&lt;=0,"未回本",IF(ROUNDUP(I89/(G89-H89),0)&gt;MIN(F89,J89),"未回本",MAX(1,ROUNDUP(I89/(G89-H89),0))))</x:f>
        <x:v>未回本</x:v>
      </x:c>
    </x:row>
    <x:row r="90" ht="22" customHeight="1">
      <x:c r="A90" s="11" t="str">
        <x:v>lade_0823_10aoi</x:v>
      </x:c>
      <x:c r="B90" s="10" t="n">
        <x:v>10</x:v>
      </x:c>
      <x:c r="C90" s="10" t="n">
        <x:v>44</x:v>
      </x:c>
      <x:c r="D90" s="10" t="str">
        <x:v>M1 / M3</x:v>
      </x:c>
      <x:c r="E90" s="16" t="n">
        <x:v>1</x:v>
      </x:c>
      <x:c r="F90" s="14" t="n">
        <x:v>30</x:v>
      </x:c>
      <x:c r="G90" s="26" t="n">
        <x:f>'成本明细'!U8+'成本明细'!G8*(E90-'参数'!$B$6)</x:f>
        <x:v>1451.3413821266668</x:v>
      </x:c>
      <x:c r="H90" s="26" t="n">
        <x:f>'成本明细'!U14</x:f>
        <x:v>2305.6772459783333</x:v>
      </x:c>
      <x:c r="I90" s="26" t="n">
        <x:f>'成本明细'!V14</x:f>
        <x:v>4781.5</x:v>
      </x:c>
      <x:c r="J90" s="22" t="n">
        <x:f>'参数'!$B$9</x:f>
        <x:v>300</x:v>
      </x:c>
      <x:c r="K90" s="26" t="n">
        <x:f>J90*(G90-H90)-I90*ROUNDUP(J90/F90,0)</x:f>
        <x:v>-304115.7591555</x:v>
      </x:c>
      <x:c r="L90" s="10" t="str">
        <x:f>IF(G90-H90&lt;=0,"未回本",IF(ROUNDUP(I90/(G90-H90),0)&gt;MIN(F90,J90),"未回本",MAX(1,ROUNDUP(I90/(G90-H90),0))))</x:f>
        <x:v>未回本</x:v>
      </x:c>
    </x:row>
    <x:row r="91" ht="22" customHeight="1">
      <x:c r="A91" s="11" t="str">
        <x:v>lade_0823_10aoi</x:v>
      </x:c>
      <x:c r="B91" s="10" t="n">
        <x:v>10</x:v>
      </x:c>
      <x:c r="C91" s="10" t="n">
        <x:v>44</x:v>
      </x:c>
      <x:c r="D91" s="10" t="str">
        <x:v>M2 / M4</x:v>
      </x:c>
      <x:c r="E91" s="16" t="n">
        <x:v>1</x:v>
      </x:c>
      <x:c r="F91" s="14" t="n">
        <x:v>30</x:v>
      </x:c>
      <x:c r="G91" s="26" t="n">
        <x:f>'成本明细'!U11+'成本明细'!G11*(E91-'参数'!$B$6)</x:f>
        <x:v>1451.3413821266668</x:v>
      </x:c>
      <x:c r="H91" s="26" t="n">
        <x:f>'成本明细'!U17</x:f>
        <x:v>2304.657504041111</x:v>
      </x:c>
      <x:c r="I91" s="26" t="n">
        <x:f>'成本明细'!V17</x:f>
        <x:v>4781.5</x:v>
      </x:c>
      <x:c r="J91" s="22" t="n">
        <x:f>'参数'!$B$9</x:f>
        <x:v>300</x:v>
      </x:c>
      <x:c r="K91" s="26" t="n">
        <x:f>J91*(G91-H91)-I91*ROUNDUP(J91/F91,0)</x:f>
        <x:v>-303809.83657433337</x:v>
      </x:c>
      <x:c r="L91" s="10" t="str">
        <x:f>IF(G91-H91&lt;=0,"未回本",IF(ROUNDUP(I91/(G91-H91),0)&gt;MIN(F91,J91),"未回本",MAX(1,ROUNDUP(I91/(G91-H91),0))))</x:f>
        <x:v>未回本</x:v>
      </x:c>
    </x:row>
    <x:row r="92" ht="22" customHeight="1">
      <x:c r="A92" s="11" t="str">
        <x:v>lade_0823_10aoi</x:v>
      </x:c>
      <x:c r="B92" s="10" t="n">
        <x:v>10</x:v>
      </x:c>
      <x:c r="C92" s="10" t="n">
        <x:v>44</x:v>
      </x:c>
      <x:c r="D92" s="10" t="str">
        <x:v>M1 / M3</x:v>
      </x:c>
      <x:c r="E92" s="16" t="n">
        <x:v>1</x:v>
      </x:c>
      <x:c r="F92" s="14" t="n">
        <x:v>50</x:v>
      </x:c>
      <x:c r="G92" s="26" t="n">
        <x:f>'成本明细'!U8+'成本明细'!G8*(E92-'参数'!$B$6)</x:f>
        <x:v>1451.3413821266668</x:v>
      </x:c>
      <x:c r="H92" s="26" t="n">
        <x:f>'成本明细'!U14</x:f>
        <x:v>2305.6772459783333</x:v>
      </x:c>
      <x:c r="I92" s="26" t="n">
        <x:f>'成本明细'!V14</x:f>
        <x:v>4781.5</x:v>
      </x:c>
      <x:c r="J92" s="22" t="n">
        <x:f>'参数'!$B$9</x:f>
        <x:v>300</x:v>
      </x:c>
      <x:c r="K92" s="26" t="n">
        <x:f>J92*(G92-H92)-I92*ROUNDUP(J92/F92,0)</x:f>
        <x:v>-284989.7591555</x:v>
      </x:c>
      <x:c r="L92" s="10" t="str">
        <x:f>IF(G92-H92&lt;=0,"未回本",IF(ROUNDUP(I92/(G92-H92),0)&gt;MIN(F92,J92),"未回本",MAX(1,ROUNDUP(I92/(G92-H92),0))))</x:f>
        <x:v>未回本</x:v>
      </x:c>
    </x:row>
    <x:row r="93" ht="22" customHeight="1">
      <x:c r="A93" s="11" t="str">
        <x:v>lade_0823_10aoi</x:v>
      </x:c>
      <x:c r="B93" s="10" t="n">
        <x:v>10</x:v>
      </x:c>
      <x:c r="C93" s="10" t="n">
        <x:v>44</x:v>
      </x:c>
      <x:c r="D93" s="10" t="str">
        <x:v>M2 / M4</x:v>
      </x:c>
      <x:c r="E93" s="16" t="n">
        <x:v>1</x:v>
      </x:c>
      <x:c r="F93" s="14" t="n">
        <x:v>50</x:v>
      </x:c>
      <x:c r="G93" s="26" t="n">
        <x:f>'成本明细'!U11+'成本明细'!G11*(E93-'参数'!$B$6)</x:f>
        <x:v>1451.3413821266668</x:v>
      </x:c>
      <x:c r="H93" s="26" t="n">
        <x:f>'成本明细'!U17</x:f>
        <x:v>2304.657504041111</x:v>
      </x:c>
      <x:c r="I93" s="26" t="n">
        <x:f>'成本明细'!V17</x:f>
        <x:v>4781.5</x:v>
      </x:c>
      <x:c r="J93" s="22" t="n">
        <x:f>'参数'!$B$9</x:f>
        <x:v>300</x:v>
      </x:c>
      <x:c r="K93" s="26" t="n">
        <x:f>J93*(G93-H93)-I93*ROUNDUP(J93/F93,0)</x:f>
        <x:v>-284683.83657433337</x:v>
      </x:c>
      <x:c r="L93" s="10" t="str">
        <x:f>IF(G93-H93&lt;=0,"未回本",IF(ROUNDUP(I93/(G93-H93),0)&gt;MIN(F93,J93),"未回本",MAX(1,ROUNDUP(I93/(G93-H93),0))))</x:f>
        <x:v>未回本</x:v>
      </x:c>
    </x:row>
    <x:row r="94" ht="22" customHeight="1">
      <x:c r="A94" s="11" t="str">
        <x:v>lade_0823_10aoi</x:v>
      </x:c>
      <x:c r="B94" s="10" t="n">
        <x:v>10</x:v>
      </x:c>
      <x:c r="C94" s="10" t="n">
        <x:v>44</x:v>
      </x:c>
      <x:c r="D94" s="10" t="str">
        <x:v>M1 / M3</x:v>
      </x:c>
      <x:c r="E94" s="16" t="n">
        <x:v>2</x:v>
      </x:c>
      <x:c r="F94" s="14" t="n">
        <x:v>10</x:v>
      </x:c>
      <x:c r="G94" s="26" t="n">
        <x:f>'成本明细'!U8+'成本明细'!G8*(E94-'参数'!$B$6)</x:f>
        <x:v>1582.3413821266668</x:v>
      </x:c>
      <x:c r="H94" s="26" t="n">
        <x:f>'成本明细'!U14</x:f>
        <x:v>2305.6772459783333</x:v>
      </x:c>
      <x:c r="I94" s="26" t="n">
        <x:f>'成本明细'!V14</x:f>
        <x:v>4781.5</x:v>
      </x:c>
      <x:c r="J94" s="22" t="n">
        <x:f>'参数'!$B$9</x:f>
        <x:v>300</x:v>
      </x:c>
      <x:c r="K94" s="26" t="n">
        <x:f>J94*(G94-H94)-I94*ROUNDUP(J94/F94,0)</x:f>
        <x:v>-360445.7591555</x:v>
      </x:c>
      <x:c r="L94" s="10" t="str">
        <x:f>IF(G94-H94&lt;=0,"未回本",IF(ROUNDUP(I94/(G94-H94),0)&gt;MIN(F94,J94),"未回本",MAX(1,ROUNDUP(I94/(G94-H94),0))))</x:f>
        <x:v>未回本</x:v>
      </x:c>
    </x:row>
    <x:row r="95" ht="22" customHeight="1">
      <x:c r="A95" s="11" t="str">
        <x:v>lade_0823_10aoi</x:v>
      </x:c>
      <x:c r="B95" s="10" t="n">
        <x:v>10</x:v>
      </x:c>
      <x:c r="C95" s="10" t="n">
        <x:v>44</x:v>
      </x:c>
      <x:c r="D95" s="10" t="str">
        <x:v>M2 / M4</x:v>
      </x:c>
      <x:c r="E95" s="16" t="n">
        <x:v>2</x:v>
      </x:c>
      <x:c r="F95" s="14" t="n">
        <x:v>10</x:v>
      </x:c>
      <x:c r="G95" s="26" t="n">
        <x:f>'成本明细'!U11+'成本明细'!G11*(E95-'参数'!$B$6)</x:f>
        <x:v>1582.3413821266668</x:v>
      </x:c>
      <x:c r="H95" s="26" t="n">
        <x:f>'成本明细'!U17</x:f>
        <x:v>2304.657504041111</x:v>
      </x:c>
      <x:c r="I95" s="26" t="n">
        <x:f>'成本明细'!V17</x:f>
        <x:v>4781.5</x:v>
      </x:c>
      <x:c r="J95" s="22" t="n">
        <x:f>'参数'!$B$9</x:f>
        <x:v>300</x:v>
      </x:c>
      <x:c r="K95" s="26" t="n">
        <x:f>J95*(G95-H95)-I95*ROUNDUP(J95/F95,0)</x:f>
        <x:v>-360139.83657433337</x:v>
      </x:c>
      <x:c r="L95" s="10" t="str">
        <x:f>IF(G95-H95&lt;=0,"未回本",IF(ROUNDUP(I95/(G95-H95),0)&gt;MIN(F95,J95),"未回本",MAX(1,ROUNDUP(I95/(G95-H95),0))))</x:f>
        <x:v>未回本</x:v>
      </x:c>
    </x:row>
    <x:row r="96" ht="22" customHeight="1">
      <x:c r="A96" s="11" t="str">
        <x:v>lade_0823_10aoi</x:v>
      </x:c>
      <x:c r="B96" s="10" t="n">
        <x:v>10</x:v>
      </x:c>
      <x:c r="C96" s="10" t="n">
        <x:v>44</x:v>
      </x:c>
      <x:c r="D96" s="10" t="str">
        <x:v>M1 / M3</x:v>
      </x:c>
      <x:c r="E96" s="16" t="n">
        <x:v>2</x:v>
      </x:c>
      <x:c r="F96" s="14" t="n">
        <x:v>20</x:v>
      </x:c>
      <x:c r="G96" s="26" t="n">
        <x:f>'成本明细'!U8+'成本明细'!G8*(E96-'参数'!$B$6)</x:f>
        <x:v>1582.3413821266668</x:v>
      </x:c>
      <x:c r="H96" s="26" t="n">
        <x:f>'成本明细'!U14</x:f>
        <x:v>2305.6772459783333</x:v>
      </x:c>
      <x:c r="I96" s="26" t="n">
        <x:f>'成本明细'!V14</x:f>
        <x:v>4781.5</x:v>
      </x:c>
      <x:c r="J96" s="22" t="n">
        <x:f>'参数'!$B$9</x:f>
        <x:v>300</x:v>
      </x:c>
      <x:c r="K96" s="26" t="n">
        <x:f>J96*(G96-H96)-I96*ROUNDUP(J96/F96,0)</x:f>
        <x:v>-288723.2591555</x:v>
      </x:c>
      <x:c r="L96" s="10" t="str">
        <x:f>IF(G96-H96&lt;=0,"未回本",IF(ROUNDUP(I96/(G96-H96),0)&gt;MIN(F96,J96),"未回本",MAX(1,ROUNDUP(I96/(G96-H96),0))))</x:f>
        <x:v>未回本</x:v>
      </x:c>
    </x:row>
    <x:row r="97" ht="22" customHeight="1">
      <x:c r="A97" s="11" t="str">
        <x:v>lade_0823_10aoi</x:v>
      </x:c>
      <x:c r="B97" s="10" t="n">
        <x:v>10</x:v>
      </x:c>
      <x:c r="C97" s="10" t="n">
        <x:v>44</x:v>
      </x:c>
      <x:c r="D97" s="10" t="str">
        <x:v>M2 / M4</x:v>
      </x:c>
      <x:c r="E97" s="16" t="n">
        <x:v>2</x:v>
      </x:c>
      <x:c r="F97" s="14" t="n">
        <x:v>20</x:v>
      </x:c>
      <x:c r="G97" s="26" t="n">
        <x:f>'成本明细'!U11+'成本明细'!G11*(E97-'参数'!$B$6)</x:f>
        <x:v>1582.3413821266668</x:v>
      </x:c>
      <x:c r="H97" s="26" t="n">
        <x:f>'成本明细'!U17</x:f>
        <x:v>2304.657504041111</x:v>
      </x:c>
      <x:c r="I97" s="26" t="n">
        <x:f>'成本明细'!V17</x:f>
        <x:v>4781.5</x:v>
      </x:c>
      <x:c r="J97" s="22" t="n">
        <x:f>'参数'!$B$9</x:f>
        <x:v>300</x:v>
      </x:c>
      <x:c r="K97" s="26" t="n">
        <x:f>J97*(G97-H97)-I97*ROUNDUP(J97/F97,0)</x:f>
        <x:v>-288417.33657433337</x:v>
      </x:c>
      <x:c r="L97" s="10" t="str">
        <x:f>IF(G97-H97&lt;=0,"未回本",IF(ROUNDUP(I97/(G97-H97),0)&gt;MIN(F97,J97),"未回本",MAX(1,ROUNDUP(I97/(G97-H97),0))))</x:f>
        <x:v>未回本</x:v>
      </x:c>
    </x:row>
    <x:row r="98" ht="22" customHeight="1">
      <x:c r="A98" s="11" t="str">
        <x:v>lade_0823_10aoi</x:v>
      </x:c>
      <x:c r="B98" s="10" t="n">
        <x:v>10</x:v>
      </x:c>
      <x:c r="C98" s="10" t="n">
        <x:v>44</x:v>
      </x:c>
      <x:c r="D98" s="10" t="str">
        <x:v>M1 / M3</x:v>
      </x:c>
      <x:c r="E98" s="16" t="n">
        <x:v>2</x:v>
      </x:c>
      <x:c r="F98" s="14" t="n">
        <x:v>30</x:v>
      </x:c>
      <x:c r="G98" s="26" t="n">
        <x:f>'成本明细'!U8+'成本明细'!G8*(E98-'参数'!$B$6)</x:f>
        <x:v>1582.3413821266668</x:v>
      </x:c>
      <x:c r="H98" s="26" t="n">
        <x:f>'成本明细'!U14</x:f>
        <x:v>2305.6772459783333</x:v>
      </x:c>
      <x:c r="I98" s="26" t="n">
        <x:f>'成本明细'!V14</x:f>
        <x:v>4781.5</x:v>
      </x:c>
      <x:c r="J98" s="22" t="n">
        <x:f>'参数'!$B$9</x:f>
        <x:v>300</x:v>
      </x:c>
      <x:c r="K98" s="26" t="n">
        <x:f>J98*(G98-H98)-I98*ROUNDUP(J98/F98,0)</x:f>
        <x:v>-264815.7591555</x:v>
      </x:c>
      <x:c r="L98" s="10" t="str">
        <x:f>IF(G98-H98&lt;=0,"未回本",IF(ROUNDUP(I98/(G98-H98),0)&gt;MIN(F98,J98),"未回本",MAX(1,ROUNDUP(I98/(G98-H98),0))))</x:f>
        <x:v>未回本</x:v>
      </x:c>
    </x:row>
    <x:row r="99" ht="22" customHeight="1">
      <x:c r="A99" s="11" t="str">
        <x:v>lade_0823_10aoi</x:v>
      </x:c>
      <x:c r="B99" s="10" t="n">
        <x:v>10</x:v>
      </x:c>
      <x:c r="C99" s="10" t="n">
        <x:v>44</x:v>
      </x:c>
      <x:c r="D99" s="10" t="str">
        <x:v>M2 / M4</x:v>
      </x:c>
      <x:c r="E99" s="16" t="n">
        <x:v>2</x:v>
      </x:c>
      <x:c r="F99" s="14" t="n">
        <x:v>30</x:v>
      </x:c>
      <x:c r="G99" s="26" t="n">
        <x:f>'成本明细'!U11+'成本明细'!G11*(E99-'参数'!$B$6)</x:f>
        <x:v>1582.3413821266668</x:v>
      </x:c>
      <x:c r="H99" s="26" t="n">
        <x:f>'成本明细'!U17</x:f>
        <x:v>2304.657504041111</x:v>
      </x:c>
      <x:c r="I99" s="26" t="n">
        <x:f>'成本明细'!V17</x:f>
        <x:v>4781.5</x:v>
      </x:c>
      <x:c r="J99" s="22" t="n">
        <x:f>'参数'!$B$9</x:f>
        <x:v>300</x:v>
      </x:c>
      <x:c r="K99" s="26" t="n">
        <x:f>J99*(G99-H99)-I99*ROUNDUP(J99/F99,0)</x:f>
        <x:v>-264509.83657433337</x:v>
      </x:c>
      <x:c r="L99" s="10" t="str">
        <x:f>IF(G99-H99&lt;=0,"未回本",IF(ROUNDUP(I99/(G99-H99),0)&gt;MIN(F99,J99),"未回本",MAX(1,ROUNDUP(I99/(G99-H99),0))))</x:f>
        <x:v>未回本</x:v>
      </x:c>
    </x:row>
    <x:row r="100" ht="22" customHeight="1">
      <x:c r="A100" s="11" t="str">
        <x:v>lade_0823_10aoi</x:v>
      </x:c>
      <x:c r="B100" s="10" t="n">
        <x:v>10</x:v>
      </x:c>
      <x:c r="C100" s="10" t="n">
        <x:v>44</x:v>
      </x:c>
      <x:c r="D100" s="10" t="str">
        <x:v>M1 / M3</x:v>
      </x:c>
      <x:c r="E100" s="16" t="n">
        <x:v>2</x:v>
      </x:c>
      <x:c r="F100" s="14" t="n">
        <x:v>50</x:v>
      </x:c>
      <x:c r="G100" s="26" t="n">
        <x:f>'成本明细'!U8+'成本明细'!G8*(E100-'参数'!$B$6)</x:f>
        <x:v>1582.3413821266668</x:v>
      </x:c>
      <x:c r="H100" s="26" t="n">
        <x:f>'成本明细'!U14</x:f>
        <x:v>2305.6772459783333</x:v>
      </x:c>
      <x:c r="I100" s="26" t="n">
        <x:f>'成本明细'!V14</x:f>
        <x:v>4781.5</x:v>
      </x:c>
      <x:c r="J100" s="22" t="n">
        <x:f>'参数'!$B$9</x:f>
        <x:v>300</x:v>
      </x:c>
      <x:c r="K100" s="26" t="n">
        <x:f>J100*(G100-H100)-I100*ROUNDUP(J100/F100,0)</x:f>
        <x:v>-245689.75915549995</x:v>
      </x:c>
      <x:c r="L100" s="10" t="str">
        <x:f>IF(G100-H100&lt;=0,"未回本",IF(ROUNDUP(I100/(G100-H100),0)&gt;MIN(F100,J100),"未回本",MAX(1,ROUNDUP(I100/(G100-H100),0))))</x:f>
        <x:v>未回本</x:v>
      </x:c>
    </x:row>
    <x:row r="101" ht="22" customHeight="1">
      <x:c r="A101" s="11" t="str">
        <x:v>lade_0823_10aoi</x:v>
      </x:c>
      <x:c r="B101" s="10" t="n">
        <x:v>10</x:v>
      </x:c>
      <x:c r="C101" s="10" t="n">
        <x:v>44</x:v>
      </x:c>
      <x:c r="D101" s="10" t="str">
        <x:v>M2 / M4</x:v>
      </x:c>
      <x:c r="E101" s="16" t="n">
        <x:v>2</x:v>
      </x:c>
      <x:c r="F101" s="14" t="n">
        <x:v>50</x:v>
      </x:c>
      <x:c r="G101" s="26" t="n">
        <x:f>'成本明细'!U11+'成本明细'!G11*(E101-'参数'!$B$6)</x:f>
        <x:v>1582.3413821266668</x:v>
      </x:c>
      <x:c r="H101" s="26" t="n">
        <x:f>'成本明细'!U17</x:f>
        <x:v>2304.657504041111</x:v>
      </x:c>
      <x:c r="I101" s="26" t="n">
        <x:f>'成本明细'!V17</x:f>
        <x:v>4781.5</x:v>
      </x:c>
      <x:c r="J101" s="22" t="n">
        <x:f>'参数'!$B$9</x:f>
        <x:v>300</x:v>
      </x:c>
      <x:c r="K101" s="26" t="n">
        <x:f>J101*(G101-H101)-I101*ROUNDUP(J101/F101,0)</x:f>
        <x:v>-245383.83657433334</x:v>
      </x:c>
      <x:c r="L101" s="10" t="str">
        <x:f>IF(G101-H101&lt;=0,"未回本",IF(ROUNDUP(I101/(G101-H101),0)&gt;MIN(F101,J101),"未回本",MAX(1,ROUNDUP(I101/(G101-H101),0))))</x:f>
        <x:v>未回本</x:v>
      </x:c>
    </x:row>
    <x:row r="102" ht="22" customHeight="1">
      <x:c r="A102" s="11" t="str">
        <x:v>lade_0823_10aoi</x:v>
      </x:c>
      <x:c r="B102" s="10" t="n">
        <x:v>10</x:v>
      </x:c>
      <x:c r="C102" s="10" t="n">
        <x:v>44</x:v>
      </x:c>
      <x:c r="D102" s="10" t="str">
        <x:v>M1 / M3</x:v>
      </x:c>
      <x:c r="E102" s="16" t="n">
        <x:v>3</x:v>
      </x:c>
      <x:c r="F102" s="14" t="n">
        <x:v>10</x:v>
      </x:c>
      <x:c r="G102" s="26" t="n">
        <x:f>'成本明细'!U8+'成本明细'!G8*(E102-'参数'!$B$6)</x:f>
        <x:v>1713.3413821266668</x:v>
      </x:c>
      <x:c r="H102" s="26" t="n">
        <x:f>'成本明细'!U14</x:f>
        <x:v>2305.6772459783333</x:v>
      </x:c>
      <x:c r="I102" s="26" t="n">
        <x:f>'成本明细'!V14</x:f>
        <x:v>4781.5</x:v>
      </x:c>
      <x:c r="J102" s="22" t="n">
        <x:f>'参数'!$B$9</x:f>
        <x:v>300</x:v>
      </x:c>
      <x:c r="K102" s="26" t="n">
        <x:f>J102*(G102-H102)-I102*ROUNDUP(J102/F102,0)</x:f>
        <x:v>-321145.7591555</x:v>
      </x:c>
      <x:c r="L102" s="10" t="str">
        <x:f>IF(G102-H102&lt;=0,"未回本",IF(ROUNDUP(I102/(G102-H102),0)&gt;MIN(F102,J102),"未回本",MAX(1,ROUNDUP(I102/(G102-H102),0))))</x:f>
        <x:v>未回本</x:v>
      </x:c>
    </x:row>
    <x:row r="103" ht="22" customHeight="1">
      <x:c r="A103" s="11" t="str">
        <x:v>lade_0823_10aoi</x:v>
      </x:c>
      <x:c r="B103" s="10" t="n">
        <x:v>10</x:v>
      </x:c>
      <x:c r="C103" s="10" t="n">
        <x:v>44</x:v>
      </x:c>
      <x:c r="D103" s="10" t="str">
        <x:v>M2 / M4</x:v>
      </x:c>
      <x:c r="E103" s="16" t="n">
        <x:v>3</x:v>
      </x:c>
      <x:c r="F103" s="14" t="n">
        <x:v>10</x:v>
      </x:c>
      <x:c r="G103" s="26" t="n">
        <x:f>'成本明细'!U11+'成本明细'!G11*(E103-'参数'!$B$6)</x:f>
        <x:v>1713.3413821266668</x:v>
      </x:c>
      <x:c r="H103" s="26" t="n">
        <x:f>'成本明细'!U17</x:f>
        <x:v>2304.657504041111</x:v>
      </x:c>
      <x:c r="I103" s="26" t="n">
        <x:f>'成本明细'!V17</x:f>
        <x:v>4781.5</x:v>
      </x:c>
      <x:c r="J103" s="22" t="n">
        <x:f>'参数'!$B$9</x:f>
        <x:v>300</x:v>
      </x:c>
      <x:c r="K103" s="26" t="n">
        <x:f>J103*(G103-H103)-I103*ROUNDUP(J103/F103,0)</x:f>
        <x:v>-320839.83657433337</x:v>
      </x:c>
      <x:c r="L103" s="10" t="str">
        <x:f>IF(G103-H103&lt;=0,"未回本",IF(ROUNDUP(I103/(G103-H103),0)&gt;MIN(F103,J103),"未回本",MAX(1,ROUNDUP(I103/(G103-H103),0))))</x:f>
        <x:v>未回本</x:v>
      </x:c>
    </x:row>
    <x:row r="104" ht="22" customHeight="1">
      <x:c r="A104" s="11" t="str">
        <x:v>lade_0823_10aoi</x:v>
      </x:c>
      <x:c r="B104" s="10" t="n">
        <x:v>10</x:v>
      </x:c>
      <x:c r="C104" s="10" t="n">
        <x:v>44</x:v>
      </x:c>
      <x:c r="D104" s="10" t="str">
        <x:v>M1 / M3</x:v>
      </x:c>
      <x:c r="E104" s="16" t="n">
        <x:v>3</x:v>
      </x:c>
      <x:c r="F104" s="14" t="n">
        <x:v>20</x:v>
      </x:c>
      <x:c r="G104" s="26" t="n">
        <x:f>'成本明细'!U8+'成本明细'!G8*(E104-'参数'!$B$6)</x:f>
        <x:v>1713.3413821266668</x:v>
      </x:c>
      <x:c r="H104" s="26" t="n">
        <x:f>'成本明细'!U14</x:f>
        <x:v>2305.6772459783333</x:v>
      </x:c>
      <x:c r="I104" s="26" t="n">
        <x:f>'成本明细'!V14</x:f>
        <x:v>4781.5</x:v>
      </x:c>
      <x:c r="J104" s="22" t="n">
        <x:f>'参数'!$B$9</x:f>
        <x:v>300</x:v>
      </x:c>
      <x:c r="K104" s="26" t="n">
        <x:f>J104*(G104-H104)-I104*ROUNDUP(J104/F104,0)</x:f>
        <x:v>-249423.25915549995</x:v>
      </x:c>
      <x:c r="L104" s="10" t="str">
        <x:f>IF(G104-H104&lt;=0,"未回本",IF(ROUNDUP(I104/(G104-H104),0)&gt;MIN(F104,J104),"未回本",MAX(1,ROUNDUP(I104/(G104-H104),0))))</x:f>
        <x:v>未回本</x:v>
      </x:c>
    </x:row>
    <x:row r="105" ht="22" customHeight="1">
      <x:c r="A105" s="11" t="str">
        <x:v>lade_0823_10aoi</x:v>
      </x:c>
      <x:c r="B105" s="10" t="n">
        <x:v>10</x:v>
      </x:c>
      <x:c r="C105" s="10" t="n">
        <x:v>44</x:v>
      </x:c>
      <x:c r="D105" s="10" t="str">
        <x:v>M2 / M4</x:v>
      </x:c>
      <x:c r="E105" s="16" t="n">
        <x:v>3</x:v>
      </x:c>
      <x:c r="F105" s="14" t="n">
        <x:v>20</x:v>
      </x:c>
      <x:c r="G105" s="26" t="n">
        <x:f>'成本明细'!U11+'成本明细'!G11*(E105-'参数'!$B$6)</x:f>
        <x:v>1713.3413821266668</x:v>
      </x:c>
      <x:c r="H105" s="26" t="n">
        <x:f>'成本明细'!U17</x:f>
        <x:v>2304.657504041111</x:v>
      </x:c>
      <x:c r="I105" s="26" t="n">
        <x:f>'成本明细'!V17</x:f>
        <x:v>4781.5</x:v>
      </x:c>
      <x:c r="J105" s="22" t="n">
        <x:f>'参数'!$B$9</x:f>
        <x:v>300</x:v>
      </x:c>
      <x:c r="K105" s="26" t="n">
        <x:f>J105*(G105-H105)-I105*ROUNDUP(J105/F105,0)</x:f>
        <x:v>-249117.33657433334</x:v>
      </x:c>
      <x:c r="L105" s="10" t="str">
        <x:f>IF(G105-H105&lt;=0,"未回本",IF(ROUNDUP(I105/(G105-H105),0)&gt;MIN(F105,J105),"未回本",MAX(1,ROUNDUP(I105/(G105-H105),0))))</x:f>
        <x:v>未回本</x:v>
      </x:c>
    </x:row>
    <x:row r="106" ht="22" customHeight="1">
      <x:c r="A106" s="11" t="str">
        <x:v>lade_0823_10aoi</x:v>
      </x:c>
      <x:c r="B106" s="10" t="n">
        <x:v>10</x:v>
      </x:c>
      <x:c r="C106" s="10" t="n">
        <x:v>44</x:v>
      </x:c>
      <x:c r="D106" s="10" t="str">
        <x:v>M1 / M3</x:v>
      </x:c>
      <x:c r="E106" s="16" t="n">
        <x:v>3</x:v>
      </x:c>
      <x:c r="F106" s="14" t="n">
        <x:v>30</x:v>
      </x:c>
      <x:c r="G106" s="26" t="n">
        <x:f>'成本明细'!U8+'成本明细'!G8*(E106-'参数'!$B$6)</x:f>
        <x:v>1713.3413821266668</x:v>
      </x:c>
      <x:c r="H106" s="26" t="n">
        <x:f>'成本明细'!U14</x:f>
        <x:v>2305.6772459783333</x:v>
      </x:c>
      <x:c r="I106" s="26" t="n">
        <x:f>'成本明细'!V14</x:f>
        <x:v>4781.5</x:v>
      </x:c>
      <x:c r="J106" s="22" t="n">
        <x:f>'参数'!$B$9</x:f>
        <x:v>300</x:v>
      </x:c>
      <x:c r="K106" s="26" t="n">
        <x:f>J106*(G106-H106)-I106*ROUNDUP(J106/F106,0)</x:f>
        <x:v>-225515.75915549995</x:v>
      </x:c>
      <x:c r="L106" s="10" t="str">
        <x:f>IF(G106-H106&lt;=0,"未回本",IF(ROUNDUP(I106/(G106-H106),0)&gt;MIN(F106,J106),"未回本",MAX(1,ROUNDUP(I106/(G106-H106),0))))</x:f>
        <x:v>未回本</x:v>
      </x:c>
    </x:row>
    <x:row r="107" ht="22" customHeight="1">
      <x:c r="A107" s="11" t="str">
        <x:v>lade_0823_10aoi</x:v>
      </x:c>
      <x:c r="B107" s="10" t="n">
        <x:v>10</x:v>
      </x:c>
      <x:c r="C107" s="10" t="n">
        <x:v>44</x:v>
      </x:c>
      <x:c r="D107" s="10" t="str">
        <x:v>M2 / M4</x:v>
      </x:c>
      <x:c r="E107" s="16" t="n">
        <x:v>3</x:v>
      </x:c>
      <x:c r="F107" s="14" t="n">
        <x:v>30</x:v>
      </x:c>
      <x:c r="G107" s="26" t="n">
        <x:f>'成本明细'!U11+'成本明细'!G11*(E107-'参数'!$B$6)</x:f>
        <x:v>1713.3413821266668</x:v>
      </x:c>
      <x:c r="H107" s="26" t="n">
        <x:f>'成本明细'!U17</x:f>
        <x:v>2304.657504041111</x:v>
      </x:c>
      <x:c r="I107" s="26" t="n">
        <x:f>'成本明细'!V17</x:f>
        <x:v>4781.5</x:v>
      </x:c>
      <x:c r="J107" s="22" t="n">
        <x:f>'参数'!$B$9</x:f>
        <x:v>300</x:v>
      </x:c>
      <x:c r="K107" s="26" t="n">
        <x:f>J107*(G107-H107)-I107*ROUNDUP(J107/F107,0)</x:f>
        <x:v>-225209.83657433334</x:v>
      </x:c>
      <x:c r="L107" s="10" t="str">
        <x:f>IF(G107-H107&lt;=0,"未回本",IF(ROUNDUP(I107/(G107-H107),0)&gt;MIN(F107,J107),"未回本",MAX(1,ROUNDUP(I107/(G107-H107),0))))</x:f>
        <x:v>未回本</x:v>
      </x:c>
    </x:row>
    <x:row r="108" ht="22" customHeight="1">
      <x:c r="A108" s="11" t="str">
        <x:v>lade_0823_10aoi</x:v>
      </x:c>
      <x:c r="B108" s="10" t="n">
        <x:v>10</x:v>
      </x:c>
      <x:c r="C108" s="10" t="n">
        <x:v>44</x:v>
      </x:c>
      <x:c r="D108" s="10" t="str">
        <x:v>M1 / M3</x:v>
      </x:c>
      <x:c r="E108" s="16" t="n">
        <x:v>3</x:v>
      </x:c>
      <x:c r="F108" s="14" t="n">
        <x:v>50</x:v>
      </x:c>
      <x:c r="G108" s="26" t="n">
        <x:f>'成本明细'!U8+'成本明细'!G8*(E108-'参数'!$B$6)</x:f>
        <x:v>1713.3413821266668</x:v>
      </x:c>
      <x:c r="H108" s="26" t="n">
        <x:f>'成本明细'!U14</x:f>
        <x:v>2305.6772459783333</x:v>
      </x:c>
      <x:c r="I108" s="26" t="n">
        <x:f>'成本明细'!V14</x:f>
        <x:v>4781.5</x:v>
      </x:c>
      <x:c r="J108" s="22" t="n">
        <x:f>'参数'!$B$9</x:f>
        <x:v>300</x:v>
      </x:c>
      <x:c r="K108" s="26" t="n">
        <x:f>J108*(G108-H108)-I108*ROUNDUP(J108/F108,0)</x:f>
        <x:v>-206389.75915549995</x:v>
      </x:c>
      <x:c r="L108" s="10" t="str">
        <x:f>IF(G108-H108&lt;=0,"未回本",IF(ROUNDUP(I108/(G108-H108),0)&gt;MIN(F108,J108),"未回本",MAX(1,ROUNDUP(I108/(G108-H108),0))))</x:f>
        <x:v>未回本</x:v>
      </x:c>
    </x:row>
    <x:row r="109" ht="22" customHeight="1">
      <x:c r="A109" s="11" t="str">
        <x:v>lade_0823_10aoi</x:v>
      </x:c>
      <x:c r="B109" s="10" t="n">
        <x:v>10</x:v>
      </x:c>
      <x:c r="C109" s="10" t="n">
        <x:v>44</x:v>
      </x:c>
      <x:c r="D109" s="10" t="str">
        <x:v>M2 / M4</x:v>
      </x:c>
      <x:c r="E109" s="16" t="n">
        <x:v>3</x:v>
      </x:c>
      <x:c r="F109" s="14" t="n">
        <x:v>50</x:v>
      </x:c>
      <x:c r="G109" s="26" t="n">
        <x:f>'成本明细'!U11+'成本明细'!G11*(E109-'参数'!$B$6)</x:f>
        <x:v>1713.3413821266668</x:v>
      </x:c>
      <x:c r="H109" s="26" t="n">
        <x:f>'成本明细'!U17</x:f>
        <x:v>2304.657504041111</x:v>
      </x:c>
      <x:c r="I109" s="26" t="n">
        <x:f>'成本明细'!V17</x:f>
        <x:v>4781.5</x:v>
      </x:c>
      <x:c r="J109" s="22" t="n">
        <x:f>'参数'!$B$9</x:f>
        <x:v>300</x:v>
      </x:c>
      <x:c r="K109" s="26" t="n">
        <x:f>J109*(G109-H109)-I109*ROUNDUP(J109/F109,0)</x:f>
        <x:v>-206083.83657433334</x:v>
      </x:c>
      <x:c r="L109" s="10" t="str">
        <x:f>IF(G109-H109&lt;=0,"未回本",IF(ROUNDUP(I109/(G109-H109),0)&gt;MIN(F109,J109),"未回本",MAX(1,ROUNDUP(I109/(G109-H109),0))))</x:f>
        <x:v>未回本</x:v>
      </x:c>
    </x:row>
    <x:row r="110" ht="22" customHeight="1">
      <x:c r="A110" s="11" t="str">
        <x:v>lade_0823_10aoi</x:v>
      </x:c>
      <x:c r="B110" s="10" t="n">
        <x:v>10</x:v>
      </x:c>
      <x:c r="C110" s="10" t="n">
        <x:v>44</x:v>
      </x:c>
      <x:c r="D110" s="10" t="str">
        <x:v>M1 / M3</x:v>
      </x:c>
      <x:c r="E110" s="16" t="n">
        <x:v>4</x:v>
      </x:c>
      <x:c r="F110" s="14" t="n">
        <x:v>10</x:v>
      </x:c>
      <x:c r="G110" s="26" t="n">
        <x:f>'成本明细'!U8+'成本明细'!G8*(E110-'参数'!$B$6)</x:f>
        <x:v>1844.3413821266668</x:v>
      </x:c>
      <x:c r="H110" s="26" t="n">
        <x:f>'成本明细'!U14</x:f>
        <x:v>2305.6772459783333</x:v>
      </x:c>
      <x:c r="I110" s="26" t="n">
        <x:f>'成本明细'!V14</x:f>
        <x:v>4781.5</x:v>
      </x:c>
      <x:c r="J110" s="22" t="n">
        <x:f>'参数'!$B$9</x:f>
        <x:v>300</x:v>
      </x:c>
      <x:c r="K110" s="26" t="n">
        <x:f>J110*(G110-H110)-I110*ROUNDUP(J110/F110,0)</x:f>
        <x:v>-281845.7591555</x:v>
      </x:c>
      <x:c r="L110" s="10" t="str">
        <x:f>IF(G110-H110&lt;=0,"未回本",IF(ROUNDUP(I110/(G110-H110),0)&gt;MIN(F110,J110),"未回本",MAX(1,ROUNDUP(I110/(G110-H110),0))))</x:f>
        <x:v>未回本</x:v>
      </x:c>
    </x:row>
    <x:row r="111" ht="22" customHeight="1">
      <x:c r="A111" s="11" t="str">
        <x:v>lade_0823_10aoi</x:v>
      </x:c>
      <x:c r="B111" s="10" t="n">
        <x:v>10</x:v>
      </x:c>
      <x:c r="C111" s="10" t="n">
        <x:v>44</x:v>
      </x:c>
      <x:c r="D111" s="10" t="str">
        <x:v>M2 / M4</x:v>
      </x:c>
      <x:c r="E111" s="16" t="n">
        <x:v>4</x:v>
      </x:c>
      <x:c r="F111" s="14" t="n">
        <x:v>10</x:v>
      </x:c>
      <x:c r="G111" s="26" t="n">
        <x:f>'成本明细'!U11+'成本明细'!G11*(E111-'参数'!$B$6)</x:f>
        <x:v>1844.3413821266668</x:v>
      </x:c>
      <x:c r="H111" s="26" t="n">
        <x:f>'成本明细'!U17</x:f>
        <x:v>2304.657504041111</x:v>
      </x:c>
      <x:c r="I111" s="26" t="n">
        <x:f>'成本明细'!V17</x:f>
        <x:v>4781.5</x:v>
      </x:c>
      <x:c r="J111" s="22" t="n">
        <x:f>'参数'!$B$9</x:f>
        <x:v>300</x:v>
      </x:c>
      <x:c r="K111" s="26" t="n">
        <x:f>J111*(G111-H111)-I111*ROUNDUP(J111/F111,0)</x:f>
        <x:v>-281539.83657433337</x:v>
      </x:c>
      <x:c r="L111" s="10" t="str">
        <x:f>IF(G111-H111&lt;=0,"未回本",IF(ROUNDUP(I111/(G111-H111),0)&gt;MIN(F111,J111),"未回本",MAX(1,ROUNDUP(I111/(G111-H111),0))))</x:f>
        <x:v>未回本</x:v>
      </x:c>
    </x:row>
    <x:row r="112" ht="22" customHeight="1">
      <x:c r="A112" s="11" t="str">
        <x:v>lade_0823_10aoi</x:v>
      </x:c>
      <x:c r="B112" s="10" t="n">
        <x:v>10</x:v>
      </x:c>
      <x:c r="C112" s="10" t="n">
        <x:v>44</x:v>
      </x:c>
      <x:c r="D112" s="10" t="str">
        <x:v>M1 / M3</x:v>
      </x:c>
      <x:c r="E112" s="16" t="n">
        <x:v>4</x:v>
      </x:c>
      <x:c r="F112" s="14" t="n">
        <x:v>20</x:v>
      </x:c>
      <x:c r="G112" s="26" t="n">
        <x:f>'成本明细'!U8+'成本明细'!G8*(E112-'参数'!$B$6)</x:f>
        <x:v>1844.3413821266668</x:v>
      </x:c>
      <x:c r="H112" s="26" t="n">
        <x:f>'成本明细'!U14</x:f>
        <x:v>2305.6772459783333</x:v>
      </x:c>
      <x:c r="I112" s="26" t="n">
        <x:f>'成本明细'!V14</x:f>
        <x:v>4781.5</x:v>
      </x:c>
      <x:c r="J112" s="22" t="n">
        <x:f>'参数'!$B$9</x:f>
        <x:v>300</x:v>
      </x:c>
      <x:c r="K112" s="26" t="n">
        <x:f>J112*(G112-H112)-I112*ROUNDUP(J112/F112,0)</x:f>
        <x:v>-210123.25915549995</x:v>
      </x:c>
      <x:c r="L112" s="10" t="str">
        <x:f>IF(G112-H112&lt;=0,"未回本",IF(ROUNDUP(I112/(G112-H112),0)&gt;MIN(F112,J112),"未回本",MAX(1,ROUNDUP(I112/(G112-H112),0))))</x:f>
        <x:v>未回本</x:v>
      </x:c>
    </x:row>
    <x:row r="113" ht="22" customHeight="1">
      <x:c r="A113" s="11" t="str">
        <x:v>lade_0823_10aoi</x:v>
      </x:c>
      <x:c r="B113" s="10" t="n">
        <x:v>10</x:v>
      </x:c>
      <x:c r="C113" s="10" t="n">
        <x:v>44</x:v>
      </x:c>
      <x:c r="D113" s="10" t="str">
        <x:v>M2 / M4</x:v>
      </x:c>
      <x:c r="E113" s="16" t="n">
        <x:v>4</x:v>
      </x:c>
      <x:c r="F113" s="14" t="n">
        <x:v>20</x:v>
      </x:c>
      <x:c r="G113" s="26" t="n">
        <x:f>'成本明细'!U11+'成本明细'!G11*(E113-'参数'!$B$6)</x:f>
        <x:v>1844.3413821266668</x:v>
      </x:c>
      <x:c r="H113" s="26" t="n">
        <x:f>'成本明细'!U17</x:f>
        <x:v>2304.657504041111</x:v>
      </x:c>
      <x:c r="I113" s="26" t="n">
        <x:f>'成本明细'!V17</x:f>
        <x:v>4781.5</x:v>
      </x:c>
      <x:c r="J113" s="22" t="n">
        <x:f>'参数'!$B$9</x:f>
        <x:v>300</x:v>
      </x:c>
      <x:c r="K113" s="26" t="n">
        <x:f>J113*(G113-H113)-I113*ROUNDUP(J113/F113,0)</x:f>
        <x:v>-209817.33657433334</x:v>
      </x:c>
      <x:c r="L113" s="10" t="str">
        <x:f>IF(G113-H113&lt;=0,"未回本",IF(ROUNDUP(I113/(G113-H113),0)&gt;MIN(F113,J113),"未回本",MAX(1,ROUNDUP(I113/(G113-H113),0))))</x:f>
        <x:v>未回本</x:v>
      </x:c>
    </x:row>
    <x:row r="114" ht="22" customHeight="1">
      <x:c r="A114" s="11" t="str">
        <x:v>lade_0823_10aoi</x:v>
      </x:c>
      <x:c r="B114" s="10" t="n">
        <x:v>10</x:v>
      </x:c>
      <x:c r="C114" s="10" t="n">
        <x:v>44</x:v>
      </x:c>
      <x:c r="D114" s="10" t="str">
        <x:v>M1 / M3</x:v>
      </x:c>
      <x:c r="E114" s="16" t="n">
        <x:v>4</x:v>
      </x:c>
      <x:c r="F114" s="14" t="n">
        <x:v>30</x:v>
      </x:c>
      <x:c r="G114" s="26" t="n">
        <x:f>'成本明细'!U8+'成本明细'!G8*(E114-'参数'!$B$6)</x:f>
        <x:v>1844.3413821266668</x:v>
      </x:c>
      <x:c r="H114" s="26" t="n">
        <x:f>'成本明细'!U14</x:f>
        <x:v>2305.6772459783333</x:v>
      </x:c>
      <x:c r="I114" s="26" t="n">
        <x:f>'成本明细'!V14</x:f>
        <x:v>4781.5</x:v>
      </x:c>
      <x:c r="J114" s="22" t="n">
        <x:f>'参数'!$B$9</x:f>
        <x:v>300</x:v>
      </x:c>
      <x:c r="K114" s="26" t="n">
        <x:f>J114*(G114-H114)-I114*ROUNDUP(J114/F114,0)</x:f>
        <x:v>-186215.75915549995</x:v>
      </x:c>
      <x:c r="L114" s="10" t="str">
        <x:f>IF(G114-H114&lt;=0,"未回本",IF(ROUNDUP(I114/(G114-H114),0)&gt;MIN(F114,J114),"未回本",MAX(1,ROUNDUP(I114/(G114-H114),0))))</x:f>
        <x:v>未回本</x:v>
      </x:c>
    </x:row>
    <x:row r="115" ht="22" customHeight="1">
      <x:c r="A115" s="11" t="str">
        <x:v>lade_0823_10aoi</x:v>
      </x:c>
      <x:c r="B115" s="10" t="n">
        <x:v>10</x:v>
      </x:c>
      <x:c r="C115" s="10" t="n">
        <x:v>44</x:v>
      </x:c>
      <x:c r="D115" s="10" t="str">
        <x:v>M2 / M4</x:v>
      </x:c>
      <x:c r="E115" s="16" t="n">
        <x:v>4</x:v>
      </x:c>
      <x:c r="F115" s="14" t="n">
        <x:v>30</x:v>
      </x:c>
      <x:c r="G115" s="26" t="n">
        <x:f>'成本明细'!U11+'成本明细'!G11*(E115-'参数'!$B$6)</x:f>
        <x:v>1844.3413821266668</x:v>
      </x:c>
      <x:c r="H115" s="26" t="n">
        <x:f>'成本明细'!U17</x:f>
        <x:v>2304.657504041111</x:v>
      </x:c>
      <x:c r="I115" s="26" t="n">
        <x:f>'成本明细'!V17</x:f>
        <x:v>4781.5</x:v>
      </x:c>
      <x:c r="J115" s="22" t="n">
        <x:f>'参数'!$B$9</x:f>
        <x:v>300</x:v>
      </x:c>
      <x:c r="K115" s="26" t="n">
        <x:f>J115*(G115-H115)-I115*ROUNDUP(J115/F115,0)</x:f>
        <x:v>-185909.83657433334</x:v>
      </x:c>
      <x:c r="L115" s="10" t="str">
        <x:f>IF(G115-H115&lt;=0,"未回本",IF(ROUNDUP(I115/(G115-H115),0)&gt;MIN(F115,J115),"未回本",MAX(1,ROUNDUP(I115/(G115-H115),0))))</x:f>
        <x:v>未回本</x:v>
      </x:c>
    </x:row>
    <x:row r="116" ht="22" customHeight="1">
      <x:c r="A116" s="11" t="str">
        <x:v>lade_0823_10aoi</x:v>
      </x:c>
      <x:c r="B116" s="10" t="n">
        <x:v>10</x:v>
      </x:c>
      <x:c r="C116" s="10" t="n">
        <x:v>44</x:v>
      </x:c>
      <x:c r="D116" s="10" t="str">
        <x:v>M1 / M3</x:v>
      </x:c>
      <x:c r="E116" s="16" t="n">
        <x:v>4</x:v>
      </x:c>
      <x:c r="F116" s="14" t="n">
        <x:v>50</x:v>
      </x:c>
      <x:c r="G116" s="26" t="n">
        <x:f>'成本明细'!U8+'成本明细'!G8*(E116-'参数'!$B$6)</x:f>
        <x:v>1844.3413821266668</x:v>
      </x:c>
      <x:c r="H116" s="26" t="n">
        <x:f>'成本明细'!U14</x:f>
        <x:v>2305.6772459783333</x:v>
      </x:c>
      <x:c r="I116" s="26" t="n">
        <x:f>'成本明细'!V14</x:f>
        <x:v>4781.5</x:v>
      </x:c>
      <x:c r="J116" s="22" t="n">
        <x:f>'参数'!$B$9</x:f>
        <x:v>300</x:v>
      </x:c>
      <x:c r="K116" s="26" t="n">
        <x:f>J116*(G116-H116)-I116*ROUNDUP(J116/F116,0)</x:f>
        <x:v>-167089.75915549995</x:v>
      </x:c>
      <x:c r="L116" s="10" t="str">
        <x:f>IF(G116-H116&lt;=0,"未回本",IF(ROUNDUP(I116/(G116-H116),0)&gt;MIN(F116,J116),"未回本",MAX(1,ROUNDUP(I116/(G116-H116),0))))</x:f>
        <x:v>未回本</x:v>
      </x:c>
    </x:row>
    <x:row r="117" ht="22" customHeight="1">
      <x:c r="A117" s="11" t="str">
        <x:v>lade_0823_10aoi</x:v>
      </x:c>
      <x:c r="B117" s="10" t="n">
        <x:v>10</x:v>
      </x:c>
      <x:c r="C117" s="10" t="n">
        <x:v>44</x:v>
      </x:c>
      <x:c r="D117" s="10" t="str">
        <x:v>M2 / M4</x:v>
      </x:c>
      <x:c r="E117" s="16" t="n">
        <x:v>4</x:v>
      </x:c>
      <x:c r="F117" s="14" t="n">
        <x:v>50</x:v>
      </x:c>
      <x:c r="G117" s="26" t="n">
        <x:f>'成本明细'!U11+'成本明细'!G11*(E117-'参数'!$B$6)</x:f>
        <x:v>1844.3413821266668</x:v>
      </x:c>
      <x:c r="H117" s="26" t="n">
        <x:f>'成本明细'!U17</x:f>
        <x:v>2304.657504041111</x:v>
      </x:c>
      <x:c r="I117" s="26" t="n">
        <x:f>'成本明细'!V17</x:f>
        <x:v>4781.5</x:v>
      </x:c>
      <x:c r="J117" s="22" t="n">
        <x:f>'参数'!$B$9</x:f>
        <x:v>300</x:v>
      </x:c>
      <x:c r="K117" s="26" t="n">
        <x:f>J117*(G117-H117)-I117*ROUNDUP(J117/F117,0)</x:f>
        <x:v>-166783.83657433334</x:v>
      </x:c>
      <x:c r="L117" s="10" t="str">
        <x:f>IF(G117-H117&lt;=0,"未回本",IF(ROUNDUP(I117/(G117-H117),0)&gt;MIN(F117,J117),"未回本",MAX(1,ROUNDUP(I117/(G117-H117),0))))</x:f>
        <x:v>未回本</x:v>
      </x:c>
    </x:row>
    <x:row r="118" ht="22" customHeight="1">
      <x:c r="A118" s="11" t="str">
        <x:v>lade_0823_10aoi</x:v>
      </x:c>
      <x:c r="B118" s="10" t="n">
        <x:v>10</x:v>
      </x:c>
      <x:c r="C118" s="10" t="n">
        <x:v>44</x:v>
      </x:c>
      <x:c r="D118" s="10" t="str">
        <x:v>M1 / M3</x:v>
      </x:c>
      <x:c r="E118" s="16" t="n">
        <x:v>5</x:v>
      </x:c>
      <x:c r="F118" s="14" t="n">
        <x:v>10</x:v>
      </x:c>
      <x:c r="G118" s="26" t="n">
        <x:f>'成本明细'!U8+'成本明细'!G8*(E118-'参数'!$B$6)</x:f>
        <x:v>1975.3413821266668</x:v>
      </x:c>
      <x:c r="H118" s="26" t="n">
        <x:f>'成本明细'!U14</x:f>
        <x:v>2305.6772459783333</x:v>
      </x:c>
      <x:c r="I118" s="26" t="n">
        <x:f>'成本明细'!V14</x:f>
        <x:v>4781.5</x:v>
      </x:c>
      <x:c r="J118" s="22" t="n">
        <x:f>'参数'!$B$9</x:f>
        <x:v>300</x:v>
      </x:c>
      <x:c r="K118" s="26" t="n">
        <x:f>J118*(G118-H118)-I118*ROUNDUP(J118/F118,0)</x:f>
        <x:v>-242545.75915549998</x:v>
      </x:c>
      <x:c r="L118" s="10" t="str">
        <x:f>IF(G118-H118&lt;=0,"未回本",IF(ROUNDUP(I118/(G118-H118),0)&gt;MIN(F118,J118),"未回本",MAX(1,ROUNDUP(I118/(G118-H118),0))))</x:f>
        <x:v>未回本</x:v>
      </x:c>
    </x:row>
    <x:row r="119" ht="22" customHeight="1">
      <x:c r="A119" s="11" t="str">
        <x:v>lade_0823_10aoi</x:v>
      </x:c>
      <x:c r="B119" s="10" t="n">
        <x:v>10</x:v>
      </x:c>
      <x:c r="C119" s="10" t="n">
        <x:v>44</x:v>
      </x:c>
      <x:c r="D119" s="10" t="str">
        <x:v>M2 / M4</x:v>
      </x:c>
      <x:c r="E119" s="16" t="n">
        <x:v>5</x:v>
      </x:c>
      <x:c r="F119" s="14" t="n">
        <x:v>10</x:v>
      </x:c>
      <x:c r="G119" s="26" t="n">
        <x:f>'成本明细'!U11+'成本明细'!G11*(E119-'参数'!$B$6)</x:f>
        <x:v>1975.3413821266668</x:v>
      </x:c>
      <x:c r="H119" s="26" t="n">
        <x:f>'成本明细'!U17</x:f>
        <x:v>2304.657504041111</x:v>
      </x:c>
      <x:c r="I119" s="26" t="n">
        <x:f>'成本明细'!V17</x:f>
        <x:v>4781.5</x:v>
      </x:c>
      <x:c r="J119" s="22" t="n">
        <x:f>'参数'!$B$9</x:f>
        <x:v>300</x:v>
      </x:c>
      <x:c r="K119" s="26" t="n">
        <x:f>J119*(G119-H119)-I119*ROUNDUP(J119/F119,0)</x:f>
        <x:v>-242239.83657433334</x:v>
      </x:c>
      <x:c r="L119" s="10" t="str">
        <x:f>IF(G119-H119&lt;=0,"未回本",IF(ROUNDUP(I119/(G119-H119),0)&gt;MIN(F119,J119),"未回本",MAX(1,ROUNDUP(I119/(G119-H119),0))))</x:f>
        <x:v>未回本</x:v>
      </x:c>
    </x:row>
    <x:row r="120" ht="22" customHeight="1">
      <x:c r="A120" s="11" t="str">
        <x:v>lade_0823_10aoi</x:v>
      </x:c>
      <x:c r="B120" s="10" t="n">
        <x:v>10</x:v>
      </x:c>
      <x:c r="C120" s="10" t="n">
        <x:v>44</x:v>
      </x:c>
      <x:c r="D120" s="10" t="str">
        <x:v>M1 / M3</x:v>
      </x:c>
      <x:c r="E120" s="16" t="n">
        <x:v>5</x:v>
      </x:c>
      <x:c r="F120" s="14" t="n">
        <x:v>20</x:v>
      </x:c>
      <x:c r="G120" s="26" t="n">
        <x:f>'成本明细'!U8+'成本明细'!G8*(E120-'参数'!$B$6)</x:f>
        <x:v>1975.3413821266668</x:v>
      </x:c>
      <x:c r="H120" s="26" t="n">
        <x:f>'成本明细'!U14</x:f>
        <x:v>2305.6772459783333</x:v>
      </x:c>
      <x:c r="I120" s="26" t="n">
        <x:f>'成本明细'!V14</x:f>
        <x:v>4781.5</x:v>
      </x:c>
      <x:c r="J120" s="22" t="n">
        <x:f>'参数'!$B$9</x:f>
        <x:v>300</x:v>
      </x:c>
      <x:c r="K120" s="26" t="n">
        <x:f>J120*(G120-H120)-I120*ROUNDUP(J120/F120,0)</x:f>
        <x:v>-170823.25915549998</x:v>
      </x:c>
      <x:c r="L120" s="10" t="str">
        <x:f>IF(G120-H120&lt;=0,"未回本",IF(ROUNDUP(I120/(G120-H120),0)&gt;MIN(F120,J120),"未回本",MAX(1,ROUNDUP(I120/(G120-H120),0))))</x:f>
        <x:v>未回本</x:v>
      </x:c>
    </x:row>
    <x:row r="121" ht="22" customHeight="1">
      <x:c r="A121" s="11" t="str">
        <x:v>lade_0823_10aoi</x:v>
      </x:c>
      <x:c r="B121" s="10" t="n">
        <x:v>10</x:v>
      </x:c>
      <x:c r="C121" s="10" t="n">
        <x:v>44</x:v>
      </x:c>
      <x:c r="D121" s="10" t="str">
        <x:v>M2 / M4</x:v>
      </x:c>
      <x:c r="E121" s="16" t="n">
        <x:v>5</x:v>
      </x:c>
      <x:c r="F121" s="14" t="n">
        <x:v>20</x:v>
      </x:c>
      <x:c r="G121" s="26" t="n">
        <x:f>'成本明细'!U11+'成本明细'!G11*(E121-'参数'!$B$6)</x:f>
        <x:v>1975.3413821266668</x:v>
      </x:c>
      <x:c r="H121" s="26" t="n">
        <x:f>'成本明细'!U17</x:f>
        <x:v>2304.657504041111</x:v>
      </x:c>
      <x:c r="I121" s="26" t="n">
        <x:f>'成本明细'!V17</x:f>
        <x:v>4781.5</x:v>
      </x:c>
      <x:c r="J121" s="22" t="n">
        <x:f>'参数'!$B$9</x:f>
        <x:v>300</x:v>
      </x:c>
      <x:c r="K121" s="26" t="n">
        <x:f>J121*(G121-H121)-I121*ROUNDUP(J121/F121,0)</x:f>
        <x:v>-170517.33657433334</x:v>
      </x:c>
      <x:c r="L121" s="10" t="str">
        <x:f>IF(G121-H121&lt;=0,"未回本",IF(ROUNDUP(I121/(G121-H121),0)&gt;MIN(F121,J121),"未回本",MAX(1,ROUNDUP(I121/(G121-H121),0))))</x:f>
        <x:v>未回本</x:v>
      </x:c>
    </x:row>
    <x:row r="122" ht="22" customHeight="1">
      <x:c r="A122" s="11" t="str">
        <x:v>lade_0823_10aoi</x:v>
      </x:c>
      <x:c r="B122" s="10" t="n">
        <x:v>10</x:v>
      </x:c>
      <x:c r="C122" s="10" t="n">
        <x:v>44</x:v>
      </x:c>
      <x:c r="D122" s="10" t="str">
        <x:v>M1 / M3</x:v>
      </x:c>
      <x:c r="E122" s="16" t="n">
        <x:v>5</x:v>
      </x:c>
      <x:c r="F122" s="14" t="n">
        <x:v>30</x:v>
      </x:c>
      <x:c r="G122" s="26" t="n">
        <x:f>'成本明细'!U8+'成本明细'!G8*(E122-'参数'!$B$6)</x:f>
        <x:v>1975.3413821266668</x:v>
      </x:c>
      <x:c r="H122" s="26" t="n">
        <x:f>'成本明细'!U14</x:f>
        <x:v>2305.6772459783333</x:v>
      </x:c>
      <x:c r="I122" s="26" t="n">
        <x:f>'成本明细'!V14</x:f>
        <x:v>4781.5</x:v>
      </x:c>
      <x:c r="J122" s="22" t="n">
        <x:f>'参数'!$B$9</x:f>
        <x:v>300</x:v>
      </x:c>
      <x:c r="K122" s="26" t="n">
        <x:f>J122*(G122-H122)-I122*ROUNDUP(J122/F122,0)</x:f>
        <x:v>-146915.75915549998</x:v>
      </x:c>
      <x:c r="L122" s="10" t="str">
        <x:f>IF(G122-H122&lt;=0,"未回本",IF(ROUNDUP(I122/(G122-H122),0)&gt;MIN(F122,J122),"未回本",MAX(1,ROUNDUP(I122/(G122-H122),0))))</x:f>
        <x:v>未回本</x:v>
      </x:c>
    </x:row>
    <x:row r="123" ht="22" customHeight="1">
      <x:c r="A123" s="11" t="str">
        <x:v>lade_0823_10aoi</x:v>
      </x:c>
      <x:c r="B123" s="10" t="n">
        <x:v>10</x:v>
      </x:c>
      <x:c r="C123" s="10" t="n">
        <x:v>44</x:v>
      </x:c>
      <x:c r="D123" s="10" t="str">
        <x:v>M2 / M4</x:v>
      </x:c>
      <x:c r="E123" s="16" t="n">
        <x:v>5</x:v>
      </x:c>
      <x:c r="F123" s="14" t="n">
        <x:v>30</x:v>
      </x:c>
      <x:c r="G123" s="26" t="n">
        <x:f>'成本明细'!U11+'成本明细'!G11*(E123-'参数'!$B$6)</x:f>
        <x:v>1975.3413821266668</x:v>
      </x:c>
      <x:c r="H123" s="26" t="n">
        <x:f>'成本明细'!U17</x:f>
        <x:v>2304.657504041111</x:v>
      </x:c>
      <x:c r="I123" s="26" t="n">
        <x:f>'成本明细'!V17</x:f>
        <x:v>4781.5</x:v>
      </x:c>
      <x:c r="J123" s="22" t="n">
        <x:f>'参数'!$B$9</x:f>
        <x:v>300</x:v>
      </x:c>
      <x:c r="K123" s="26" t="n">
        <x:f>J123*(G123-H123)-I123*ROUNDUP(J123/F123,0)</x:f>
        <x:v>-146609.83657433334</x:v>
      </x:c>
      <x:c r="L123" s="10" t="str">
        <x:f>IF(G123-H123&lt;=0,"未回本",IF(ROUNDUP(I123/(G123-H123),0)&gt;MIN(F123,J123),"未回本",MAX(1,ROUNDUP(I123/(G123-H123),0))))</x:f>
        <x:v>未回本</x:v>
      </x:c>
    </x:row>
    <x:row r="124" ht="22" customHeight="1">
      <x:c r="A124" s="11" t="str">
        <x:v>lade_0823_10aoi</x:v>
      </x:c>
      <x:c r="B124" s="10" t="n">
        <x:v>10</x:v>
      </x:c>
      <x:c r="C124" s="10" t="n">
        <x:v>44</x:v>
      </x:c>
      <x:c r="D124" s="10" t="str">
        <x:v>M1 / M3</x:v>
      </x:c>
      <x:c r="E124" s="16" t="n">
        <x:v>5</x:v>
      </x:c>
      <x:c r="F124" s="14" t="n">
        <x:v>50</x:v>
      </x:c>
      <x:c r="G124" s="26" t="n">
        <x:f>'成本明细'!U8+'成本明细'!G8*(E124-'参数'!$B$6)</x:f>
        <x:v>1975.3413821266668</x:v>
      </x:c>
      <x:c r="H124" s="26" t="n">
        <x:f>'成本明细'!U14</x:f>
        <x:v>2305.6772459783333</x:v>
      </x:c>
      <x:c r="I124" s="26" t="n">
        <x:f>'成本明细'!V14</x:f>
        <x:v>4781.5</x:v>
      </x:c>
      <x:c r="J124" s="22" t="n">
        <x:f>'参数'!$B$9</x:f>
        <x:v>300</x:v>
      </x:c>
      <x:c r="K124" s="26" t="n">
        <x:f>J124*(G124-H124)-I124*ROUNDUP(J124/F124,0)</x:f>
        <x:v>-127789.75915549997</x:v>
      </x:c>
      <x:c r="L124" s="10" t="str">
        <x:f>IF(G124-H124&lt;=0,"未回本",IF(ROUNDUP(I124/(G124-H124),0)&gt;MIN(F124,J124),"未回本",MAX(1,ROUNDUP(I124/(G124-H124),0))))</x:f>
        <x:v>未回本</x:v>
      </x:c>
    </x:row>
    <x:row r="125" ht="22" customHeight="1">
      <x:c r="A125" s="11" t="str">
        <x:v>lade_0823_10aoi</x:v>
      </x:c>
      <x:c r="B125" s="10" t="n">
        <x:v>10</x:v>
      </x:c>
      <x:c r="C125" s="10" t="n">
        <x:v>44</x:v>
      </x:c>
      <x:c r="D125" s="10" t="str">
        <x:v>M2 / M4</x:v>
      </x:c>
      <x:c r="E125" s="16" t="n">
        <x:v>5</x:v>
      </x:c>
      <x:c r="F125" s="14" t="n">
        <x:v>50</x:v>
      </x:c>
      <x:c r="G125" s="26" t="n">
        <x:f>'成本明细'!U11+'成本明细'!G11*(E125-'参数'!$B$6)</x:f>
        <x:v>1975.3413821266668</x:v>
      </x:c>
      <x:c r="H125" s="26" t="n">
        <x:f>'成本明细'!U17</x:f>
        <x:v>2304.657504041111</x:v>
      </x:c>
      <x:c r="I125" s="26" t="n">
        <x:f>'成本明细'!V17</x:f>
        <x:v>4781.5</x:v>
      </x:c>
      <x:c r="J125" s="22" t="n">
        <x:f>'参数'!$B$9</x:f>
        <x:v>300</x:v>
      </x:c>
      <x:c r="K125" s="26" t="n">
        <x:f>J125*(G125-H125)-I125*ROUNDUP(J125/F125,0)</x:f>
        <x:v>-127483.83657433334</x:v>
      </x:c>
      <x:c r="L125" s="10" t="str">
        <x:f>IF(G125-H125&lt;=0,"未回本",IF(ROUNDUP(I125/(G125-H125),0)&gt;MIN(F125,J125),"未回本",MAX(1,ROUNDUP(I125/(G125-H125),0))))</x:f>
        <x:v>未回本</x:v>
      </x:c>
    </x:row>
    <x:row r="126" ht="22" customHeight="1">
      <x:c r="A126" s="11" t="str">
        <x:v>lade_0823_20aoi</x:v>
      </x:c>
      <x:c r="B126" s="10" t="n">
        <x:v>20</x:v>
      </x:c>
      <x:c r="C126" s="10" t="n">
        <x:v>42</x:v>
      </x:c>
      <x:c r="D126" s="10" t="str">
        <x:v>M1 / M3</x:v>
      </x:c>
      <x:c r="E126" s="16" t="n">
        <x:v>1</x:v>
      </x:c>
      <x:c r="F126" s="14" t="n">
        <x:v>10</x:v>
      </x:c>
      <x:c r="G126" s="26" t="n">
        <x:f>'成本明细'!U24+'成本明细'!G24*(E126-'参数'!$B$6)</x:f>
        <x:v>2630.2171199111117</x:v>
      </x:c>
      <x:c r="H126" s="26" t="n">
        <x:f>'成本明细'!U30</x:f>
        <x:v>3826.729582826667</x:v>
      </x:c>
      <x:c r="I126" s="26" t="n">
        <x:f>'成本明细'!V30</x:f>
        <x:v>7336.5</x:v>
      </x:c>
      <x:c r="J126" s="22" t="n">
        <x:f>'参数'!$B$9</x:f>
        <x:v>300</x:v>
      </x:c>
      <x:c r="K126" s="26" t="n">
        <x:f>J126*(G126-H126)-I126*ROUNDUP(J126/F126,0)</x:f>
        <x:v>-579048.7388746666</x:v>
      </x:c>
      <x:c r="L126" s="10" t="str">
        <x:f>IF(G126-H126&lt;=0,"未回本",IF(ROUNDUP(I126/(G126-H126),0)&gt;MIN(F126,J126),"未回本",MAX(1,ROUNDUP(I126/(G126-H126),0))))</x:f>
        <x:v>未回本</x:v>
      </x:c>
    </x:row>
    <x:row r="127" ht="22" customHeight="1">
      <x:c r="A127" s="11" t="str">
        <x:v>lade_0823_20aoi</x:v>
      </x:c>
      <x:c r="B127" s="10" t="n">
        <x:v>20</x:v>
      </x:c>
      <x:c r="C127" s="10" t="n">
        <x:v>42</x:v>
      </x:c>
      <x:c r="D127" s="10" t="str">
        <x:v>M2 / M4</x:v>
      </x:c>
      <x:c r="E127" s="16" t="n">
        <x:v>1</x:v>
      </x:c>
      <x:c r="F127" s="14" t="n">
        <x:v>10</x:v>
      </x:c>
      <x:c r="G127" s="26" t="n">
        <x:f>'成本明细'!U27+'成本明细'!G27*(E127-'参数'!$B$6)</x:f>
        <x:v>2198.463022416111</x:v>
      </x:c>
      <x:c r="H127" s="26" t="n">
        <x:f>'成本明细'!U33</x:f>
        <x:v>3787.5261378683335</x:v>
      </x:c>
      <x:c r="I127" s="26" t="n">
        <x:f>'成本明细'!V33</x:f>
        <x:v>7336.5</x:v>
      </x:c>
      <x:c r="J127" s="22" t="n">
        <x:f>'参数'!$B$9</x:f>
        <x:v>300</x:v>
      </x:c>
      <x:c r="K127" s="26" t="n">
        <x:f>J127*(G127-H127)-I127*ROUNDUP(J127/F127,0)</x:f>
        <x:v>-696813.9346356668</x:v>
      </x:c>
      <x:c r="L127" s="10" t="str">
        <x:f>IF(G127-H127&lt;=0,"未回本",IF(ROUNDUP(I127/(G127-H127),0)&gt;MIN(F127,J127),"未回本",MAX(1,ROUNDUP(I127/(G127-H127),0))))</x:f>
        <x:v>未回本</x:v>
      </x:c>
    </x:row>
    <x:row r="128" ht="22" customHeight="1">
      <x:c r="A128" s="11" t="str">
        <x:v>lade_0823_20aoi</x:v>
      </x:c>
      <x:c r="B128" s="10" t="n">
        <x:v>20</x:v>
      </x:c>
      <x:c r="C128" s="10" t="n">
        <x:v>42</x:v>
      </x:c>
      <x:c r="D128" s="10" t="str">
        <x:v>M1 / M3</x:v>
      </x:c>
      <x:c r="E128" s="16" t="n">
        <x:v>1</x:v>
      </x:c>
      <x:c r="F128" s="14" t="n">
        <x:v>20</x:v>
      </x:c>
      <x:c r="G128" s="26" t="n">
        <x:f>'成本明细'!U24+'成本明细'!G24*(E128-'参数'!$B$6)</x:f>
        <x:v>2630.2171199111117</x:v>
      </x:c>
      <x:c r="H128" s="26" t="n">
        <x:f>'成本明细'!U30</x:f>
        <x:v>3826.729582826667</x:v>
      </x:c>
      <x:c r="I128" s="26" t="n">
        <x:f>'成本明细'!V30</x:f>
        <x:v>7336.5</x:v>
      </x:c>
      <x:c r="J128" s="22" t="n">
        <x:f>'参数'!$B$9</x:f>
        <x:v>300</x:v>
      </x:c>
      <x:c r="K128" s="26" t="n">
        <x:f>J128*(G128-H128)-I128*ROUNDUP(J128/F128,0)</x:f>
        <x:v>-469001.23887466657</x:v>
      </x:c>
      <x:c r="L128" s="10" t="str">
        <x:f>IF(G128-H128&lt;=0,"未回本",IF(ROUNDUP(I128/(G128-H128),0)&gt;MIN(F128,J128),"未回本",MAX(1,ROUNDUP(I128/(G128-H128),0))))</x:f>
        <x:v>未回本</x:v>
      </x:c>
    </x:row>
    <x:row r="129" ht="22" customHeight="1">
      <x:c r="A129" s="11" t="str">
        <x:v>lade_0823_20aoi</x:v>
      </x:c>
      <x:c r="B129" s="10" t="n">
        <x:v>20</x:v>
      </x:c>
      <x:c r="C129" s="10" t="n">
        <x:v>42</x:v>
      </x:c>
      <x:c r="D129" s="10" t="str">
        <x:v>M2 / M4</x:v>
      </x:c>
      <x:c r="E129" s="16" t="n">
        <x:v>1</x:v>
      </x:c>
      <x:c r="F129" s="14" t="n">
        <x:v>20</x:v>
      </x:c>
      <x:c r="G129" s="26" t="n">
        <x:f>'成本明细'!U27+'成本明细'!G27*(E129-'参数'!$B$6)</x:f>
        <x:v>2198.463022416111</x:v>
      </x:c>
      <x:c r="H129" s="26" t="n">
        <x:f>'成本明细'!U33</x:f>
        <x:v>3787.5261378683335</x:v>
      </x:c>
      <x:c r="I129" s="26" t="n">
        <x:f>'成本明细'!V33</x:f>
        <x:v>7336.5</x:v>
      </x:c>
      <x:c r="J129" s="22" t="n">
        <x:f>'参数'!$B$9</x:f>
        <x:v>300</x:v>
      </x:c>
      <x:c r="K129" s="26" t="n">
        <x:f>J129*(G129-H129)-I129*ROUNDUP(J129/F129,0)</x:f>
        <x:v>-586766.4346356668</x:v>
      </x:c>
      <x:c r="L129" s="10" t="str">
        <x:f>IF(G129-H129&lt;=0,"未回本",IF(ROUNDUP(I129/(G129-H129),0)&gt;MIN(F129,J129),"未回本",MAX(1,ROUNDUP(I129/(G129-H129),0))))</x:f>
        <x:v>未回本</x:v>
      </x:c>
    </x:row>
    <x:row r="130" ht="22" customHeight="1">
      <x:c r="A130" s="11" t="str">
        <x:v>lade_0823_20aoi</x:v>
      </x:c>
      <x:c r="B130" s="10" t="n">
        <x:v>20</x:v>
      </x:c>
      <x:c r="C130" s="10" t="n">
        <x:v>42</x:v>
      </x:c>
      <x:c r="D130" s="10" t="str">
        <x:v>M1 / M3</x:v>
      </x:c>
      <x:c r="E130" s="16" t="n">
        <x:v>1</x:v>
      </x:c>
      <x:c r="F130" s="14" t="n">
        <x:v>30</x:v>
      </x:c>
      <x:c r="G130" s="26" t="n">
        <x:f>'成本明细'!U24+'成本明细'!G24*(E130-'参数'!$B$6)</x:f>
        <x:v>2630.2171199111117</x:v>
      </x:c>
      <x:c r="H130" s="26" t="n">
        <x:f>'成本明细'!U30</x:f>
        <x:v>3826.729582826667</x:v>
      </x:c>
      <x:c r="I130" s="26" t="n">
        <x:f>'成本明细'!V30</x:f>
        <x:v>7336.5</x:v>
      </x:c>
      <x:c r="J130" s="22" t="n">
        <x:f>'参数'!$B$9</x:f>
        <x:v>300</x:v>
      </x:c>
      <x:c r="K130" s="26" t="n">
        <x:f>J130*(G130-H130)-I130*ROUNDUP(J130/F130,0)</x:f>
        <x:v>-432318.73887466657</x:v>
      </x:c>
      <x:c r="L130" s="10" t="str">
        <x:f>IF(G130-H130&lt;=0,"未回本",IF(ROUNDUP(I130/(G130-H130),0)&gt;MIN(F130,J130),"未回本",MAX(1,ROUNDUP(I130/(G130-H130),0))))</x:f>
        <x:v>未回本</x:v>
      </x:c>
    </x:row>
    <x:row r="131" ht="22" customHeight="1">
      <x:c r="A131" s="11" t="str">
        <x:v>lade_0823_20aoi</x:v>
      </x:c>
      <x:c r="B131" s="10" t="n">
        <x:v>20</x:v>
      </x:c>
      <x:c r="C131" s="10" t="n">
        <x:v>42</x:v>
      </x:c>
      <x:c r="D131" s="10" t="str">
        <x:v>M2 / M4</x:v>
      </x:c>
      <x:c r="E131" s="16" t="n">
        <x:v>1</x:v>
      </x:c>
      <x:c r="F131" s="14" t="n">
        <x:v>30</x:v>
      </x:c>
      <x:c r="G131" s="26" t="n">
        <x:f>'成本明细'!U27+'成本明细'!G27*(E131-'参数'!$B$6)</x:f>
        <x:v>2198.463022416111</x:v>
      </x:c>
      <x:c r="H131" s="26" t="n">
        <x:f>'成本明细'!U33</x:f>
        <x:v>3787.5261378683335</x:v>
      </x:c>
      <x:c r="I131" s="26" t="n">
        <x:f>'成本明细'!V33</x:f>
        <x:v>7336.5</x:v>
      </x:c>
      <x:c r="J131" s="22" t="n">
        <x:f>'参数'!$B$9</x:f>
        <x:v>300</x:v>
      </x:c>
      <x:c r="K131" s="26" t="n">
        <x:f>J131*(G131-H131)-I131*ROUNDUP(J131/F131,0)</x:f>
        <x:v>-550083.9346356668</x:v>
      </x:c>
      <x:c r="L131" s="10" t="str">
        <x:f>IF(G131-H131&lt;=0,"未回本",IF(ROUNDUP(I131/(G131-H131),0)&gt;MIN(F131,J131),"未回本",MAX(1,ROUNDUP(I131/(G131-H131),0))))</x:f>
        <x:v>未回本</x:v>
      </x:c>
    </x:row>
    <x:row r="132" ht="22" customHeight="1">
      <x:c r="A132" s="11" t="str">
        <x:v>lade_0823_20aoi</x:v>
      </x:c>
      <x:c r="B132" s="10" t="n">
        <x:v>20</x:v>
      </x:c>
      <x:c r="C132" s="10" t="n">
        <x:v>42</x:v>
      </x:c>
      <x:c r="D132" s="10" t="str">
        <x:v>M1 / M3</x:v>
      </x:c>
      <x:c r="E132" s="16" t="n">
        <x:v>1</x:v>
      </x:c>
      <x:c r="F132" s="14" t="n">
        <x:v>50</x:v>
      </x:c>
      <x:c r="G132" s="26" t="n">
        <x:f>'成本明细'!U24+'成本明细'!G24*(E132-'参数'!$B$6)</x:f>
        <x:v>2630.2171199111117</x:v>
      </x:c>
      <x:c r="H132" s="26" t="n">
        <x:f>'成本明细'!U30</x:f>
        <x:v>3826.729582826667</x:v>
      </x:c>
      <x:c r="I132" s="26" t="n">
        <x:f>'成本明细'!V30</x:f>
        <x:v>7336.5</x:v>
      </x:c>
      <x:c r="J132" s="22" t="n">
        <x:f>'参数'!$B$9</x:f>
        <x:v>300</x:v>
      </x:c>
      <x:c r="K132" s="26" t="n">
        <x:f>J132*(G132-H132)-I132*ROUNDUP(J132/F132,0)</x:f>
        <x:v>-402972.73887466657</x:v>
      </x:c>
      <x:c r="L132" s="10" t="str">
        <x:f>IF(G132-H132&lt;=0,"未回本",IF(ROUNDUP(I132/(G132-H132),0)&gt;MIN(F132,J132),"未回本",MAX(1,ROUNDUP(I132/(G132-H132),0))))</x:f>
        <x:v>未回本</x:v>
      </x:c>
    </x:row>
    <x:row r="133" ht="22" customHeight="1">
      <x:c r="A133" s="11" t="str">
        <x:v>lade_0823_20aoi</x:v>
      </x:c>
      <x:c r="B133" s="10" t="n">
        <x:v>20</x:v>
      </x:c>
      <x:c r="C133" s="10" t="n">
        <x:v>42</x:v>
      </x:c>
      <x:c r="D133" s="10" t="str">
        <x:v>M2 / M4</x:v>
      </x:c>
      <x:c r="E133" s="16" t="n">
        <x:v>1</x:v>
      </x:c>
      <x:c r="F133" s="14" t="n">
        <x:v>50</x:v>
      </x:c>
      <x:c r="G133" s="26" t="n">
        <x:f>'成本明细'!U27+'成本明细'!G27*(E133-'参数'!$B$6)</x:f>
        <x:v>2198.463022416111</x:v>
      </x:c>
      <x:c r="H133" s="26" t="n">
        <x:f>'成本明细'!U33</x:f>
        <x:v>3787.5261378683335</x:v>
      </x:c>
      <x:c r="I133" s="26" t="n">
        <x:f>'成本明细'!V33</x:f>
        <x:v>7336.5</x:v>
      </x:c>
      <x:c r="J133" s="22" t="n">
        <x:f>'参数'!$B$9</x:f>
        <x:v>300</x:v>
      </x:c>
      <x:c r="K133" s="26" t="n">
        <x:f>J133*(G133-H133)-I133*ROUNDUP(J133/F133,0)</x:f>
        <x:v>-520737.9346356668</x:v>
      </x:c>
      <x:c r="L133" s="10" t="str">
        <x:f>IF(G133-H133&lt;=0,"未回本",IF(ROUNDUP(I133/(G133-H133),0)&gt;MIN(F133,J133),"未回本",MAX(1,ROUNDUP(I133/(G133-H133),0))))</x:f>
        <x:v>未回本</x:v>
      </x:c>
    </x:row>
    <x:row r="134" ht="22" customHeight="1">
      <x:c r="A134" s="11" t="str">
        <x:v>lade_0823_20aoi</x:v>
      </x:c>
      <x:c r="B134" s="10" t="n">
        <x:v>20</x:v>
      </x:c>
      <x:c r="C134" s="10" t="n">
        <x:v>42</x:v>
      </x:c>
      <x:c r="D134" s="10" t="str">
        <x:v>M1 / M3</x:v>
      </x:c>
      <x:c r="E134" s="16" t="n">
        <x:v>2</x:v>
      </x:c>
      <x:c r="F134" s="14" t="n">
        <x:v>10</x:v>
      </x:c>
      <x:c r="G134" s="26" t="n">
        <x:f>'成本明细'!U24+'成本明细'!G24*(E134-'参数'!$B$6)</x:f>
        <x:v>2831.2171199111117</x:v>
      </x:c>
      <x:c r="H134" s="26" t="n">
        <x:f>'成本明细'!U30</x:f>
        <x:v>3826.729582826667</x:v>
      </x:c>
      <x:c r="I134" s="26" t="n">
        <x:f>'成本明细'!V30</x:f>
        <x:v>7336.5</x:v>
      </x:c>
      <x:c r="J134" s="22" t="n">
        <x:f>'参数'!$B$9</x:f>
        <x:v>300</x:v>
      </x:c>
      <x:c r="K134" s="26" t="n">
        <x:f>J134*(G134-H134)-I134*ROUNDUP(J134/F134,0)</x:f>
        <x:v>-518748.73887466657</x:v>
      </x:c>
      <x:c r="L134" s="10" t="str">
        <x:f>IF(G134-H134&lt;=0,"未回本",IF(ROUNDUP(I134/(G134-H134),0)&gt;MIN(F134,J134),"未回本",MAX(1,ROUNDUP(I134/(G134-H134),0))))</x:f>
        <x:v>未回本</x:v>
      </x:c>
    </x:row>
    <x:row r="135" ht="22" customHeight="1">
      <x:c r="A135" s="11" t="str">
        <x:v>lade_0823_20aoi</x:v>
      </x:c>
      <x:c r="B135" s="10" t="n">
        <x:v>20</x:v>
      </x:c>
      <x:c r="C135" s="10" t="n">
        <x:v>42</x:v>
      </x:c>
      <x:c r="D135" s="10" t="str">
        <x:v>M2 / M4</x:v>
      </x:c>
      <x:c r="E135" s="16" t="n">
        <x:v>2</x:v>
      </x:c>
      <x:c r="F135" s="14" t="n">
        <x:v>10</x:v>
      </x:c>
      <x:c r="G135" s="26" t="n">
        <x:f>'成本明细'!U27+'成本明细'!G27*(E135-'参数'!$B$6)</x:f>
        <x:v>2399.463022416111</x:v>
      </x:c>
      <x:c r="H135" s="26" t="n">
        <x:f>'成本明细'!U33</x:f>
        <x:v>3787.5261378683335</x:v>
      </x:c>
      <x:c r="I135" s="26" t="n">
        <x:f>'成本明细'!V33</x:f>
        <x:v>7336.5</x:v>
      </x:c>
      <x:c r="J135" s="22" t="n">
        <x:f>'参数'!$B$9</x:f>
        <x:v>300</x:v>
      </x:c>
      <x:c r="K135" s="26" t="n">
        <x:f>J135*(G135-H135)-I135*ROUNDUP(J135/F135,0)</x:f>
        <x:v>-636513.9346356668</x:v>
      </x:c>
      <x:c r="L135" s="10" t="str">
        <x:f>IF(G135-H135&lt;=0,"未回本",IF(ROUNDUP(I135/(G135-H135),0)&gt;MIN(F135,J135),"未回本",MAX(1,ROUNDUP(I135/(G135-H135),0))))</x:f>
        <x:v>未回本</x:v>
      </x:c>
    </x:row>
    <x:row r="136" ht="22" customHeight="1">
      <x:c r="A136" s="11" t="str">
        <x:v>lade_0823_20aoi</x:v>
      </x:c>
      <x:c r="B136" s="10" t="n">
        <x:v>20</x:v>
      </x:c>
      <x:c r="C136" s="10" t="n">
        <x:v>42</x:v>
      </x:c>
      <x:c r="D136" s="10" t="str">
        <x:v>M1 / M3</x:v>
      </x:c>
      <x:c r="E136" s="16" t="n">
        <x:v>2</x:v>
      </x:c>
      <x:c r="F136" s="14" t="n">
        <x:v>20</x:v>
      </x:c>
      <x:c r="G136" s="26" t="n">
        <x:f>'成本明细'!U24+'成本明细'!G24*(E136-'参数'!$B$6)</x:f>
        <x:v>2831.2171199111117</x:v>
      </x:c>
      <x:c r="H136" s="26" t="n">
        <x:f>'成本明细'!U30</x:f>
        <x:v>3826.729582826667</x:v>
      </x:c>
      <x:c r="I136" s="26" t="n">
        <x:f>'成本明细'!V30</x:f>
        <x:v>7336.5</x:v>
      </x:c>
      <x:c r="J136" s="22" t="n">
        <x:f>'参数'!$B$9</x:f>
        <x:v>300</x:v>
      </x:c>
      <x:c r="K136" s="26" t="n">
        <x:f>J136*(G136-H136)-I136*ROUNDUP(J136/F136,0)</x:f>
        <x:v>-408701.23887466657</x:v>
      </x:c>
      <x:c r="L136" s="10" t="str">
        <x:f>IF(G136-H136&lt;=0,"未回本",IF(ROUNDUP(I136/(G136-H136),0)&gt;MIN(F136,J136),"未回本",MAX(1,ROUNDUP(I136/(G136-H136),0))))</x:f>
        <x:v>未回本</x:v>
      </x:c>
    </x:row>
    <x:row r="137" ht="22" customHeight="1">
      <x:c r="A137" s="11" t="str">
        <x:v>lade_0823_20aoi</x:v>
      </x:c>
      <x:c r="B137" s="10" t="n">
        <x:v>20</x:v>
      </x:c>
      <x:c r="C137" s="10" t="n">
        <x:v>42</x:v>
      </x:c>
      <x:c r="D137" s="10" t="str">
        <x:v>M2 / M4</x:v>
      </x:c>
      <x:c r="E137" s="16" t="n">
        <x:v>2</x:v>
      </x:c>
      <x:c r="F137" s="14" t="n">
        <x:v>20</x:v>
      </x:c>
      <x:c r="G137" s="26" t="n">
        <x:f>'成本明细'!U27+'成本明细'!G27*(E137-'参数'!$B$6)</x:f>
        <x:v>2399.463022416111</x:v>
      </x:c>
      <x:c r="H137" s="26" t="n">
        <x:f>'成本明细'!U33</x:f>
        <x:v>3787.5261378683335</x:v>
      </x:c>
      <x:c r="I137" s="26" t="n">
        <x:f>'成本明细'!V33</x:f>
        <x:v>7336.5</x:v>
      </x:c>
      <x:c r="J137" s="22" t="n">
        <x:f>'参数'!$B$9</x:f>
        <x:v>300</x:v>
      </x:c>
      <x:c r="K137" s="26" t="n">
        <x:f>J137*(G137-H137)-I137*ROUNDUP(J137/F137,0)</x:f>
        <x:v>-526466.4346356668</x:v>
      </x:c>
      <x:c r="L137" s="10" t="str">
        <x:f>IF(G137-H137&lt;=0,"未回本",IF(ROUNDUP(I137/(G137-H137),0)&gt;MIN(F137,J137),"未回本",MAX(1,ROUNDUP(I137/(G137-H137),0))))</x:f>
        <x:v>未回本</x:v>
      </x:c>
    </x:row>
    <x:row r="138" ht="22" customHeight="1">
      <x:c r="A138" s="11" t="str">
        <x:v>lade_0823_20aoi</x:v>
      </x:c>
      <x:c r="B138" s="10" t="n">
        <x:v>20</x:v>
      </x:c>
      <x:c r="C138" s="10" t="n">
        <x:v>42</x:v>
      </x:c>
      <x:c r="D138" s="10" t="str">
        <x:v>M1 / M3</x:v>
      </x:c>
      <x:c r="E138" s="16" t="n">
        <x:v>2</x:v>
      </x:c>
      <x:c r="F138" s="14" t="n">
        <x:v>30</x:v>
      </x:c>
      <x:c r="G138" s="26" t="n">
        <x:f>'成本明细'!U24+'成本明细'!G24*(E138-'参数'!$B$6)</x:f>
        <x:v>2831.2171199111117</x:v>
      </x:c>
      <x:c r="H138" s="26" t="n">
        <x:f>'成本明细'!U30</x:f>
        <x:v>3826.729582826667</x:v>
      </x:c>
      <x:c r="I138" s="26" t="n">
        <x:f>'成本明细'!V30</x:f>
        <x:v>7336.5</x:v>
      </x:c>
      <x:c r="J138" s="22" t="n">
        <x:f>'参数'!$B$9</x:f>
        <x:v>300</x:v>
      </x:c>
      <x:c r="K138" s="26" t="n">
        <x:f>J138*(G138-H138)-I138*ROUNDUP(J138/F138,0)</x:f>
        <x:v>-372018.73887466657</x:v>
      </x:c>
      <x:c r="L138" s="10" t="str">
        <x:f>IF(G138-H138&lt;=0,"未回本",IF(ROUNDUP(I138/(G138-H138),0)&gt;MIN(F138,J138),"未回本",MAX(1,ROUNDUP(I138/(G138-H138),0))))</x:f>
        <x:v>未回本</x:v>
      </x:c>
    </x:row>
    <x:row r="139" ht="22" customHeight="1">
      <x:c r="A139" s="11" t="str">
        <x:v>lade_0823_20aoi</x:v>
      </x:c>
      <x:c r="B139" s="10" t="n">
        <x:v>20</x:v>
      </x:c>
      <x:c r="C139" s="10" t="n">
        <x:v>42</x:v>
      </x:c>
      <x:c r="D139" s="10" t="str">
        <x:v>M2 / M4</x:v>
      </x:c>
      <x:c r="E139" s="16" t="n">
        <x:v>2</x:v>
      </x:c>
      <x:c r="F139" s="14" t="n">
        <x:v>30</x:v>
      </x:c>
      <x:c r="G139" s="26" t="n">
        <x:f>'成本明细'!U27+'成本明细'!G27*(E139-'参数'!$B$6)</x:f>
        <x:v>2399.463022416111</x:v>
      </x:c>
      <x:c r="H139" s="26" t="n">
        <x:f>'成本明细'!U33</x:f>
        <x:v>3787.5261378683335</x:v>
      </x:c>
      <x:c r="I139" s="26" t="n">
        <x:f>'成本明细'!V33</x:f>
        <x:v>7336.5</x:v>
      </x:c>
      <x:c r="J139" s="22" t="n">
        <x:f>'参数'!$B$9</x:f>
        <x:v>300</x:v>
      </x:c>
      <x:c r="K139" s="26" t="n">
        <x:f>J139*(G139-H139)-I139*ROUNDUP(J139/F139,0)</x:f>
        <x:v>-489783.9346356668</x:v>
      </x:c>
      <x:c r="L139" s="10" t="str">
        <x:f>IF(G139-H139&lt;=0,"未回本",IF(ROUNDUP(I139/(G139-H139),0)&gt;MIN(F139,J139),"未回本",MAX(1,ROUNDUP(I139/(G139-H139),0))))</x:f>
        <x:v>未回本</x:v>
      </x:c>
    </x:row>
    <x:row r="140" ht="22" customHeight="1">
      <x:c r="A140" s="11" t="str">
        <x:v>lade_0823_20aoi</x:v>
      </x:c>
      <x:c r="B140" s="10" t="n">
        <x:v>20</x:v>
      </x:c>
      <x:c r="C140" s="10" t="n">
        <x:v>42</x:v>
      </x:c>
      <x:c r="D140" s="10" t="str">
        <x:v>M1 / M3</x:v>
      </x:c>
      <x:c r="E140" s="16" t="n">
        <x:v>2</x:v>
      </x:c>
      <x:c r="F140" s="14" t="n">
        <x:v>50</x:v>
      </x:c>
      <x:c r="G140" s="26" t="n">
        <x:f>'成本明细'!U24+'成本明细'!G24*(E140-'参数'!$B$6)</x:f>
        <x:v>2831.2171199111117</x:v>
      </x:c>
      <x:c r="H140" s="26" t="n">
        <x:f>'成本明细'!U30</x:f>
        <x:v>3826.729582826667</x:v>
      </x:c>
      <x:c r="I140" s="26" t="n">
        <x:f>'成本明细'!V30</x:f>
        <x:v>7336.5</x:v>
      </x:c>
      <x:c r="J140" s="22" t="n">
        <x:f>'参数'!$B$9</x:f>
        <x:v>300</x:v>
      </x:c>
      <x:c r="K140" s="26" t="n">
        <x:f>J140*(G140-H140)-I140*ROUNDUP(J140/F140,0)</x:f>
        <x:v>-342672.73887466657</x:v>
      </x:c>
      <x:c r="L140" s="10" t="str">
        <x:f>IF(G140-H140&lt;=0,"未回本",IF(ROUNDUP(I140/(G140-H140),0)&gt;MIN(F140,J140),"未回本",MAX(1,ROUNDUP(I140/(G140-H140),0))))</x:f>
        <x:v>未回本</x:v>
      </x:c>
    </x:row>
    <x:row r="141" ht="22" customHeight="1">
      <x:c r="A141" s="11" t="str">
        <x:v>lade_0823_20aoi</x:v>
      </x:c>
      <x:c r="B141" s="10" t="n">
        <x:v>20</x:v>
      </x:c>
      <x:c r="C141" s="10" t="n">
        <x:v>42</x:v>
      </x:c>
      <x:c r="D141" s="10" t="str">
        <x:v>M2 / M4</x:v>
      </x:c>
      <x:c r="E141" s="16" t="n">
        <x:v>2</x:v>
      </x:c>
      <x:c r="F141" s="14" t="n">
        <x:v>50</x:v>
      </x:c>
      <x:c r="G141" s="26" t="n">
        <x:f>'成本明细'!U27+'成本明细'!G27*(E141-'参数'!$B$6)</x:f>
        <x:v>2399.463022416111</x:v>
      </x:c>
      <x:c r="H141" s="26" t="n">
        <x:f>'成本明细'!U33</x:f>
        <x:v>3787.5261378683335</x:v>
      </x:c>
      <x:c r="I141" s="26" t="n">
        <x:f>'成本明细'!V33</x:f>
        <x:v>7336.5</x:v>
      </x:c>
      <x:c r="J141" s="22" t="n">
        <x:f>'参数'!$B$9</x:f>
        <x:v>300</x:v>
      </x:c>
      <x:c r="K141" s="26" t="n">
        <x:f>J141*(G141-H141)-I141*ROUNDUP(J141/F141,0)</x:f>
        <x:v>-460437.9346356668</x:v>
      </x:c>
      <x:c r="L141" s="10" t="str">
        <x:f>IF(G141-H141&lt;=0,"未回本",IF(ROUNDUP(I141/(G141-H141),0)&gt;MIN(F141,J141),"未回本",MAX(1,ROUNDUP(I141/(G141-H141),0))))</x:f>
        <x:v>未回本</x:v>
      </x:c>
    </x:row>
    <x:row r="142" ht="22" customHeight="1">
      <x:c r="A142" s="11" t="str">
        <x:v>lade_0823_20aoi</x:v>
      </x:c>
      <x:c r="B142" s="10" t="n">
        <x:v>20</x:v>
      </x:c>
      <x:c r="C142" s="10" t="n">
        <x:v>42</x:v>
      </x:c>
      <x:c r="D142" s="10" t="str">
        <x:v>M1 / M3</x:v>
      </x:c>
      <x:c r="E142" s="16" t="n">
        <x:v>3</x:v>
      </x:c>
      <x:c r="F142" s="14" t="n">
        <x:v>10</x:v>
      </x:c>
      <x:c r="G142" s="26" t="n">
        <x:f>'成本明细'!U24+'成本明细'!G24*(E142-'参数'!$B$6)</x:f>
        <x:v>3032.2171199111117</x:v>
      </x:c>
      <x:c r="H142" s="26" t="n">
        <x:f>'成本明细'!U30</x:f>
        <x:v>3826.729582826667</x:v>
      </x:c>
      <x:c r="I142" s="26" t="n">
        <x:f>'成本明细'!V30</x:f>
        <x:v>7336.5</x:v>
      </x:c>
      <x:c r="J142" s="22" t="n">
        <x:f>'参数'!$B$9</x:f>
        <x:v>300</x:v>
      </x:c>
      <x:c r="K142" s="26" t="n">
        <x:f>J142*(G142-H142)-I142*ROUNDUP(J142/F142,0)</x:f>
        <x:v>-458448.73887466657</x:v>
      </x:c>
      <x:c r="L142" s="10" t="str">
        <x:f>IF(G142-H142&lt;=0,"未回本",IF(ROUNDUP(I142/(G142-H142),0)&gt;MIN(F142,J142),"未回本",MAX(1,ROUNDUP(I142/(G142-H142),0))))</x:f>
        <x:v>未回本</x:v>
      </x:c>
    </x:row>
    <x:row r="143" ht="22" customHeight="1">
      <x:c r="A143" s="11" t="str">
        <x:v>lade_0823_20aoi</x:v>
      </x:c>
      <x:c r="B143" s="10" t="n">
        <x:v>20</x:v>
      </x:c>
      <x:c r="C143" s="10" t="n">
        <x:v>42</x:v>
      </x:c>
      <x:c r="D143" s="10" t="str">
        <x:v>M2 / M4</x:v>
      </x:c>
      <x:c r="E143" s="16" t="n">
        <x:v>3</x:v>
      </x:c>
      <x:c r="F143" s="14" t="n">
        <x:v>10</x:v>
      </x:c>
      <x:c r="G143" s="26" t="n">
        <x:f>'成本明细'!U27+'成本明细'!G27*(E143-'参数'!$B$6)</x:f>
        <x:v>2600.463022416111</x:v>
      </x:c>
      <x:c r="H143" s="26" t="n">
        <x:f>'成本明细'!U33</x:f>
        <x:v>3787.5261378683335</x:v>
      </x:c>
      <x:c r="I143" s="26" t="n">
        <x:f>'成本明细'!V33</x:f>
        <x:v>7336.5</x:v>
      </x:c>
      <x:c r="J143" s="22" t="n">
        <x:f>'参数'!$B$9</x:f>
        <x:v>300</x:v>
      </x:c>
      <x:c r="K143" s="26" t="n">
        <x:f>J143*(G143-H143)-I143*ROUNDUP(J143/F143,0)</x:f>
        <x:v>-576213.9346356668</x:v>
      </x:c>
      <x:c r="L143" s="10" t="str">
        <x:f>IF(G143-H143&lt;=0,"未回本",IF(ROUNDUP(I143/(G143-H143),0)&gt;MIN(F143,J143),"未回本",MAX(1,ROUNDUP(I143/(G143-H143),0))))</x:f>
        <x:v>未回本</x:v>
      </x:c>
    </x:row>
    <x:row r="144" ht="22" customHeight="1">
      <x:c r="A144" s="11" t="str">
        <x:v>lade_0823_20aoi</x:v>
      </x:c>
      <x:c r="B144" s="10" t="n">
        <x:v>20</x:v>
      </x:c>
      <x:c r="C144" s="10" t="n">
        <x:v>42</x:v>
      </x:c>
      <x:c r="D144" s="10" t="str">
        <x:v>M1 / M3</x:v>
      </x:c>
      <x:c r="E144" s="16" t="n">
        <x:v>3</x:v>
      </x:c>
      <x:c r="F144" s="14" t="n">
        <x:v>20</x:v>
      </x:c>
      <x:c r="G144" s="26" t="n">
        <x:f>'成本明细'!U24+'成本明细'!G24*(E144-'参数'!$B$6)</x:f>
        <x:v>3032.2171199111117</x:v>
      </x:c>
      <x:c r="H144" s="26" t="n">
        <x:f>'成本明细'!U30</x:f>
        <x:v>3826.729582826667</x:v>
      </x:c>
      <x:c r="I144" s="26" t="n">
        <x:f>'成本明细'!V30</x:f>
        <x:v>7336.5</x:v>
      </x:c>
      <x:c r="J144" s="22" t="n">
        <x:f>'参数'!$B$9</x:f>
        <x:v>300</x:v>
      </x:c>
      <x:c r="K144" s="26" t="n">
        <x:f>J144*(G144-H144)-I144*ROUNDUP(J144/F144,0)</x:f>
        <x:v>-348401.23887466657</x:v>
      </x:c>
      <x:c r="L144" s="10" t="str">
        <x:f>IF(G144-H144&lt;=0,"未回本",IF(ROUNDUP(I144/(G144-H144),0)&gt;MIN(F144,J144),"未回本",MAX(1,ROUNDUP(I144/(G144-H144),0))))</x:f>
        <x:v>未回本</x:v>
      </x:c>
    </x:row>
    <x:row r="145" ht="22" customHeight="1">
      <x:c r="A145" s="11" t="str">
        <x:v>lade_0823_20aoi</x:v>
      </x:c>
      <x:c r="B145" s="10" t="n">
        <x:v>20</x:v>
      </x:c>
      <x:c r="C145" s="10" t="n">
        <x:v>42</x:v>
      </x:c>
      <x:c r="D145" s="10" t="str">
        <x:v>M2 / M4</x:v>
      </x:c>
      <x:c r="E145" s="16" t="n">
        <x:v>3</x:v>
      </x:c>
      <x:c r="F145" s="14" t="n">
        <x:v>20</x:v>
      </x:c>
      <x:c r="G145" s="26" t="n">
        <x:f>'成本明细'!U27+'成本明细'!G27*(E145-'参数'!$B$6)</x:f>
        <x:v>2600.463022416111</x:v>
      </x:c>
      <x:c r="H145" s="26" t="n">
        <x:f>'成本明细'!U33</x:f>
        <x:v>3787.5261378683335</x:v>
      </x:c>
      <x:c r="I145" s="26" t="n">
        <x:f>'成本明细'!V33</x:f>
        <x:v>7336.5</x:v>
      </x:c>
      <x:c r="J145" s="22" t="n">
        <x:f>'参数'!$B$9</x:f>
        <x:v>300</x:v>
      </x:c>
      <x:c r="K145" s="26" t="n">
        <x:f>J145*(G145-H145)-I145*ROUNDUP(J145/F145,0)</x:f>
        <x:v>-466166.4346356668</x:v>
      </x:c>
      <x:c r="L145" s="10" t="str">
        <x:f>IF(G145-H145&lt;=0,"未回本",IF(ROUNDUP(I145/(G145-H145),0)&gt;MIN(F145,J145),"未回本",MAX(1,ROUNDUP(I145/(G145-H145),0))))</x:f>
        <x:v>未回本</x:v>
      </x:c>
    </x:row>
    <x:row r="146" ht="22" customHeight="1">
      <x:c r="A146" s="11" t="str">
        <x:v>lade_0823_20aoi</x:v>
      </x:c>
      <x:c r="B146" s="10" t="n">
        <x:v>20</x:v>
      </x:c>
      <x:c r="C146" s="10" t="n">
        <x:v>42</x:v>
      </x:c>
      <x:c r="D146" s="10" t="str">
        <x:v>M1 / M3</x:v>
      </x:c>
      <x:c r="E146" s="16" t="n">
        <x:v>3</x:v>
      </x:c>
      <x:c r="F146" s="14" t="n">
        <x:v>30</x:v>
      </x:c>
      <x:c r="G146" s="26" t="n">
        <x:f>'成本明细'!U24+'成本明细'!G24*(E146-'参数'!$B$6)</x:f>
        <x:v>3032.2171199111117</x:v>
      </x:c>
      <x:c r="H146" s="26" t="n">
        <x:f>'成本明细'!U30</x:f>
        <x:v>3826.729582826667</x:v>
      </x:c>
      <x:c r="I146" s="26" t="n">
        <x:f>'成本明细'!V30</x:f>
        <x:v>7336.5</x:v>
      </x:c>
      <x:c r="J146" s="22" t="n">
        <x:f>'参数'!$B$9</x:f>
        <x:v>300</x:v>
      </x:c>
      <x:c r="K146" s="26" t="n">
        <x:f>J146*(G146-H146)-I146*ROUNDUP(J146/F146,0)</x:f>
        <x:v>-311718.73887466657</x:v>
      </x:c>
      <x:c r="L146" s="10" t="str">
        <x:f>IF(G146-H146&lt;=0,"未回本",IF(ROUNDUP(I146/(G146-H146),0)&gt;MIN(F146,J146),"未回本",MAX(1,ROUNDUP(I146/(G146-H146),0))))</x:f>
        <x:v>未回本</x:v>
      </x:c>
    </x:row>
    <x:row r="147" ht="22" customHeight="1">
      <x:c r="A147" s="11" t="str">
        <x:v>lade_0823_20aoi</x:v>
      </x:c>
      <x:c r="B147" s="10" t="n">
        <x:v>20</x:v>
      </x:c>
      <x:c r="C147" s="10" t="n">
        <x:v>42</x:v>
      </x:c>
      <x:c r="D147" s="10" t="str">
        <x:v>M2 / M4</x:v>
      </x:c>
      <x:c r="E147" s="16" t="n">
        <x:v>3</x:v>
      </x:c>
      <x:c r="F147" s="14" t="n">
        <x:v>30</x:v>
      </x:c>
      <x:c r="G147" s="26" t="n">
        <x:f>'成本明细'!U27+'成本明细'!G27*(E147-'参数'!$B$6)</x:f>
        <x:v>2600.463022416111</x:v>
      </x:c>
      <x:c r="H147" s="26" t="n">
        <x:f>'成本明细'!U33</x:f>
        <x:v>3787.5261378683335</x:v>
      </x:c>
      <x:c r="I147" s="26" t="n">
        <x:f>'成本明细'!V33</x:f>
        <x:v>7336.5</x:v>
      </x:c>
      <x:c r="J147" s="22" t="n">
        <x:f>'参数'!$B$9</x:f>
        <x:v>300</x:v>
      </x:c>
      <x:c r="K147" s="26" t="n">
        <x:f>J147*(G147-H147)-I147*ROUNDUP(J147/F147,0)</x:f>
        <x:v>-429483.9346356668</x:v>
      </x:c>
      <x:c r="L147" s="10" t="str">
        <x:f>IF(G147-H147&lt;=0,"未回本",IF(ROUNDUP(I147/(G147-H147),0)&gt;MIN(F147,J147),"未回本",MAX(1,ROUNDUP(I147/(G147-H147),0))))</x:f>
        <x:v>未回本</x:v>
      </x:c>
    </x:row>
    <x:row r="148" ht="22" customHeight="1">
      <x:c r="A148" s="11" t="str">
        <x:v>lade_0823_20aoi</x:v>
      </x:c>
      <x:c r="B148" s="10" t="n">
        <x:v>20</x:v>
      </x:c>
      <x:c r="C148" s="10" t="n">
        <x:v>42</x:v>
      </x:c>
      <x:c r="D148" s="10" t="str">
        <x:v>M1 / M3</x:v>
      </x:c>
      <x:c r="E148" s="16" t="n">
        <x:v>3</x:v>
      </x:c>
      <x:c r="F148" s="14" t="n">
        <x:v>50</x:v>
      </x:c>
      <x:c r="G148" s="26" t="n">
        <x:f>'成本明细'!U24+'成本明细'!G24*(E148-'参数'!$B$6)</x:f>
        <x:v>3032.2171199111117</x:v>
      </x:c>
      <x:c r="H148" s="26" t="n">
        <x:f>'成本明细'!U30</x:f>
        <x:v>3826.729582826667</x:v>
      </x:c>
      <x:c r="I148" s="26" t="n">
        <x:f>'成本明细'!V30</x:f>
        <x:v>7336.5</x:v>
      </x:c>
      <x:c r="J148" s="22" t="n">
        <x:f>'参数'!$B$9</x:f>
        <x:v>300</x:v>
      </x:c>
      <x:c r="K148" s="26" t="n">
        <x:f>J148*(G148-H148)-I148*ROUNDUP(J148/F148,0)</x:f>
        <x:v>-282372.73887466657</x:v>
      </x:c>
      <x:c r="L148" s="10" t="str">
        <x:f>IF(G148-H148&lt;=0,"未回本",IF(ROUNDUP(I148/(G148-H148),0)&gt;MIN(F148,J148),"未回本",MAX(1,ROUNDUP(I148/(G148-H148),0))))</x:f>
        <x:v>未回本</x:v>
      </x:c>
    </x:row>
    <x:row r="149" ht="22" customHeight="1">
      <x:c r="A149" s="11" t="str">
        <x:v>lade_0823_20aoi</x:v>
      </x:c>
      <x:c r="B149" s="10" t="n">
        <x:v>20</x:v>
      </x:c>
      <x:c r="C149" s="10" t="n">
        <x:v>42</x:v>
      </x:c>
      <x:c r="D149" s="10" t="str">
        <x:v>M2 / M4</x:v>
      </x:c>
      <x:c r="E149" s="16" t="n">
        <x:v>3</x:v>
      </x:c>
      <x:c r="F149" s="14" t="n">
        <x:v>50</x:v>
      </x:c>
      <x:c r="G149" s="26" t="n">
        <x:f>'成本明细'!U27+'成本明细'!G27*(E149-'参数'!$B$6)</x:f>
        <x:v>2600.463022416111</x:v>
      </x:c>
      <x:c r="H149" s="26" t="n">
        <x:f>'成本明细'!U33</x:f>
        <x:v>3787.5261378683335</x:v>
      </x:c>
      <x:c r="I149" s="26" t="n">
        <x:f>'成本明细'!V33</x:f>
        <x:v>7336.5</x:v>
      </x:c>
      <x:c r="J149" s="22" t="n">
        <x:f>'参数'!$B$9</x:f>
        <x:v>300</x:v>
      </x:c>
      <x:c r="K149" s="26" t="n">
        <x:f>J149*(G149-H149)-I149*ROUNDUP(J149/F149,0)</x:f>
        <x:v>-400137.9346356668</x:v>
      </x:c>
      <x:c r="L149" s="10" t="str">
        <x:f>IF(G149-H149&lt;=0,"未回本",IF(ROUNDUP(I149/(G149-H149),0)&gt;MIN(F149,J149),"未回本",MAX(1,ROUNDUP(I149/(G149-H149),0))))</x:f>
        <x:v>未回本</x:v>
      </x:c>
    </x:row>
    <x:row r="150" ht="22" customHeight="1">
      <x:c r="A150" s="11" t="str">
        <x:v>lade_0823_20aoi</x:v>
      </x:c>
      <x:c r="B150" s="10" t="n">
        <x:v>20</x:v>
      </x:c>
      <x:c r="C150" s="10" t="n">
        <x:v>42</x:v>
      </x:c>
      <x:c r="D150" s="10" t="str">
        <x:v>M1 / M3</x:v>
      </x:c>
      <x:c r="E150" s="16" t="n">
        <x:v>4</x:v>
      </x:c>
      <x:c r="F150" s="14" t="n">
        <x:v>10</x:v>
      </x:c>
      <x:c r="G150" s="26" t="n">
        <x:f>'成本明细'!U24+'成本明细'!G24*(E150-'参数'!$B$6)</x:f>
        <x:v>3233.2171199111117</x:v>
      </x:c>
      <x:c r="H150" s="26" t="n">
        <x:f>'成本明细'!U30</x:f>
        <x:v>3826.729582826667</x:v>
      </x:c>
      <x:c r="I150" s="26" t="n">
        <x:f>'成本明细'!V30</x:f>
        <x:v>7336.5</x:v>
      </x:c>
      <x:c r="J150" s="22" t="n">
        <x:f>'参数'!$B$9</x:f>
        <x:v>300</x:v>
      </x:c>
      <x:c r="K150" s="26" t="n">
        <x:f>J150*(G150-H150)-I150*ROUNDUP(J150/F150,0)</x:f>
        <x:v>-398148.73887466657</x:v>
      </x:c>
      <x:c r="L150" s="10" t="str">
        <x:f>IF(G150-H150&lt;=0,"未回本",IF(ROUNDUP(I150/(G150-H150),0)&gt;MIN(F150,J150),"未回本",MAX(1,ROUNDUP(I150/(G150-H150),0))))</x:f>
        <x:v>未回本</x:v>
      </x:c>
    </x:row>
    <x:row r="151" ht="22" customHeight="1">
      <x:c r="A151" s="11" t="str">
        <x:v>lade_0823_20aoi</x:v>
      </x:c>
      <x:c r="B151" s="10" t="n">
        <x:v>20</x:v>
      </x:c>
      <x:c r="C151" s="10" t="n">
        <x:v>42</x:v>
      </x:c>
      <x:c r="D151" s="10" t="str">
        <x:v>M2 / M4</x:v>
      </x:c>
      <x:c r="E151" s="16" t="n">
        <x:v>4</x:v>
      </x:c>
      <x:c r="F151" s="14" t="n">
        <x:v>10</x:v>
      </x:c>
      <x:c r="G151" s="26" t="n">
        <x:f>'成本明细'!U27+'成本明细'!G27*(E151-'参数'!$B$6)</x:f>
        <x:v>2801.463022416111</x:v>
      </x:c>
      <x:c r="H151" s="26" t="n">
        <x:f>'成本明细'!U33</x:f>
        <x:v>3787.5261378683335</x:v>
      </x:c>
      <x:c r="I151" s="26" t="n">
        <x:f>'成本明细'!V33</x:f>
        <x:v>7336.5</x:v>
      </x:c>
      <x:c r="J151" s="22" t="n">
        <x:f>'参数'!$B$9</x:f>
        <x:v>300</x:v>
      </x:c>
      <x:c r="K151" s="26" t="n">
        <x:f>J151*(G151-H151)-I151*ROUNDUP(J151/F151,0)</x:f>
        <x:v>-515913.9346356668</x:v>
      </x:c>
      <x:c r="L151" s="10" t="str">
        <x:f>IF(G151-H151&lt;=0,"未回本",IF(ROUNDUP(I151/(G151-H151),0)&gt;MIN(F151,J151),"未回本",MAX(1,ROUNDUP(I151/(G151-H151),0))))</x:f>
        <x:v>未回本</x:v>
      </x:c>
    </x:row>
    <x:row r="152" ht="22" customHeight="1">
      <x:c r="A152" s="11" t="str">
        <x:v>lade_0823_20aoi</x:v>
      </x:c>
      <x:c r="B152" s="10" t="n">
        <x:v>20</x:v>
      </x:c>
      <x:c r="C152" s="10" t="n">
        <x:v>42</x:v>
      </x:c>
      <x:c r="D152" s="10" t="str">
        <x:v>M1 / M3</x:v>
      </x:c>
      <x:c r="E152" s="16" t="n">
        <x:v>4</x:v>
      </x:c>
      <x:c r="F152" s="14" t="n">
        <x:v>20</x:v>
      </x:c>
      <x:c r="G152" s="26" t="n">
        <x:f>'成本明细'!U24+'成本明细'!G24*(E152-'参数'!$B$6)</x:f>
        <x:v>3233.2171199111117</x:v>
      </x:c>
      <x:c r="H152" s="26" t="n">
        <x:f>'成本明细'!U30</x:f>
        <x:v>3826.729582826667</x:v>
      </x:c>
      <x:c r="I152" s="26" t="n">
        <x:f>'成本明细'!V30</x:f>
        <x:v>7336.5</x:v>
      </x:c>
      <x:c r="J152" s="22" t="n">
        <x:f>'参数'!$B$9</x:f>
        <x:v>300</x:v>
      </x:c>
      <x:c r="K152" s="26" t="n">
        <x:f>J152*(G152-H152)-I152*ROUNDUP(J152/F152,0)</x:f>
        <x:v>-288101.23887466657</x:v>
      </x:c>
      <x:c r="L152" s="10" t="str">
        <x:f>IF(G152-H152&lt;=0,"未回本",IF(ROUNDUP(I152/(G152-H152),0)&gt;MIN(F152,J152),"未回本",MAX(1,ROUNDUP(I152/(G152-H152),0))))</x:f>
        <x:v>未回本</x:v>
      </x:c>
    </x:row>
    <x:row r="153" ht="22" customHeight="1">
      <x:c r="A153" s="11" t="str">
        <x:v>lade_0823_20aoi</x:v>
      </x:c>
      <x:c r="B153" s="10" t="n">
        <x:v>20</x:v>
      </x:c>
      <x:c r="C153" s="10" t="n">
        <x:v>42</x:v>
      </x:c>
      <x:c r="D153" s="10" t="str">
        <x:v>M2 / M4</x:v>
      </x:c>
      <x:c r="E153" s="16" t="n">
        <x:v>4</x:v>
      </x:c>
      <x:c r="F153" s="14" t="n">
        <x:v>20</x:v>
      </x:c>
      <x:c r="G153" s="26" t="n">
        <x:f>'成本明细'!U27+'成本明细'!G27*(E153-'参数'!$B$6)</x:f>
        <x:v>2801.463022416111</x:v>
      </x:c>
      <x:c r="H153" s="26" t="n">
        <x:f>'成本明细'!U33</x:f>
        <x:v>3787.5261378683335</x:v>
      </x:c>
      <x:c r="I153" s="26" t="n">
        <x:f>'成本明细'!V33</x:f>
        <x:v>7336.5</x:v>
      </x:c>
      <x:c r="J153" s="22" t="n">
        <x:f>'参数'!$B$9</x:f>
        <x:v>300</x:v>
      </x:c>
      <x:c r="K153" s="26" t="n">
        <x:f>J153*(G153-H153)-I153*ROUNDUP(J153/F153,0)</x:f>
        <x:v>-405866.4346356668</x:v>
      </x:c>
      <x:c r="L153" s="10" t="str">
        <x:f>IF(G153-H153&lt;=0,"未回本",IF(ROUNDUP(I153/(G153-H153),0)&gt;MIN(F153,J153),"未回本",MAX(1,ROUNDUP(I153/(G153-H153),0))))</x:f>
        <x:v>未回本</x:v>
      </x:c>
    </x:row>
    <x:row r="154" ht="22" customHeight="1">
      <x:c r="A154" s="11" t="str">
        <x:v>lade_0823_20aoi</x:v>
      </x:c>
      <x:c r="B154" s="10" t="n">
        <x:v>20</x:v>
      </x:c>
      <x:c r="C154" s="10" t="n">
        <x:v>42</x:v>
      </x:c>
      <x:c r="D154" s="10" t="str">
        <x:v>M1 / M3</x:v>
      </x:c>
      <x:c r="E154" s="16" t="n">
        <x:v>4</x:v>
      </x:c>
      <x:c r="F154" s="14" t="n">
        <x:v>30</x:v>
      </x:c>
      <x:c r="G154" s="26" t="n">
        <x:f>'成本明细'!U24+'成本明细'!G24*(E154-'参数'!$B$6)</x:f>
        <x:v>3233.2171199111117</x:v>
      </x:c>
      <x:c r="H154" s="26" t="n">
        <x:f>'成本明细'!U30</x:f>
        <x:v>3826.729582826667</x:v>
      </x:c>
      <x:c r="I154" s="26" t="n">
        <x:f>'成本明细'!V30</x:f>
        <x:v>7336.5</x:v>
      </x:c>
      <x:c r="J154" s="22" t="n">
        <x:f>'参数'!$B$9</x:f>
        <x:v>300</x:v>
      </x:c>
      <x:c r="K154" s="26" t="n">
        <x:f>J154*(G154-H154)-I154*ROUNDUP(J154/F154,0)</x:f>
        <x:v>-251418.73887466657</x:v>
      </x:c>
      <x:c r="L154" s="10" t="str">
        <x:f>IF(G154-H154&lt;=0,"未回本",IF(ROUNDUP(I154/(G154-H154),0)&gt;MIN(F154,J154),"未回本",MAX(1,ROUNDUP(I154/(G154-H154),0))))</x:f>
        <x:v>未回本</x:v>
      </x:c>
    </x:row>
    <x:row r="155" ht="22" customHeight="1">
      <x:c r="A155" s="11" t="str">
        <x:v>lade_0823_20aoi</x:v>
      </x:c>
      <x:c r="B155" s="10" t="n">
        <x:v>20</x:v>
      </x:c>
      <x:c r="C155" s="10" t="n">
        <x:v>42</x:v>
      </x:c>
      <x:c r="D155" s="10" t="str">
        <x:v>M2 / M4</x:v>
      </x:c>
      <x:c r="E155" s="16" t="n">
        <x:v>4</x:v>
      </x:c>
      <x:c r="F155" s="14" t="n">
        <x:v>30</x:v>
      </x:c>
      <x:c r="G155" s="26" t="n">
        <x:f>'成本明细'!U27+'成本明细'!G27*(E155-'参数'!$B$6)</x:f>
        <x:v>2801.463022416111</x:v>
      </x:c>
      <x:c r="H155" s="26" t="n">
        <x:f>'成本明细'!U33</x:f>
        <x:v>3787.5261378683335</x:v>
      </x:c>
      <x:c r="I155" s="26" t="n">
        <x:f>'成本明细'!V33</x:f>
        <x:v>7336.5</x:v>
      </x:c>
      <x:c r="J155" s="22" t="n">
        <x:f>'参数'!$B$9</x:f>
        <x:v>300</x:v>
      </x:c>
      <x:c r="K155" s="26" t="n">
        <x:f>J155*(G155-H155)-I155*ROUNDUP(J155/F155,0)</x:f>
        <x:v>-369183.9346356668</x:v>
      </x:c>
      <x:c r="L155" s="10" t="str">
        <x:f>IF(G155-H155&lt;=0,"未回本",IF(ROUNDUP(I155/(G155-H155),0)&gt;MIN(F155,J155),"未回本",MAX(1,ROUNDUP(I155/(G155-H155),0))))</x:f>
        <x:v>未回本</x:v>
      </x:c>
    </x:row>
    <x:row r="156" ht="22" customHeight="1">
      <x:c r="A156" s="11" t="str">
        <x:v>lade_0823_20aoi</x:v>
      </x:c>
      <x:c r="B156" s="10" t="n">
        <x:v>20</x:v>
      </x:c>
      <x:c r="C156" s="10" t="n">
        <x:v>42</x:v>
      </x:c>
      <x:c r="D156" s="10" t="str">
        <x:v>M1 / M3</x:v>
      </x:c>
      <x:c r="E156" s="16" t="n">
        <x:v>4</x:v>
      </x:c>
      <x:c r="F156" s="14" t="n">
        <x:v>50</x:v>
      </x:c>
      <x:c r="G156" s="26" t="n">
        <x:f>'成本明细'!U24+'成本明细'!G24*(E156-'参数'!$B$6)</x:f>
        <x:v>3233.2171199111117</x:v>
      </x:c>
      <x:c r="H156" s="26" t="n">
        <x:f>'成本明细'!U30</x:f>
        <x:v>3826.729582826667</x:v>
      </x:c>
      <x:c r="I156" s="26" t="n">
        <x:f>'成本明细'!V30</x:f>
        <x:v>7336.5</x:v>
      </x:c>
      <x:c r="J156" s="22" t="n">
        <x:f>'参数'!$B$9</x:f>
        <x:v>300</x:v>
      </x:c>
      <x:c r="K156" s="26" t="n">
        <x:f>J156*(G156-H156)-I156*ROUNDUP(J156/F156,0)</x:f>
        <x:v>-222072.73887466657</x:v>
      </x:c>
      <x:c r="L156" s="10" t="str">
        <x:f>IF(G156-H156&lt;=0,"未回本",IF(ROUNDUP(I156/(G156-H156),0)&gt;MIN(F156,J156),"未回本",MAX(1,ROUNDUP(I156/(G156-H156),0))))</x:f>
        <x:v>未回本</x:v>
      </x:c>
    </x:row>
    <x:row r="157" ht="22" customHeight="1">
      <x:c r="A157" s="11" t="str">
        <x:v>lade_0823_20aoi</x:v>
      </x:c>
      <x:c r="B157" s="10" t="n">
        <x:v>20</x:v>
      </x:c>
      <x:c r="C157" s="10" t="n">
        <x:v>42</x:v>
      </x:c>
      <x:c r="D157" s="10" t="str">
        <x:v>M2 / M4</x:v>
      </x:c>
      <x:c r="E157" s="16" t="n">
        <x:v>4</x:v>
      </x:c>
      <x:c r="F157" s="14" t="n">
        <x:v>50</x:v>
      </x:c>
      <x:c r="G157" s="26" t="n">
        <x:f>'成本明细'!U27+'成本明细'!G27*(E157-'参数'!$B$6)</x:f>
        <x:v>2801.463022416111</x:v>
      </x:c>
      <x:c r="H157" s="26" t="n">
        <x:f>'成本明细'!U33</x:f>
        <x:v>3787.5261378683335</x:v>
      </x:c>
      <x:c r="I157" s="26" t="n">
        <x:f>'成本明细'!V33</x:f>
        <x:v>7336.5</x:v>
      </x:c>
      <x:c r="J157" s="22" t="n">
        <x:f>'参数'!$B$9</x:f>
        <x:v>300</x:v>
      </x:c>
      <x:c r="K157" s="26" t="n">
        <x:f>J157*(G157-H157)-I157*ROUNDUP(J157/F157,0)</x:f>
        <x:v>-339837.9346356668</x:v>
      </x:c>
      <x:c r="L157" s="10" t="str">
        <x:f>IF(G157-H157&lt;=0,"未回本",IF(ROUNDUP(I157/(G157-H157),0)&gt;MIN(F157,J157),"未回本",MAX(1,ROUNDUP(I157/(G157-H157),0))))</x:f>
        <x:v>未回本</x:v>
      </x:c>
    </x:row>
    <x:row r="158" ht="22" customHeight="1">
      <x:c r="A158" s="11" t="str">
        <x:v>lade_0823_20aoi</x:v>
      </x:c>
      <x:c r="B158" s="10" t="n">
        <x:v>20</x:v>
      </x:c>
      <x:c r="C158" s="10" t="n">
        <x:v>42</x:v>
      </x:c>
      <x:c r="D158" s="10" t="str">
        <x:v>M1 / M3</x:v>
      </x:c>
      <x:c r="E158" s="16" t="n">
        <x:v>5</x:v>
      </x:c>
      <x:c r="F158" s="14" t="n">
        <x:v>10</x:v>
      </x:c>
      <x:c r="G158" s="26" t="n">
        <x:f>'成本明细'!U24+'成本明细'!G24*(E158-'参数'!$B$6)</x:f>
        <x:v>3434.2171199111117</x:v>
      </x:c>
      <x:c r="H158" s="26" t="n">
        <x:f>'成本明细'!U30</x:f>
        <x:v>3826.729582826667</x:v>
      </x:c>
      <x:c r="I158" s="26" t="n">
        <x:f>'成本明细'!V30</x:f>
        <x:v>7336.5</x:v>
      </x:c>
      <x:c r="J158" s="22" t="n">
        <x:f>'参数'!$B$9</x:f>
        <x:v>300</x:v>
      </x:c>
      <x:c r="K158" s="26" t="n">
        <x:f>J158*(G158-H158)-I158*ROUNDUP(J158/F158,0)</x:f>
        <x:v>-337848.73887466657</x:v>
      </x:c>
      <x:c r="L158" s="10" t="str">
        <x:f>IF(G158-H158&lt;=0,"未回本",IF(ROUNDUP(I158/(G158-H158),0)&gt;MIN(F158,J158),"未回本",MAX(1,ROUNDUP(I158/(G158-H158),0))))</x:f>
        <x:v>未回本</x:v>
      </x:c>
    </x:row>
    <x:row r="159" ht="22" customHeight="1">
      <x:c r="A159" s="11" t="str">
        <x:v>lade_0823_20aoi</x:v>
      </x:c>
      <x:c r="B159" s="10" t="n">
        <x:v>20</x:v>
      </x:c>
      <x:c r="C159" s="10" t="n">
        <x:v>42</x:v>
      </x:c>
      <x:c r="D159" s="10" t="str">
        <x:v>M2 / M4</x:v>
      </x:c>
      <x:c r="E159" s="16" t="n">
        <x:v>5</x:v>
      </x:c>
      <x:c r="F159" s="14" t="n">
        <x:v>10</x:v>
      </x:c>
      <x:c r="G159" s="26" t="n">
        <x:f>'成本明细'!U27+'成本明细'!G27*(E159-'参数'!$B$6)</x:f>
        <x:v>3002.463022416111</x:v>
      </x:c>
      <x:c r="H159" s="26" t="n">
        <x:f>'成本明细'!U33</x:f>
        <x:v>3787.5261378683335</x:v>
      </x:c>
      <x:c r="I159" s="26" t="n">
        <x:f>'成本明细'!V33</x:f>
        <x:v>7336.5</x:v>
      </x:c>
      <x:c r="J159" s="22" t="n">
        <x:f>'参数'!$B$9</x:f>
        <x:v>300</x:v>
      </x:c>
      <x:c r="K159" s="26" t="n">
        <x:f>J159*(G159-H159)-I159*ROUNDUP(J159/F159,0)</x:f>
        <x:v>-455613.9346356668</x:v>
      </x:c>
      <x:c r="L159" s="10" t="str">
        <x:f>IF(G159-H159&lt;=0,"未回本",IF(ROUNDUP(I159/(G159-H159),0)&gt;MIN(F159,J159),"未回本",MAX(1,ROUNDUP(I159/(G159-H159),0))))</x:f>
        <x:v>未回本</x:v>
      </x:c>
    </x:row>
    <x:row r="160" ht="22" customHeight="1">
      <x:c r="A160" s="11" t="str">
        <x:v>lade_0823_20aoi</x:v>
      </x:c>
      <x:c r="B160" s="10" t="n">
        <x:v>20</x:v>
      </x:c>
      <x:c r="C160" s="10" t="n">
        <x:v>42</x:v>
      </x:c>
      <x:c r="D160" s="10" t="str">
        <x:v>M1 / M3</x:v>
      </x:c>
      <x:c r="E160" s="16" t="n">
        <x:v>5</x:v>
      </x:c>
      <x:c r="F160" s="14" t="n">
        <x:v>20</x:v>
      </x:c>
      <x:c r="G160" s="26" t="n">
        <x:f>'成本明细'!U24+'成本明细'!G24*(E160-'参数'!$B$6)</x:f>
        <x:v>3434.2171199111117</x:v>
      </x:c>
      <x:c r="H160" s="26" t="n">
        <x:f>'成本明细'!U30</x:f>
        <x:v>3826.729582826667</x:v>
      </x:c>
      <x:c r="I160" s="26" t="n">
        <x:f>'成本明细'!V30</x:f>
        <x:v>7336.5</x:v>
      </x:c>
      <x:c r="J160" s="22" t="n">
        <x:f>'参数'!$B$9</x:f>
        <x:v>300</x:v>
      </x:c>
      <x:c r="K160" s="26" t="n">
        <x:f>J160*(G160-H160)-I160*ROUNDUP(J160/F160,0)</x:f>
        <x:v>-227801.23887466657</x:v>
      </x:c>
      <x:c r="L160" s="10" t="str">
        <x:f>IF(G160-H160&lt;=0,"未回本",IF(ROUNDUP(I160/(G160-H160),0)&gt;MIN(F160,J160),"未回本",MAX(1,ROUNDUP(I160/(G160-H160),0))))</x:f>
        <x:v>未回本</x:v>
      </x:c>
    </x:row>
    <x:row r="161" ht="22" customHeight="1">
      <x:c r="A161" s="11" t="str">
        <x:v>lade_0823_20aoi</x:v>
      </x:c>
      <x:c r="B161" s="10" t="n">
        <x:v>20</x:v>
      </x:c>
      <x:c r="C161" s="10" t="n">
        <x:v>42</x:v>
      </x:c>
      <x:c r="D161" s="10" t="str">
        <x:v>M2 / M4</x:v>
      </x:c>
      <x:c r="E161" s="16" t="n">
        <x:v>5</x:v>
      </x:c>
      <x:c r="F161" s="14" t="n">
        <x:v>20</x:v>
      </x:c>
      <x:c r="G161" s="26" t="n">
        <x:f>'成本明细'!U27+'成本明细'!G27*(E161-'参数'!$B$6)</x:f>
        <x:v>3002.463022416111</x:v>
      </x:c>
      <x:c r="H161" s="26" t="n">
        <x:f>'成本明细'!U33</x:f>
        <x:v>3787.5261378683335</x:v>
      </x:c>
      <x:c r="I161" s="26" t="n">
        <x:f>'成本明细'!V33</x:f>
        <x:v>7336.5</x:v>
      </x:c>
      <x:c r="J161" s="22" t="n">
        <x:f>'参数'!$B$9</x:f>
        <x:v>300</x:v>
      </x:c>
      <x:c r="K161" s="26" t="n">
        <x:f>J161*(G161-H161)-I161*ROUNDUP(J161/F161,0)</x:f>
        <x:v>-345566.4346356668</x:v>
      </x:c>
      <x:c r="L161" s="10" t="str">
        <x:f>IF(G161-H161&lt;=0,"未回本",IF(ROUNDUP(I161/(G161-H161),0)&gt;MIN(F161,J161),"未回本",MAX(1,ROUNDUP(I161/(G161-H161),0))))</x:f>
        <x:v>未回本</x:v>
      </x:c>
    </x:row>
    <x:row r="162" ht="22" customHeight="1">
      <x:c r="A162" s="11" t="str">
        <x:v>lade_0823_20aoi</x:v>
      </x:c>
      <x:c r="B162" s="10" t="n">
        <x:v>20</x:v>
      </x:c>
      <x:c r="C162" s="10" t="n">
        <x:v>42</x:v>
      </x:c>
      <x:c r="D162" s="10" t="str">
        <x:v>M1 / M3</x:v>
      </x:c>
      <x:c r="E162" s="16" t="n">
        <x:v>5</x:v>
      </x:c>
      <x:c r="F162" s="14" t="n">
        <x:v>30</x:v>
      </x:c>
      <x:c r="G162" s="26" t="n">
        <x:f>'成本明细'!U24+'成本明细'!G24*(E162-'参数'!$B$6)</x:f>
        <x:v>3434.2171199111117</x:v>
      </x:c>
      <x:c r="H162" s="26" t="n">
        <x:f>'成本明细'!U30</x:f>
        <x:v>3826.729582826667</x:v>
      </x:c>
      <x:c r="I162" s="26" t="n">
        <x:f>'成本明细'!V30</x:f>
        <x:v>7336.5</x:v>
      </x:c>
      <x:c r="J162" s="22" t="n">
        <x:f>'参数'!$B$9</x:f>
        <x:v>300</x:v>
      </x:c>
      <x:c r="K162" s="26" t="n">
        <x:f>J162*(G162-H162)-I162*ROUNDUP(J162/F162,0)</x:f>
        <x:v>-191118.73887466657</x:v>
      </x:c>
      <x:c r="L162" s="10" t="str">
        <x:f>IF(G162-H162&lt;=0,"未回本",IF(ROUNDUP(I162/(G162-H162),0)&gt;MIN(F162,J162),"未回本",MAX(1,ROUNDUP(I162/(G162-H162),0))))</x:f>
        <x:v>未回本</x:v>
      </x:c>
    </x:row>
    <x:row r="163" ht="22" customHeight="1">
      <x:c r="A163" s="11" t="str">
        <x:v>lade_0823_20aoi</x:v>
      </x:c>
      <x:c r="B163" s="10" t="n">
        <x:v>20</x:v>
      </x:c>
      <x:c r="C163" s="10" t="n">
        <x:v>42</x:v>
      </x:c>
      <x:c r="D163" s="10" t="str">
        <x:v>M2 / M4</x:v>
      </x:c>
      <x:c r="E163" s="16" t="n">
        <x:v>5</x:v>
      </x:c>
      <x:c r="F163" s="14" t="n">
        <x:v>30</x:v>
      </x:c>
      <x:c r="G163" s="26" t="n">
        <x:f>'成本明细'!U27+'成本明细'!G27*(E163-'参数'!$B$6)</x:f>
        <x:v>3002.463022416111</x:v>
      </x:c>
      <x:c r="H163" s="26" t="n">
        <x:f>'成本明细'!U33</x:f>
        <x:v>3787.5261378683335</x:v>
      </x:c>
      <x:c r="I163" s="26" t="n">
        <x:f>'成本明细'!V33</x:f>
        <x:v>7336.5</x:v>
      </x:c>
      <x:c r="J163" s="22" t="n">
        <x:f>'参数'!$B$9</x:f>
        <x:v>300</x:v>
      </x:c>
      <x:c r="K163" s="26" t="n">
        <x:f>J163*(G163-H163)-I163*ROUNDUP(J163/F163,0)</x:f>
        <x:v>-308883.9346356668</x:v>
      </x:c>
      <x:c r="L163" s="10" t="str">
        <x:f>IF(G163-H163&lt;=0,"未回本",IF(ROUNDUP(I163/(G163-H163),0)&gt;MIN(F163,J163),"未回本",MAX(1,ROUNDUP(I163/(G163-H163),0))))</x:f>
        <x:v>未回本</x:v>
      </x:c>
    </x:row>
    <x:row r="164" ht="22" customHeight="1">
      <x:c r="A164" s="11" t="str">
        <x:v>lade_0823_20aoi</x:v>
      </x:c>
      <x:c r="B164" s="10" t="n">
        <x:v>20</x:v>
      </x:c>
      <x:c r="C164" s="10" t="n">
        <x:v>42</x:v>
      </x:c>
      <x:c r="D164" s="10" t="str">
        <x:v>M1 / M3</x:v>
      </x:c>
      <x:c r="E164" s="16" t="n">
        <x:v>5</x:v>
      </x:c>
      <x:c r="F164" s="14" t="n">
        <x:v>50</x:v>
      </x:c>
      <x:c r="G164" s="26" t="n">
        <x:f>'成本明细'!U24+'成本明细'!G24*(E164-'参数'!$B$6)</x:f>
        <x:v>3434.2171199111117</x:v>
      </x:c>
      <x:c r="H164" s="26" t="n">
        <x:f>'成本明细'!U30</x:f>
        <x:v>3826.729582826667</x:v>
      </x:c>
      <x:c r="I164" s="26" t="n">
        <x:f>'成本明细'!V30</x:f>
        <x:v>7336.5</x:v>
      </x:c>
      <x:c r="J164" s="22" t="n">
        <x:f>'参数'!$B$9</x:f>
        <x:v>300</x:v>
      </x:c>
      <x:c r="K164" s="26" t="n">
        <x:f>J164*(G164-H164)-I164*ROUNDUP(J164/F164,0)</x:f>
        <x:v>-161772.73887466657</x:v>
      </x:c>
      <x:c r="L164" s="10" t="str">
        <x:f>IF(G164-H164&lt;=0,"未回本",IF(ROUNDUP(I164/(G164-H164),0)&gt;MIN(F164,J164),"未回本",MAX(1,ROUNDUP(I164/(G164-H164),0))))</x:f>
        <x:v>未回本</x:v>
      </x:c>
    </x:row>
    <x:row r="165" ht="22" customHeight="1">
      <x:c r="A165" s="11" t="str">
        <x:v>lade_0823_20aoi</x:v>
      </x:c>
      <x:c r="B165" s="10" t="n">
        <x:v>20</x:v>
      </x:c>
      <x:c r="C165" s="10" t="n">
        <x:v>42</x:v>
      </x:c>
      <x:c r="D165" s="10" t="str">
        <x:v>M2 / M4</x:v>
      </x:c>
      <x:c r="E165" s="16" t="n">
        <x:v>5</x:v>
      </x:c>
      <x:c r="F165" s="14" t="n">
        <x:v>50</x:v>
      </x:c>
      <x:c r="G165" s="26" t="n">
        <x:f>'成本明细'!U27+'成本明细'!G27*(E165-'参数'!$B$6)</x:f>
        <x:v>3002.463022416111</x:v>
      </x:c>
      <x:c r="H165" s="26" t="n">
        <x:f>'成本明细'!U33</x:f>
        <x:v>3787.5261378683335</x:v>
      </x:c>
      <x:c r="I165" s="26" t="n">
        <x:f>'成本明细'!V33</x:f>
        <x:v>7336.5</x:v>
      </x:c>
      <x:c r="J165" s="22" t="n">
        <x:f>'参数'!$B$9</x:f>
        <x:v>300</x:v>
      </x:c>
      <x:c r="K165" s="26" t="n">
        <x:f>J165*(G165-H165)-I165*ROUNDUP(J165/F165,0)</x:f>
        <x:v>-279537.9346356668</x:v>
      </x:c>
      <x:c r="L165" s="10" t="str">
        <x:f>IF(G165-H165&lt;=0,"未回本",IF(ROUNDUP(I165/(G165-H165),0)&gt;MIN(F165,J165),"未回本",MAX(1,ROUNDUP(I165/(G165-H165),0))))</x:f>
        <x:v>未回本</x:v>
      </x:c>
    </x:row>
    <x:row r="166" ht="22" customHeight="1">
      <x:c r="A166" s="11" t="str">
        <x:v>lade_0823_20aoi</x:v>
      </x:c>
      <x:c r="B166" s="10" t="n">
        <x:v>20</x:v>
      </x:c>
      <x:c r="C166" s="10" t="n">
        <x:v>43</x:v>
      </x:c>
      <x:c r="D166" s="10" t="str">
        <x:v>M1 / M3</x:v>
      </x:c>
      <x:c r="E166" s="16" t="n">
        <x:v>1</x:v>
      </x:c>
      <x:c r="F166" s="14" t="n">
        <x:v>10</x:v>
      </x:c>
      <x:c r="G166" s="26" t="n">
        <x:f>'成本明细'!U25+'成本明细'!G25*(E166-'参数'!$B$6)</x:f>
        <x:v>2630.303355891111</x:v>
      </x:c>
      <x:c r="H166" s="26" t="n">
        <x:f>'成本明细'!U31</x:f>
        <x:v>3826.729582826667</x:v>
      </x:c>
      <x:c r="I166" s="26" t="n">
        <x:f>'成本明细'!V31</x:f>
        <x:v>7336.5</x:v>
      </x:c>
      <x:c r="J166" s="22" t="n">
        <x:f>'参数'!$B$9</x:f>
        <x:v>300</x:v>
      </x:c>
      <x:c r="K166" s="26" t="n">
        <x:f>J166*(G166-H166)-I166*ROUNDUP(J166/F166,0)</x:f>
        <x:v>-579022.8680806668</x:v>
      </x:c>
      <x:c r="L166" s="10" t="str">
        <x:f>IF(G166-H166&lt;=0,"未回本",IF(ROUNDUP(I166/(G166-H166),0)&gt;MIN(F166,J166),"未回本",MAX(1,ROUNDUP(I166/(G166-H166),0))))</x:f>
        <x:v>未回本</x:v>
      </x:c>
    </x:row>
    <x:row r="167" ht="22" customHeight="1">
      <x:c r="A167" s="11" t="str">
        <x:v>lade_0823_20aoi</x:v>
      </x:c>
      <x:c r="B167" s="10" t="n">
        <x:v>20</x:v>
      </x:c>
      <x:c r="C167" s="10" t="n">
        <x:v>43</x:v>
      </x:c>
      <x:c r="D167" s="10" t="str">
        <x:v>M2 / M4</x:v>
      </x:c>
      <x:c r="E167" s="16" t="n">
        <x:v>1</x:v>
      </x:c>
      <x:c r="F167" s="14" t="n">
        <x:v>10</x:v>
      </x:c>
      <x:c r="G167" s="26" t="n">
        <x:f>'成本明细'!U28+'成本明细'!G28*(E167-'参数'!$B$6)</x:f>
        <x:v>2365.1697083127774</x:v>
      </x:c>
      <x:c r="H167" s="26" t="n">
        <x:f>'成本明细'!U34</x:f>
        <x:v>3318.1709303688885</x:v>
      </x:c>
      <x:c r="I167" s="26" t="n">
        <x:f>'成本明细'!V34</x:f>
        <x:v>7336.5</x:v>
      </x:c>
      <x:c r="J167" s="22" t="n">
        <x:f>'参数'!$B$9</x:f>
        <x:v>300</x:v>
      </x:c>
      <x:c r="K167" s="26" t="n">
        <x:f>J167*(G167-H167)-I167*ROUNDUP(J167/F167,0)</x:f>
        <x:v>-505995.3666168334</x:v>
      </x:c>
      <x:c r="L167" s="10" t="str">
        <x:f>IF(G167-H167&lt;=0,"未回本",IF(ROUNDUP(I167/(G167-H167),0)&gt;MIN(F167,J167),"未回本",MAX(1,ROUNDUP(I167/(G167-H167),0))))</x:f>
        <x:v>未回本</x:v>
      </x:c>
    </x:row>
    <x:row r="168" ht="22" customHeight="1">
      <x:c r="A168" s="11" t="str">
        <x:v>lade_0823_20aoi</x:v>
      </x:c>
      <x:c r="B168" s="10" t="n">
        <x:v>20</x:v>
      </x:c>
      <x:c r="C168" s="10" t="n">
        <x:v>43</x:v>
      </x:c>
      <x:c r="D168" s="10" t="str">
        <x:v>M1 / M3</x:v>
      </x:c>
      <x:c r="E168" s="16" t="n">
        <x:v>1</x:v>
      </x:c>
      <x:c r="F168" s="14" t="n">
        <x:v>20</x:v>
      </x:c>
      <x:c r="G168" s="26" t="n">
        <x:f>'成本明细'!U25+'成本明细'!G25*(E168-'参数'!$B$6)</x:f>
        <x:v>2630.303355891111</x:v>
      </x:c>
      <x:c r="H168" s="26" t="n">
        <x:f>'成本明细'!U31</x:f>
        <x:v>3826.729582826667</x:v>
      </x:c>
      <x:c r="I168" s="26" t="n">
        <x:f>'成本明细'!V31</x:f>
        <x:v>7336.5</x:v>
      </x:c>
      <x:c r="J168" s="22" t="n">
        <x:f>'参数'!$B$9</x:f>
        <x:v>300</x:v>
      </x:c>
      <x:c r="K168" s="26" t="n">
        <x:f>J168*(G168-H168)-I168*ROUNDUP(J168/F168,0)</x:f>
        <x:v>-468975.36808066675</x:v>
      </x:c>
      <x:c r="L168" s="10" t="str">
        <x:f>IF(G168-H168&lt;=0,"未回本",IF(ROUNDUP(I168/(G168-H168),0)&gt;MIN(F168,J168),"未回本",MAX(1,ROUNDUP(I168/(G168-H168),0))))</x:f>
        <x:v>未回本</x:v>
      </x:c>
    </x:row>
    <x:row r="169" ht="22" customHeight="1">
      <x:c r="A169" s="11" t="str">
        <x:v>lade_0823_20aoi</x:v>
      </x:c>
      <x:c r="B169" s="10" t="n">
        <x:v>20</x:v>
      </x:c>
      <x:c r="C169" s="10" t="n">
        <x:v>43</x:v>
      </x:c>
      <x:c r="D169" s="10" t="str">
        <x:v>M2 / M4</x:v>
      </x:c>
      <x:c r="E169" s="16" t="n">
        <x:v>1</x:v>
      </x:c>
      <x:c r="F169" s="14" t="n">
        <x:v>20</x:v>
      </x:c>
      <x:c r="G169" s="26" t="n">
        <x:f>'成本明细'!U28+'成本明细'!G28*(E169-'参数'!$B$6)</x:f>
        <x:v>2365.1697083127774</x:v>
      </x:c>
      <x:c r="H169" s="26" t="n">
        <x:f>'成本明细'!U34</x:f>
        <x:v>3318.1709303688885</x:v>
      </x:c>
      <x:c r="I169" s="26" t="n">
        <x:f>'成本明细'!V34</x:f>
        <x:v>7336.5</x:v>
      </x:c>
      <x:c r="J169" s="22" t="n">
        <x:f>'参数'!$B$9</x:f>
        <x:v>300</x:v>
      </x:c>
      <x:c r="K169" s="26" t="n">
        <x:f>J169*(G169-H169)-I169*ROUNDUP(J169/F169,0)</x:f>
        <x:v>-395947.8666168334</x:v>
      </x:c>
      <x:c r="L169" s="10" t="str">
        <x:f>IF(G169-H169&lt;=0,"未回本",IF(ROUNDUP(I169/(G169-H169),0)&gt;MIN(F169,J169),"未回本",MAX(1,ROUNDUP(I169/(G169-H169),0))))</x:f>
        <x:v>未回本</x:v>
      </x:c>
    </x:row>
    <x:row r="170" ht="22" customHeight="1">
      <x:c r="A170" s="11" t="str">
        <x:v>lade_0823_20aoi</x:v>
      </x:c>
      <x:c r="B170" s="10" t="n">
        <x:v>20</x:v>
      </x:c>
      <x:c r="C170" s="10" t="n">
        <x:v>43</x:v>
      </x:c>
      <x:c r="D170" s="10" t="str">
        <x:v>M1 / M3</x:v>
      </x:c>
      <x:c r="E170" s="16" t="n">
        <x:v>1</x:v>
      </x:c>
      <x:c r="F170" s="14" t="n">
        <x:v>30</x:v>
      </x:c>
      <x:c r="G170" s="26" t="n">
        <x:f>'成本明细'!U25+'成本明细'!G25*(E170-'参数'!$B$6)</x:f>
        <x:v>2630.303355891111</x:v>
      </x:c>
      <x:c r="H170" s="26" t="n">
        <x:f>'成本明细'!U31</x:f>
        <x:v>3826.729582826667</x:v>
      </x:c>
      <x:c r="I170" s="26" t="n">
        <x:f>'成本明细'!V31</x:f>
        <x:v>7336.5</x:v>
      </x:c>
      <x:c r="J170" s="22" t="n">
        <x:f>'参数'!$B$9</x:f>
        <x:v>300</x:v>
      </x:c>
      <x:c r="K170" s="26" t="n">
        <x:f>J170*(G170-H170)-I170*ROUNDUP(J170/F170,0)</x:f>
        <x:v>-432292.86808066675</x:v>
      </x:c>
      <x:c r="L170" s="10" t="str">
        <x:f>IF(G170-H170&lt;=0,"未回本",IF(ROUNDUP(I170/(G170-H170),0)&gt;MIN(F170,J170),"未回本",MAX(1,ROUNDUP(I170/(G170-H170),0))))</x:f>
        <x:v>未回本</x:v>
      </x:c>
    </x:row>
    <x:row r="171" ht="22" customHeight="1">
      <x:c r="A171" s="11" t="str">
        <x:v>lade_0823_20aoi</x:v>
      </x:c>
      <x:c r="B171" s="10" t="n">
        <x:v>20</x:v>
      </x:c>
      <x:c r="C171" s="10" t="n">
        <x:v>43</x:v>
      </x:c>
      <x:c r="D171" s="10" t="str">
        <x:v>M2 / M4</x:v>
      </x:c>
      <x:c r="E171" s="16" t="n">
        <x:v>1</x:v>
      </x:c>
      <x:c r="F171" s="14" t="n">
        <x:v>30</x:v>
      </x:c>
      <x:c r="G171" s="26" t="n">
        <x:f>'成本明细'!U28+'成本明细'!G28*(E171-'参数'!$B$6)</x:f>
        <x:v>2365.1697083127774</x:v>
      </x:c>
      <x:c r="H171" s="26" t="n">
        <x:f>'成本明细'!U34</x:f>
        <x:v>3318.1709303688885</x:v>
      </x:c>
      <x:c r="I171" s="26" t="n">
        <x:f>'成本明细'!V34</x:f>
        <x:v>7336.5</x:v>
      </x:c>
      <x:c r="J171" s="22" t="n">
        <x:f>'参数'!$B$9</x:f>
        <x:v>300</x:v>
      </x:c>
      <x:c r="K171" s="26" t="n">
        <x:f>J171*(G171-H171)-I171*ROUNDUP(J171/F171,0)</x:f>
        <x:v>-359265.3666168334</x:v>
      </x:c>
      <x:c r="L171" s="10" t="str">
        <x:f>IF(G171-H171&lt;=0,"未回本",IF(ROUNDUP(I171/(G171-H171),0)&gt;MIN(F171,J171),"未回本",MAX(1,ROUNDUP(I171/(G171-H171),0))))</x:f>
        <x:v>未回本</x:v>
      </x:c>
    </x:row>
    <x:row r="172" ht="22" customHeight="1">
      <x:c r="A172" s="11" t="str">
        <x:v>lade_0823_20aoi</x:v>
      </x:c>
      <x:c r="B172" s="10" t="n">
        <x:v>20</x:v>
      </x:c>
      <x:c r="C172" s="10" t="n">
        <x:v>43</x:v>
      </x:c>
      <x:c r="D172" s="10" t="str">
        <x:v>M1 / M3</x:v>
      </x:c>
      <x:c r="E172" s="16" t="n">
        <x:v>1</x:v>
      </x:c>
      <x:c r="F172" s="14" t="n">
        <x:v>50</x:v>
      </x:c>
      <x:c r="G172" s="26" t="n">
        <x:f>'成本明细'!U25+'成本明细'!G25*(E172-'参数'!$B$6)</x:f>
        <x:v>2630.303355891111</x:v>
      </x:c>
      <x:c r="H172" s="26" t="n">
        <x:f>'成本明细'!U31</x:f>
        <x:v>3826.729582826667</x:v>
      </x:c>
      <x:c r="I172" s="26" t="n">
        <x:f>'成本明细'!V31</x:f>
        <x:v>7336.5</x:v>
      </x:c>
      <x:c r="J172" s="22" t="n">
        <x:f>'参数'!$B$9</x:f>
        <x:v>300</x:v>
      </x:c>
      <x:c r="K172" s="26" t="n">
        <x:f>J172*(G172-H172)-I172*ROUNDUP(J172/F172,0)</x:f>
        <x:v>-402946.86808066675</x:v>
      </x:c>
      <x:c r="L172" s="10" t="str">
        <x:f>IF(G172-H172&lt;=0,"未回本",IF(ROUNDUP(I172/(G172-H172),0)&gt;MIN(F172,J172),"未回本",MAX(1,ROUNDUP(I172/(G172-H172),0))))</x:f>
        <x:v>未回本</x:v>
      </x:c>
    </x:row>
    <x:row r="173" ht="22" customHeight="1">
      <x:c r="A173" s="11" t="str">
        <x:v>lade_0823_20aoi</x:v>
      </x:c>
      <x:c r="B173" s="10" t="n">
        <x:v>20</x:v>
      </x:c>
      <x:c r="C173" s="10" t="n">
        <x:v>43</x:v>
      </x:c>
      <x:c r="D173" s="10" t="str">
        <x:v>M2 / M4</x:v>
      </x:c>
      <x:c r="E173" s="16" t="n">
        <x:v>1</x:v>
      </x:c>
      <x:c r="F173" s="14" t="n">
        <x:v>50</x:v>
      </x:c>
      <x:c r="G173" s="26" t="n">
        <x:f>'成本明细'!U28+'成本明细'!G28*(E173-'参数'!$B$6)</x:f>
        <x:v>2365.1697083127774</x:v>
      </x:c>
      <x:c r="H173" s="26" t="n">
        <x:f>'成本明细'!U34</x:f>
        <x:v>3318.1709303688885</x:v>
      </x:c>
      <x:c r="I173" s="26" t="n">
        <x:f>'成本明细'!V34</x:f>
        <x:v>7336.5</x:v>
      </x:c>
      <x:c r="J173" s="22" t="n">
        <x:f>'参数'!$B$9</x:f>
        <x:v>300</x:v>
      </x:c>
      <x:c r="K173" s="26" t="n">
        <x:f>J173*(G173-H173)-I173*ROUNDUP(J173/F173,0)</x:f>
        <x:v>-329919.3666168334</x:v>
      </x:c>
      <x:c r="L173" s="10" t="str">
        <x:f>IF(G173-H173&lt;=0,"未回本",IF(ROUNDUP(I173/(G173-H173),0)&gt;MIN(F173,J173),"未回本",MAX(1,ROUNDUP(I173/(G173-H173),0))))</x:f>
        <x:v>未回本</x:v>
      </x:c>
    </x:row>
    <x:row r="174" ht="22" customHeight="1">
      <x:c r="A174" s="11" t="str">
        <x:v>lade_0823_20aoi</x:v>
      </x:c>
      <x:c r="B174" s="10" t="n">
        <x:v>20</x:v>
      </x:c>
      <x:c r="C174" s="10" t="n">
        <x:v>43</x:v>
      </x:c>
      <x:c r="D174" s="10" t="str">
        <x:v>M1 / M3</x:v>
      </x:c>
      <x:c r="E174" s="16" t="n">
        <x:v>2</x:v>
      </x:c>
      <x:c r="F174" s="14" t="n">
        <x:v>10</x:v>
      </x:c>
      <x:c r="G174" s="26" t="n">
        <x:f>'成本明细'!U25+'成本明细'!G25*(E174-'参数'!$B$6)</x:f>
        <x:v>2831.303355891111</x:v>
      </x:c>
      <x:c r="H174" s="26" t="n">
        <x:f>'成本明细'!U31</x:f>
        <x:v>3826.729582826667</x:v>
      </x:c>
      <x:c r="I174" s="26" t="n">
        <x:f>'成本明细'!V31</x:f>
        <x:v>7336.5</x:v>
      </x:c>
      <x:c r="J174" s="22" t="n">
        <x:f>'参数'!$B$9</x:f>
        <x:v>300</x:v>
      </x:c>
      <x:c r="K174" s="26" t="n">
        <x:f>J174*(G174-H174)-I174*ROUNDUP(J174/F174,0)</x:f>
        <x:v>-518722.86808066675</x:v>
      </x:c>
      <x:c r="L174" s="10" t="str">
        <x:f>IF(G174-H174&lt;=0,"未回本",IF(ROUNDUP(I174/(G174-H174),0)&gt;MIN(F174,J174),"未回本",MAX(1,ROUNDUP(I174/(G174-H174),0))))</x:f>
        <x:v>未回本</x:v>
      </x:c>
    </x:row>
    <x:row r="175" ht="22" customHeight="1">
      <x:c r="A175" s="11" t="str">
        <x:v>lade_0823_20aoi</x:v>
      </x:c>
      <x:c r="B175" s="10" t="n">
        <x:v>20</x:v>
      </x:c>
      <x:c r="C175" s="10" t="n">
        <x:v>43</x:v>
      </x:c>
      <x:c r="D175" s="10" t="str">
        <x:v>M2 / M4</x:v>
      </x:c>
      <x:c r="E175" s="16" t="n">
        <x:v>2</x:v>
      </x:c>
      <x:c r="F175" s="14" t="n">
        <x:v>10</x:v>
      </x:c>
      <x:c r="G175" s="26" t="n">
        <x:f>'成本明细'!U28+'成本明细'!G28*(E175-'参数'!$B$6)</x:f>
        <x:v>2566.1697083127774</x:v>
      </x:c>
      <x:c r="H175" s="26" t="n">
        <x:f>'成本明细'!U34</x:f>
        <x:v>3318.1709303688885</x:v>
      </x:c>
      <x:c r="I175" s="26" t="n">
        <x:f>'成本明细'!V34</x:f>
        <x:v>7336.5</x:v>
      </x:c>
      <x:c r="J175" s="22" t="n">
        <x:f>'参数'!$B$9</x:f>
        <x:v>300</x:v>
      </x:c>
      <x:c r="K175" s="26" t="n">
        <x:f>J175*(G175-H175)-I175*ROUNDUP(J175/F175,0)</x:f>
        <x:v>-445695.3666168334</x:v>
      </x:c>
      <x:c r="L175" s="10" t="str">
        <x:f>IF(G175-H175&lt;=0,"未回本",IF(ROUNDUP(I175/(G175-H175),0)&gt;MIN(F175,J175),"未回本",MAX(1,ROUNDUP(I175/(G175-H175),0))))</x:f>
        <x:v>未回本</x:v>
      </x:c>
    </x:row>
    <x:row r="176" ht="22" customHeight="1">
      <x:c r="A176" s="11" t="str">
        <x:v>lade_0823_20aoi</x:v>
      </x:c>
      <x:c r="B176" s="10" t="n">
        <x:v>20</x:v>
      </x:c>
      <x:c r="C176" s="10" t="n">
        <x:v>43</x:v>
      </x:c>
      <x:c r="D176" s="10" t="str">
        <x:v>M1 / M3</x:v>
      </x:c>
      <x:c r="E176" s="16" t="n">
        <x:v>2</x:v>
      </x:c>
      <x:c r="F176" s="14" t="n">
        <x:v>20</x:v>
      </x:c>
      <x:c r="G176" s="26" t="n">
        <x:f>'成本明细'!U25+'成本明细'!G25*(E176-'参数'!$B$6)</x:f>
        <x:v>2831.303355891111</x:v>
      </x:c>
      <x:c r="H176" s="26" t="n">
        <x:f>'成本明细'!U31</x:f>
        <x:v>3826.729582826667</x:v>
      </x:c>
      <x:c r="I176" s="26" t="n">
        <x:f>'成本明细'!V31</x:f>
        <x:v>7336.5</x:v>
      </x:c>
      <x:c r="J176" s="22" t="n">
        <x:f>'参数'!$B$9</x:f>
        <x:v>300</x:v>
      </x:c>
      <x:c r="K176" s="26" t="n">
        <x:f>J176*(G176-H176)-I176*ROUNDUP(J176/F176,0)</x:f>
        <x:v>-408675.36808066675</x:v>
      </x:c>
      <x:c r="L176" s="10" t="str">
        <x:f>IF(G176-H176&lt;=0,"未回本",IF(ROUNDUP(I176/(G176-H176),0)&gt;MIN(F176,J176),"未回本",MAX(1,ROUNDUP(I176/(G176-H176),0))))</x:f>
        <x:v>未回本</x:v>
      </x:c>
    </x:row>
    <x:row r="177" ht="22" customHeight="1">
      <x:c r="A177" s="11" t="str">
        <x:v>lade_0823_20aoi</x:v>
      </x:c>
      <x:c r="B177" s="10" t="n">
        <x:v>20</x:v>
      </x:c>
      <x:c r="C177" s="10" t="n">
        <x:v>43</x:v>
      </x:c>
      <x:c r="D177" s="10" t="str">
        <x:v>M2 / M4</x:v>
      </x:c>
      <x:c r="E177" s="16" t="n">
        <x:v>2</x:v>
      </x:c>
      <x:c r="F177" s="14" t="n">
        <x:v>20</x:v>
      </x:c>
      <x:c r="G177" s="26" t="n">
        <x:f>'成本明细'!U28+'成本明细'!G28*(E177-'参数'!$B$6)</x:f>
        <x:v>2566.1697083127774</x:v>
      </x:c>
      <x:c r="H177" s="26" t="n">
        <x:f>'成本明细'!U34</x:f>
        <x:v>3318.1709303688885</x:v>
      </x:c>
      <x:c r="I177" s="26" t="n">
        <x:f>'成本明细'!V34</x:f>
        <x:v>7336.5</x:v>
      </x:c>
      <x:c r="J177" s="22" t="n">
        <x:f>'参数'!$B$9</x:f>
        <x:v>300</x:v>
      </x:c>
      <x:c r="K177" s="26" t="n">
        <x:f>J177*(G177-H177)-I177*ROUNDUP(J177/F177,0)</x:f>
        <x:v>-335647.8666168334</x:v>
      </x:c>
      <x:c r="L177" s="10" t="str">
        <x:f>IF(G177-H177&lt;=0,"未回本",IF(ROUNDUP(I177/(G177-H177),0)&gt;MIN(F177,J177),"未回本",MAX(1,ROUNDUP(I177/(G177-H177),0))))</x:f>
        <x:v>未回本</x:v>
      </x:c>
    </x:row>
    <x:row r="178" ht="22" customHeight="1">
      <x:c r="A178" s="11" t="str">
        <x:v>lade_0823_20aoi</x:v>
      </x:c>
      <x:c r="B178" s="10" t="n">
        <x:v>20</x:v>
      </x:c>
      <x:c r="C178" s="10" t="n">
        <x:v>43</x:v>
      </x:c>
      <x:c r="D178" s="10" t="str">
        <x:v>M1 / M3</x:v>
      </x:c>
      <x:c r="E178" s="16" t="n">
        <x:v>2</x:v>
      </x:c>
      <x:c r="F178" s="14" t="n">
        <x:v>30</x:v>
      </x:c>
      <x:c r="G178" s="26" t="n">
        <x:f>'成本明细'!U25+'成本明细'!G25*(E178-'参数'!$B$6)</x:f>
        <x:v>2831.303355891111</x:v>
      </x:c>
      <x:c r="H178" s="26" t="n">
        <x:f>'成本明细'!U31</x:f>
        <x:v>3826.729582826667</x:v>
      </x:c>
      <x:c r="I178" s="26" t="n">
        <x:f>'成本明细'!V31</x:f>
        <x:v>7336.5</x:v>
      </x:c>
      <x:c r="J178" s="22" t="n">
        <x:f>'参数'!$B$9</x:f>
        <x:v>300</x:v>
      </x:c>
      <x:c r="K178" s="26" t="n">
        <x:f>J178*(G178-H178)-I178*ROUNDUP(J178/F178,0)</x:f>
        <x:v>-371992.86808066675</x:v>
      </x:c>
      <x:c r="L178" s="10" t="str">
        <x:f>IF(G178-H178&lt;=0,"未回本",IF(ROUNDUP(I178/(G178-H178),0)&gt;MIN(F178,J178),"未回本",MAX(1,ROUNDUP(I178/(G178-H178),0))))</x:f>
        <x:v>未回本</x:v>
      </x:c>
    </x:row>
    <x:row r="179" ht="22" customHeight="1">
      <x:c r="A179" s="11" t="str">
        <x:v>lade_0823_20aoi</x:v>
      </x:c>
      <x:c r="B179" s="10" t="n">
        <x:v>20</x:v>
      </x:c>
      <x:c r="C179" s="10" t="n">
        <x:v>43</x:v>
      </x:c>
      <x:c r="D179" s="10" t="str">
        <x:v>M2 / M4</x:v>
      </x:c>
      <x:c r="E179" s="16" t="n">
        <x:v>2</x:v>
      </x:c>
      <x:c r="F179" s="14" t="n">
        <x:v>30</x:v>
      </x:c>
      <x:c r="G179" s="26" t="n">
        <x:f>'成本明细'!U28+'成本明细'!G28*(E179-'参数'!$B$6)</x:f>
        <x:v>2566.1697083127774</x:v>
      </x:c>
      <x:c r="H179" s="26" t="n">
        <x:f>'成本明细'!U34</x:f>
        <x:v>3318.1709303688885</x:v>
      </x:c>
      <x:c r="I179" s="26" t="n">
        <x:f>'成本明细'!V34</x:f>
        <x:v>7336.5</x:v>
      </x:c>
      <x:c r="J179" s="22" t="n">
        <x:f>'参数'!$B$9</x:f>
        <x:v>300</x:v>
      </x:c>
      <x:c r="K179" s="26" t="n">
        <x:f>J179*(G179-H179)-I179*ROUNDUP(J179/F179,0)</x:f>
        <x:v>-298965.3666168334</x:v>
      </x:c>
      <x:c r="L179" s="10" t="str">
        <x:f>IF(G179-H179&lt;=0,"未回本",IF(ROUNDUP(I179/(G179-H179),0)&gt;MIN(F179,J179),"未回本",MAX(1,ROUNDUP(I179/(G179-H179),0))))</x:f>
        <x:v>未回本</x:v>
      </x:c>
    </x:row>
    <x:row r="180" ht="22" customHeight="1">
      <x:c r="A180" s="11" t="str">
        <x:v>lade_0823_20aoi</x:v>
      </x:c>
      <x:c r="B180" s="10" t="n">
        <x:v>20</x:v>
      </x:c>
      <x:c r="C180" s="10" t="n">
        <x:v>43</x:v>
      </x:c>
      <x:c r="D180" s="10" t="str">
        <x:v>M1 / M3</x:v>
      </x:c>
      <x:c r="E180" s="16" t="n">
        <x:v>2</x:v>
      </x:c>
      <x:c r="F180" s="14" t="n">
        <x:v>50</x:v>
      </x:c>
      <x:c r="G180" s="26" t="n">
        <x:f>'成本明细'!U25+'成本明细'!G25*(E180-'参数'!$B$6)</x:f>
        <x:v>2831.303355891111</x:v>
      </x:c>
      <x:c r="H180" s="26" t="n">
        <x:f>'成本明细'!U31</x:f>
        <x:v>3826.729582826667</x:v>
      </x:c>
      <x:c r="I180" s="26" t="n">
        <x:f>'成本明细'!V31</x:f>
        <x:v>7336.5</x:v>
      </x:c>
      <x:c r="J180" s="22" t="n">
        <x:f>'参数'!$B$9</x:f>
        <x:v>300</x:v>
      </x:c>
      <x:c r="K180" s="26" t="n">
        <x:f>J180*(G180-H180)-I180*ROUNDUP(J180/F180,0)</x:f>
        <x:v>-342646.86808066675</x:v>
      </x:c>
      <x:c r="L180" s="10" t="str">
        <x:f>IF(G180-H180&lt;=0,"未回本",IF(ROUNDUP(I180/(G180-H180),0)&gt;MIN(F180,J180),"未回本",MAX(1,ROUNDUP(I180/(G180-H180),0))))</x:f>
        <x:v>未回本</x:v>
      </x:c>
    </x:row>
    <x:row r="181" ht="22" customHeight="1">
      <x:c r="A181" s="11" t="str">
        <x:v>lade_0823_20aoi</x:v>
      </x:c>
      <x:c r="B181" s="10" t="n">
        <x:v>20</x:v>
      </x:c>
      <x:c r="C181" s="10" t="n">
        <x:v>43</x:v>
      </x:c>
      <x:c r="D181" s="10" t="str">
        <x:v>M2 / M4</x:v>
      </x:c>
      <x:c r="E181" s="16" t="n">
        <x:v>2</x:v>
      </x:c>
      <x:c r="F181" s="14" t="n">
        <x:v>50</x:v>
      </x:c>
      <x:c r="G181" s="26" t="n">
        <x:f>'成本明细'!U28+'成本明细'!G28*(E181-'参数'!$B$6)</x:f>
        <x:v>2566.1697083127774</x:v>
      </x:c>
      <x:c r="H181" s="26" t="n">
        <x:f>'成本明细'!U34</x:f>
        <x:v>3318.1709303688885</x:v>
      </x:c>
      <x:c r="I181" s="26" t="n">
        <x:f>'成本明细'!V34</x:f>
        <x:v>7336.5</x:v>
      </x:c>
      <x:c r="J181" s="22" t="n">
        <x:f>'参数'!$B$9</x:f>
        <x:v>300</x:v>
      </x:c>
      <x:c r="K181" s="26" t="n">
        <x:f>J181*(G181-H181)-I181*ROUNDUP(J181/F181,0)</x:f>
        <x:v>-269619.3666168334</x:v>
      </x:c>
      <x:c r="L181" s="10" t="str">
        <x:f>IF(G181-H181&lt;=0,"未回本",IF(ROUNDUP(I181/(G181-H181),0)&gt;MIN(F181,J181),"未回本",MAX(1,ROUNDUP(I181/(G181-H181),0))))</x:f>
        <x:v>未回本</x:v>
      </x:c>
    </x:row>
    <x:row r="182" ht="22" customHeight="1">
      <x:c r="A182" s="11" t="str">
        <x:v>lade_0823_20aoi</x:v>
      </x:c>
      <x:c r="B182" s="10" t="n">
        <x:v>20</x:v>
      </x:c>
      <x:c r="C182" s="10" t="n">
        <x:v>43</x:v>
      </x:c>
      <x:c r="D182" s="10" t="str">
        <x:v>M1 / M3</x:v>
      </x:c>
      <x:c r="E182" s="16" t="n">
        <x:v>3</x:v>
      </x:c>
      <x:c r="F182" s="14" t="n">
        <x:v>10</x:v>
      </x:c>
      <x:c r="G182" s="26" t="n">
        <x:f>'成本明细'!U25+'成本明细'!G25*(E182-'参数'!$B$6)</x:f>
        <x:v>3032.303355891111</x:v>
      </x:c>
      <x:c r="H182" s="26" t="n">
        <x:f>'成本明细'!U31</x:f>
        <x:v>3826.729582826667</x:v>
      </x:c>
      <x:c r="I182" s="26" t="n">
        <x:f>'成本明细'!V31</x:f>
        <x:v>7336.5</x:v>
      </x:c>
      <x:c r="J182" s="22" t="n">
        <x:f>'参数'!$B$9</x:f>
        <x:v>300</x:v>
      </x:c>
      <x:c r="K182" s="26" t="n">
        <x:f>J182*(G182-H182)-I182*ROUNDUP(J182/F182,0)</x:f>
        <x:v>-458422.86808066675</x:v>
      </x:c>
      <x:c r="L182" s="10" t="str">
        <x:f>IF(G182-H182&lt;=0,"未回本",IF(ROUNDUP(I182/(G182-H182),0)&gt;MIN(F182,J182),"未回本",MAX(1,ROUNDUP(I182/(G182-H182),0))))</x:f>
        <x:v>未回本</x:v>
      </x:c>
    </x:row>
    <x:row r="183" ht="22" customHeight="1">
      <x:c r="A183" s="11" t="str">
        <x:v>lade_0823_20aoi</x:v>
      </x:c>
      <x:c r="B183" s="10" t="n">
        <x:v>20</x:v>
      </x:c>
      <x:c r="C183" s="10" t="n">
        <x:v>43</x:v>
      </x:c>
      <x:c r="D183" s="10" t="str">
        <x:v>M2 / M4</x:v>
      </x:c>
      <x:c r="E183" s="16" t="n">
        <x:v>3</x:v>
      </x:c>
      <x:c r="F183" s="14" t="n">
        <x:v>10</x:v>
      </x:c>
      <x:c r="G183" s="26" t="n">
        <x:f>'成本明细'!U28+'成本明细'!G28*(E183-'参数'!$B$6)</x:f>
        <x:v>2767.1697083127774</x:v>
      </x:c>
      <x:c r="H183" s="26" t="n">
        <x:f>'成本明细'!U34</x:f>
        <x:v>3318.1709303688885</x:v>
      </x:c>
      <x:c r="I183" s="26" t="n">
        <x:f>'成本明细'!V34</x:f>
        <x:v>7336.5</x:v>
      </x:c>
      <x:c r="J183" s="22" t="n">
        <x:f>'参数'!$B$9</x:f>
        <x:v>300</x:v>
      </x:c>
      <x:c r="K183" s="26" t="n">
        <x:f>J183*(G183-H183)-I183*ROUNDUP(J183/F183,0)</x:f>
        <x:v>-385395.3666168334</x:v>
      </x:c>
      <x:c r="L183" s="10" t="str">
        <x:f>IF(G183-H183&lt;=0,"未回本",IF(ROUNDUP(I183/(G183-H183),0)&gt;MIN(F183,J183),"未回本",MAX(1,ROUNDUP(I183/(G183-H183),0))))</x:f>
        <x:v>未回本</x:v>
      </x:c>
    </x:row>
    <x:row r="184" ht="22" customHeight="1">
      <x:c r="A184" s="11" t="str">
        <x:v>lade_0823_20aoi</x:v>
      </x:c>
      <x:c r="B184" s="10" t="n">
        <x:v>20</x:v>
      </x:c>
      <x:c r="C184" s="10" t="n">
        <x:v>43</x:v>
      </x:c>
      <x:c r="D184" s="10" t="str">
        <x:v>M1 / M3</x:v>
      </x:c>
      <x:c r="E184" s="16" t="n">
        <x:v>3</x:v>
      </x:c>
      <x:c r="F184" s="14" t="n">
        <x:v>20</x:v>
      </x:c>
      <x:c r="G184" s="26" t="n">
        <x:f>'成本明细'!U25+'成本明细'!G25*(E184-'参数'!$B$6)</x:f>
        <x:v>3032.303355891111</x:v>
      </x:c>
      <x:c r="H184" s="26" t="n">
        <x:f>'成本明细'!U31</x:f>
        <x:v>3826.729582826667</x:v>
      </x:c>
      <x:c r="I184" s="26" t="n">
        <x:f>'成本明细'!V31</x:f>
        <x:v>7336.5</x:v>
      </x:c>
      <x:c r="J184" s="22" t="n">
        <x:f>'参数'!$B$9</x:f>
        <x:v>300</x:v>
      </x:c>
      <x:c r="K184" s="26" t="n">
        <x:f>J184*(G184-H184)-I184*ROUNDUP(J184/F184,0)</x:f>
        <x:v>-348375.36808066675</x:v>
      </x:c>
      <x:c r="L184" s="10" t="str">
        <x:f>IF(G184-H184&lt;=0,"未回本",IF(ROUNDUP(I184/(G184-H184),0)&gt;MIN(F184,J184),"未回本",MAX(1,ROUNDUP(I184/(G184-H184),0))))</x:f>
        <x:v>未回本</x:v>
      </x:c>
    </x:row>
    <x:row r="185" ht="22" customHeight="1">
      <x:c r="A185" s="11" t="str">
        <x:v>lade_0823_20aoi</x:v>
      </x:c>
      <x:c r="B185" s="10" t="n">
        <x:v>20</x:v>
      </x:c>
      <x:c r="C185" s="10" t="n">
        <x:v>43</x:v>
      </x:c>
      <x:c r="D185" s="10" t="str">
        <x:v>M2 / M4</x:v>
      </x:c>
      <x:c r="E185" s="16" t="n">
        <x:v>3</x:v>
      </x:c>
      <x:c r="F185" s="14" t="n">
        <x:v>20</x:v>
      </x:c>
      <x:c r="G185" s="26" t="n">
        <x:f>'成本明细'!U28+'成本明细'!G28*(E185-'参数'!$B$6)</x:f>
        <x:v>2767.1697083127774</x:v>
      </x:c>
      <x:c r="H185" s="26" t="n">
        <x:f>'成本明细'!U34</x:f>
        <x:v>3318.1709303688885</x:v>
      </x:c>
      <x:c r="I185" s="26" t="n">
        <x:f>'成本明细'!V34</x:f>
        <x:v>7336.5</x:v>
      </x:c>
      <x:c r="J185" s="22" t="n">
        <x:f>'参数'!$B$9</x:f>
        <x:v>300</x:v>
      </x:c>
      <x:c r="K185" s="26" t="n">
        <x:f>J185*(G185-H185)-I185*ROUNDUP(J185/F185,0)</x:f>
        <x:v>-275347.8666168334</x:v>
      </x:c>
      <x:c r="L185" s="10" t="str">
        <x:f>IF(G185-H185&lt;=0,"未回本",IF(ROUNDUP(I185/(G185-H185),0)&gt;MIN(F185,J185),"未回本",MAX(1,ROUNDUP(I185/(G185-H185),0))))</x:f>
        <x:v>未回本</x:v>
      </x:c>
    </x:row>
    <x:row r="186" ht="22" customHeight="1">
      <x:c r="A186" s="11" t="str">
        <x:v>lade_0823_20aoi</x:v>
      </x:c>
      <x:c r="B186" s="10" t="n">
        <x:v>20</x:v>
      </x:c>
      <x:c r="C186" s="10" t="n">
        <x:v>43</x:v>
      </x:c>
      <x:c r="D186" s="10" t="str">
        <x:v>M1 / M3</x:v>
      </x:c>
      <x:c r="E186" s="16" t="n">
        <x:v>3</x:v>
      </x:c>
      <x:c r="F186" s="14" t="n">
        <x:v>30</x:v>
      </x:c>
      <x:c r="G186" s="26" t="n">
        <x:f>'成本明细'!U25+'成本明细'!G25*(E186-'参数'!$B$6)</x:f>
        <x:v>3032.303355891111</x:v>
      </x:c>
      <x:c r="H186" s="26" t="n">
        <x:f>'成本明细'!U31</x:f>
        <x:v>3826.729582826667</x:v>
      </x:c>
      <x:c r="I186" s="26" t="n">
        <x:f>'成本明细'!V31</x:f>
        <x:v>7336.5</x:v>
      </x:c>
      <x:c r="J186" s="22" t="n">
        <x:f>'参数'!$B$9</x:f>
        <x:v>300</x:v>
      </x:c>
      <x:c r="K186" s="26" t="n">
        <x:f>J186*(G186-H186)-I186*ROUNDUP(J186/F186,0)</x:f>
        <x:v>-311692.86808066675</x:v>
      </x:c>
      <x:c r="L186" s="10" t="str">
        <x:f>IF(G186-H186&lt;=0,"未回本",IF(ROUNDUP(I186/(G186-H186),0)&gt;MIN(F186,J186),"未回本",MAX(1,ROUNDUP(I186/(G186-H186),0))))</x:f>
        <x:v>未回本</x:v>
      </x:c>
    </x:row>
    <x:row r="187" ht="22" customHeight="1">
      <x:c r="A187" s="11" t="str">
        <x:v>lade_0823_20aoi</x:v>
      </x:c>
      <x:c r="B187" s="10" t="n">
        <x:v>20</x:v>
      </x:c>
      <x:c r="C187" s="10" t="n">
        <x:v>43</x:v>
      </x:c>
      <x:c r="D187" s="10" t="str">
        <x:v>M2 / M4</x:v>
      </x:c>
      <x:c r="E187" s="16" t="n">
        <x:v>3</x:v>
      </x:c>
      <x:c r="F187" s="14" t="n">
        <x:v>30</x:v>
      </x:c>
      <x:c r="G187" s="26" t="n">
        <x:f>'成本明细'!U28+'成本明细'!G28*(E187-'参数'!$B$6)</x:f>
        <x:v>2767.1697083127774</x:v>
      </x:c>
      <x:c r="H187" s="26" t="n">
        <x:f>'成本明细'!U34</x:f>
        <x:v>3318.1709303688885</x:v>
      </x:c>
      <x:c r="I187" s="26" t="n">
        <x:f>'成本明细'!V34</x:f>
        <x:v>7336.5</x:v>
      </x:c>
      <x:c r="J187" s="22" t="n">
        <x:f>'参数'!$B$9</x:f>
        <x:v>300</x:v>
      </x:c>
      <x:c r="K187" s="26" t="n">
        <x:f>J187*(G187-H187)-I187*ROUNDUP(J187/F187,0)</x:f>
        <x:v>-238665.36661683334</x:v>
      </x:c>
      <x:c r="L187" s="10" t="str">
        <x:f>IF(G187-H187&lt;=0,"未回本",IF(ROUNDUP(I187/(G187-H187),0)&gt;MIN(F187,J187),"未回本",MAX(1,ROUNDUP(I187/(G187-H187),0))))</x:f>
        <x:v>未回本</x:v>
      </x:c>
    </x:row>
    <x:row r="188" ht="22" customHeight="1">
      <x:c r="A188" s="11" t="str">
        <x:v>lade_0823_20aoi</x:v>
      </x:c>
      <x:c r="B188" s="10" t="n">
        <x:v>20</x:v>
      </x:c>
      <x:c r="C188" s="10" t="n">
        <x:v>43</x:v>
      </x:c>
      <x:c r="D188" s="10" t="str">
        <x:v>M1 / M3</x:v>
      </x:c>
      <x:c r="E188" s="16" t="n">
        <x:v>3</x:v>
      </x:c>
      <x:c r="F188" s="14" t="n">
        <x:v>50</x:v>
      </x:c>
      <x:c r="G188" s="26" t="n">
        <x:f>'成本明细'!U25+'成本明细'!G25*(E188-'参数'!$B$6)</x:f>
        <x:v>3032.303355891111</x:v>
      </x:c>
      <x:c r="H188" s="26" t="n">
        <x:f>'成本明细'!U31</x:f>
        <x:v>3826.729582826667</x:v>
      </x:c>
      <x:c r="I188" s="26" t="n">
        <x:f>'成本明细'!V31</x:f>
        <x:v>7336.5</x:v>
      </x:c>
      <x:c r="J188" s="22" t="n">
        <x:f>'参数'!$B$9</x:f>
        <x:v>300</x:v>
      </x:c>
      <x:c r="K188" s="26" t="n">
        <x:f>J188*(G188-H188)-I188*ROUNDUP(J188/F188,0)</x:f>
        <x:v>-282346.86808066675</x:v>
      </x:c>
      <x:c r="L188" s="10" t="str">
        <x:f>IF(G188-H188&lt;=0,"未回本",IF(ROUNDUP(I188/(G188-H188),0)&gt;MIN(F188,J188),"未回本",MAX(1,ROUNDUP(I188/(G188-H188),0))))</x:f>
        <x:v>未回本</x:v>
      </x:c>
    </x:row>
    <x:row r="189" ht="22" customHeight="1">
      <x:c r="A189" s="11" t="str">
        <x:v>lade_0823_20aoi</x:v>
      </x:c>
      <x:c r="B189" s="10" t="n">
        <x:v>20</x:v>
      </x:c>
      <x:c r="C189" s="10" t="n">
        <x:v>43</x:v>
      </x:c>
      <x:c r="D189" s="10" t="str">
        <x:v>M2 / M4</x:v>
      </x:c>
      <x:c r="E189" s="16" t="n">
        <x:v>3</x:v>
      </x:c>
      <x:c r="F189" s="14" t="n">
        <x:v>50</x:v>
      </x:c>
      <x:c r="G189" s="26" t="n">
        <x:f>'成本明细'!U28+'成本明细'!G28*(E189-'参数'!$B$6)</x:f>
        <x:v>2767.1697083127774</x:v>
      </x:c>
      <x:c r="H189" s="26" t="n">
        <x:f>'成本明细'!U34</x:f>
        <x:v>3318.1709303688885</x:v>
      </x:c>
      <x:c r="I189" s="26" t="n">
        <x:f>'成本明细'!V34</x:f>
        <x:v>7336.5</x:v>
      </x:c>
      <x:c r="J189" s="22" t="n">
        <x:f>'参数'!$B$9</x:f>
        <x:v>300</x:v>
      </x:c>
      <x:c r="K189" s="26" t="n">
        <x:f>J189*(G189-H189)-I189*ROUNDUP(J189/F189,0)</x:f>
        <x:v>-209319.36661683334</x:v>
      </x:c>
      <x:c r="L189" s="10" t="str">
        <x:f>IF(G189-H189&lt;=0,"未回本",IF(ROUNDUP(I189/(G189-H189),0)&gt;MIN(F189,J189),"未回本",MAX(1,ROUNDUP(I189/(G189-H189),0))))</x:f>
        <x:v>未回本</x:v>
      </x:c>
    </x:row>
    <x:row r="190" ht="22" customHeight="1">
      <x:c r="A190" s="11" t="str">
        <x:v>lade_0823_20aoi</x:v>
      </x:c>
      <x:c r="B190" s="10" t="n">
        <x:v>20</x:v>
      </x:c>
      <x:c r="C190" s="10" t="n">
        <x:v>43</x:v>
      </x:c>
      <x:c r="D190" s="10" t="str">
        <x:v>M1 / M3</x:v>
      </x:c>
      <x:c r="E190" s="16" t="n">
        <x:v>4</x:v>
      </x:c>
      <x:c r="F190" s="14" t="n">
        <x:v>10</x:v>
      </x:c>
      <x:c r="G190" s="26" t="n">
        <x:f>'成本明细'!U25+'成本明细'!G25*(E190-'参数'!$B$6)</x:f>
        <x:v>3233.303355891111</x:v>
      </x:c>
      <x:c r="H190" s="26" t="n">
        <x:f>'成本明细'!U31</x:f>
        <x:v>3826.729582826667</x:v>
      </x:c>
      <x:c r="I190" s="26" t="n">
        <x:f>'成本明细'!V31</x:f>
        <x:v>7336.5</x:v>
      </x:c>
      <x:c r="J190" s="22" t="n">
        <x:f>'参数'!$B$9</x:f>
        <x:v>300</x:v>
      </x:c>
      <x:c r="K190" s="26" t="n">
        <x:f>J190*(G190-H190)-I190*ROUNDUP(J190/F190,0)</x:f>
        <x:v>-398122.86808066675</x:v>
      </x:c>
      <x:c r="L190" s="10" t="str">
        <x:f>IF(G190-H190&lt;=0,"未回本",IF(ROUNDUP(I190/(G190-H190),0)&gt;MIN(F190,J190),"未回本",MAX(1,ROUNDUP(I190/(G190-H190),0))))</x:f>
        <x:v>未回本</x:v>
      </x:c>
    </x:row>
    <x:row r="191" ht="22" customHeight="1">
      <x:c r="A191" s="11" t="str">
        <x:v>lade_0823_20aoi</x:v>
      </x:c>
      <x:c r="B191" s="10" t="n">
        <x:v>20</x:v>
      </x:c>
      <x:c r="C191" s="10" t="n">
        <x:v>43</x:v>
      </x:c>
      <x:c r="D191" s="10" t="str">
        <x:v>M2 / M4</x:v>
      </x:c>
      <x:c r="E191" s="16" t="n">
        <x:v>4</x:v>
      </x:c>
      <x:c r="F191" s="14" t="n">
        <x:v>10</x:v>
      </x:c>
      <x:c r="G191" s="26" t="n">
        <x:f>'成本明细'!U28+'成本明细'!G28*(E191-'参数'!$B$6)</x:f>
        <x:v>2968.1697083127774</x:v>
      </x:c>
      <x:c r="H191" s="26" t="n">
        <x:f>'成本明细'!U34</x:f>
        <x:v>3318.1709303688885</x:v>
      </x:c>
      <x:c r="I191" s="26" t="n">
        <x:f>'成本明细'!V34</x:f>
        <x:v>7336.5</x:v>
      </x:c>
      <x:c r="J191" s="22" t="n">
        <x:f>'参数'!$B$9</x:f>
        <x:v>300</x:v>
      </x:c>
      <x:c r="K191" s="26" t="n">
        <x:f>J191*(G191-H191)-I191*ROUNDUP(J191/F191,0)</x:f>
        <x:v>-325095.3666168334</x:v>
      </x:c>
      <x:c r="L191" s="10" t="str">
        <x:f>IF(G191-H191&lt;=0,"未回本",IF(ROUNDUP(I191/(G191-H191),0)&gt;MIN(F191,J191),"未回本",MAX(1,ROUNDUP(I191/(G191-H191),0))))</x:f>
        <x:v>未回本</x:v>
      </x:c>
    </x:row>
    <x:row r="192" ht="22" customHeight="1">
      <x:c r="A192" s="11" t="str">
        <x:v>lade_0823_20aoi</x:v>
      </x:c>
      <x:c r="B192" s="10" t="n">
        <x:v>20</x:v>
      </x:c>
      <x:c r="C192" s="10" t="n">
        <x:v>43</x:v>
      </x:c>
      <x:c r="D192" s="10" t="str">
        <x:v>M1 / M3</x:v>
      </x:c>
      <x:c r="E192" s="16" t="n">
        <x:v>4</x:v>
      </x:c>
      <x:c r="F192" s="14" t="n">
        <x:v>20</x:v>
      </x:c>
      <x:c r="G192" s="26" t="n">
        <x:f>'成本明细'!U25+'成本明细'!G25*(E192-'参数'!$B$6)</x:f>
        <x:v>3233.303355891111</x:v>
      </x:c>
      <x:c r="H192" s="26" t="n">
        <x:f>'成本明细'!U31</x:f>
        <x:v>3826.729582826667</x:v>
      </x:c>
      <x:c r="I192" s="26" t="n">
        <x:f>'成本明细'!V31</x:f>
        <x:v>7336.5</x:v>
      </x:c>
      <x:c r="J192" s="22" t="n">
        <x:f>'参数'!$B$9</x:f>
        <x:v>300</x:v>
      </x:c>
      <x:c r="K192" s="26" t="n">
        <x:f>J192*(G192-H192)-I192*ROUNDUP(J192/F192,0)</x:f>
        <x:v>-288075.36808066675</x:v>
      </x:c>
      <x:c r="L192" s="10" t="str">
        <x:f>IF(G192-H192&lt;=0,"未回本",IF(ROUNDUP(I192/(G192-H192),0)&gt;MIN(F192,J192),"未回本",MAX(1,ROUNDUP(I192/(G192-H192),0))))</x:f>
        <x:v>未回本</x:v>
      </x:c>
    </x:row>
    <x:row r="193" ht="22" customHeight="1">
      <x:c r="A193" s="11" t="str">
        <x:v>lade_0823_20aoi</x:v>
      </x:c>
      <x:c r="B193" s="10" t="n">
        <x:v>20</x:v>
      </x:c>
      <x:c r="C193" s="10" t="n">
        <x:v>43</x:v>
      </x:c>
      <x:c r="D193" s="10" t="str">
        <x:v>M2 / M4</x:v>
      </x:c>
      <x:c r="E193" s="16" t="n">
        <x:v>4</x:v>
      </x:c>
      <x:c r="F193" s="14" t="n">
        <x:v>20</x:v>
      </x:c>
      <x:c r="G193" s="26" t="n">
        <x:f>'成本明细'!U28+'成本明细'!G28*(E193-'参数'!$B$6)</x:f>
        <x:v>2968.1697083127774</x:v>
      </x:c>
      <x:c r="H193" s="26" t="n">
        <x:f>'成本明细'!U34</x:f>
        <x:v>3318.1709303688885</x:v>
      </x:c>
      <x:c r="I193" s="26" t="n">
        <x:f>'成本明细'!V34</x:f>
        <x:v>7336.5</x:v>
      </x:c>
      <x:c r="J193" s="22" t="n">
        <x:f>'参数'!$B$9</x:f>
        <x:v>300</x:v>
      </x:c>
      <x:c r="K193" s="26" t="n">
        <x:f>J193*(G193-H193)-I193*ROUNDUP(J193/F193,0)</x:f>
        <x:v>-215047.86661683334</x:v>
      </x:c>
      <x:c r="L193" s="10" t="str">
        <x:f>IF(G193-H193&lt;=0,"未回本",IF(ROUNDUP(I193/(G193-H193),0)&gt;MIN(F193,J193),"未回本",MAX(1,ROUNDUP(I193/(G193-H193),0))))</x:f>
        <x:v>未回本</x:v>
      </x:c>
    </x:row>
    <x:row r="194" ht="22" customHeight="1">
      <x:c r="A194" s="11" t="str">
        <x:v>lade_0823_20aoi</x:v>
      </x:c>
      <x:c r="B194" s="10" t="n">
        <x:v>20</x:v>
      </x:c>
      <x:c r="C194" s="10" t="n">
        <x:v>43</x:v>
      </x:c>
      <x:c r="D194" s="10" t="str">
        <x:v>M1 / M3</x:v>
      </x:c>
      <x:c r="E194" s="16" t="n">
        <x:v>4</x:v>
      </x:c>
      <x:c r="F194" s="14" t="n">
        <x:v>30</x:v>
      </x:c>
      <x:c r="G194" s="26" t="n">
        <x:f>'成本明细'!U25+'成本明细'!G25*(E194-'参数'!$B$6)</x:f>
        <x:v>3233.303355891111</x:v>
      </x:c>
      <x:c r="H194" s="26" t="n">
        <x:f>'成本明细'!U31</x:f>
        <x:v>3826.729582826667</x:v>
      </x:c>
      <x:c r="I194" s="26" t="n">
        <x:f>'成本明细'!V31</x:f>
        <x:v>7336.5</x:v>
      </x:c>
      <x:c r="J194" s="22" t="n">
        <x:f>'参数'!$B$9</x:f>
        <x:v>300</x:v>
      </x:c>
      <x:c r="K194" s="26" t="n">
        <x:f>J194*(G194-H194)-I194*ROUNDUP(J194/F194,0)</x:f>
        <x:v>-251392.86808066675</x:v>
      </x:c>
      <x:c r="L194" s="10" t="str">
        <x:f>IF(G194-H194&lt;=0,"未回本",IF(ROUNDUP(I194/(G194-H194),0)&gt;MIN(F194,J194),"未回本",MAX(1,ROUNDUP(I194/(G194-H194),0))))</x:f>
        <x:v>未回本</x:v>
      </x:c>
    </x:row>
    <x:row r="195" ht="22" customHeight="1">
      <x:c r="A195" s="11" t="str">
        <x:v>lade_0823_20aoi</x:v>
      </x:c>
      <x:c r="B195" s="10" t="n">
        <x:v>20</x:v>
      </x:c>
      <x:c r="C195" s="10" t="n">
        <x:v>43</x:v>
      </x:c>
      <x:c r="D195" s="10" t="str">
        <x:v>M2 / M4</x:v>
      </x:c>
      <x:c r="E195" s="16" t="n">
        <x:v>4</x:v>
      </x:c>
      <x:c r="F195" s="14" t="n">
        <x:v>30</x:v>
      </x:c>
      <x:c r="G195" s="26" t="n">
        <x:f>'成本明细'!U28+'成本明细'!G28*(E195-'参数'!$B$6)</x:f>
        <x:v>2968.1697083127774</x:v>
      </x:c>
      <x:c r="H195" s="26" t="n">
        <x:f>'成本明细'!U34</x:f>
        <x:v>3318.1709303688885</x:v>
      </x:c>
      <x:c r="I195" s="26" t="n">
        <x:f>'成本明细'!V34</x:f>
        <x:v>7336.5</x:v>
      </x:c>
      <x:c r="J195" s="22" t="n">
        <x:f>'参数'!$B$9</x:f>
        <x:v>300</x:v>
      </x:c>
      <x:c r="K195" s="26" t="n">
        <x:f>J195*(G195-H195)-I195*ROUNDUP(J195/F195,0)</x:f>
        <x:v>-178365.36661683334</x:v>
      </x:c>
      <x:c r="L195" s="10" t="str">
        <x:f>IF(G195-H195&lt;=0,"未回本",IF(ROUNDUP(I195/(G195-H195),0)&gt;MIN(F195,J195),"未回本",MAX(1,ROUNDUP(I195/(G195-H195),0))))</x:f>
        <x:v>未回本</x:v>
      </x:c>
    </x:row>
    <x:row r="196" ht="22" customHeight="1">
      <x:c r="A196" s="11" t="str">
        <x:v>lade_0823_20aoi</x:v>
      </x:c>
      <x:c r="B196" s="10" t="n">
        <x:v>20</x:v>
      </x:c>
      <x:c r="C196" s="10" t="n">
        <x:v>43</x:v>
      </x:c>
      <x:c r="D196" s="10" t="str">
        <x:v>M1 / M3</x:v>
      </x:c>
      <x:c r="E196" s="16" t="n">
        <x:v>4</x:v>
      </x:c>
      <x:c r="F196" s="14" t="n">
        <x:v>50</x:v>
      </x:c>
      <x:c r="G196" s="26" t="n">
        <x:f>'成本明细'!U25+'成本明细'!G25*(E196-'参数'!$B$6)</x:f>
        <x:v>3233.303355891111</x:v>
      </x:c>
      <x:c r="H196" s="26" t="n">
        <x:f>'成本明细'!U31</x:f>
        <x:v>3826.729582826667</x:v>
      </x:c>
      <x:c r="I196" s="26" t="n">
        <x:f>'成本明细'!V31</x:f>
        <x:v>7336.5</x:v>
      </x:c>
      <x:c r="J196" s="22" t="n">
        <x:f>'参数'!$B$9</x:f>
        <x:v>300</x:v>
      </x:c>
      <x:c r="K196" s="26" t="n">
        <x:f>J196*(G196-H196)-I196*ROUNDUP(J196/F196,0)</x:f>
        <x:v>-222046.86808066675</x:v>
      </x:c>
      <x:c r="L196" s="10" t="str">
        <x:f>IF(G196-H196&lt;=0,"未回本",IF(ROUNDUP(I196/(G196-H196),0)&gt;MIN(F196,J196),"未回本",MAX(1,ROUNDUP(I196/(G196-H196),0))))</x:f>
        <x:v>未回本</x:v>
      </x:c>
    </x:row>
    <x:row r="197" ht="22" customHeight="1">
      <x:c r="A197" s="11" t="str">
        <x:v>lade_0823_20aoi</x:v>
      </x:c>
      <x:c r="B197" s="10" t="n">
        <x:v>20</x:v>
      </x:c>
      <x:c r="C197" s="10" t="n">
        <x:v>43</x:v>
      </x:c>
      <x:c r="D197" s="10" t="str">
        <x:v>M2 / M4</x:v>
      </x:c>
      <x:c r="E197" s="16" t="n">
        <x:v>4</x:v>
      </x:c>
      <x:c r="F197" s="14" t="n">
        <x:v>50</x:v>
      </x:c>
      <x:c r="G197" s="26" t="n">
        <x:f>'成本明细'!U28+'成本明细'!G28*(E197-'参数'!$B$6)</x:f>
        <x:v>2968.1697083127774</x:v>
      </x:c>
      <x:c r="H197" s="26" t="n">
        <x:f>'成本明细'!U34</x:f>
        <x:v>3318.1709303688885</x:v>
      </x:c>
      <x:c r="I197" s="26" t="n">
        <x:f>'成本明细'!V34</x:f>
        <x:v>7336.5</x:v>
      </x:c>
      <x:c r="J197" s="22" t="n">
        <x:f>'参数'!$B$9</x:f>
        <x:v>300</x:v>
      </x:c>
      <x:c r="K197" s="26" t="n">
        <x:f>J197*(G197-H197)-I197*ROUNDUP(J197/F197,0)</x:f>
        <x:v>-149019.36661683334</x:v>
      </x:c>
      <x:c r="L197" s="10" t="str">
        <x:f>IF(G197-H197&lt;=0,"未回本",IF(ROUNDUP(I197/(G197-H197),0)&gt;MIN(F197,J197),"未回本",MAX(1,ROUNDUP(I197/(G197-H197),0))))</x:f>
        <x:v>未回本</x:v>
      </x:c>
    </x:row>
    <x:row r="198" ht="22" customHeight="1">
      <x:c r="A198" s="11" t="str">
        <x:v>lade_0823_20aoi</x:v>
      </x:c>
      <x:c r="B198" s="10" t="n">
        <x:v>20</x:v>
      </x:c>
      <x:c r="C198" s="10" t="n">
        <x:v>43</x:v>
      </x:c>
      <x:c r="D198" s="10" t="str">
        <x:v>M1 / M3</x:v>
      </x:c>
      <x:c r="E198" s="16" t="n">
        <x:v>5</x:v>
      </x:c>
      <x:c r="F198" s="14" t="n">
        <x:v>10</x:v>
      </x:c>
      <x:c r="G198" s="26" t="n">
        <x:f>'成本明细'!U25+'成本明细'!G25*(E198-'参数'!$B$6)</x:f>
        <x:v>3434.303355891111</x:v>
      </x:c>
      <x:c r="H198" s="26" t="n">
        <x:f>'成本明细'!U31</x:f>
        <x:v>3826.729582826667</x:v>
      </x:c>
      <x:c r="I198" s="26" t="n">
        <x:f>'成本明细'!V31</x:f>
        <x:v>7336.5</x:v>
      </x:c>
      <x:c r="J198" s="22" t="n">
        <x:f>'参数'!$B$9</x:f>
        <x:v>300</x:v>
      </x:c>
      <x:c r="K198" s="26" t="n">
        <x:f>J198*(G198-H198)-I198*ROUNDUP(J198/F198,0)</x:f>
        <x:v>-337822.86808066675</x:v>
      </x:c>
      <x:c r="L198" s="10" t="str">
        <x:f>IF(G198-H198&lt;=0,"未回本",IF(ROUNDUP(I198/(G198-H198),0)&gt;MIN(F198,J198),"未回本",MAX(1,ROUNDUP(I198/(G198-H198),0))))</x:f>
        <x:v>未回本</x:v>
      </x:c>
    </x:row>
    <x:row r="199" ht="22" customHeight="1">
      <x:c r="A199" s="11" t="str">
        <x:v>lade_0823_20aoi</x:v>
      </x:c>
      <x:c r="B199" s="10" t="n">
        <x:v>20</x:v>
      </x:c>
      <x:c r="C199" s="10" t="n">
        <x:v>43</x:v>
      </x:c>
      <x:c r="D199" s="10" t="str">
        <x:v>M2 / M4</x:v>
      </x:c>
      <x:c r="E199" s="16" t="n">
        <x:v>5</x:v>
      </x:c>
      <x:c r="F199" s="14" t="n">
        <x:v>10</x:v>
      </x:c>
      <x:c r="G199" s="26" t="n">
        <x:f>'成本明细'!U28+'成本明细'!G28*(E199-'参数'!$B$6)</x:f>
        <x:v>3169.1697083127774</x:v>
      </x:c>
      <x:c r="H199" s="26" t="n">
        <x:f>'成本明细'!U34</x:f>
        <x:v>3318.1709303688885</x:v>
      </x:c>
      <x:c r="I199" s="26" t="n">
        <x:f>'成本明细'!V34</x:f>
        <x:v>7336.5</x:v>
      </x:c>
      <x:c r="J199" s="22" t="n">
        <x:f>'参数'!$B$9</x:f>
        <x:v>300</x:v>
      </x:c>
      <x:c r="K199" s="26" t="n">
        <x:f>J199*(G199-H199)-I199*ROUNDUP(J199/F199,0)</x:f>
        <x:v>-264795.3666168334</x:v>
      </x:c>
      <x:c r="L199" s="10" t="str">
        <x:f>IF(G199-H199&lt;=0,"未回本",IF(ROUNDUP(I199/(G199-H199),0)&gt;MIN(F199,J199),"未回本",MAX(1,ROUNDUP(I199/(G199-H199),0))))</x:f>
        <x:v>未回本</x:v>
      </x:c>
    </x:row>
    <x:row r="200" ht="22" customHeight="1">
      <x:c r="A200" s="11" t="str">
        <x:v>lade_0823_20aoi</x:v>
      </x:c>
      <x:c r="B200" s="10" t="n">
        <x:v>20</x:v>
      </x:c>
      <x:c r="C200" s="10" t="n">
        <x:v>43</x:v>
      </x:c>
      <x:c r="D200" s="10" t="str">
        <x:v>M1 / M3</x:v>
      </x:c>
      <x:c r="E200" s="16" t="n">
        <x:v>5</x:v>
      </x:c>
      <x:c r="F200" s="14" t="n">
        <x:v>20</x:v>
      </x:c>
      <x:c r="G200" s="26" t="n">
        <x:f>'成本明细'!U25+'成本明细'!G25*(E200-'参数'!$B$6)</x:f>
        <x:v>3434.303355891111</x:v>
      </x:c>
      <x:c r="H200" s="26" t="n">
        <x:f>'成本明细'!U31</x:f>
        <x:v>3826.729582826667</x:v>
      </x:c>
      <x:c r="I200" s="26" t="n">
        <x:f>'成本明细'!V31</x:f>
        <x:v>7336.5</x:v>
      </x:c>
      <x:c r="J200" s="22" t="n">
        <x:f>'参数'!$B$9</x:f>
        <x:v>300</x:v>
      </x:c>
      <x:c r="K200" s="26" t="n">
        <x:f>J200*(G200-H200)-I200*ROUNDUP(J200/F200,0)</x:f>
        <x:v>-227775.36808066675</x:v>
      </x:c>
      <x:c r="L200" s="10" t="str">
        <x:f>IF(G200-H200&lt;=0,"未回本",IF(ROUNDUP(I200/(G200-H200),0)&gt;MIN(F200,J200),"未回本",MAX(1,ROUNDUP(I200/(G200-H200),0))))</x:f>
        <x:v>未回本</x:v>
      </x:c>
    </x:row>
    <x:row r="201" ht="22" customHeight="1">
      <x:c r="A201" s="11" t="str">
        <x:v>lade_0823_20aoi</x:v>
      </x:c>
      <x:c r="B201" s="10" t="n">
        <x:v>20</x:v>
      </x:c>
      <x:c r="C201" s="10" t="n">
        <x:v>43</x:v>
      </x:c>
      <x:c r="D201" s="10" t="str">
        <x:v>M2 / M4</x:v>
      </x:c>
      <x:c r="E201" s="16" t="n">
        <x:v>5</x:v>
      </x:c>
      <x:c r="F201" s="14" t="n">
        <x:v>20</x:v>
      </x:c>
      <x:c r="G201" s="26" t="n">
        <x:f>'成本明细'!U28+'成本明细'!G28*(E201-'参数'!$B$6)</x:f>
        <x:v>3169.1697083127774</x:v>
      </x:c>
      <x:c r="H201" s="26" t="n">
        <x:f>'成本明细'!U34</x:f>
        <x:v>3318.1709303688885</x:v>
      </x:c>
      <x:c r="I201" s="26" t="n">
        <x:f>'成本明细'!V34</x:f>
        <x:v>7336.5</x:v>
      </x:c>
      <x:c r="J201" s="22" t="n">
        <x:f>'参数'!$B$9</x:f>
        <x:v>300</x:v>
      </x:c>
      <x:c r="K201" s="26" t="n">
        <x:f>J201*(G201-H201)-I201*ROUNDUP(J201/F201,0)</x:f>
        <x:v>-154747.86661683334</x:v>
      </x:c>
      <x:c r="L201" s="10" t="str">
        <x:f>IF(G201-H201&lt;=0,"未回本",IF(ROUNDUP(I201/(G201-H201),0)&gt;MIN(F201,J201),"未回本",MAX(1,ROUNDUP(I201/(G201-H201),0))))</x:f>
        <x:v>未回本</x:v>
      </x:c>
    </x:row>
    <x:row r="202" ht="22" customHeight="1">
      <x:c r="A202" s="11" t="str">
        <x:v>lade_0823_20aoi</x:v>
      </x:c>
      <x:c r="B202" s="10" t="n">
        <x:v>20</x:v>
      </x:c>
      <x:c r="C202" s="10" t="n">
        <x:v>43</x:v>
      </x:c>
      <x:c r="D202" s="10" t="str">
        <x:v>M1 / M3</x:v>
      </x:c>
      <x:c r="E202" s="16" t="n">
        <x:v>5</x:v>
      </x:c>
      <x:c r="F202" s="14" t="n">
        <x:v>30</x:v>
      </x:c>
      <x:c r="G202" s="26" t="n">
        <x:f>'成本明细'!U25+'成本明细'!G25*(E202-'参数'!$B$6)</x:f>
        <x:v>3434.303355891111</x:v>
      </x:c>
      <x:c r="H202" s="26" t="n">
        <x:f>'成本明细'!U31</x:f>
        <x:v>3826.729582826667</x:v>
      </x:c>
      <x:c r="I202" s="26" t="n">
        <x:f>'成本明细'!V31</x:f>
        <x:v>7336.5</x:v>
      </x:c>
      <x:c r="J202" s="22" t="n">
        <x:f>'参数'!$B$9</x:f>
        <x:v>300</x:v>
      </x:c>
      <x:c r="K202" s="26" t="n">
        <x:f>J202*(G202-H202)-I202*ROUNDUP(J202/F202,0)</x:f>
        <x:v>-191092.86808066675</x:v>
      </x:c>
      <x:c r="L202" s="10" t="str">
        <x:f>IF(G202-H202&lt;=0,"未回本",IF(ROUNDUP(I202/(G202-H202),0)&gt;MIN(F202,J202),"未回本",MAX(1,ROUNDUP(I202/(G202-H202),0))))</x:f>
        <x:v>未回本</x:v>
      </x:c>
    </x:row>
    <x:row r="203" ht="22" customHeight="1">
      <x:c r="A203" s="11" t="str">
        <x:v>lade_0823_20aoi</x:v>
      </x:c>
      <x:c r="B203" s="10" t="n">
        <x:v>20</x:v>
      </x:c>
      <x:c r="C203" s="10" t="n">
        <x:v>43</x:v>
      </x:c>
      <x:c r="D203" s="10" t="str">
        <x:v>M2 / M4</x:v>
      </x:c>
      <x:c r="E203" s="16" t="n">
        <x:v>5</x:v>
      </x:c>
      <x:c r="F203" s="14" t="n">
        <x:v>30</x:v>
      </x:c>
      <x:c r="G203" s="26" t="n">
        <x:f>'成本明细'!U28+'成本明细'!G28*(E203-'参数'!$B$6)</x:f>
        <x:v>3169.1697083127774</x:v>
      </x:c>
      <x:c r="H203" s="26" t="n">
        <x:f>'成本明细'!U34</x:f>
        <x:v>3318.1709303688885</x:v>
      </x:c>
      <x:c r="I203" s="26" t="n">
        <x:f>'成本明细'!V34</x:f>
        <x:v>7336.5</x:v>
      </x:c>
      <x:c r="J203" s="22" t="n">
        <x:f>'参数'!$B$9</x:f>
        <x:v>300</x:v>
      </x:c>
      <x:c r="K203" s="26" t="n">
        <x:f>J203*(G203-H203)-I203*ROUNDUP(J203/F203,0)</x:f>
        <x:v>-118065.36661683334</x:v>
      </x:c>
      <x:c r="L203" s="10" t="str">
        <x:f>IF(G203-H203&lt;=0,"未回本",IF(ROUNDUP(I203/(G203-H203),0)&gt;MIN(F203,J203),"未回本",MAX(1,ROUNDUP(I203/(G203-H203),0))))</x:f>
        <x:v>未回本</x:v>
      </x:c>
    </x:row>
    <x:row r="204" ht="22" customHeight="1">
      <x:c r="A204" s="11" t="str">
        <x:v>lade_0823_20aoi</x:v>
      </x:c>
      <x:c r="B204" s="10" t="n">
        <x:v>20</x:v>
      </x:c>
      <x:c r="C204" s="10" t="n">
        <x:v>43</x:v>
      </x:c>
      <x:c r="D204" s="10" t="str">
        <x:v>M1 / M3</x:v>
      </x:c>
      <x:c r="E204" s="16" t="n">
        <x:v>5</x:v>
      </x:c>
      <x:c r="F204" s="14" t="n">
        <x:v>50</x:v>
      </x:c>
      <x:c r="G204" s="26" t="n">
        <x:f>'成本明细'!U25+'成本明细'!G25*(E204-'参数'!$B$6)</x:f>
        <x:v>3434.303355891111</x:v>
      </x:c>
      <x:c r="H204" s="26" t="n">
        <x:f>'成本明细'!U31</x:f>
        <x:v>3826.729582826667</x:v>
      </x:c>
      <x:c r="I204" s="26" t="n">
        <x:f>'成本明细'!V31</x:f>
        <x:v>7336.5</x:v>
      </x:c>
      <x:c r="J204" s="22" t="n">
        <x:f>'参数'!$B$9</x:f>
        <x:v>300</x:v>
      </x:c>
      <x:c r="K204" s="26" t="n">
        <x:f>J204*(G204-H204)-I204*ROUNDUP(J204/F204,0)</x:f>
        <x:v>-161746.86808066675</x:v>
      </x:c>
      <x:c r="L204" s="10" t="str">
        <x:f>IF(G204-H204&lt;=0,"未回本",IF(ROUNDUP(I204/(G204-H204),0)&gt;MIN(F204,J204),"未回本",MAX(1,ROUNDUP(I204/(G204-H204),0))))</x:f>
        <x:v>未回本</x:v>
      </x:c>
    </x:row>
    <x:row r="205" ht="22" customHeight="1">
      <x:c r="A205" s="11" t="str">
        <x:v>lade_0823_20aoi</x:v>
      </x:c>
      <x:c r="B205" s="10" t="n">
        <x:v>20</x:v>
      </x:c>
      <x:c r="C205" s="10" t="n">
        <x:v>43</x:v>
      </x:c>
      <x:c r="D205" s="10" t="str">
        <x:v>M2 / M4</x:v>
      </x:c>
      <x:c r="E205" s="16" t="n">
        <x:v>5</x:v>
      </x:c>
      <x:c r="F205" s="14" t="n">
        <x:v>50</x:v>
      </x:c>
      <x:c r="G205" s="26" t="n">
        <x:f>'成本明细'!U28+'成本明细'!G28*(E205-'参数'!$B$6)</x:f>
        <x:v>3169.1697083127774</x:v>
      </x:c>
      <x:c r="H205" s="26" t="n">
        <x:f>'成本明细'!U34</x:f>
        <x:v>3318.1709303688885</x:v>
      </x:c>
      <x:c r="I205" s="26" t="n">
        <x:f>'成本明细'!V34</x:f>
        <x:v>7336.5</x:v>
      </x:c>
      <x:c r="J205" s="22" t="n">
        <x:f>'参数'!$B$9</x:f>
        <x:v>300</x:v>
      </x:c>
      <x:c r="K205" s="26" t="n">
        <x:f>J205*(G205-H205)-I205*ROUNDUP(J205/F205,0)</x:f>
        <x:v>-88719.36661683334</x:v>
      </x:c>
      <x:c r="L205" s="10" t="str">
        <x:f>IF(G205-H205&lt;=0,"未回本",IF(ROUNDUP(I205/(G205-H205),0)&gt;MIN(F205,J205),"未回本",MAX(1,ROUNDUP(I205/(G205-H205),0))))</x:f>
        <x:v>未回本</x:v>
      </x:c>
    </x:row>
    <x:row r="206" ht="22" customHeight="1">
      <x:c r="A206" s="11" t="str">
        <x:v>lade_0823_20aoi</x:v>
      </x:c>
      <x:c r="B206" s="10" t="n">
        <x:v>20</x:v>
      </x:c>
      <x:c r="C206" s="10" t="n">
        <x:v>44</x:v>
      </x:c>
      <x:c r="D206" s="10" t="str">
        <x:v>M1 / M3</x:v>
      </x:c>
      <x:c r="E206" s="16" t="n">
        <x:v>1</x:v>
      </x:c>
      <x:c r="F206" s="14" t="n">
        <x:v>10</x:v>
      </x:c>
      <x:c r="G206" s="26" t="n">
        <x:f>'成本明细'!U26+'成本明细'!G26*(E206-'参数'!$B$6)</x:f>
        <x:v>2630.2171199111117</x:v>
      </x:c>
      <x:c r="H206" s="26" t="n">
        <x:f>'成本明细'!U32</x:f>
        <x:v>3826.729582826667</x:v>
      </x:c>
      <x:c r="I206" s="26" t="n">
        <x:f>'成本明细'!V32</x:f>
        <x:v>7336.5</x:v>
      </x:c>
      <x:c r="J206" s="22" t="n">
        <x:f>'参数'!$B$9</x:f>
        <x:v>300</x:v>
      </x:c>
      <x:c r="K206" s="26" t="n">
        <x:f>J206*(G206-H206)-I206*ROUNDUP(J206/F206,0)</x:f>
        <x:v>-579048.7388746666</x:v>
      </x:c>
      <x:c r="L206" s="10" t="str">
        <x:f>IF(G206-H206&lt;=0,"未回本",IF(ROUNDUP(I206/(G206-H206),0)&gt;MIN(F206,J206),"未回本",MAX(1,ROUNDUP(I206/(G206-H206),0))))</x:f>
        <x:v>未回本</x:v>
      </x:c>
    </x:row>
    <x:row r="207" ht="22" customHeight="1">
      <x:c r="A207" s="11" t="str">
        <x:v>lade_0823_20aoi</x:v>
      </x:c>
      <x:c r="B207" s="10" t="n">
        <x:v>20</x:v>
      </x:c>
      <x:c r="C207" s="10" t="n">
        <x:v>44</x:v>
      </x:c>
      <x:c r="D207" s="10" t="str">
        <x:v>M2 / M4</x:v>
      </x:c>
      <x:c r="E207" s="16" t="n">
        <x:v>1</x:v>
      </x:c>
      <x:c r="F207" s="14" t="n">
        <x:v>10</x:v>
      </x:c>
      <x:c r="G207" s="26" t="n">
        <x:f>'成本明细'!U29+'成本明细'!G29*(E207-'参数'!$B$6)</x:f>
        <x:v>2202.471254093889</x:v>
      </x:c>
      <x:c r="H207" s="26" t="n">
        <x:f>'成本明细'!U35</x:f>
        <x:v>3638.3779388133335</x:v>
      </x:c>
      <x:c r="I207" s="26" t="n">
        <x:f>'成本明细'!V35</x:f>
        <x:v>7336.5</x:v>
      </x:c>
      <x:c r="J207" s="22" t="n">
        <x:f>'参数'!$B$9</x:f>
        <x:v>300</x:v>
      </x:c>
      <x:c r="K207" s="26" t="n">
        <x:f>J207*(G207-H207)-I207*ROUNDUP(J207/F207,0)</x:f>
        <x:v>-650867.0054158333</x:v>
      </x:c>
      <x:c r="L207" s="10" t="str">
        <x:f>IF(G207-H207&lt;=0,"未回本",IF(ROUNDUP(I207/(G207-H207),0)&gt;MIN(F207,J207),"未回本",MAX(1,ROUNDUP(I207/(G207-H207),0))))</x:f>
        <x:v>未回本</x:v>
      </x:c>
    </x:row>
    <x:row r="208" ht="22" customHeight="1">
      <x:c r="A208" s="11" t="str">
        <x:v>lade_0823_20aoi</x:v>
      </x:c>
      <x:c r="B208" s="10" t="n">
        <x:v>20</x:v>
      </x:c>
      <x:c r="C208" s="10" t="n">
        <x:v>44</x:v>
      </x:c>
      <x:c r="D208" s="10" t="str">
        <x:v>M1 / M3</x:v>
      </x:c>
      <x:c r="E208" s="16" t="n">
        <x:v>1</x:v>
      </x:c>
      <x:c r="F208" s="14" t="n">
        <x:v>20</x:v>
      </x:c>
      <x:c r="G208" s="26" t="n">
        <x:f>'成本明细'!U26+'成本明细'!G26*(E208-'参数'!$B$6)</x:f>
        <x:v>2630.2171199111117</x:v>
      </x:c>
      <x:c r="H208" s="26" t="n">
        <x:f>'成本明细'!U32</x:f>
        <x:v>3826.729582826667</x:v>
      </x:c>
      <x:c r="I208" s="26" t="n">
        <x:f>'成本明细'!V32</x:f>
        <x:v>7336.5</x:v>
      </x:c>
      <x:c r="J208" s="22" t="n">
        <x:f>'参数'!$B$9</x:f>
        <x:v>300</x:v>
      </x:c>
      <x:c r="K208" s="26" t="n">
        <x:f>J208*(G208-H208)-I208*ROUNDUP(J208/F208,0)</x:f>
        <x:v>-469001.23887466657</x:v>
      </x:c>
      <x:c r="L208" s="10" t="str">
        <x:f>IF(G208-H208&lt;=0,"未回本",IF(ROUNDUP(I208/(G208-H208),0)&gt;MIN(F208,J208),"未回本",MAX(1,ROUNDUP(I208/(G208-H208),0))))</x:f>
        <x:v>未回本</x:v>
      </x:c>
    </x:row>
    <x:row r="209" ht="22" customHeight="1">
      <x:c r="A209" s="11" t="str">
        <x:v>lade_0823_20aoi</x:v>
      </x:c>
      <x:c r="B209" s="10" t="n">
        <x:v>20</x:v>
      </x:c>
      <x:c r="C209" s="10" t="n">
        <x:v>44</x:v>
      </x:c>
      <x:c r="D209" s="10" t="str">
        <x:v>M2 / M4</x:v>
      </x:c>
      <x:c r="E209" s="16" t="n">
        <x:v>1</x:v>
      </x:c>
      <x:c r="F209" s="14" t="n">
        <x:v>20</x:v>
      </x:c>
      <x:c r="G209" s="26" t="n">
        <x:f>'成本明细'!U29+'成本明细'!G29*(E209-'参数'!$B$6)</x:f>
        <x:v>2202.471254093889</x:v>
      </x:c>
      <x:c r="H209" s="26" t="n">
        <x:f>'成本明细'!U35</x:f>
        <x:v>3638.3779388133335</x:v>
      </x:c>
      <x:c r="I209" s="26" t="n">
        <x:f>'成本明细'!V35</x:f>
        <x:v>7336.5</x:v>
      </x:c>
      <x:c r="J209" s="22" t="n">
        <x:f>'参数'!$B$9</x:f>
        <x:v>300</x:v>
      </x:c>
      <x:c r="K209" s="26" t="n">
        <x:f>J209*(G209-H209)-I209*ROUNDUP(J209/F209,0)</x:f>
        <x:v>-540819.5054158333</x:v>
      </x:c>
      <x:c r="L209" s="10" t="str">
        <x:f>IF(G209-H209&lt;=0,"未回本",IF(ROUNDUP(I209/(G209-H209),0)&gt;MIN(F209,J209),"未回本",MAX(1,ROUNDUP(I209/(G209-H209),0))))</x:f>
        <x:v>未回本</x:v>
      </x:c>
    </x:row>
    <x:row r="210" ht="22" customHeight="1">
      <x:c r="A210" s="11" t="str">
        <x:v>lade_0823_20aoi</x:v>
      </x:c>
      <x:c r="B210" s="10" t="n">
        <x:v>20</x:v>
      </x:c>
      <x:c r="C210" s="10" t="n">
        <x:v>44</x:v>
      </x:c>
      <x:c r="D210" s="10" t="str">
        <x:v>M1 / M3</x:v>
      </x:c>
      <x:c r="E210" s="16" t="n">
        <x:v>1</x:v>
      </x:c>
      <x:c r="F210" s="14" t="n">
        <x:v>30</x:v>
      </x:c>
      <x:c r="G210" s="26" t="n">
        <x:f>'成本明细'!U26+'成本明细'!G26*(E210-'参数'!$B$6)</x:f>
        <x:v>2630.2171199111117</x:v>
      </x:c>
      <x:c r="H210" s="26" t="n">
        <x:f>'成本明细'!U32</x:f>
        <x:v>3826.729582826667</x:v>
      </x:c>
      <x:c r="I210" s="26" t="n">
        <x:f>'成本明细'!V32</x:f>
        <x:v>7336.5</x:v>
      </x:c>
      <x:c r="J210" s="22" t="n">
        <x:f>'参数'!$B$9</x:f>
        <x:v>300</x:v>
      </x:c>
      <x:c r="K210" s="26" t="n">
        <x:f>J210*(G210-H210)-I210*ROUNDUP(J210/F210,0)</x:f>
        <x:v>-432318.73887466657</x:v>
      </x:c>
      <x:c r="L210" s="10" t="str">
        <x:f>IF(G210-H210&lt;=0,"未回本",IF(ROUNDUP(I210/(G210-H210),0)&gt;MIN(F210,J210),"未回本",MAX(1,ROUNDUP(I210/(G210-H210),0))))</x:f>
        <x:v>未回本</x:v>
      </x:c>
    </x:row>
    <x:row r="211" ht="22" customHeight="1">
      <x:c r="A211" s="11" t="str">
        <x:v>lade_0823_20aoi</x:v>
      </x:c>
      <x:c r="B211" s="10" t="n">
        <x:v>20</x:v>
      </x:c>
      <x:c r="C211" s="10" t="n">
        <x:v>44</x:v>
      </x:c>
      <x:c r="D211" s="10" t="str">
        <x:v>M2 / M4</x:v>
      </x:c>
      <x:c r="E211" s="16" t="n">
        <x:v>1</x:v>
      </x:c>
      <x:c r="F211" s="14" t="n">
        <x:v>30</x:v>
      </x:c>
      <x:c r="G211" s="26" t="n">
        <x:f>'成本明细'!U29+'成本明细'!G29*(E211-'参数'!$B$6)</x:f>
        <x:v>2202.471254093889</x:v>
      </x:c>
      <x:c r="H211" s="26" t="n">
        <x:f>'成本明细'!U35</x:f>
        <x:v>3638.3779388133335</x:v>
      </x:c>
      <x:c r="I211" s="26" t="n">
        <x:f>'成本明细'!V35</x:f>
        <x:v>7336.5</x:v>
      </x:c>
      <x:c r="J211" s="22" t="n">
        <x:f>'参数'!$B$9</x:f>
        <x:v>300</x:v>
      </x:c>
      <x:c r="K211" s="26" t="n">
        <x:f>J211*(G211-H211)-I211*ROUNDUP(J211/F211,0)</x:f>
        <x:v>-504137.0054158333</x:v>
      </x:c>
      <x:c r="L211" s="10" t="str">
        <x:f>IF(G211-H211&lt;=0,"未回本",IF(ROUNDUP(I211/(G211-H211),0)&gt;MIN(F211,J211),"未回本",MAX(1,ROUNDUP(I211/(G211-H211),0))))</x:f>
        <x:v>未回本</x:v>
      </x:c>
    </x:row>
    <x:row r="212" ht="22" customHeight="1">
      <x:c r="A212" s="11" t="str">
        <x:v>lade_0823_20aoi</x:v>
      </x:c>
      <x:c r="B212" s="10" t="n">
        <x:v>20</x:v>
      </x:c>
      <x:c r="C212" s="10" t="n">
        <x:v>44</x:v>
      </x:c>
      <x:c r="D212" s="10" t="str">
        <x:v>M1 / M3</x:v>
      </x:c>
      <x:c r="E212" s="16" t="n">
        <x:v>1</x:v>
      </x:c>
      <x:c r="F212" s="14" t="n">
        <x:v>50</x:v>
      </x:c>
      <x:c r="G212" s="26" t="n">
        <x:f>'成本明细'!U26+'成本明细'!G26*(E212-'参数'!$B$6)</x:f>
        <x:v>2630.2171199111117</x:v>
      </x:c>
      <x:c r="H212" s="26" t="n">
        <x:f>'成本明细'!U32</x:f>
        <x:v>3826.729582826667</x:v>
      </x:c>
      <x:c r="I212" s="26" t="n">
        <x:f>'成本明细'!V32</x:f>
        <x:v>7336.5</x:v>
      </x:c>
      <x:c r="J212" s="22" t="n">
        <x:f>'参数'!$B$9</x:f>
        <x:v>300</x:v>
      </x:c>
      <x:c r="K212" s="26" t="n">
        <x:f>J212*(G212-H212)-I212*ROUNDUP(J212/F212,0)</x:f>
        <x:v>-402972.73887466657</x:v>
      </x:c>
      <x:c r="L212" s="10" t="str">
        <x:f>IF(G212-H212&lt;=0,"未回本",IF(ROUNDUP(I212/(G212-H212),0)&gt;MIN(F212,J212),"未回本",MAX(1,ROUNDUP(I212/(G212-H212),0))))</x:f>
        <x:v>未回本</x:v>
      </x:c>
    </x:row>
    <x:row r="213" ht="22" customHeight="1">
      <x:c r="A213" s="11" t="str">
        <x:v>lade_0823_20aoi</x:v>
      </x:c>
      <x:c r="B213" s="10" t="n">
        <x:v>20</x:v>
      </x:c>
      <x:c r="C213" s="10" t="n">
        <x:v>44</x:v>
      </x:c>
      <x:c r="D213" s="10" t="str">
        <x:v>M2 / M4</x:v>
      </x:c>
      <x:c r="E213" s="16" t="n">
        <x:v>1</x:v>
      </x:c>
      <x:c r="F213" s="14" t="n">
        <x:v>50</x:v>
      </x:c>
      <x:c r="G213" s="26" t="n">
        <x:f>'成本明细'!U29+'成本明细'!G29*(E213-'参数'!$B$6)</x:f>
        <x:v>2202.471254093889</x:v>
      </x:c>
      <x:c r="H213" s="26" t="n">
        <x:f>'成本明细'!U35</x:f>
        <x:v>3638.3779388133335</x:v>
      </x:c>
      <x:c r="I213" s="26" t="n">
        <x:f>'成本明细'!V35</x:f>
        <x:v>7336.5</x:v>
      </x:c>
      <x:c r="J213" s="22" t="n">
        <x:f>'参数'!$B$9</x:f>
        <x:v>300</x:v>
      </x:c>
      <x:c r="K213" s="26" t="n">
        <x:f>J213*(G213-H213)-I213*ROUNDUP(J213/F213,0)</x:f>
        <x:v>-474791.0054158333</x:v>
      </x:c>
      <x:c r="L213" s="10" t="str">
        <x:f>IF(G213-H213&lt;=0,"未回本",IF(ROUNDUP(I213/(G213-H213),0)&gt;MIN(F213,J213),"未回本",MAX(1,ROUNDUP(I213/(G213-H213),0))))</x:f>
        <x:v>未回本</x:v>
      </x:c>
    </x:row>
    <x:row r="214" ht="22" customHeight="1">
      <x:c r="A214" s="11" t="str">
        <x:v>lade_0823_20aoi</x:v>
      </x:c>
      <x:c r="B214" s="10" t="n">
        <x:v>20</x:v>
      </x:c>
      <x:c r="C214" s="10" t="n">
        <x:v>44</x:v>
      </x:c>
      <x:c r="D214" s="10" t="str">
        <x:v>M1 / M3</x:v>
      </x:c>
      <x:c r="E214" s="16" t="n">
        <x:v>2</x:v>
      </x:c>
      <x:c r="F214" s="14" t="n">
        <x:v>10</x:v>
      </x:c>
      <x:c r="G214" s="26" t="n">
        <x:f>'成本明细'!U26+'成本明细'!G26*(E214-'参数'!$B$6)</x:f>
        <x:v>2831.2171199111117</x:v>
      </x:c>
      <x:c r="H214" s="26" t="n">
        <x:f>'成本明细'!U32</x:f>
        <x:v>3826.729582826667</x:v>
      </x:c>
      <x:c r="I214" s="26" t="n">
        <x:f>'成本明细'!V32</x:f>
        <x:v>7336.5</x:v>
      </x:c>
      <x:c r="J214" s="22" t="n">
        <x:f>'参数'!$B$9</x:f>
        <x:v>300</x:v>
      </x:c>
      <x:c r="K214" s="26" t="n">
        <x:f>J214*(G214-H214)-I214*ROUNDUP(J214/F214,0)</x:f>
        <x:v>-518748.73887466657</x:v>
      </x:c>
      <x:c r="L214" s="10" t="str">
        <x:f>IF(G214-H214&lt;=0,"未回本",IF(ROUNDUP(I214/(G214-H214),0)&gt;MIN(F214,J214),"未回本",MAX(1,ROUNDUP(I214/(G214-H214),0))))</x:f>
        <x:v>未回本</x:v>
      </x:c>
    </x:row>
    <x:row r="215" ht="22" customHeight="1">
      <x:c r="A215" s="11" t="str">
        <x:v>lade_0823_20aoi</x:v>
      </x:c>
      <x:c r="B215" s="10" t="n">
        <x:v>20</x:v>
      </x:c>
      <x:c r="C215" s="10" t="n">
        <x:v>44</x:v>
      </x:c>
      <x:c r="D215" s="10" t="str">
        <x:v>M2 / M4</x:v>
      </x:c>
      <x:c r="E215" s="16" t="n">
        <x:v>2</x:v>
      </x:c>
      <x:c r="F215" s="14" t="n">
        <x:v>10</x:v>
      </x:c>
      <x:c r="G215" s="26" t="n">
        <x:f>'成本明细'!U29+'成本明细'!G29*(E215-'参数'!$B$6)</x:f>
        <x:v>2403.471254093889</x:v>
      </x:c>
      <x:c r="H215" s="26" t="n">
        <x:f>'成本明细'!U35</x:f>
        <x:v>3638.3779388133335</x:v>
      </x:c>
      <x:c r="I215" s="26" t="n">
        <x:f>'成本明细'!V35</x:f>
        <x:v>7336.5</x:v>
      </x:c>
      <x:c r="J215" s="22" t="n">
        <x:f>'参数'!$B$9</x:f>
        <x:v>300</x:v>
      </x:c>
      <x:c r="K215" s="26" t="n">
        <x:f>J215*(G215-H215)-I215*ROUNDUP(J215/F215,0)</x:f>
        <x:v>-590567.0054158333</x:v>
      </x:c>
      <x:c r="L215" s="10" t="str">
        <x:f>IF(G215-H215&lt;=0,"未回本",IF(ROUNDUP(I215/(G215-H215),0)&gt;MIN(F215,J215),"未回本",MAX(1,ROUNDUP(I215/(G215-H215),0))))</x:f>
        <x:v>未回本</x:v>
      </x:c>
    </x:row>
    <x:row r="216" ht="22" customHeight="1">
      <x:c r="A216" s="11" t="str">
        <x:v>lade_0823_20aoi</x:v>
      </x:c>
      <x:c r="B216" s="10" t="n">
        <x:v>20</x:v>
      </x:c>
      <x:c r="C216" s="10" t="n">
        <x:v>44</x:v>
      </x:c>
      <x:c r="D216" s="10" t="str">
        <x:v>M1 / M3</x:v>
      </x:c>
      <x:c r="E216" s="16" t="n">
        <x:v>2</x:v>
      </x:c>
      <x:c r="F216" s="14" t="n">
        <x:v>20</x:v>
      </x:c>
      <x:c r="G216" s="26" t="n">
        <x:f>'成本明细'!U26+'成本明细'!G26*(E216-'参数'!$B$6)</x:f>
        <x:v>2831.2171199111117</x:v>
      </x:c>
      <x:c r="H216" s="26" t="n">
        <x:f>'成本明细'!U32</x:f>
        <x:v>3826.729582826667</x:v>
      </x:c>
      <x:c r="I216" s="26" t="n">
        <x:f>'成本明细'!V32</x:f>
        <x:v>7336.5</x:v>
      </x:c>
      <x:c r="J216" s="22" t="n">
        <x:f>'参数'!$B$9</x:f>
        <x:v>300</x:v>
      </x:c>
      <x:c r="K216" s="26" t="n">
        <x:f>J216*(G216-H216)-I216*ROUNDUP(J216/F216,0)</x:f>
        <x:v>-408701.23887466657</x:v>
      </x:c>
      <x:c r="L216" s="10" t="str">
        <x:f>IF(G216-H216&lt;=0,"未回本",IF(ROUNDUP(I216/(G216-H216),0)&gt;MIN(F216,J216),"未回本",MAX(1,ROUNDUP(I216/(G216-H216),0))))</x:f>
        <x:v>未回本</x:v>
      </x:c>
    </x:row>
    <x:row r="217" ht="22" customHeight="1">
      <x:c r="A217" s="11" t="str">
        <x:v>lade_0823_20aoi</x:v>
      </x:c>
      <x:c r="B217" s="10" t="n">
        <x:v>20</x:v>
      </x:c>
      <x:c r="C217" s="10" t="n">
        <x:v>44</x:v>
      </x:c>
      <x:c r="D217" s="10" t="str">
        <x:v>M2 / M4</x:v>
      </x:c>
      <x:c r="E217" s="16" t="n">
        <x:v>2</x:v>
      </x:c>
      <x:c r="F217" s="14" t="n">
        <x:v>20</x:v>
      </x:c>
      <x:c r="G217" s="26" t="n">
        <x:f>'成本明细'!U29+'成本明细'!G29*(E217-'参数'!$B$6)</x:f>
        <x:v>2403.471254093889</x:v>
      </x:c>
      <x:c r="H217" s="26" t="n">
        <x:f>'成本明细'!U35</x:f>
        <x:v>3638.3779388133335</x:v>
      </x:c>
      <x:c r="I217" s="26" t="n">
        <x:f>'成本明细'!V35</x:f>
        <x:v>7336.5</x:v>
      </x:c>
      <x:c r="J217" s="22" t="n">
        <x:f>'参数'!$B$9</x:f>
        <x:v>300</x:v>
      </x:c>
      <x:c r="K217" s="26" t="n">
        <x:f>J217*(G217-H217)-I217*ROUNDUP(J217/F217,0)</x:f>
        <x:v>-480519.5054158333</x:v>
      </x:c>
      <x:c r="L217" s="10" t="str">
        <x:f>IF(G217-H217&lt;=0,"未回本",IF(ROUNDUP(I217/(G217-H217),0)&gt;MIN(F217,J217),"未回本",MAX(1,ROUNDUP(I217/(G217-H217),0))))</x:f>
        <x:v>未回本</x:v>
      </x:c>
    </x:row>
    <x:row r="218" ht="22" customHeight="1">
      <x:c r="A218" s="11" t="str">
        <x:v>lade_0823_20aoi</x:v>
      </x:c>
      <x:c r="B218" s="10" t="n">
        <x:v>20</x:v>
      </x:c>
      <x:c r="C218" s="10" t="n">
        <x:v>44</x:v>
      </x:c>
      <x:c r="D218" s="10" t="str">
        <x:v>M1 / M3</x:v>
      </x:c>
      <x:c r="E218" s="16" t="n">
        <x:v>2</x:v>
      </x:c>
      <x:c r="F218" s="14" t="n">
        <x:v>30</x:v>
      </x:c>
      <x:c r="G218" s="26" t="n">
        <x:f>'成本明细'!U26+'成本明细'!G26*(E218-'参数'!$B$6)</x:f>
        <x:v>2831.2171199111117</x:v>
      </x:c>
      <x:c r="H218" s="26" t="n">
        <x:f>'成本明细'!U32</x:f>
        <x:v>3826.729582826667</x:v>
      </x:c>
      <x:c r="I218" s="26" t="n">
        <x:f>'成本明细'!V32</x:f>
        <x:v>7336.5</x:v>
      </x:c>
      <x:c r="J218" s="22" t="n">
        <x:f>'参数'!$B$9</x:f>
        <x:v>300</x:v>
      </x:c>
      <x:c r="K218" s="26" t="n">
        <x:f>J218*(G218-H218)-I218*ROUNDUP(J218/F218,0)</x:f>
        <x:v>-372018.73887466657</x:v>
      </x:c>
      <x:c r="L218" s="10" t="str">
        <x:f>IF(G218-H218&lt;=0,"未回本",IF(ROUNDUP(I218/(G218-H218),0)&gt;MIN(F218,J218),"未回本",MAX(1,ROUNDUP(I218/(G218-H218),0))))</x:f>
        <x:v>未回本</x:v>
      </x:c>
    </x:row>
    <x:row r="219" ht="22" customHeight="1">
      <x:c r="A219" s="11" t="str">
        <x:v>lade_0823_20aoi</x:v>
      </x:c>
      <x:c r="B219" s="10" t="n">
        <x:v>20</x:v>
      </x:c>
      <x:c r="C219" s="10" t="n">
        <x:v>44</x:v>
      </x:c>
      <x:c r="D219" s="10" t="str">
        <x:v>M2 / M4</x:v>
      </x:c>
      <x:c r="E219" s="16" t="n">
        <x:v>2</x:v>
      </x:c>
      <x:c r="F219" s="14" t="n">
        <x:v>30</x:v>
      </x:c>
      <x:c r="G219" s="26" t="n">
        <x:f>'成本明细'!U29+'成本明细'!G29*(E219-'参数'!$B$6)</x:f>
        <x:v>2403.471254093889</x:v>
      </x:c>
      <x:c r="H219" s="26" t="n">
        <x:f>'成本明细'!U35</x:f>
        <x:v>3638.3779388133335</x:v>
      </x:c>
      <x:c r="I219" s="26" t="n">
        <x:f>'成本明细'!V35</x:f>
        <x:v>7336.5</x:v>
      </x:c>
      <x:c r="J219" s="22" t="n">
        <x:f>'参数'!$B$9</x:f>
        <x:v>300</x:v>
      </x:c>
      <x:c r="K219" s="26" t="n">
        <x:f>J219*(G219-H219)-I219*ROUNDUP(J219/F219,0)</x:f>
        <x:v>-443837.0054158333</x:v>
      </x:c>
      <x:c r="L219" s="10" t="str">
        <x:f>IF(G219-H219&lt;=0,"未回本",IF(ROUNDUP(I219/(G219-H219),0)&gt;MIN(F219,J219),"未回本",MAX(1,ROUNDUP(I219/(G219-H219),0))))</x:f>
        <x:v>未回本</x:v>
      </x:c>
    </x:row>
    <x:row r="220" ht="22" customHeight="1">
      <x:c r="A220" s="11" t="str">
        <x:v>lade_0823_20aoi</x:v>
      </x:c>
      <x:c r="B220" s="10" t="n">
        <x:v>20</x:v>
      </x:c>
      <x:c r="C220" s="10" t="n">
        <x:v>44</x:v>
      </x:c>
      <x:c r="D220" s="10" t="str">
        <x:v>M1 / M3</x:v>
      </x:c>
      <x:c r="E220" s="16" t="n">
        <x:v>2</x:v>
      </x:c>
      <x:c r="F220" s="14" t="n">
        <x:v>50</x:v>
      </x:c>
      <x:c r="G220" s="26" t="n">
        <x:f>'成本明细'!U26+'成本明细'!G26*(E220-'参数'!$B$6)</x:f>
        <x:v>2831.2171199111117</x:v>
      </x:c>
      <x:c r="H220" s="26" t="n">
        <x:f>'成本明细'!U32</x:f>
        <x:v>3826.729582826667</x:v>
      </x:c>
      <x:c r="I220" s="26" t="n">
        <x:f>'成本明细'!V32</x:f>
        <x:v>7336.5</x:v>
      </x:c>
      <x:c r="J220" s="22" t="n">
        <x:f>'参数'!$B$9</x:f>
        <x:v>300</x:v>
      </x:c>
      <x:c r="K220" s="26" t="n">
        <x:f>J220*(G220-H220)-I220*ROUNDUP(J220/F220,0)</x:f>
        <x:v>-342672.73887466657</x:v>
      </x:c>
      <x:c r="L220" s="10" t="str">
        <x:f>IF(G220-H220&lt;=0,"未回本",IF(ROUNDUP(I220/(G220-H220),0)&gt;MIN(F220,J220),"未回本",MAX(1,ROUNDUP(I220/(G220-H220),0))))</x:f>
        <x:v>未回本</x:v>
      </x:c>
    </x:row>
    <x:row r="221" ht="22" customHeight="1">
      <x:c r="A221" s="11" t="str">
        <x:v>lade_0823_20aoi</x:v>
      </x:c>
      <x:c r="B221" s="10" t="n">
        <x:v>20</x:v>
      </x:c>
      <x:c r="C221" s="10" t="n">
        <x:v>44</x:v>
      </x:c>
      <x:c r="D221" s="10" t="str">
        <x:v>M2 / M4</x:v>
      </x:c>
      <x:c r="E221" s="16" t="n">
        <x:v>2</x:v>
      </x:c>
      <x:c r="F221" s="14" t="n">
        <x:v>50</x:v>
      </x:c>
      <x:c r="G221" s="26" t="n">
        <x:f>'成本明细'!U29+'成本明细'!G29*(E221-'参数'!$B$6)</x:f>
        <x:v>2403.471254093889</x:v>
      </x:c>
      <x:c r="H221" s="26" t="n">
        <x:f>'成本明细'!U35</x:f>
        <x:v>3638.3779388133335</x:v>
      </x:c>
      <x:c r="I221" s="26" t="n">
        <x:f>'成本明细'!V35</x:f>
        <x:v>7336.5</x:v>
      </x:c>
      <x:c r="J221" s="22" t="n">
        <x:f>'参数'!$B$9</x:f>
        <x:v>300</x:v>
      </x:c>
      <x:c r="K221" s="26" t="n">
        <x:f>J221*(G221-H221)-I221*ROUNDUP(J221/F221,0)</x:f>
        <x:v>-414491.0054158333</x:v>
      </x:c>
      <x:c r="L221" s="10" t="str">
        <x:f>IF(G221-H221&lt;=0,"未回本",IF(ROUNDUP(I221/(G221-H221),0)&gt;MIN(F221,J221),"未回本",MAX(1,ROUNDUP(I221/(G221-H221),0))))</x:f>
        <x:v>未回本</x:v>
      </x:c>
    </x:row>
    <x:row r="222" ht="22" customHeight="1">
      <x:c r="A222" s="11" t="str">
        <x:v>lade_0823_20aoi</x:v>
      </x:c>
      <x:c r="B222" s="10" t="n">
        <x:v>20</x:v>
      </x:c>
      <x:c r="C222" s="10" t="n">
        <x:v>44</x:v>
      </x:c>
      <x:c r="D222" s="10" t="str">
        <x:v>M1 / M3</x:v>
      </x:c>
      <x:c r="E222" s="16" t="n">
        <x:v>3</x:v>
      </x:c>
      <x:c r="F222" s="14" t="n">
        <x:v>10</x:v>
      </x:c>
      <x:c r="G222" s="26" t="n">
        <x:f>'成本明细'!U26+'成本明细'!G26*(E222-'参数'!$B$6)</x:f>
        <x:v>3032.2171199111117</x:v>
      </x:c>
      <x:c r="H222" s="26" t="n">
        <x:f>'成本明细'!U32</x:f>
        <x:v>3826.729582826667</x:v>
      </x:c>
      <x:c r="I222" s="26" t="n">
        <x:f>'成本明细'!V32</x:f>
        <x:v>7336.5</x:v>
      </x:c>
      <x:c r="J222" s="22" t="n">
        <x:f>'参数'!$B$9</x:f>
        <x:v>300</x:v>
      </x:c>
      <x:c r="K222" s="26" t="n">
        <x:f>J222*(G222-H222)-I222*ROUNDUP(J222/F222,0)</x:f>
        <x:v>-458448.73887466657</x:v>
      </x:c>
      <x:c r="L222" s="10" t="str">
        <x:f>IF(G222-H222&lt;=0,"未回本",IF(ROUNDUP(I222/(G222-H222),0)&gt;MIN(F222,J222),"未回本",MAX(1,ROUNDUP(I222/(G222-H222),0))))</x:f>
        <x:v>未回本</x:v>
      </x:c>
    </x:row>
    <x:row r="223" ht="22" customHeight="1">
      <x:c r="A223" s="11" t="str">
        <x:v>lade_0823_20aoi</x:v>
      </x:c>
      <x:c r="B223" s="10" t="n">
        <x:v>20</x:v>
      </x:c>
      <x:c r="C223" s="10" t="n">
        <x:v>44</x:v>
      </x:c>
      <x:c r="D223" s="10" t="str">
        <x:v>M2 / M4</x:v>
      </x:c>
      <x:c r="E223" s="16" t="n">
        <x:v>3</x:v>
      </x:c>
      <x:c r="F223" s="14" t="n">
        <x:v>10</x:v>
      </x:c>
      <x:c r="G223" s="26" t="n">
        <x:f>'成本明细'!U29+'成本明细'!G29*(E223-'参数'!$B$6)</x:f>
        <x:v>2604.471254093889</x:v>
      </x:c>
      <x:c r="H223" s="26" t="n">
        <x:f>'成本明细'!U35</x:f>
        <x:v>3638.3779388133335</x:v>
      </x:c>
      <x:c r="I223" s="26" t="n">
        <x:f>'成本明细'!V35</x:f>
        <x:v>7336.5</x:v>
      </x:c>
      <x:c r="J223" s="22" t="n">
        <x:f>'参数'!$B$9</x:f>
        <x:v>300</x:v>
      </x:c>
      <x:c r="K223" s="26" t="n">
        <x:f>J223*(G223-H223)-I223*ROUNDUP(J223/F223,0)</x:f>
        <x:v>-530267.0054158333</x:v>
      </x:c>
      <x:c r="L223" s="10" t="str">
        <x:f>IF(G223-H223&lt;=0,"未回本",IF(ROUNDUP(I223/(G223-H223),0)&gt;MIN(F223,J223),"未回本",MAX(1,ROUNDUP(I223/(G223-H223),0))))</x:f>
        <x:v>未回本</x:v>
      </x:c>
    </x:row>
    <x:row r="224" ht="22" customHeight="1">
      <x:c r="A224" s="11" t="str">
        <x:v>lade_0823_20aoi</x:v>
      </x:c>
      <x:c r="B224" s="10" t="n">
        <x:v>20</x:v>
      </x:c>
      <x:c r="C224" s="10" t="n">
        <x:v>44</x:v>
      </x:c>
      <x:c r="D224" s="10" t="str">
        <x:v>M1 / M3</x:v>
      </x:c>
      <x:c r="E224" s="16" t="n">
        <x:v>3</x:v>
      </x:c>
      <x:c r="F224" s="14" t="n">
        <x:v>20</x:v>
      </x:c>
      <x:c r="G224" s="26" t="n">
        <x:f>'成本明细'!U26+'成本明细'!G26*(E224-'参数'!$B$6)</x:f>
        <x:v>3032.2171199111117</x:v>
      </x:c>
      <x:c r="H224" s="26" t="n">
        <x:f>'成本明细'!U32</x:f>
        <x:v>3826.729582826667</x:v>
      </x:c>
      <x:c r="I224" s="26" t="n">
        <x:f>'成本明细'!V32</x:f>
        <x:v>7336.5</x:v>
      </x:c>
      <x:c r="J224" s="22" t="n">
        <x:f>'参数'!$B$9</x:f>
        <x:v>300</x:v>
      </x:c>
      <x:c r="K224" s="26" t="n">
        <x:f>J224*(G224-H224)-I224*ROUNDUP(J224/F224,0)</x:f>
        <x:v>-348401.23887466657</x:v>
      </x:c>
      <x:c r="L224" s="10" t="str">
        <x:f>IF(G224-H224&lt;=0,"未回本",IF(ROUNDUP(I224/(G224-H224),0)&gt;MIN(F224,J224),"未回本",MAX(1,ROUNDUP(I224/(G224-H224),0))))</x:f>
        <x:v>未回本</x:v>
      </x:c>
    </x:row>
    <x:row r="225" ht="22" customHeight="1">
      <x:c r="A225" s="11" t="str">
        <x:v>lade_0823_20aoi</x:v>
      </x:c>
      <x:c r="B225" s="10" t="n">
        <x:v>20</x:v>
      </x:c>
      <x:c r="C225" s="10" t="n">
        <x:v>44</x:v>
      </x:c>
      <x:c r="D225" s="10" t="str">
        <x:v>M2 / M4</x:v>
      </x:c>
      <x:c r="E225" s="16" t="n">
        <x:v>3</x:v>
      </x:c>
      <x:c r="F225" s="14" t="n">
        <x:v>20</x:v>
      </x:c>
      <x:c r="G225" s="26" t="n">
        <x:f>'成本明细'!U29+'成本明细'!G29*(E225-'参数'!$B$6)</x:f>
        <x:v>2604.471254093889</x:v>
      </x:c>
      <x:c r="H225" s="26" t="n">
        <x:f>'成本明细'!U35</x:f>
        <x:v>3638.3779388133335</x:v>
      </x:c>
      <x:c r="I225" s="26" t="n">
        <x:f>'成本明细'!V35</x:f>
        <x:v>7336.5</x:v>
      </x:c>
      <x:c r="J225" s="22" t="n">
        <x:f>'参数'!$B$9</x:f>
        <x:v>300</x:v>
      </x:c>
      <x:c r="K225" s="26" t="n">
        <x:f>J225*(G225-H225)-I225*ROUNDUP(J225/F225,0)</x:f>
        <x:v>-420219.5054158333</x:v>
      </x:c>
      <x:c r="L225" s="10" t="str">
        <x:f>IF(G225-H225&lt;=0,"未回本",IF(ROUNDUP(I225/(G225-H225),0)&gt;MIN(F225,J225),"未回本",MAX(1,ROUNDUP(I225/(G225-H225),0))))</x:f>
        <x:v>未回本</x:v>
      </x:c>
    </x:row>
    <x:row r="226" ht="22" customHeight="1">
      <x:c r="A226" s="11" t="str">
        <x:v>lade_0823_20aoi</x:v>
      </x:c>
      <x:c r="B226" s="10" t="n">
        <x:v>20</x:v>
      </x:c>
      <x:c r="C226" s="10" t="n">
        <x:v>44</x:v>
      </x:c>
      <x:c r="D226" s="10" t="str">
        <x:v>M1 / M3</x:v>
      </x:c>
      <x:c r="E226" s="16" t="n">
        <x:v>3</x:v>
      </x:c>
      <x:c r="F226" s="14" t="n">
        <x:v>30</x:v>
      </x:c>
      <x:c r="G226" s="26" t="n">
        <x:f>'成本明细'!U26+'成本明细'!G26*(E226-'参数'!$B$6)</x:f>
        <x:v>3032.2171199111117</x:v>
      </x:c>
      <x:c r="H226" s="26" t="n">
        <x:f>'成本明细'!U32</x:f>
        <x:v>3826.729582826667</x:v>
      </x:c>
      <x:c r="I226" s="26" t="n">
        <x:f>'成本明细'!V32</x:f>
        <x:v>7336.5</x:v>
      </x:c>
      <x:c r="J226" s="22" t="n">
        <x:f>'参数'!$B$9</x:f>
        <x:v>300</x:v>
      </x:c>
      <x:c r="K226" s="26" t="n">
        <x:f>J226*(G226-H226)-I226*ROUNDUP(J226/F226,0)</x:f>
        <x:v>-311718.73887466657</x:v>
      </x:c>
      <x:c r="L226" s="10" t="str">
        <x:f>IF(G226-H226&lt;=0,"未回本",IF(ROUNDUP(I226/(G226-H226),0)&gt;MIN(F226,J226),"未回本",MAX(1,ROUNDUP(I226/(G226-H226),0))))</x:f>
        <x:v>未回本</x:v>
      </x:c>
    </x:row>
    <x:row r="227" ht="22" customHeight="1">
      <x:c r="A227" s="11" t="str">
        <x:v>lade_0823_20aoi</x:v>
      </x:c>
      <x:c r="B227" s="10" t="n">
        <x:v>20</x:v>
      </x:c>
      <x:c r="C227" s="10" t="n">
        <x:v>44</x:v>
      </x:c>
      <x:c r="D227" s="10" t="str">
        <x:v>M2 / M4</x:v>
      </x:c>
      <x:c r="E227" s="16" t="n">
        <x:v>3</x:v>
      </x:c>
      <x:c r="F227" s="14" t="n">
        <x:v>30</x:v>
      </x:c>
      <x:c r="G227" s="26" t="n">
        <x:f>'成本明细'!U29+'成本明细'!G29*(E227-'参数'!$B$6)</x:f>
        <x:v>2604.471254093889</x:v>
      </x:c>
      <x:c r="H227" s="26" t="n">
        <x:f>'成本明细'!U35</x:f>
        <x:v>3638.3779388133335</x:v>
      </x:c>
      <x:c r="I227" s="26" t="n">
        <x:f>'成本明细'!V35</x:f>
        <x:v>7336.5</x:v>
      </x:c>
      <x:c r="J227" s="22" t="n">
        <x:f>'参数'!$B$9</x:f>
        <x:v>300</x:v>
      </x:c>
      <x:c r="K227" s="26" t="n">
        <x:f>J227*(G227-H227)-I227*ROUNDUP(J227/F227,0)</x:f>
        <x:v>-383537.0054158333</x:v>
      </x:c>
      <x:c r="L227" s="10" t="str">
        <x:f>IF(G227-H227&lt;=0,"未回本",IF(ROUNDUP(I227/(G227-H227),0)&gt;MIN(F227,J227),"未回本",MAX(1,ROUNDUP(I227/(G227-H227),0))))</x:f>
        <x:v>未回本</x:v>
      </x:c>
    </x:row>
    <x:row r="228" ht="22" customHeight="1">
      <x:c r="A228" s="11" t="str">
        <x:v>lade_0823_20aoi</x:v>
      </x:c>
      <x:c r="B228" s="10" t="n">
        <x:v>20</x:v>
      </x:c>
      <x:c r="C228" s="10" t="n">
        <x:v>44</x:v>
      </x:c>
      <x:c r="D228" s="10" t="str">
        <x:v>M1 / M3</x:v>
      </x:c>
      <x:c r="E228" s="16" t="n">
        <x:v>3</x:v>
      </x:c>
      <x:c r="F228" s="14" t="n">
        <x:v>50</x:v>
      </x:c>
      <x:c r="G228" s="26" t="n">
        <x:f>'成本明细'!U26+'成本明细'!G26*(E228-'参数'!$B$6)</x:f>
        <x:v>3032.2171199111117</x:v>
      </x:c>
      <x:c r="H228" s="26" t="n">
        <x:f>'成本明细'!U32</x:f>
        <x:v>3826.729582826667</x:v>
      </x:c>
      <x:c r="I228" s="26" t="n">
        <x:f>'成本明细'!V32</x:f>
        <x:v>7336.5</x:v>
      </x:c>
      <x:c r="J228" s="22" t="n">
        <x:f>'参数'!$B$9</x:f>
        <x:v>300</x:v>
      </x:c>
      <x:c r="K228" s="26" t="n">
        <x:f>J228*(G228-H228)-I228*ROUNDUP(J228/F228,0)</x:f>
        <x:v>-282372.73887466657</x:v>
      </x:c>
      <x:c r="L228" s="10" t="str">
        <x:f>IF(G228-H228&lt;=0,"未回本",IF(ROUNDUP(I228/(G228-H228),0)&gt;MIN(F228,J228),"未回本",MAX(1,ROUNDUP(I228/(G228-H228),0))))</x:f>
        <x:v>未回本</x:v>
      </x:c>
    </x:row>
    <x:row r="229" ht="22" customHeight="1">
      <x:c r="A229" s="11" t="str">
        <x:v>lade_0823_20aoi</x:v>
      </x:c>
      <x:c r="B229" s="10" t="n">
        <x:v>20</x:v>
      </x:c>
      <x:c r="C229" s="10" t="n">
        <x:v>44</x:v>
      </x:c>
      <x:c r="D229" s="10" t="str">
        <x:v>M2 / M4</x:v>
      </x:c>
      <x:c r="E229" s="16" t="n">
        <x:v>3</x:v>
      </x:c>
      <x:c r="F229" s="14" t="n">
        <x:v>50</x:v>
      </x:c>
      <x:c r="G229" s="26" t="n">
        <x:f>'成本明细'!U29+'成本明细'!G29*(E229-'参数'!$B$6)</x:f>
        <x:v>2604.471254093889</x:v>
      </x:c>
      <x:c r="H229" s="26" t="n">
        <x:f>'成本明细'!U35</x:f>
        <x:v>3638.3779388133335</x:v>
      </x:c>
      <x:c r="I229" s="26" t="n">
        <x:f>'成本明细'!V35</x:f>
        <x:v>7336.5</x:v>
      </x:c>
      <x:c r="J229" s="22" t="n">
        <x:f>'参数'!$B$9</x:f>
        <x:v>300</x:v>
      </x:c>
      <x:c r="K229" s="26" t="n">
        <x:f>J229*(G229-H229)-I229*ROUNDUP(J229/F229,0)</x:f>
        <x:v>-354191.0054158333</x:v>
      </x:c>
      <x:c r="L229" s="10" t="str">
        <x:f>IF(G229-H229&lt;=0,"未回本",IF(ROUNDUP(I229/(G229-H229),0)&gt;MIN(F229,J229),"未回本",MAX(1,ROUNDUP(I229/(G229-H229),0))))</x:f>
        <x:v>未回本</x:v>
      </x:c>
    </x:row>
    <x:row r="230" ht="22" customHeight="1">
      <x:c r="A230" s="11" t="str">
        <x:v>lade_0823_20aoi</x:v>
      </x:c>
      <x:c r="B230" s="10" t="n">
        <x:v>20</x:v>
      </x:c>
      <x:c r="C230" s="10" t="n">
        <x:v>44</x:v>
      </x:c>
      <x:c r="D230" s="10" t="str">
        <x:v>M1 / M3</x:v>
      </x:c>
      <x:c r="E230" s="16" t="n">
        <x:v>4</x:v>
      </x:c>
      <x:c r="F230" s="14" t="n">
        <x:v>10</x:v>
      </x:c>
      <x:c r="G230" s="26" t="n">
        <x:f>'成本明细'!U26+'成本明细'!G26*(E230-'参数'!$B$6)</x:f>
        <x:v>3233.2171199111117</x:v>
      </x:c>
      <x:c r="H230" s="26" t="n">
        <x:f>'成本明细'!U32</x:f>
        <x:v>3826.729582826667</x:v>
      </x:c>
      <x:c r="I230" s="26" t="n">
        <x:f>'成本明细'!V32</x:f>
        <x:v>7336.5</x:v>
      </x:c>
      <x:c r="J230" s="22" t="n">
        <x:f>'参数'!$B$9</x:f>
        <x:v>300</x:v>
      </x:c>
      <x:c r="K230" s="26" t="n">
        <x:f>J230*(G230-H230)-I230*ROUNDUP(J230/F230,0)</x:f>
        <x:v>-398148.73887466657</x:v>
      </x:c>
      <x:c r="L230" s="10" t="str">
        <x:f>IF(G230-H230&lt;=0,"未回本",IF(ROUNDUP(I230/(G230-H230),0)&gt;MIN(F230,J230),"未回本",MAX(1,ROUNDUP(I230/(G230-H230),0))))</x:f>
        <x:v>未回本</x:v>
      </x:c>
    </x:row>
    <x:row r="231" ht="22" customHeight="1">
      <x:c r="A231" s="11" t="str">
        <x:v>lade_0823_20aoi</x:v>
      </x:c>
      <x:c r="B231" s="10" t="n">
        <x:v>20</x:v>
      </x:c>
      <x:c r="C231" s="10" t="n">
        <x:v>44</x:v>
      </x:c>
      <x:c r="D231" s="10" t="str">
        <x:v>M2 / M4</x:v>
      </x:c>
      <x:c r="E231" s="16" t="n">
        <x:v>4</x:v>
      </x:c>
      <x:c r="F231" s="14" t="n">
        <x:v>10</x:v>
      </x:c>
      <x:c r="G231" s="26" t="n">
        <x:f>'成本明细'!U29+'成本明细'!G29*(E231-'参数'!$B$6)</x:f>
        <x:v>2805.471254093889</x:v>
      </x:c>
      <x:c r="H231" s="26" t="n">
        <x:f>'成本明细'!U35</x:f>
        <x:v>3638.3779388133335</x:v>
      </x:c>
      <x:c r="I231" s="26" t="n">
        <x:f>'成本明细'!V35</x:f>
        <x:v>7336.5</x:v>
      </x:c>
      <x:c r="J231" s="22" t="n">
        <x:f>'参数'!$B$9</x:f>
        <x:v>300</x:v>
      </x:c>
      <x:c r="K231" s="26" t="n">
        <x:f>J231*(G231-H231)-I231*ROUNDUP(J231/F231,0)</x:f>
        <x:v>-469967.0054158333</x:v>
      </x:c>
      <x:c r="L231" s="10" t="str">
        <x:f>IF(G231-H231&lt;=0,"未回本",IF(ROUNDUP(I231/(G231-H231),0)&gt;MIN(F231,J231),"未回本",MAX(1,ROUNDUP(I231/(G231-H231),0))))</x:f>
        <x:v>未回本</x:v>
      </x:c>
    </x:row>
    <x:row r="232" ht="22" customHeight="1">
      <x:c r="A232" s="11" t="str">
        <x:v>lade_0823_20aoi</x:v>
      </x:c>
      <x:c r="B232" s="10" t="n">
        <x:v>20</x:v>
      </x:c>
      <x:c r="C232" s="10" t="n">
        <x:v>44</x:v>
      </x:c>
      <x:c r="D232" s="10" t="str">
        <x:v>M1 / M3</x:v>
      </x:c>
      <x:c r="E232" s="16" t="n">
        <x:v>4</x:v>
      </x:c>
      <x:c r="F232" s="14" t="n">
        <x:v>20</x:v>
      </x:c>
      <x:c r="G232" s="26" t="n">
        <x:f>'成本明细'!U26+'成本明细'!G26*(E232-'参数'!$B$6)</x:f>
        <x:v>3233.2171199111117</x:v>
      </x:c>
      <x:c r="H232" s="26" t="n">
        <x:f>'成本明细'!U32</x:f>
        <x:v>3826.729582826667</x:v>
      </x:c>
      <x:c r="I232" s="26" t="n">
        <x:f>'成本明细'!V32</x:f>
        <x:v>7336.5</x:v>
      </x:c>
      <x:c r="J232" s="22" t="n">
        <x:f>'参数'!$B$9</x:f>
        <x:v>300</x:v>
      </x:c>
      <x:c r="K232" s="26" t="n">
        <x:f>J232*(G232-H232)-I232*ROUNDUP(J232/F232,0)</x:f>
        <x:v>-288101.23887466657</x:v>
      </x:c>
      <x:c r="L232" s="10" t="str">
        <x:f>IF(G232-H232&lt;=0,"未回本",IF(ROUNDUP(I232/(G232-H232),0)&gt;MIN(F232,J232),"未回本",MAX(1,ROUNDUP(I232/(G232-H232),0))))</x:f>
        <x:v>未回本</x:v>
      </x:c>
    </x:row>
    <x:row r="233" ht="22" customHeight="1">
      <x:c r="A233" s="11" t="str">
        <x:v>lade_0823_20aoi</x:v>
      </x:c>
      <x:c r="B233" s="10" t="n">
        <x:v>20</x:v>
      </x:c>
      <x:c r="C233" s="10" t="n">
        <x:v>44</x:v>
      </x:c>
      <x:c r="D233" s="10" t="str">
        <x:v>M2 / M4</x:v>
      </x:c>
      <x:c r="E233" s="16" t="n">
        <x:v>4</x:v>
      </x:c>
      <x:c r="F233" s="14" t="n">
        <x:v>20</x:v>
      </x:c>
      <x:c r="G233" s="26" t="n">
        <x:f>'成本明细'!U29+'成本明细'!G29*(E233-'参数'!$B$6)</x:f>
        <x:v>2805.471254093889</x:v>
      </x:c>
      <x:c r="H233" s="26" t="n">
        <x:f>'成本明细'!U35</x:f>
        <x:v>3638.3779388133335</x:v>
      </x:c>
      <x:c r="I233" s="26" t="n">
        <x:f>'成本明细'!V35</x:f>
        <x:v>7336.5</x:v>
      </x:c>
      <x:c r="J233" s="22" t="n">
        <x:f>'参数'!$B$9</x:f>
        <x:v>300</x:v>
      </x:c>
      <x:c r="K233" s="26" t="n">
        <x:f>J233*(G233-H233)-I233*ROUNDUP(J233/F233,0)</x:f>
        <x:v>-359919.5054158333</x:v>
      </x:c>
      <x:c r="L233" s="10" t="str">
        <x:f>IF(G233-H233&lt;=0,"未回本",IF(ROUNDUP(I233/(G233-H233),0)&gt;MIN(F233,J233),"未回本",MAX(1,ROUNDUP(I233/(G233-H233),0))))</x:f>
        <x:v>未回本</x:v>
      </x:c>
    </x:row>
    <x:row r="234" ht="22" customHeight="1">
      <x:c r="A234" s="11" t="str">
        <x:v>lade_0823_20aoi</x:v>
      </x:c>
      <x:c r="B234" s="10" t="n">
        <x:v>20</x:v>
      </x:c>
      <x:c r="C234" s="10" t="n">
        <x:v>44</x:v>
      </x:c>
      <x:c r="D234" s="10" t="str">
        <x:v>M1 / M3</x:v>
      </x:c>
      <x:c r="E234" s="16" t="n">
        <x:v>4</x:v>
      </x:c>
      <x:c r="F234" s="14" t="n">
        <x:v>30</x:v>
      </x:c>
      <x:c r="G234" s="26" t="n">
        <x:f>'成本明细'!U26+'成本明细'!G26*(E234-'参数'!$B$6)</x:f>
        <x:v>3233.2171199111117</x:v>
      </x:c>
      <x:c r="H234" s="26" t="n">
        <x:f>'成本明细'!U32</x:f>
        <x:v>3826.729582826667</x:v>
      </x:c>
      <x:c r="I234" s="26" t="n">
        <x:f>'成本明细'!V32</x:f>
        <x:v>7336.5</x:v>
      </x:c>
      <x:c r="J234" s="22" t="n">
        <x:f>'参数'!$B$9</x:f>
        <x:v>300</x:v>
      </x:c>
      <x:c r="K234" s="26" t="n">
        <x:f>J234*(G234-H234)-I234*ROUNDUP(J234/F234,0)</x:f>
        <x:v>-251418.73887466657</x:v>
      </x:c>
      <x:c r="L234" s="10" t="str">
        <x:f>IF(G234-H234&lt;=0,"未回本",IF(ROUNDUP(I234/(G234-H234),0)&gt;MIN(F234,J234),"未回本",MAX(1,ROUNDUP(I234/(G234-H234),0))))</x:f>
        <x:v>未回本</x:v>
      </x:c>
    </x:row>
    <x:row r="235" ht="22" customHeight="1">
      <x:c r="A235" s="11" t="str">
        <x:v>lade_0823_20aoi</x:v>
      </x:c>
      <x:c r="B235" s="10" t="n">
        <x:v>20</x:v>
      </x:c>
      <x:c r="C235" s="10" t="n">
        <x:v>44</x:v>
      </x:c>
      <x:c r="D235" s="10" t="str">
        <x:v>M2 / M4</x:v>
      </x:c>
      <x:c r="E235" s="16" t="n">
        <x:v>4</x:v>
      </x:c>
      <x:c r="F235" s="14" t="n">
        <x:v>30</x:v>
      </x:c>
      <x:c r="G235" s="26" t="n">
        <x:f>'成本明细'!U29+'成本明细'!G29*(E235-'参数'!$B$6)</x:f>
        <x:v>2805.471254093889</x:v>
      </x:c>
      <x:c r="H235" s="26" t="n">
        <x:f>'成本明细'!U35</x:f>
        <x:v>3638.3779388133335</x:v>
      </x:c>
      <x:c r="I235" s="26" t="n">
        <x:f>'成本明细'!V35</x:f>
        <x:v>7336.5</x:v>
      </x:c>
      <x:c r="J235" s="22" t="n">
        <x:f>'参数'!$B$9</x:f>
        <x:v>300</x:v>
      </x:c>
      <x:c r="K235" s="26" t="n">
        <x:f>J235*(G235-H235)-I235*ROUNDUP(J235/F235,0)</x:f>
        <x:v>-323237.0054158333</x:v>
      </x:c>
      <x:c r="L235" s="10" t="str">
        <x:f>IF(G235-H235&lt;=0,"未回本",IF(ROUNDUP(I235/(G235-H235),0)&gt;MIN(F235,J235),"未回本",MAX(1,ROUNDUP(I235/(G235-H235),0))))</x:f>
        <x:v>未回本</x:v>
      </x:c>
    </x:row>
    <x:row r="236" ht="22" customHeight="1">
      <x:c r="A236" s="11" t="str">
        <x:v>lade_0823_20aoi</x:v>
      </x:c>
      <x:c r="B236" s="10" t="n">
        <x:v>20</x:v>
      </x:c>
      <x:c r="C236" s="10" t="n">
        <x:v>44</x:v>
      </x:c>
      <x:c r="D236" s="10" t="str">
        <x:v>M1 / M3</x:v>
      </x:c>
      <x:c r="E236" s="16" t="n">
        <x:v>4</x:v>
      </x:c>
      <x:c r="F236" s="14" t="n">
        <x:v>50</x:v>
      </x:c>
      <x:c r="G236" s="26" t="n">
        <x:f>'成本明细'!U26+'成本明细'!G26*(E236-'参数'!$B$6)</x:f>
        <x:v>3233.2171199111117</x:v>
      </x:c>
      <x:c r="H236" s="26" t="n">
        <x:f>'成本明细'!U32</x:f>
        <x:v>3826.729582826667</x:v>
      </x:c>
      <x:c r="I236" s="26" t="n">
        <x:f>'成本明细'!V32</x:f>
        <x:v>7336.5</x:v>
      </x:c>
      <x:c r="J236" s="22" t="n">
        <x:f>'参数'!$B$9</x:f>
        <x:v>300</x:v>
      </x:c>
      <x:c r="K236" s="26" t="n">
        <x:f>J236*(G236-H236)-I236*ROUNDUP(J236/F236,0)</x:f>
        <x:v>-222072.73887466657</x:v>
      </x:c>
      <x:c r="L236" s="10" t="str">
        <x:f>IF(G236-H236&lt;=0,"未回本",IF(ROUNDUP(I236/(G236-H236),0)&gt;MIN(F236,J236),"未回本",MAX(1,ROUNDUP(I236/(G236-H236),0))))</x:f>
        <x:v>未回本</x:v>
      </x:c>
    </x:row>
    <x:row r="237" ht="22" customHeight="1">
      <x:c r="A237" s="11" t="str">
        <x:v>lade_0823_20aoi</x:v>
      </x:c>
      <x:c r="B237" s="10" t="n">
        <x:v>20</x:v>
      </x:c>
      <x:c r="C237" s="10" t="n">
        <x:v>44</x:v>
      </x:c>
      <x:c r="D237" s="10" t="str">
        <x:v>M2 / M4</x:v>
      </x:c>
      <x:c r="E237" s="16" t="n">
        <x:v>4</x:v>
      </x:c>
      <x:c r="F237" s="14" t="n">
        <x:v>50</x:v>
      </x:c>
      <x:c r="G237" s="26" t="n">
        <x:f>'成本明细'!U29+'成本明细'!G29*(E237-'参数'!$B$6)</x:f>
        <x:v>2805.471254093889</x:v>
      </x:c>
      <x:c r="H237" s="26" t="n">
        <x:f>'成本明细'!U35</x:f>
        <x:v>3638.3779388133335</x:v>
      </x:c>
      <x:c r="I237" s="26" t="n">
        <x:f>'成本明细'!V35</x:f>
        <x:v>7336.5</x:v>
      </x:c>
      <x:c r="J237" s="22" t="n">
        <x:f>'参数'!$B$9</x:f>
        <x:v>300</x:v>
      </x:c>
      <x:c r="K237" s="26" t="n">
        <x:f>J237*(G237-H237)-I237*ROUNDUP(J237/F237,0)</x:f>
        <x:v>-293891.0054158333</x:v>
      </x:c>
      <x:c r="L237" s="10" t="str">
        <x:f>IF(G237-H237&lt;=0,"未回本",IF(ROUNDUP(I237/(G237-H237),0)&gt;MIN(F237,J237),"未回本",MAX(1,ROUNDUP(I237/(G237-H237),0))))</x:f>
        <x:v>未回本</x:v>
      </x:c>
    </x:row>
    <x:row r="238" ht="22" customHeight="1">
      <x:c r="A238" s="11" t="str">
        <x:v>lade_0823_20aoi</x:v>
      </x:c>
      <x:c r="B238" s="10" t="n">
        <x:v>20</x:v>
      </x:c>
      <x:c r="C238" s="10" t="n">
        <x:v>44</x:v>
      </x:c>
      <x:c r="D238" s="10" t="str">
        <x:v>M1 / M3</x:v>
      </x:c>
      <x:c r="E238" s="16" t="n">
        <x:v>5</x:v>
      </x:c>
      <x:c r="F238" s="14" t="n">
        <x:v>10</x:v>
      </x:c>
      <x:c r="G238" s="26" t="n">
        <x:f>'成本明细'!U26+'成本明细'!G26*(E238-'参数'!$B$6)</x:f>
        <x:v>3434.2171199111117</x:v>
      </x:c>
      <x:c r="H238" s="26" t="n">
        <x:f>'成本明细'!U32</x:f>
        <x:v>3826.729582826667</x:v>
      </x:c>
      <x:c r="I238" s="26" t="n">
        <x:f>'成本明细'!V32</x:f>
        <x:v>7336.5</x:v>
      </x:c>
      <x:c r="J238" s="22" t="n">
        <x:f>'参数'!$B$9</x:f>
        <x:v>300</x:v>
      </x:c>
      <x:c r="K238" s="26" t="n">
        <x:f>J238*(G238-H238)-I238*ROUNDUP(J238/F238,0)</x:f>
        <x:v>-337848.73887466657</x:v>
      </x:c>
      <x:c r="L238" s="10" t="str">
        <x:f>IF(G238-H238&lt;=0,"未回本",IF(ROUNDUP(I238/(G238-H238),0)&gt;MIN(F238,J238),"未回本",MAX(1,ROUNDUP(I238/(G238-H238),0))))</x:f>
        <x:v>未回本</x:v>
      </x:c>
    </x:row>
    <x:row r="239" ht="22" customHeight="1">
      <x:c r="A239" s="11" t="str">
        <x:v>lade_0823_20aoi</x:v>
      </x:c>
      <x:c r="B239" s="10" t="n">
        <x:v>20</x:v>
      </x:c>
      <x:c r="C239" s="10" t="n">
        <x:v>44</x:v>
      </x:c>
      <x:c r="D239" s="10" t="str">
        <x:v>M2 / M4</x:v>
      </x:c>
      <x:c r="E239" s="16" t="n">
        <x:v>5</x:v>
      </x:c>
      <x:c r="F239" s="14" t="n">
        <x:v>10</x:v>
      </x:c>
      <x:c r="G239" s="26" t="n">
        <x:f>'成本明细'!U29+'成本明细'!G29*(E239-'参数'!$B$6)</x:f>
        <x:v>3006.471254093889</x:v>
      </x:c>
      <x:c r="H239" s="26" t="n">
        <x:f>'成本明细'!U35</x:f>
        <x:v>3638.3779388133335</x:v>
      </x:c>
      <x:c r="I239" s="26" t="n">
        <x:f>'成本明细'!V35</x:f>
        <x:v>7336.5</x:v>
      </x:c>
      <x:c r="J239" s="22" t="n">
        <x:f>'参数'!$B$9</x:f>
        <x:v>300</x:v>
      </x:c>
      <x:c r="K239" s="26" t="n">
        <x:f>J239*(G239-H239)-I239*ROUNDUP(J239/F239,0)</x:f>
        <x:v>-409667.0054158333</x:v>
      </x:c>
      <x:c r="L239" s="10" t="str">
        <x:f>IF(G239-H239&lt;=0,"未回本",IF(ROUNDUP(I239/(G239-H239),0)&gt;MIN(F239,J239),"未回本",MAX(1,ROUNDUP(I239/(G239-H239),0))))</x:f>
        <x:v>未回本</x:v>
      </x:c>
    </x:row>
    <x:row r="240" ht="22" customHeight="1">
      <x:c r="A240" s="11" t="str">
        <x:v>lade_0823_20aoi</x:v>
      </x:c>
      <x:c r="B240" s="10" t="n">
        <x:v>20</x:v>
      </x:c>
      <x:c r="C240" s="10" t="n">
        <x:v>44</x:v>
      </x:c>
      <x:c r="D240" s="10" t="str">
        <x:v>M1 / M3</x:v>
      </x:c>
      <x:c r="E240" s="16" t="n">
        <x:v>5</x:v>
      </x:c>
      <x:c r="F240" s="14" t="n">
        <x:v>20</x:v>
      </x:c>
      <x:c r="G240" s="26" t="n">
        <x:f>'成本明细'!U26+'成本明细'!G26*(E240-'参数'!$B$6)</x:f>
        <x:v>3434.2171199111117</x:v>
      </x:c>
      <x:c r="H240" s="26" t="n">
        <x:f>'成本明细'!U32</x:f>
        <x:v>3826.729582826667</x:v>
      </x:c>
      <x:c r="I240" s="26" t="n">
        <x:f>'成本明细'!V32</x:f>
        <x:v>7336.5</x:v>
      </x:c>
      <x:c r="J240" s="22" t="n">
        <x:f>'参数'!$B$9</x:f>
        <x:v>300</x:v>
      </x:c>
      <x:c r="K240" s="26" t="n">
        <x:f>J240*(G240-H240)-I240*ROUNDUP(J240/F240,0)</x:f>
        <x:v>-227801.23887466657</x:v>
      </x:c>
      <x:c r="L240" s="10" t="str">
        <x:f>IF(G240-H240&lt;=0,"未回本",IF(ROUNDUP(I240/(G240-H240),0)&gt;MIN(F240,J240),"未回本",MAX(1,ROUNDUP(I240/(G240-H240),0))))</x:f>
        <x:v>未回本</x:v>
      </x:c>
    </x:row>
    <x:row r="241" ht="22" customHeight="1">
      <x:c r="A241" s="11" t="str">
        <x:v>lade_0823_20aoi</x:v>
      </x:c>
      <x:c r="B241" s="10" t="n">
        <x:v>20</x:v>
      </x:c>
      <x:c r="C241" s="10" t="n">
        <x:v>44</x:v>
      </x:c>
      <x:c r="D241" s="10" t="str">
        <x:v>M2 / M4</x:v>
      </x:c>
      <x:c r="E241" s="16" t="n">
        <x:v>5</x:v>
      </x:c>
      <x:c r="F241" s="14" t="n">
        <x:v>20</x:v>
      </x:c>
      <x:c r="G241" s="26" t="n">
        <x:f>'成本明细'!U29+'成本明细'!G29*(E241-'参数'!$B$6)</x:f>
        <x:v>3006.471254093889</x:v>
      </x:c>
      <x:c r="H241" s="26" t="n">
        <x:f>'成本明细'!U35</x:f>
        <x:v>3638.3779388133335</x:v>
      </x:c>
      <x:c r="I241" s="26" t="n">
        <x:f>'成本明细'!V35</x:f>
        <x:v>7336.5</x:v>
      </x:c>
      <x:c r="J241" s="22" t="n">
        <x:f>'参数'!$B$9</x:f>
        <x:v>300</x:v>
      </x:c>
      <x:c r="K241" s="26" t="n">
        <x:f>J241*(G241-H241)-I241*ROUNDUP(J241/F241,0)</x:f>
        <x:v>-299619.5054158333</x:v>
      </x:c>
      <x:c r="L241" s="10" t="str">
        <x:f>IF(G241-H241&lt;=0,"未回本",IF(ROUNDUP(I241/(G241-H241),0)&gt;MIN(F241,J241),"未回本",MAX(1,ROUNDUP(I241/(G241-H241),0))))</x:f>
        <x:v>未回本</x:v>
      </x:c>
    </x:row>
    <x:row r="242" ht="22" customHeight="1">
      <x:c r="A242" s="11" t="str">
        <x:v>lade_0823_20aoi</x:v>
      </x:c>
      <x:c r="B242" s="10" t="n">
        <x:v>20</x:v>
      </x:c>
      <x:c r="C242" s="10" t="n">
        <x:v>44</x:v>
      </x:c>
      <x:c r="D242" s="10" t="str">
        <x:v>M1 / M3</x:v>
      </x:c>
      <x:c r="E242" s="16" t="n">
        <x:v>5</x:v>
      </x:c>
      <x:c r="F242" s="14" t="n">
        <x:v>30</x:v>
      </x:c>
      <x:c r="G242" s="26" t="n">
        <x:f>'成本明细'!U26+'成本明细'!G26*(E242-'参数'!$B$6)</x:f>
        <x:v>3434.2171199111117</x:v>
      </x:c>
      <x:c r="H242" s="26" t="n">
        <x:f>'成本明细'!U32</x:f>
        <x:v>3826.729582826667</x:v>
      </x:c>
      <x:c r="I242" s="26" t="n">
        <x:f>'成本明细'!V32</x:f>
        <x:v>7336.5</x:v>
      </x:c>
      <x:c r="J242" s="22" t="n">
        <x:f>'参数'!$B$9</x:f>
        <x:v>300</x:v>
      </x:c>
      <x:c r="K242" s="26" t="n">
        <x:f>J242*(G242-H242)-I242*ROUNDUP(J242/F242,0)</x:f>
        <x:v>-191118.73887466657</x:v>
      </x:c>
      <x:c r="L242" s="10" t="str">
        <x:f>IF(G242-H242&lt;=0,"未回本",IF(ROUNDUP(I242/(G242-H242),0)&gt;MIN(F242,J242),"未回本",MAX(1,ROUNDUP(I242/(G242-H242),0))))</x:f>
        <x:v>未回本</x:v>
      </x:c>
    </x:row>
    <x:row r="243" ht="22" customHeight="1">
      <x:c r="A243" s="11" t="str">
        <x:v>lade_0823_20aoi</x:v>
      </x:c>
      <x:c r="B243" s="10" t="n">
        <x:v>20</x:v>
      </x:c>
      <x:c r="C243" s="10" t="n">
        <x:v>44</x:v>
      </x:c>
      <x:c r="D243" s="10" t="str">
        <x:v>M2 / M4</x:v>
      </x:c>
      <x:c r="E243" s="16" t="n">
        <x:v>5</x:v>
      </x:c>
      <x:c r="F243" s="14" t="n">
        <x:v>30</x:v>
      </x:c>
      <x:c r="G243" s="26" t="n">
        <x:f>'成本明细'!U29+'成本明细'!G29*(E243-'参数'!$B$6)</x:f>
        <x:v>3006.471254093889</x:v>
      </x:c>
      <x:c r="H243" s="26" t="n">
        <x:f>'成本明细'!U35</x:f>
        <x:v>3638.3779388133335</x:v>
      </x:c>
      <x:c r="I243" s="26" t="n">
        <x:f>'成本明细'!V35</x:f>
        <x:v>7336.5</x:v>
      </x:c>
      <x:c r="J243" s="22" t="n">
        <x:f>'参数'!$B$9</x:f>
        <x:v>300</x:v>
      </x:c>
      <x:c r="K243" s="26" t="n">
        <x:f>J243*(G243-H243)-I243*ROUNDUP(J243/F243,0)</x:f>
        <x:v>-262937.0054158333</x:v>
      </x:c>
      <x:c r="L243" s="10" t="str">
        <x:f>IF(G243-H243&lt;=0,"未回本",IF(ROUNDUP(I243/(G243-H243),0)&gt;MIN(F243,J243),"未回本",MAX(1,ROUNDUP(I243/(G243-H243),0))))</x:f>
        <x:v>未回本</x:v>
      </x:c>
    </x:row>
    <x:row r="244" ht="22" customHeight="1">
      <x:c r="A244" s="11" t="str">
        <x:v>lade_0823_20aoi</x:v>
      </x:c>
      <x:c r="B244" s="10" t="n">
        <x:v>20</x:v>
      </x:c>
      <x:c r="C244" s="10" t="n">
        <x:v>44</x:v>
      </x:c>
      <x:c r="D244" s="10" t="str">
        <x:v>M1 / M3</x:v>
      </x:c>
      <x:c r="E244" s="16" t="n">
        <x:v>5</x:v>
      </x:c>
      <x:c r="F244" s="14" t="n">
        <x:v>50</x:v>
      </x:c>
      <x:c r="G244" s="26" t="n">
        <x:f>'成本明细'!U26+'成本明细'!G26*(E244-'参数'!$B$6)</x:f>
        <x:v>3434.2171199111117</x:v>
      </x:c>
      <x:c r="H244" s="26" t="n">
        <x:f>'成本明细'!U32</x:f>
        <x:v>3826.729582826667</x:v>
      </x:c>
      <x:c r="I244" s="26" t="n">
        <x:f>'成本明细'!V32</x:f>
        <x:v>7336.5</x:v>
      </x:c>
      <x:c r="J244" s="22" t="n">
        <x:f>'参数'!$B$9</x:f>
        <x:v>300</x:v>
      </x:c>
      <x:c r="K244" s="26" t="n">
        <x:f>J244*(G244-H244)-I244*ROUNDUP(J244/F244,0)</x:f>
        <x:v>-161772.73887466657</x:v>
      </x:c>
      <x:c r="L244" s="10" t="str">
        <x:f>IF(G244-H244&lt;=0,"未回本",IF(ROUNDUP(I244/(G244-H244),0)&gt;MIN(F244,J244),"未回本",MAX(1,ROUNDUP(I244/(G244-H244),0))))</x:f>
        <x:v>未回本</x:v>
      </x:c>
    </x:row>
    <x:row r="245" ht="22" customHeight="1">
      <x:c r="A245" s="11" t="str">
        <x:v>lade_0823_20aoi</x:v>
      </x:c>
      <x:c r="B245" s="10" t="n">
        <x:v>20</x:v>
      </x:c>
      <x:c r="C245" s="10" t="n">
        <x:v>44</x:v>
      </x:c>
      <x:c r="D245" s="10" t="str">
        <x:v>M2 / M4</x:v>
      </x:c>
      <x:c r="E245" s="16" t="n">
        <x:v>5</x:v>
      </x:c>
      <x:c r="F245" s="14" t="n">
        <x:v>50</x:v>
      </x:c>
      <x:c r="G245" s="26" t="n">
        <x:f>'成本明细'!U29+'成本明细'!G29*(E245-'参数'!$B$6)</x:f>
        <x:v>3006.471254093889</x:v>
      </x:c>
      <x:c r="H245" s="26" t="n">
        <x:f>'成本明细'!U35</x:f>
        <x:v>3638.3779388133335</x:v>
      </x:c>
      <x:c r="I245" s="26" t="n">
        <x:f>'成本明细'!V35</x:f>
        <x:v>7336.5</x:v>
      </x:c>
      <x:c r="J245" s="22" t="n">
        <x:f>'参数'!$B$9</x:f>
        <x:v>300</x:v>
      </x:c>
      <x:c r="K245" s="26" t="n">
        <x:f>J245*(G245-H245)-I245*ROUNDUP(J245/F245,0)</x:f>
        <x:v>-233591.00541583332</x:v>
      </x:c>
      <x:c r="L245" s="10" t="str">
        <x:f>IF(G245-H245&lt;=0,"未回本",IF(ROUNDUP(I245/(G245-H245),0)&gt;MIN(F245,J245),"未回本",MAX(1,ROUNDUP(I245/(G245-H245),0))))</x:f>
        <x:v>未回本</x:v>
      </x:c>
    </x:row>
    <x:row r="246" ht="22" customHeight="1">
      <x:c r="A246" s="11" t="str">
        <x:v>lade_0823_30aoi</x:v>
      </x:c>
      <x:c r="B246" s="10" t="n">
        <x:v>30</x:v>
      </x:c>
      <x:c r="C246" s="10" t="n">
        <x:v>42</x:v>
      </x:c>
      <x:c r="D246" s="10" t="str">
        <x:v>M1 / M3</x:v>
      </x:c>
      <x:c r="E246" s="16" t="n">
        <x:v>1</x:v>
      </x:c>
      <x:c r="F246" s="14" t="n">
        <x:v>10</x:v>
      </x:c>
      <x:c r="G246" s="26" t="n">
        <x:f>'成本明细'!U42+'成本明细'!G42*(E246-'参数'!$B$6)</x:f>
        <x:v>2878.0965361505555</x:v>
      </x:c>
      <x:c r="H246" s="26" t="n">
        <x:f>'成本明细'!U48</x:f>
        <x:v>4857.482826402222</x:v>
      </x:c>
      <x:c r="I246" s="26" t="n">
        <x:f>'成本明细'!V48</x:f>
        <x:v>9307.5</x:v>
      </x:c>
      <x:c r="J246" s="22" t="n">
        <x:f>'参数'!$B$9</x:f>
        <x:v>300</x:v>
      </x:c>
      <x:c r="K246" s="26" t="n">
        <x:f>J246*(G246-H246)-I246*ROUNDUP(J246/F246,0)</x:f>
        <x:v>-873040.8870754999</x:v>
      </x:c>
      <x:c r="L246" s="10" t="str">
        <x:f>IF(G246-H246&lt;=0,"未回本",IF(ROUNDUP(I246/(G246-H246),0)&gt;MIN(F246,J246),"未回本",MAX(1,ROUNDUP(I246/(G246-H246),0))))</x:f>
        <x:v>未回本</x:v>
      </x:c>
    </x:row>
    <x:row r="247" ht="22" customHeight="1">
      <x:c r="A247" s="11" t="str">
        <x:v>lade_0823_30aoi</x:v>
      </x:c>
      <x:c r="B247" s="10" t="n">
        <x:v>30</x:v>
      </x:c>
      <x:c r="C247" s="10" t="n">
        <x:v>42</x:v>
      </x:c>
      <x:c r="D247" s="10" t="str">
        <x:v>M2 / M4</x:v>
      </x:c>
      <x:c r="E247" s="16" t="n">
        <x:v>1</x:v>
      </x:c>
      <x:c r="F247" s="14" t="n">
        <x:v>10</x:v>
      </x:c>
      <x:c r="G247" s="26" t="n">
        <x:f>'成本明细'!U45+'成本明细'!G45*(E247-'参数'!$B$6)</x:f>
        <x:v>2878.0965361505555</x:v>
      </x:c>
      <x:c r="H247" s="26" t="n">
        <x:f>'成本明细'!U51</x:f>
        <x:v>4087.083541705556</x:v>
      </x:c>
      <x:c r="I247" s="26" t="n">
        <x:f>'成本明细'!V51</x:f>
        <x:v>9307.5</x:v>
      </x:c>
      <x:c r="J247" s="22" t="n">
        <x:f>'参数'!$B$9</x:f>
        <x:v>300</x:v>
      </x:c>
      <x:c r="K247" s="26" t="n">
        <x:f>J247*(G247-H247)-I247*ROUNDUP(J247/F247,0)</x:f>
        <x:v>-641921.1016665001</x:v>
      </x:c>
      <x:c r="L247" s="10" t="str">
        <x:f>IF(G247-H247&lt;=0,"未回本",IF(ROUNDUP(I247/(G247-H247),0)&gt;MIN(F247,J247),"未回本",MAX(1,ROUNDUP(I247/(G247-H247),0))))</x:f>
        <x:v>未回本</x:v>
      </x:c>
    </x:row>
    <x:row r="248" ht="22" customHeight="1">
      <x:c r="A248" s="11" t="str">
        <x:v>lade_0823_30aoi</x:v>
      </x:c>
      <x:c r="B248" s="10" t="n">
        <x:v>30</x:v>
      </x:c>
      <x:c r="C248" s="10" t="n">
        <x:v>42</x:v>
      </x:c>
      <x:c r="D248" s="10" t="str">
        <x:v>M1 / M3</x:v>
      </x:c>
      <x:c r="E248" s="16" t="n">
        <x:v>1</x:v>
      </x:c>
      <x:c r="F248" s="14" t="n">
        <x:v>20</x:v>
      </x:c>
      <x:c r="G248" s="26" t="n">
        <x:f>'成本明细'!U42+'成本明细'!G42*(E248-'参数'!$B$6)</x:f>
        <x:v>2878.0965361505555</x:v>
      </x:c>
      <x:c r="H248" s="26" t="n">
        <x:f>'成本明细'!U48</x:f>
        <x:v>4857.482826402222</x:v>
      </x:c>
      <x:c r="I248" s="26" t="n">
        <x:f>'成本明细'!V48</x:f>
        <x:v>9307.5</x:v>
      </x:c>
      <x:c r="J248" s="22" t="n">
        <x:f>'参数'!$B$9</x:f>
        <x:v>300</x:v>
      </x:c>
      <x:c r="K248" s="26" t="n">
        <x:f>J248*(G248-H248)-I248*ROUNDUP(J248/F248,0)</x:f>
        <x:v>-733428.3870754999</x:v>
      </x:c>
      <x:c r="L248" s="10" t="str">
        <x:f>IF(G248-H248&lt;=0,"未回本",IF(ROUNDUP(I248/(G248-H248),0)&gt;MIN(F248,J248),"未回本",MAX(1,ROUNDUP(I248/(G248-H248),0))))</x:f>
        <x:v>未回本</x:v>
      </x:c>
    </x:row>
    <x:row r="249" ht="22" customHeight="1">
      <x:c r="A249" s="11" t="str">
        <x:v>lade_0823_30aoi</x:v>
      </x:c>
      <x:c r="B249" s="10" t="n">
        <x:v>30</x:v>
      </x:c>
      <x:c r="C249" s="10" t="n">
        <x:v>42</x:v>
      </x:c>
      <x:c r="D249" s="10" t="str">
        <x:v>M2 / M4</x:v>
      </x:c>
      <x:c r="E249" s="16" t="n">
        <x:v>1</x:v>
      </x:c>
      <x:c r="F249" s="14" t="n">
        <x:v>20</x:v>
      </x:c>
      <x:c r="G249" s="26" t="n">
        <x:f>'成本明细'!U45+'成本明细'!G45*(E249-'参数'!$B$6)</x:f>
        <x:v>2878.0965361505555</x:v>
      </x:c>
      <x:c r="H249" s="26" t="n">
        <x:f>'成本明细'!U51</x:f>
        <x:v>4087.083541705556</x:v>
      </x:c>
      <x:c r="I249" s="26" t="n">
        <x:f>'成本明细'!V51</x:f>
        <x:v>9307.5</x:v>
      </x:c>
      <x:c r="J249" s="22" t="n">
        <x:f>'参数'!$B$9</x:f>
        <x:v>300</x:v>
      </x:c>
      <x:c r="K249" s="26" t="n">
        <x:f>J249*(G249-H249)-I249*ROUNDUP(J249/F249,0)</x:f>
        <x:v>-502308.60166650015</x:v>
      </x:c>
      <x:c r="L249" s="10" t="str">
        <x:f>IF(G249-H249&lt;=0,"未回本",IF(ROUNDUP(I249/(G249-H249),0)&gt;MIN(F249,J249),"未回本",MAX(1,ROUNDUP(I249/(G249-H249),0))))</x:f>
        <x:v>未回本</x:v>
      </x:c>
    </x:row>
    <x:row r="250" ht="22" customHeight="1">
      <x:c r="A250" s="11" t="str">
        <x:v>lade_0823_30aoi</x:v>
      </x:c>
      <x:c r="B250" s="10" t="n">
        <x:v>30</x:v>
      </x:c>
      <x:c r="C250" s="10" t="n">
        <x:v>42</x:v>
      </x:c>
      <x:c r="D250" s="10" t="str">
        <x:v>M1 / M3</x:v>
      </x:c>
      <x:c r="E250" s="16" t="n">
        <x:v>1</x:v>
      </x:c>
      <x:c r="F250" s="14" t="n">
        <x:v>30</x:v>
      </x:c>
      <x:c r="G250" s="26" t="n">
        <x:f>'成本明细'!U42+'成本明细'!G42*(E250-'参数'!$B$6)</x:f>
        <x:v>2878.0965361505555</x:v>
      </x:c>
      <x:c r="H250" s="26" t="n">
        <x:f>'成本明细'!U48</x:f>
        <x:v>4857.482826402222</x:v>
      </x:c>
      <x:c r="I250" s="26" t="n">
        <x:f>'成本明细'!V48</x:f>
        <x:v>9307.5</x:v>
      </x:c>
      <x:c r="J250" s="22" t="n">
        <x:f>'参数'!$B$9</x:f>
        <x:v>300</x:v>
      </x:c>
      <x:c r="K250" s="26" t="n">
        <x:f>J250*(G250-H250)-I250*ROUNDUP(J250/F250,0)</x:f>
        <x:v>-686890.8870754999</x:v>
      </x:c>
      <x:c r="L250" s="10" t="str">
        <x:f>IF(G250-H250&lt;=0,"未回本",IF(ROUNDUP(I250/(G250-H250),0)&gt;MIN(F250,J250),"未回本",MAX(1,ROUNDUP(I250/(G250-H250),0))))</x:f>
        <x:v>未回本</x:v>
      </x:c>
    </x:row>
    <x:row r="251" ht="22" customHeight="1">
      <x:c r="A251" s="11" t="str">
        <x:v>lade_0823_30aoi</x:v>
      </x:c>
      <x:c r="B251" s="10" t="n">
        <x:v>30</x:v>
      </x:c>
      <x:c r="C251" s="10" t="n">
        <x:v>42</x:v>
      </x:c>
      <x:c r="D251" s="10" t="str">
        <x:v>M2 / M4</x:v>
      </x:c>
      <x:c r="E251" s="16" t="n">
        <x:v>1</x:v>
      </x:c>
      <x:c r="F251" s="14" t="n">
        <x:v>30</x:v>
      </x:c>
      <x:c r="G251" s="26" t="n">
        <x:f>'成本明细'!U45+'成本明细'!G45*(E251-'参数'!$B$6)</x:f>
        <x:v>2878.0965361505555</x:v>
      </x:c>
      <x:c r="H251" s="26" t="n">
        <x:f>'成本明细'!U51</x:f>
        <x:v>4087.083541705556</x:v>
      </x:c>
      <x:c r="I251" s="26" t="n">
        <x:f>'成本明细'!V51</x:f>
        <x:v>9307.5</x:v>
      </x:c>
      <x:c r="J251" s="22" t="n">
        <x:f>'参数'!$B$9</x:f>
        <x:v>300</x:v>
      </x:c>
      <x:c r="K251" s="26" t="n">
        <x:f>J251*(G251-H251)-I251*ROUNDUP(J251/F251,0)</x:f>
        <x:v>-455771.10166650015</x:v>
      </x:c>
      <x:c r="L251" s="10" t="str">
        <x:f>IF(G251-H251&lt;=0,"未回本",IF(ROUNDUP(I251/(G251-H251),0)&gt;MIN(F251,J251),"未回本",MAX(1,ROUNDUP(I251/(G251-H251),0))))</x:f>
        <x:v>未回本</x:v>
      </x:c>
    </x:row>
    <x:row r="252" ht="22" customHeight="1">
      <x:c r="A252" s="11" t="str">
        <x:v>lade_0823_30aoi</x:v>
      </x:c>
      <x:c r="B252" s="10" t="n">
        <x:v>30</x:v>
      </x:c>
      <x:c r="C252" s="10" t="n">
        <x:v>42</x:v>
      </x:c>
      <x:c r="D252" s="10" t="str">
        <x:v>M1 / M3</x:v>
      </x:c>
      <x:c r="E252" s="16" t="n">
        <x:v>1</x:v>
      </x:c>
      <x:c r="F252" s="14" t="n">
        <x:v>50</x:v>
      </x:c>
      <x:c r="G252" s="26" t="n">
        <x:f>'成本明细'!U42+'成本明细'!G42*(E252-'参数'!$B$6)</x:f>
        <x:v>2878.0965361505555</x:v>
      </x:c>
      <x:c r="H252" s="26" t="n">
        <x:f>'成本明细'!U48</x:f>
        <x:v>4857.482826402222</x:v>
      </x:c>
      <x:c r="I252" s="26" t="n">
        <x:f>'成本明细'!V48</x:f>
        <x:v>9307.5</x:v>
      </x:c>
      <x:c r="J252" s="22" t="n">
        <x:f>'参数'!$B$9</x:f>
        <x:v>300</x:v>
      </x:c>
      <x:c r="K252" s="26" t="n">
        <x:f>J252*(G252-H252)-I252*ROUNDUP(J252/F252,0)</x:f>
        <x:v>-649660.8870754999</x:v>
      </x:c>
      <x:c r="L252" s="10" t="str">
        <x:f>IF(G252-H252&lt;=0,"未回本",IF(ROUNDUP(I252/(G252-H252),0)&gt;MIN(F252,J252),"未回本",MAX(1,ROUNDUP(I252/(G252-H252),0))))</x:f>
        <x:v>未回本</x:v>
      </x:c>
    </x:row>
    <x:row r="253" ht="22" customHeight="1">
      <x:c r="A253" s="11" t="str">
        <x:v>lade_0823_30aoi</x:v>
      </x:c>
      <x:c r="B253" s="10" t="n">
        <x:v>30</x:v>
      </x:c>
      <x:c r="C253" s="10" t="n">
        <x:v>42</x:v>
      </x:c>
      <x:c r="D253" s="10" t="str">
        <x:v>M2 / M4</x:v>
      </x:c>
      <x:c r="E253" s="16" t="n">
        <x:v>1</x:v>
      </x:c>
      <x:c r="F253" s="14" t="n">
        <x:v>50</x:v>
      </x:c>
      <x:c r="G253" s="26" t="n">
        <x:f>'成本明细'!U45+'成本明细'!G45*(E253-'参数'!$B$6)</x:f>
        <x:v>2878.0965361505555</x:v>
      </x:c>
      <x:c r="H253" s="26" t="n">
        <x:f>'成本明细'!U51</x:f>
        <x:v>4087.083541705556</x:v>
      </x:c>
      <x:c r="I253" s="26" t="n">
        <x:f>'成本明细'!V51</x:f>
        <x:v>9307.5</x:v>
      </x:c>
      <x:c r="J253" s="22" t="n">
        <x:f>'参数'!$B$9</x:f>
        <x:v>300</x:v>
      </x:c>
      <x:c r="K253" s="26" t="n">
        <x:f>J253*(G253-H253)-I253*ROUNDUP(J253/F253,0)</x:f>
        <x:v>-418541.10166650015</x:v>
      </x:c>
      <x:c r="L253" s="10" t="str">
        <x:f>IF(G253-H253&lt;=0,"未回本",IF(ROUNDUP(I253/(G253-H253),0)&gt;MIN(F253,J253),"未回本",MAX(1,ROUNDUP(I253/(G253-H253),0))))</x:f>
        <x:v>未回本</x:v>
      </x:c>
    </x:row>
    <x:row r="254" ht="22" customHeight="1">
      <x:c r="A254" s="11" t="str">
        <x:v>lade_0823_30aoi</x:v>
      </x:c>
      <x:c r="B254" s="10" t="n">
        <x:v>30</x:v>
      </x:c>
      <x:c r="C254" s="10" t="n">
        <x:v>42</x:v>
      </x:c>
      <x:c r="D254" s="10" t="str">
        <x:v>M1 / M3</x:v>
      </x:c>
      <x:c r="E254" s="16" t="n">
        <x:v>2</x:v>
      </x:c>
      <x:c r="F254" s="14" t="n">
        <x:v>10</x:v>
      </x:c>
      <x:c r="G254" s="26" t="n">
        <x:f>'成本明细'!U42+'成本明细'!G42*(E254-'参数'!$B$6)</x:f>
        <x:v>3133.0965361505555</x:v>
      </x:c>
      <x:c r="H254" s="26" t="n">
        <x:f>'成本明细'!U48</x:f>
        <x:v>4857.482826402222</x:v>
      </x:c>
      <x:c r="I254" s="26" t="n">
        <x:f>'成本明细'!V48</x:f>
        <x:v>9307.5</x:v>
      </x:c>
      <x:c r="J254" s="22" t="n">
        <x:f>'参数'!$B$9</x:f>
        <x:v>300</x:v>
      </x:c>
      <x:c r="K254" s="26" t="n">
        <x:f>J254*(G254-H254)-I254*ROUNDUP(J254/F254,0)</x:f>
        <x:v>-796540.8870754999</x:v>
      </x:c>
      <x:c r="L254" s="10" t="str">
        <x:f>IF(G254-H254&lt;=0,"未回本",IF(ROUNDUP(I254/(G254-H254),0)&gt;MIN(F254,J254),"未回本",MAX(1,ROUNDUP(I254/(G254-H254),0))))</x:f>
        <x:v>未回本</x:v>
      </x:c>
    </x:row>
    <x:row r="255" ht="22" customHeight="1">
      <x:c r="A255" s="11" t="str">
        <x:v>lade_0823_30aoi</x:v>
      </x:c>
      <x:c r="B255" s="10" t="n">
        <x:v>30</x:v>
      </x:c>
      <x:c r="C255" s="10" t="n">
        <x:v>42</x:v>
      </x:c>
      <x:c r="D255" s="10" t="str">
        <x:v>M2 / M4</x:v>
      </x:c>
      <x:c r="E255" s="16" t="n">
        <x:v>2</x:v>
      </x:c>
      <x:c r="F255" s="14" t="n">
        <x:v>10</x:v>
      </x:c>
      <x:c r="G255" s="26" t="n">
        <x:f>'成本明细'!U45+'成本明细'!G45*(E255-'参数'!$B$6)</x:f>
        <x:v>3133.0965361505555</x:v>
      </x:c>
      <x:c r="H255" s="26" t="n">
        <x:f>'成本明细'!U51</x:f>
        <x:v>4087.083541705556</x:v>
      </x:c>
      <x:c r="I255" s="26" t="n">
        <x:f>'成本明细'!V51</x:f>
        <x:v>9307.5</x:v>
      </x:c>
      <x:c r="J255" s="22" t="n">
        <x:f>'参数'!$B$9</x:f>
        <x:v>300</x:v>
      </x:c>
      <x:c r="K255" s="26" t="n">
        <x:f>J255*(G255-H255)-I255*ROUNDUP(J255/F255,0)</x:f>
        <x:v>-565421.1016665001</x:v>
      </x:c>
      <x:c r="L255" s="10" t="str">
        <x:f>IF(G255-H255&lt;=0,"未回本",IF(ROUNDUP(I255/(G255-H255),0)&gt;MIN(F255,J255),"未回本",MAX(1,ROUNDUP(I255/(G255-H255),0))))</x:f>
        <x:v>未回本</x:v>
      </x:c>
    </x:row>
    <x:row r="256" ht="22" customHeight="1">
      <x:c r="A256" s="11" t="str">
        <x:v>lade_0823_30aoi</x:v>
      </x:c>
      <x:c r="B256" s="10" t="n">
        <x:v>30</x:v>
      </x:c>
      <x:c r="C256" s="10" t="n">
        <x:v>42</x:v>
      </x:c>
      <x:c r="D256" s="10" t="str">
        <x:v>M1 / M3</x:v>
      </x:c>
      <x:c r="E256" s="16" t="n">
        <x:v>2</x:v>
      </x:c>
      <x:c r="F256" s="14" t="n">
        <x:v>20</x:v>
      </x:c>
      <x:c r="G256" s="26" t="n">
        <x:f>'成本明细'!U42+'成本明细'!G42*(E256-'参数'!$B$6)</x:f>
        <x:v>3133.0965361505555</x:v>
      </x:c>
      <x:c r="H256" s="26" t="n">
        <x:f>'成本明细'!U48</x:f>
        <x:v>4857.482826402222</x:v>
      </x:c>
      <x:c r="I256" s="26" t="n">
        <x:f>'成本明细'!V48</x:f>
        <x:v>9307.5</x:v>
      </x:c>
      <x:c r="J256" s="22" t="n">
        <x:f>'参数'!$B$9</x:f>
        <x:v>300</x:v>
      </x:c>
      <x:c r="K256" s="26" t="n">
        <x:f>J256*(G256-H256)-I256*ROUNDUP(J256/F256,0)</x:f>
        <x:v>-656928.3870754999</x:v>
      </x:c>
      <x:c r="L256" s="10" t="str">
        <x:f>IF(G256-H256&lt;=0,"未回本",IF(ROUNDUP(I256/(G256-H256),0)&gt;MIN(F256,J256),"未回本",MAX(1,ROUNDUP(I256/(G256-H256),0))))</x:f>
        <x:v>未回本</x:v>
      </x:c>
    </x:row>
    <x:row r="257" ht="22" customHeight="1">
      <x:c r="A257" s="11" t="str">
        <x:v>lade_0823_30aoi</x:v>
      </x:c>
      <x:c r="B257" s="10" t="n">
        <x:v>30</x:v>
      </x:c>
      <x:c r="C257" s="10" t="n">
        <x:v>42</x:v>
      </x:c>
      <x:c r="D257" s="10" t="str">
        <x:v>M2 / M4</x:v>
      </x:c>
      <x:c r="E257" s="16" t="n">
        <x:v>2</x:v>
      </x:c>
      <x:c r="F257" s="14" t="n">
        <x:v>20</x:v>
      </x:c>
      <x:c r="G257" s="26" t="n">
        <x:f>'成本明细'!U45+'成本明细'!G45*(E257-'参数'!$B$6)</x:f>
        <x:v>3133.0965361505555</x:v>
      </x:c>
      <x:c r="H257" s="26" t="n">
        <x:f>'成本明细'!U51</x:f>
        <x:v>4087.083541705556</x:v>
      </x:c>
      <x:c r="I257" s="26" t="n">
        <x:f>'成本明细'!V51</x:f>
        <x:v>9307.5</x:v>
      </x:c>
      <x:c r="J257" s="22" t="n">
        <x:f>'参数'!$B$9</x:f>
        <x:v>300</x:v>
      </x:c>
      <x:c r="K257" s="26" t="n">
        <x:f>J257*(G257-H257)-I257*ROUNDUP(J257/F257,0)</x:f>
        <x:v>-425808.60166650015</x:v>
      </x:c>
      <x:c r="L257" s="10" t="str">
        <x:f>IF(G257-H257&lt;=0,"未回本",IF(ROUNDUP(I257/(G257-H257),0)&gt;MIN(F257,J257),"未回本",MAX(1,ROUNDUP(I257/(G257-H257),0))))</x:f>
        <x:v>未回本</x:v>
      </x:c>
    </x:row>
    <x:row r="258" ht="22" customHeight="1">
      <x:c r="A258" s="11" t="str">
        <x:v>lade_0823_30aoi</x:v>
      </x:c>
      <x:c r="B258" s="10" t="n">
        <x:v>30</x:v>
      </x:c>
      <x:c r="C258" s="10" t="n">
        <x:v>42</x:v>
      </x:c>
      <x:c r="D258" s="10" t="str">
        <x:v>M1 / M3</x:v>
      </x:c>
      <x:c r="E258" s="16" t="n">
        <x:v>2</x:v>
      </x:c>
      <x:c r="F258" s="14" t="n">
        <x:v>30</x:v>
      </x:c>
      <x:c r="G258" s="26" t="n">
        <x:f>'成本明细'!U42+'成本明细'!G42*(E258-'参数'!$B$6)</x:f>
        <x:v>3133.0965361505555</x:v>
      </x:c>
      <x:c r="H258" s="26" t="n">
        <x:f>'成本明细'!U48</x:f>
        <x:v>4857.482826402222</x:v>
      </x:c>
      <x:c r="I258" s="26" t="n">
        <x:f>'成本明细'!V48</x:f>
        <x:v>9307.5</x:v>
      </x:c>
      <x:c r="J258" s="22" t="n">
        <x:f>'参数'!$B$9</x:f>
        <x:v>300</x:v>
      </x:c>
      <x:c r="K258" s="26" t="n">
        <x:f>J258*(G258-H258)-I258*ROUNDUP(J258/F258,0)</x:f>
        <x:v>-610390.8870754999</x:v>
      </x:c>
      <x:c r="L258" s="10" t="str">
        <x:f>IF(G258-H258&lt;=0,"未回本",IF(ROUNDUP(I258/(G258-H258),0)&gt;MIN(F258,J258),"未回本",MAX(1,ROUNDUP(I258/(G258-H258),0))))</x:f>
        <x:v>未回本</x:v>
      </x:c>
    </x:row>
    <x:row r="259" ht="22" customHeight="1">
      <x:c r="A259" s="11" t="str">
        <x:v>lade_0823_30aoi</x:v>
      </x:c>
      <x:c r="B259" s="10" t="n">
        <x:v>30</x:v>
      </x:c>
      <x:c r="C259" s="10" t="n">
        <x:v>42</x:v>
      </x:c>
      <x:c r="D259" s="10" t="str">
        <x:v>M2 / M4</x:v>
      </x:c>
      <x:c r="E259" s="16" t="n">
        <x:v>2</x:v>
      </x:c>
      <x:c r="F259" s="14" t="n">
        <x:v>30</x:v>
      </x:c>
      <x:c r="G259" s="26" t="n">
        <x:f>'成本明细'!U45+'成本明细'!G45*(E259-'参数'!$B$6)</x:f>
        <x:v>3133.0965361505555</x:v>
      </x:c>
      <x:c r="H259" s="26" t="n">
        <x:f>'成本明细'!U51</x:f>
        <x:v>4087.083541705556</x:v>
      </x:c>
      <x:c r="I259" s="26" t="n">
        <x:f>'成本明细'!V51</x:f>
        <x:v>9307.5</x:v>
      </x:c>
      <x:c r="J259" s="22" t="n">
        <x:f>'参数'!$B$9</x:f>
        <x:v>300</x:v>
      </x:c>
      <x:c r="K259" s="26" t="n">
        <x:f>J259*(G259-H259)-I259*ROUNDUP(J259/F259,0)</x:f>
        <x:v>-379271.10166650015</x:v>
      </x:c>
      <x:c r="L259" s="10" t="str">
        <x:f>IF(G259-H259&lt;=0,"未回本",IF(ROUNDUP(I259/(G259-H259),0)&gt;MIN(F259,J259),"未回本",MAX(1,ROUNDUP(I259/(G259-H259),0))))</x:f>
        <x:v>未回本</x:v>
      </x:c>
    </x:row>
    <x:row r="260" ht="22" customHeight="1">
      <x:c r="A260" s="11" t="str">
        <x:v>lade_0823_30aoi</x:v>
      </x:c>
      <x:c r="B260" s="10" t="n">
        <x:v>30</x:v>
      </x:c>
      <x:c r="C260" s="10" t="n">
        <x:v>42</x:v>
      </x:c>
      <x:c r="D260" s="10" t="str">
        <x:v>M1 / M3</x:v>
      </x:c>
      <x:c r="E260" s="16" t="n">
        <x:v>2</x:v>
      </x:c>
      <x:c r="F260" s="14" t="n">
        <x:v>50</x:v>
      </x:c>
      <x:c r="G260" s="26" t="n">
        <x:f>'成本明细'!U42+'成本明细'!G42*(E260-'参数'!$B$6)</x:f>
        <x:v>3133.0965361505555</x:v>
      </x:c>
      <x:c r="H260" s="26" t="n">
        <x:f>'成本明细'!U48</x:f>
        <x:v>4857.482826402222</x:v>
      </x:c>
      <x:c r="I260" s="26" t="n">
        <x:f>'成本明细'!V48</x:f>
        <x:v>9307.5</x:v>
      </x:c>
      <x:c r="J260" s="22" t="n">
        <x:f>'参数'!$B$9</x:f>
        <x:v>300</x:v>
      </x:c>
      <x:c r="K260" s="26" t="n">
        <x:f>J260*(G260-H260)-I260*ROUNDUP(J260/F260,0)</x:f>
        <x:v>-573160.8870754999</x:v>
      </x:c>
      <x:c r="L260" s="10" t="str">
        <x:f>IF(G260-H260&lt;=0,"未回本",IF(ROUNDUP(I260/(G260-H260),0)&gt;MIN(F260,J260),"未回本",MAX(1,ROUNDUP(I260/(G260-H260),0))))</x:f>
        <x:v>未回本</x:v>
      </x:c>
    </x:row>
    <x:row r="261" ht="22" customHeight="1">
      <x:c r="A261" s="11" t="str">
        <x:v>lade_0823_30aoi</x:v>
      </x:c>
      <x:c r="B261" s="10" t="n">
        <x:v>30</x:v>
      </x:c>
      <x:c r="C261" s="10" t="n">
        <x:v>42</x:v>
      </x:c>
      <x:c r="D261" s="10" t="str">
        <x:v>M2 / M4</x:v>
      </x:c>
      <x:c r="E261" s="16" t="n">
        <x:v>2</x:v>
      </x:c>
      <x:c r="F261" s="14" t="n">
        <x:v>50</x:v>
      </x:c>
      <x:c r="G261" s="26" t="n">
        <x:f>'成本明细'!U45+'成本明细'!G45*(E261-'参数'!$B$6)</x:f>
        <x:v>3133.0965361505555</x:v>
      </x:c>
      <x:c r="H261" s="26" t="n">
        <x:f>'成本明细'!U51</x:f>
        <x:v>4087.083541705556</x:v>
      </x:c>
      <x:c r="I261" s="26" t="n">
        <x:f>'成本明细'!V51</x:f>
        <x:v>9307.5</x:v>
      </x:c>
      <x:c r="J261" s="22" t="n">
        <x:f>'参数'!$B$9</x:f>
        <x:v>300</x:v>
      </x:c>
      <x:c r="K261" s="26" t="n">
        <x:f>J261*(G261-H261)-I261*ROUNDUP(J261/F261,0)</x:f>
        <x:v>-342041.10166650015</x:v>
      </x:c>
      <x:c r="L261" s="10" t="str">
        <x:f>IF(G261-H261&lt;=0,"未回本",IF(ROUNDUP(I261/(G261-H261),0)&gt;MIN(F261,J261),"未回本",MAX(1,ROUNDUP(I261/(G261-H261),0))))</x:f>
        <x:v>未回本</x:v>
      </x:c>
    </x:row>
    <x:row r="262" ht="22" customHeight="1">
      <x:c r="A262" s="11" t="str">
        <x:v>lade_0823_30aoi</x:v>
      </x:c>
      <x:c r="B262" s="10" t="n">
        <x:v>30</x:v>
      </x:c>
      <x:c r="C262" s="10" t="n">
        <x:v>42</x:v>
      </x:c>
      <x:c r="D262" s="10" t="str">
        <x:v>M1 / M3</x:v>
      </x:c>
      <x:c r="E262" s="16" t="n">
        <x:v>3</x:v>
      </x:c>
      <x:c r="F262" s="14" t="n">
        <x:v>10</x:v>
      </x:c>
      <x:c r="G262" s="26" t="n">
        <x:f>'成本明细'!U42+'成本明细'!G42*(E262-'参数'!$B$6)</x:f>
        <x:v>3388.0965361505555</x:v>
      </x:c>
      <x:c r="H262" s="26" t="n">
        <x:f>'成本明细'!U48</x:f>
        <x:v>4857.482826402222</x:v>
      </x:c>
      <x:c r="I262" s="26" t="n">
        <x:f>'成本明细'!V48</x:f>
        <x:v>9307.5</x:v>
      </x:c>
      <x:c r="J262" s="22" t="n">
        <x:f>'参数'!$B$9</x:f>
        <x:v>300</x:v>
      </x:c>
      <x:c r="K262" s="26" t="n">
        <x:f>J262*(G262-H262)-I262*ROUNDUP(J262/F262,0)</x:f>
        <x:v>-720040.8870754999</x:v>
      </x:c>
      <x:c r="L262" s="10" t="str">
        <x:f>IF(G262-H262&lt;=0,"未回本",IF(ROUNDUP(I262/(G262-H262),0)&gt;MIN(F262,J262),"未回本",MAX(1,ROUNDUP(I262/(G262-H262),0))))</x:f>
        <x:v>未回本</x:v>
      </x:c>
    </x:row>
    <x:row r="263" ht="22" customHeight="1">
      <x:c r="A263" s="11" t="str">
        <x:v>lade_0823_30aoi</x:v>
      </x:c>
      <x:c r="B263" s="10" t="n">
        <x:v>30</x:v>
      </x:c>
      <x:c r="C263" s="10" t="n">
        <x:v>42</x:v>
      </x:c>
      <x:c r="D263" s="10" t="str">
        <x:v>M2 / M4</x:v>
      </x:c>
      <x:c r="E263" s="16" t="n">
        <x:v>3</x:v>
      </x:c>
      <x:c r="F263" s="14" t="n">
        <x:v>10</x:v>
      </x:c>
      <x:c r="G263" s="26" t="n">
        <x:f>'成本明细'!U45+'成本明细'!G45*(E263-'参数'!$B$6)</x:f>
        <x:v>3388.0965361505555</x:v>
      </x:c>
      <x:c r="H263" s="26" t="n">
        <x:f>'成本明细'!U51</x:f>
        <x:v>4087.083541705556</x:v>
      </x:c>
      <x:c r="I263" s="26" t="n">
        <x:f>'成本明细'!V51</x:f>
        <x:v>9307.5</x:v>
      </x:c>
      <x:c r="J263" s="22" t="n">
        <x:f>'参数'!$B$9</x:f>
        <x:v>300</x:v>
      </x:c>
      <x:c r="K263" s="26" t="n">
        <x:f>J263*(G263-H263)-I263*ROUNDUP(J263/F263,0)</x:f>
        <x:v>-488921.1016665001</x:v>
      </x:c>
      <x:c r="L263" s="10" t="str">
        <x:f>IF(G263-H263&lt;=0,"未回本",IF(ROUNDUP(I263/(G263-H263),0)&gt;MIN(F263,J263),"未回本",MAX(1,ROUNDUP(I263/(G263-H263),0))))</x:f>
        <x:v>未回本</x:v>
      </x:c>
    </x:row>
    <x:row r="264" ht="22" customHeight="1">
      <x:c r="A264" s="11" t="str">
        <x:v>lade_0823_30aoi</x:v>
      </x:c>
      <x:c r="B264" s="10" t="n">
        <x:v>30</x:v>
      </x:c>
      <x:c r="C264" s="10" t="n">
        <x:v>42</x:v>
      </x:c>
      <x:c r="D264" s="10" t="str">
        <x:v>M1 / M3</x:v>
      </x:c>
      <x:c r="E264" s="16" t="n">
        <x:v>3</x:v>
      </x:c>
      <x:c r="F264" s="14" t="n">
        <x:v>20</x:v>
      </x:c>
      <x:c r="G264" s="26" t="n">
        <x:f>'成本明细'!U42+'成本明细'!G42*(E264-'参数'!$B$6)</x:f>
        <x:v>3388.0965361505555</x:v>
      </x:c>
      <x:c r="H264" s="26" t="n">
        <x:f>'成本明细'!U48</x:f>
        <x:v>4857.482826402222</x:v>
      </x:c>
      <x:c r="I264" s="26" t="n">
        <x:f>'成本明细'!V48</x:f>
        <x:v>9307.5</x:v>
      </x:c>
      <x:c r="J264" s="22" t="n">
        <x:f>'参数'!$B$9</x:f>
        <x:v>300</x:v>
      </x:c>
      <x:c r="K264" s="26" t="n">
        <x:f>J264*(G264-H264)-I264*ROUNDUP(J264/F264,0)</x:f>
        <x:v>-580428.3870754999</x:v>
      </x:c>
      <x:c r="L264" s="10" t="str">
        <x:f>IF(G264-H264&lt;=0,"未回本",IF(ROUNDUP(I264/(G264-H264),0)&gt;MIN(F264,J264),"未回本",MAX(1,ROUNDUP(I264/(G264-H264),0))))</x:f>
        <x:v>未回本</x:v>
      </x:c>
    </x:row>
    <x:row r="265" ht="22" customHeight="1">
      <x:c r="A265" s="11" t="str">
        <x:v>lade_0823_30aoi</x:v>
      </x:c>
      <x:c r="B265" s="10" t="n">
        <x:v>30</x:v>
      </x:c>
      <x:c r="C265" s="10" t="n">
        <x:v>42</x:v>
      </x:c>
      <x:c r="D265" s="10" t="str">
        <x:v>M2 / M4</x:v>
      </x:c>
      <x:c r="E265" s="16" t="n">
        <x:v>3</x:v>
      </x:c>
      <x:c r="F265" s="14" t="n">
        <x:v>20</x:v>
      </x:c>
      <x:c r="G265" s="26" t="n">
        <x:f>'成本明细'!U45+'成本明细'!G45*(E265-'参数'!$B$6)</x:f>
        <x:v>3388.0965361505555</x:v>
      </x:c>
      <x:c r="H265" s="26" t="n">
        <x:f>'成本明细'!U51</x:f>
        <x:v>4087.083541705556</x:v>
      </x:c>
      <x:c r="I265" s="26" t="n">
        <x:f>'成本明细'!V51</x:f>
        <x:v>9307.5</x:v>
      </x:c>
      <x:c r="J265" s="22" t="n">
        <x:f>'参数'!$B$9</x:f>
        <x:v>300</x:v>
      </x:c>
      <x:c r="K265" s="26" t="n">
        <x:f>J265*(G265-H265)-I265*ROUNDUP(J265/F265,0)</x:f>
        <x:v>-349308.6016665001</x:v>
      </x:c>
      <x:c r="L265" s="10" t="str">
        <x:f>IF(G265-H265&lt;=0,"未回本",IF(ROUNDUP(I265/(G265-H265),0)&gt;MIN(F265,J265),"未回本",MAX(1,ROUNDUP(I265/(G265-H265),0))))</x:f>
        <x:v>未回本</x:v>
      </x:c>
    </x:row>
    <x:row r="266" ht="22" customHeight="1">
      <x:c r="A266" s="11" t="str">
        <x:v>lade_0823_30aoi</x:v>
      </x:c>
      <x:c r="B266" s="10" t="n">
        <x:v>30</x:v>
      </x:c>
      <x:c r="C266" s="10" t="n">
        <x:v>42</x:v>
      </x:c>
      <x:c r="D266" s="10" t="str">
        <x:v>M1 / M3</x:v>
      </x:c>
      <x:c r="E266" s="16" t="n">
        <x:v>3</x:v>
      </x:c>
      <x:c r="F266" s="14" t="n">
        <x:v>30</x:v>
      </x:c>
      <x:c r="G266" s="26" t="n">
        <x:f>'成本明细'!U42+'成本明细'!G42*(E266-'参数'!$B$6)</x:f>
        <x:v>3388.0965361505555</x:v>
      </x:c>
      <x:c r="H266" s="26" t="n">
        <x:f>'成本明细'!U48</x:f>
        <x:v>4857.482826402222</x:v>
      </x:c>
      <x:c r="I266" s="26" t="n">
        <x:f>'成本明细'!V48</x:f>
        <x:v>9307.5</x:v>
      </x:c>
      <x:c r="J266" s="22" t="n">
        <x:f>'参数'!$B$9</x:f>
        <x:v>300</x:v>
      </x:c>
      <x:c r="K266" s="26" t="n">
        <x:f>J266*(G266-H266)-I266*ROUNDUP(J266/F266,0)</x:f>
        <x:v>-533890.8870754999</x:v>
      </x:c>
      <x:c r="L266" s="10" t="str">
        <x:f>IF(G266-H266&lt;=0,"未回本",IF(ROUNDUP(I266/(G266-H266),0)&gt;MIN(F266,J266),"未回本",MAX(1,ROUNDUP(I266/(G266-H266),0))))</x:f>
        <x:v>未回本</x:v>
      </x:c>
    </x:row>
    <x:row r="267" ht="22" customHeight="1">
      <x:c r="A267" s="11" t="str">
        <x:v>lade_0823_30aoi</x:v>
      </x:c>
      <x:c r="B267" s="10" t="n">
        <x:v>30</x:v>
      </x:c>
      <x:c r="C267" s="10" t="n">
        <x:v>42</x:v>
      </x:c>
      <x:c r="D267" s="10" t="str">
        <x:v>M2 / M4</x:v>
      </x:c>
      <x:c r="E267" s="16" t="n">
        <x:v>3</x:v>
      </x:c>
      <x:c r="F267" s="14" t="n">
        <x:v>30</x:v>
      </x:c>
      <x:c r="G267" s="26" t="n">
        <x:f>'成本明细'!U45+'成本明细'!G45*(E267-'参数'!$B$6)</x:f>
        <x:v>3388.0965361505555</x:v>
      </x:c>
      <x:c r="H267" s="26" t="n">
        <x:f>'成本明细'!U51</x:f>
        <x:v>4087.083541705556</x:v>
      </x:c>
      <x:c r="I267" s="26" t="n">
        <x:f>'成本明细'!V51</x:f>
        <x:v>9307.5</x:v>
      </x:c>
      <x:c r="J267" s="22" t="n">
        <x:f>'参数'!$B$9</x:f>
        <x:v>300</x:v>
      </x:c>
      <x:c r="K267" s="26" t="n">
        <x:f>J267*(G267-H267)-I267*ROUNDUP(J267/F267,0)</x:f>
        <x:v>-302771.1016665001</x:v>
      </x:c>
      <x:c r="L267" s="10" t="str">
        <x:f>IF(G267-H267&lt;=0,"未回本",IF(ROUNDUP(I267/(G267-H267),0)&gt;MIN(F267,J267),"未回本",MAX(1,ROUNDUP(I267/(G267-H267),0))))</x:f>
        <x:v>未回本</x:v>
      </x:c>
    </x:row>
    <x:row r="268" ht="22" customHeight="1">
      <x:c r="A268" s="11" t="str">
        <x:v>lade_0823_30aoi</x:v>
      </x:c>
      <x:c r="B268" s="10" t="n">
        <x:v>30</x:v>
      </x:c>
      <x:c r="C268" s="10" t="n">
        <x:v>42</x:v>
      </x:c>
      <x:c r="D268" s="10" t="str">
        <x:v>M1 / M3</x:v>
      </x:c>
      <x:c r="E268" s="16" t="n">
        <x:v>3</x:v>
      </x:c>
      <x:c r="F268" s="14" t="n">
        <x:v>50</x:v>
      </x:c>
      <x:c r="G268" s="26" t="n">
        <x:f>'成本明细'!U42+'成本明细'!G42*(E268-'参数'!$B$6)</x:f>
        <x:v>3388.0965361505555</x:v>
      </x:c>
      <x:c r="H268" s="26" t="n">
        <x:f>'成本明细'!U48</x:f>
        <x:v>4857.482826402222</x:v>
      </x:c>
      <x:c r="I268" s="26" t="n">
        <x:f>'成本明细'!V48</x:f>
        <x:v>9307.5</x:v>
      </x:c>
      <x:c r="J268" s="22" t="n">
        <x:f>'参数'!$B$9</x:f>
        <x:v>300</x:v>
      </x:c>
      <x:c r="K268" s="26" t="n">
        <x:f>J268*(G268-H268)-I268*ROUNDUP(J268/F268,0)</x:f>
        <x:v>-496660.88707549986</x:v>
      </x:c>
      <x:c r="L268" s="10" t="str">
        <x:f>IF(G268-H268&lt;=0,"未回本",IF(ROUNDUP(I268/(G268-H268),0)&gt;MIN(F268,J268),"未回本",MAX(1,ROUNDUP(I268/(G268-H268),0))))</x:f>
        <x:v>未回本</x:v>
      </x:c>
    </x:row>
    <x:row r="269" ht="22" customHeight="1">
      <x:c r="A269" s="11" t="str">
        <x:v>lade_0823_30aoi</x:v>
      </x:c>
      <x:c r="B269" s="10" t="n">
        <x:v>30</x:v>
      </x:c>
      <x:c r="C269" s="10" t="n">
        <x:v>42</x:v>
      </x:c>
      <x:c r="D269" s="10" t="str">
        <x:v>M2 / M4</x:v>
      </x:c>
      <x:c r="E269" s="16" t="n">
        <x:v>3</x:v>
      </x:c>
      <x:c r="F269" s="14" t="n">
        <x:v>50</x:v>
      </x:c>
      <x:c r="G269" s="26" t="n">
        <x:f>'成本明细'!U45+'成本明细'!G45*(E269-'参数'!$B$6)</x:f>
        <x:v>3388.0965361505555</x:v>
      </x:c>
      <x:c r="H269" s="26" t="n">
        <x:f>'成本明细'!U51</x:f>
        <x:v>4087.083541705556</x:v>
      </x:c>
      <x:c r="I269" s="26" t="n">
        <x:f>'成本明细'!V51</x:f>
        <x:v>9307.5</x:v>
      </x:c>
      <x:c r="J269" s="22" t="n">
        <x:f>'参数'!$B$9</x:f>
        <x:v>300</x:v>
      </x:c>
      <x:c r="K269" s="26" t="n">
        <x:f>J269*(G269-H269)-I269*ROUNDUP(J269/F269,0)</x:f>
        <x:v>-265541.1016665001</x:v>
      </x:c>
      <x:c r="L269" s="10" t="str">
        <x:f>IF(G269-H269&lt;=0,"未回本",IF(ROUNDUP(I269/(G269-H269),0)&gt;MIN(F269,J269),"未回本",MAX(1,ROUNDUP(I269/(G269-H269),0))))</x:f>
        <x:v>未回本</x:v>
      </x:c>
    </x:row>
    <x:row r="270" ht="22" customHeight="1">
      <x:c r="A270" s="11" t="str">
        <x:v>lade_0823_30aoi</x:v>
      </x:c>
      <x:c r="B270" s="10" t="n">
        <x:v>30</x:v>
      </x:c>
      <x:c r="C270" s="10" t="n">
        <x:v>42</x:v>
      </x:c>
      <x:c r="D270" s="10" t="str">
        <x:v>M1 / M3</x:v>
      </x:c>
      <x:c r="E270" s="16" t="n">
        <x:v>4</x:v>
      </x:c>
      <x:c r="F270" s="14" t="n">
        <x:v>10</x:v>
      </x:c>
      <x:c r="G270" s="26" t="n">
        <x:f>'成本明细'!U42+'成本明细'!G42*(E270-'参数'!$B$6)</x:f>
        <x:v>3643.0965361505555</x:v>
      </x:c>
      <x:c r="H270" s="26" t="n">
        <x:f>'成本明细'!U48</x:f>
        <x:v>4857.482826402222</x:v>
      </x:c>
      <x:c r="I270" s="26" t="n">
        <x:f>'成本明细'!V48</x:f>
        <x:v>9307.5</x:v>
      </x:c>
      <x:c r="J270" s="22" t="n">
        <x:f>'参数'!$B$9</x:f>
        <x:v>300</x:v>
      </x:c>
      <x:c r="K270" s="26" t="n">
        <x:f>J270*(G270-H270)-I270*ROUNDUP(J270/F270,0)</x:f>
        <x:v>-643540.8870754999</x:v>
      </x:c>
      <x:c r="L270" s="10" t="str">
        <x:f>IF(G270-H270&lt;=0,"未回本",IF(ROUNDUP(I270/(G270-H270),0)&gt;MIN(F270,J270),"未回本",MAX(1,ROUNDUP(I270/(G270-H270),0))))</x:f>
        <x:v>未回本</x:v>
      </x:c>
    </x:row>
    <x:row r="271" ht="22" customHeight="1">
      <x:c r="A271" s="11" t="str">
        <x:v>lade_0823_30aoi</x:v>
      </x:c>
      <x:c r="B271" s="10" t="n">
        <x:v>30</x:v>
      </x:c>
      <x:c r="C271" s="10" t="n">
        <x:v>42</x:v>
      </x:c>
      <x:c r="D271" s="10" t="str">
        <x:v>M2 / M4</x:v>
      </x:c>
      <x:c r="E271" s="16" t="n">
        <x:v>4</x:v>
      </x:c>
      <x:c r="F271" s="14" t="n">
        <x:v>10</x:v>
      </x:c>
      <x:c r="G271" s="26" t="n">
        <x:f>'成本明细'!U45+'成本明细'!G45*(E271-'参数'!$B$6)</x:f>
        <x:v>3643.0965361505555</x:v>
      </x:c>
      <x:c r="H271" s="26" t="n">
        <x:f>'成本明细'!U51</x:f>
        <x:v>4087.083541705556</x:v>
      </x:c>
      <x:c r="I271" s="26" t="n">
        <x:f>'成本明细'!V51</x:f>
        <x:v>9307.5</x:v>
      </x:c>
      <x:c r="J271" s="22" t="n">
        <x:f>'参数'!$B$9</x:f>
        <x:v>300</x:v>
      </x:c>
      <x:c r="K271" s="26" t="n">
        <x:f>J271*(G271-H271)-I271*ROUNDUP(J271/F271,0)</x:f>
        <x:v>-412421.1016665001</x:v>
      </x:c>
      <x:c r="L271" s="10" t="str">
        <x:f>IF(G271-H271&lt;=0,"未回本",IF(ROUNDUP(I271/(G271-H271),0)&gt;MIN(F271,J271),"未回本",MAX(1,ROUNDUP(I271/(G271-H271),0))))</x:f>
        <x:v>未回本</x:v>
      </x:c>
    </x:row>
    <x:row r="272" ht="22" customHeight="1">
      <x:c r="A272" s="11" t="str">
        <x:v>lade_0823_30aoi</x:v>
      </x:c>
      <x:c r="B272" s="10" t="n">
        <x:v>30</x:v>
      </x:c>
      <x:c r="C272" s="10" t="n">
        <x:v>42</x:v>
      </x:c>
      <x:c r="D272" s="10" t="str">
        <x:v>M1 / M3</x:v>
      </x:c>
      <x:c r="E272" s="16" t="n">
        <x:v>4</x:v>
      </x:c>
      <x:c r="F272" s="14" t="n">
        <x:v>20</x:v>
      </x:c>
      <x:c r="G272" s="26" t="n">
        <x:f>'成本明细'!U42+'成本明细'!G42*(E272-'参数'!$B$6)</x:f>
        <x:v>3643.0965361505555</x:v>
      </x:c>
      <x:c r="H272" s="26" t="n">
        <x:f>'成本明细'!U48</x:f>
        <x:v>4857.482826402222</x:v>
      </x:c>
      <x:c r="I272" s="26" t="n">
        <x:f>'成本明细'!V48</x:f>
        <x:v>9307.5</x:v>
      </x:c>
      <x:c r="J272" s="22" t="n">
        <x:f>'参数'!$B$9</x:f>
        <x:v>300</x:v>
      </x:c>
      <x:c r="K272" s="26" t="n">
        <x:f>J272*(G272-H272)-I272*ROUNDUP(J272/F272,0)</x:f>
        <x:v>-503928.38707549986</x:v>
      </x:c>
      <x:c r="L272" s="10" t="str">
        <x:f>IF(G272-H272&lt;=0,"未回本",IF(ROUNDUP(I272/(G272-H272),0)&gt;MIN(F272,J272),"未回本",MAX(1,ROUNDUP(I272/(G272-H272),0))))</x:f>
        <x:v>未回本</x:v>
      </x:c>
    </x:row>
    <x:row r="273" ht="22" customHeight="1">
      <x:c r="A273" s="11" t="str">
        <x:v>lade_0823_30aoi</x:v>
      </x:c>
      <x:c r="B273" s="10" t="n">
        <x:v>30</x:v>
      </x:c>
      <x:c r="C273" s="10" t="n">
        <x:v>42</x:v>
      </x:c>
      <x:c r="D273" s="10" t="str">
        <x:v>M2 / M4</x:v>
      </x:c>
      <x:c r="E273" s="16" t="n">
        <x:v>4</x:v>
      </x:c>
      <x:c r="F273" s="14" t="n">
        <x:v>20</x:v>
      </x:c>
      <x:c r="G273" s="26" t="n">
        <x:f>'成本明细'!U45+'成本明细'!G45*(E273-'参数'!$B$6)</x:f>
        <x:v>3643.0965361505555</x:v>
      </x:c>
      <x:c r="H273" s="26" t="n">
        <x:f>'成本明细'!U51</x:f>
        <x:v>4087.083541705556</x:v>
      </x:c>
      <x:c r="I273" s="26" t="n">
        <x:f>'成本明细'!V51</x:f>
        <x:v>9307.5</x:v>
      </x:c>
      <x:c r="J273" s="22" t="n">
        <x:f>'参数'!$B$9</x:f>
        <x:v>300</x:v>
      </x:c>
      <x:c r="K273" s="26" t="n">
        <x:f>J273*(G273-H273)-I273*ROUNDUP(J273/F273,0)</x:f>
        <x:v>-272808.6016665001</x:v>
      </x:c>
      <x:c r="L273" s="10" t="str">
        <x:f>IF(G273-H273&lt;=0,"未回本",IF(ROUNDUP(I273/(G273-H273),0)&gt;MIN(F273,J273),"未回本",MAX(1,ROUNDUP(I273/(G273-H273),0))))</x:f>
        <x:v>未回本</x:v>
      </x:c>
    </x:row>
    <x:row r="274" ht="22" customHeight="1">
      <x:c r="A274" s="11" t="str">
        <x:v>lade_0823_30aoi</x:v>
      </x:c>
      <x:c r="B274" s="10" t="n">
        <x:v>30</x:v>
      </x:c>
      <x:c r="C274" s="10" t="n">
        <x:v>42</x:v>
      </x:c>
      <x:c r="D274" s="10" t="str">
        <x:v>M1 / M3</x:v>
      </x:c>
      <x:c r="E274" s="16" t="n">
        <x:v>4</x:v>
      </x:c>
      <x:c r="F274" s="14" t="n">
        <x:v>30</x:v>
      </x:c>
      <x:c r="G274" s="26" t="n">
        <x:f>'成本明细'!U42+'成本明细'!G42*(E274-'参数'!$B$6)</x:f>
        <x:v>3643.0965361505555</x:v>
      </x:c>
      <x:c r="H274" s="26" t="n">
        <x:f>'成本明细'!U48</x:f>
        <x:v>4857.482826402222</x:v>
      </x:c>
      <x:c r="I274" s="26" t="n">
        <x:f>'成本明细'!V48</x:f>
        <x:v>9307.5</x:v>
      </x:c>
      <x:c r="J274" s="22" t="n">
        <x:f>'参数'!$B$9</x:f>
        <x:v>300</x:v>
      </x:c>
      <x:c r="K274" s="26" t="n">
        <x:f>J274*(G274-H274)-I274*ROUNDUP(J274/F274,0)</x:f>
        <x:v>-457390.88707549986</x:v>
      </x:c>
      <x:c r="L274" s="10" t="str">
        <x:f>IF(G274-H274&lt;=0,"未回本",IF(ROUNDUP(I274/(G274-H274),0)&gt;MIN(F274,J274),"未回本",MAX(1,ROUNDUP(I274/(G274-H274),0))))</x:f>
        <x:v>未回本</x:v>
      </x:c>
    </x:row>
    <x:row r="275" ht="22" customHeight="1">
      <x:c r="A275" s="11" t="str">
        <x:v>lade_0823_30aoi</x:v>
      </x:c>
      <x:c r="B275" s="10" t="n">
        <x:v>30</x:v>
      </x:c>
      <x:c r="C275" s="10" t="n">
        <x:v>42</x:v>
      </x:c>
      <x:c r="D275" s="10" t="str">
        <x:v>M2 / M4</x:v>
      </x:c>
      <x:c r="E275" s="16" t="n">
        <x:v>4</x:v>
      </x:c>
      <x:c r="F275" s="14" t="n">
        <x:v>30</x:v>
      </x:c>
      <x:c r="G275" s="26" t="n">
        <x:f>'成本明细'!U45+'成本明细'!G45*(E275-'参数'!$B$6)</x:f>
        <x:v>3643.0965361505555</x:v>
      </x:c>
      <x:c r="H275" s="26" t="n">
        <x:f>'成本明细'!U51</x:f>
        <x:v>4087.083541705556</x:v>
      </x:c>
      <x:c r="I275" s="26" t="n">
        <x:f>'成本明细'!V51</x:f>
        <x:v>9307.5</x:v>
      </x:c>
      <x:c r="J275" s="22" t="n">
        <x:f>'参数'!$B$9</x:f>
        <x:v>300</x:v>
      </x:c>
      <x:c r="K275" s="26" t="n">
        <x:f>J275*(G275-H275)-I275*ROUNDUP(J275/F275,0)</x:f>
        <x:v>-226271.10166650012</x:v>
      </x:c>
      <x:c r="L275" s="10" t="str">
        <x:f>IF(G275-H275&lt;=0,"未回本",IF(ROUNDUP(I275/(G275-H275),0)&gt;MIN(F275,J275),"未回本",MAX(1,ROUNDUP(I275/(G275-H275),0))))</x:f>
        <x:v>未回本</x:v>
      </x:c>
    </x:row>
    <x:row r="276" ht="22" customHeight="1">
      <x:c r="A276" s="11" t="str">
        <x:v>lade_0823_30aoi</x:v>
      </x:c>
      <x:c r="B276" s="10" t="n">
        <x:v>30</x:v>
      </x:c>
      <x:c r="C276" s="10" t="n">
        <x:v>42</x:v>
      </x:c>
      <x:c r="D276" s="10" t="str">
        <x:v>M1 / M3</x:v>
      </x:c>
      <x:c r="E276" s="16" t="n">
        <x:v>4</x:v>
      </x:c>
      <x:c r="F276" s="14" t="n">
        <x:v>50</x:v>
      </x:c>
      <x:c r="G276" s="26" t="n">
        <x:f>'成本明细'!U42+'成本明细'!G42*(E276-'参数'!$B$6)</x:f>
        <x:v>3643.0965361505555</x:v>
      </x:c>
      <x:c r="H276" s="26" t="n">
        <x:f>'成本明细'!U48</x:f>
        <x:v>4857.482826402222</x:v>
      </x:c>
      <x:c r="I276" s="26" t="n">
        <x:f>'成本明细'!V48</x:f>
        <x:v>9307.5</x:v>
      </x:c>
      <x:c r="J276" s="22" t="n">
        <x:f>'参数'!$B$9</x:f>
        <x:v>300</x:v>
      </x:c>
      <x:c r="K276" s="26" t="n">
        <x:f>J276*(G276-H276)-I276*ROUNDUP(J276/F276,0)</x:f>
        <x:v>-420160.88707549986</x:v>
      </x:c>
      <x:c r="L276" s="10" t="str">
        <x:f>IF(G276-H276&lt;=0,"未回本",IF(ROUNDUP(I276/(G276-H276),0)&gt;MIN(F276,J276),"未回本",MAX(1,ROUNDUP(I276/(G276-H276),0))))</x:f>
        <x:v>未回本</x:v>
      </x:c>
    </x:row>
    <x:row r="277" ht="22" customHeight="1">
      <x:c r="A277" s="11" t="str">
        <x:v>lade_0823_30aoi</x:v>
      </x:c>
      <x:c r="B277" s="10" t="n">
        <x:v>30</x:v>
      </x:c>
      <x:c r="C277" s="10" t="n">
        <x:v>42</x:v>
      </x:c>
      <x:c r="D277" s="10" t="str">
        <x:v>M2 / M4</x:v>
      </x:c>
      <x:c r="E277" s="16" t="n">
        <x:v>4</x:v>
      </x:c>
      <x:c r="F277" s="14" t="n">
        <x:v>50</x:v>
      </x:c>
      <x:c r="G277" s="26" t="n">
        <x:f>'成本明细'!U45+'成本明细'!G45*(E277-'参数'!$B$6)</x:f>
        <x:v>3643.0965361505555</x:v>
      </x:c>
      <x:c r="H277" s="26" t="n">
        <x:f>'成本明细'!U51</x:f>
        <x:v>4087.083541705556</x:v>
      </x:c>
      <x:c r="I277" s="26" t="n">
        <x:f>'成本明细'!V51</x:f>
        <x:v>9307.5</x:v>
      </x:c>
      <x:c r="J277" s="22" t="n">
        <x:f>'参数'!$B$9</x:f>
        <x:v>300</x:v>
      </x:c>
      <x:c r="K277" s="26" t="n">
        <x:f>J277*(G277-H277)-I277*ROUNDUP(J277/F277,0)</x:f>
        <x:v>-189041.10166650012</x:v>
      </x:c>
      <x:c r="L277" s="10" t="str">
        <x:f>IF(G277-H277&lt;=0,"未回本",IF(ROUNDUP(I277/(G277-H277),0)&gt;MIN(F277,J277),"未回本",MAX(1,ROUNDUP(I277/(G277-H277),0))))</x:f>
        <x:v>未回本</x:v>
      </x:c>
    </x:row>
    <x:row r="278" ht="22" customHeight="1">
      <x:c r="A278" s="11" t="str">
        <x:v>lade_0823_30aoi</x:v>
      </x:c>
      <x:c r="B278" s="10" t="n">
        <x:v>30</x:v>
      </x:c>
      <x:c r="C278" s="10" t="n">
        <x:v>42</x:v>
      </x:c>
      <x:c r="D278" s="10" t="str">
        <x:v>M1 / M3</x:v>
      </x:c>
      <x:c r="E278" s="16" t="n">
        <x:v>5</x:v>
      </x:c>
      <x:c r="F278" s="14" t="n">
        <x:v>10</x:v>
      </x:c>
      <x:c r="G278" s="26" t="n">
        <x:f>'成本明细'!U42+'成本明细'!G42*(E278-'参数'!$B$6)</x:f>
        <x:v>3898.0965361505555</x:v>
      </x:c>
      <x:c r="H278" s="26" t="n">
        <x:f>'成本明细'!U48</x:f>
        <x:v>4857.482826402222</x:v>
      </x:c>
      <x:c r="I278" s="26" t="n">
        <x:f>'成本明细'!V48</x:f>
        <x:v>9307.5</x:v>
      </x:c>
      <x:c r="J278" s="22" t="n">
        <x:f>'参数'!$B$9</x:f>
        <x:v>300</x:v>
      </x:c>
      <x:c r="K278" s="26" t="n">
        <x:f>J278*(G278-H278)-I278*ROUNDUP(J278/F278,0)</x:f>
        <x:v>-567040.8870754999</x:v>
      </x:c>
      <x:c r="L278" s="10" t="str">
        <x:f>IF(G278-H278&lt;=0,"未回本",IF(ROUNDUP(I278/(G278-H278),0)&gt;MIN(F278,J278),"未回本",MAX(1,ROUNDUP(I278/(G278-H278),0))))</x:f>
        <x:v>未回本</x:v>
      </x:c>
    </x:row>
    <x:row r="279" ht="22" customHeight="1">
      <x:c r="A279" s="11" t="str">
        <x:v>lade_0823_30aoi</x:v>
      </x:c>
      <x:c r="B279" s="10" t="n">
        <x:v>30</x:v>
      </x:c>
      <x:c r="C279" s="10" t="n">
        <x:v>42</x:v>
      </x:c>
      <x:c r="D279" s="10" t="str">
        <x:v>M2 / M4</x:v>
      </x:c>
      <x:c r="E279" s="16" t="n">
        <x:v>5</x:v>
      </x:c>
      <x:c r="F279" s="14" t="n">
        <x:v>10</x:v>
      </x:c>
      <x:c r="G279" s="26" t="n">
        <x:f>'成本明细'!U45+'成本明细'!G45*(E279-'参数'!$B$6)</x:f>
        <x:v>3898.0965361505555</x:v>
      </x:c>
      <x:c r="H279" s="26" t="n">
        <x:f>'成本明细'!U51</x:f>
        <x:v>4087.083541705556</x:v>
      </x:c>
      <x:c r="I279" s="26" t="n">
        <x:f>'成本明细'!V51</x:f>
        <x:v>9307.5</x:v>
      </x:c>
      <x:c r="J279" s="22" t="n">
        <x:f>'参数'!$B$9</x:f>
        <x:v>300</x:v>
      </x:c>
      <x:c r="K279" s="26" t="n">
        <x:f>J279*(G279-H279)-I279*ROUNDUP(J279/F279,0)</x:f>
        <x:v>-335921.10166650015</x:v>
      </x:c>
      <x:c r="L279" s="10" t="str">
        <x:f>IF(G279-H279&lt;=0,"未回本",IF(ROUNDUP(I279/(G279-H279),0)&gt;MIN(F279,J279),"未回本",MAX(1,ROUNDUP(I279/(G279-H279),0))))</x:f>
        <x:v>未回本</x:v>
      </x:c>
    </x:row>
    <x:row r="280" ht="22" customHeight="1">
      <x:c r="A280" s="11" t="str">
        <x:v>lade_0823_30aoi</x:v>
      </x:c>
      <x:c r="B280" s="10" t="n">
        <x:v>30</x:v>
      </x:c>
      <x:c r="C280" s="10" t="n">
        <x:v>42</x:v>
      </x:c>
      <x:c r="D280" s="10" t="str">
        <x:v>M1 / M3</x:v>
      </x:c>
      <x:c r="E280" s="16" t="n">
        <x:v>5</x:v>
      </x:c>
      <x:c r="F280" s="14" t="n">
        <x:v>20</x:v>
      </x:c>
      <x:c r="G280" s="26" t="n">
        <x:f>'成本明细'!U42+'成本明细'!G42*(E280-'参数'!$B$6)</x:f>
        <x:v>3898.0965361505555</x:v>
      </x:c>
      <x:c r="H280" s="26" t="n">
        <x:f>'成本明细'!U48</x:f>
        <x:v>4857.482826402222</x:v>
      </x:c>
      <x:c r="I280" s="26" t="n">
        <x:f>'成本明细'!V48</x:f>
        <x:v>9307.5</x:v>
      </x:c>
      <x:c r="J280" s="22" t="n">
        <x:f>'参数'!$B$9</x:f>
        <x:v>300</x:v>
      </x:c>
      <x:c r="K280" s="26" t="n">
        <x:f>J280*(G280-H280)-I280*ROUNDUP(J280/F280,0)</x:f>
        <x:v>-427428.38707549986</x:v>
      </x:c>
      <x:c r="L280" s="10" t="str">
        <x:f>IF(G280-H280&lt;=0,"未回本",IF(ROUNDUP(I280/(G280-H280),0)&gt;MIN(F280,J280),"未回本",MAX(1,ROUNDUP(I280/(G280-H280),0))))</x:f>
        <x:v>未回本</x:v>
      </x:c>
    </x:row>
    <x:row r="281" ht="22" customHeight="1">
      <x:c r="A281" s="11" t="str">
        <x:v>lade_0823_30aoi</x:v>
      </x:c>
      <x:c r="B281" s="10" t="n">
        <x:v>30</x:v>
      </x:c>
      <x:c r="C281" s="10" t="n">
        <x:v>42</x:v>
      </x:c>
      <x:c r="D281" s="10" t="str">
        <x:v>M2 / M4</x:v>
      </x:c>
      <x:c r="E281" s="16" t="n">
        <x:v>5</x:v>
      </x:c>
      <x:c r="F281" s="14" t="n">
        <x:v>20</x:v>
      </x:c>
      <x:c r="G281" s="26" t="n">
        <x:f>'成本明细'!U45+'成本明细'!G45*(E281-'参数'!$B$6)</x:f>
        <x:v>3898.0965361505555</x:v>
      </x:c>
      <x:c r="H281" s="26" t="n">
        <x:f>'成本明细'!U51</x:f>
        <x:v>4087.083541705556</x:v>
      </x:c>
      <x:c r="I281" s="26" t="n">
        <x:f>'成本明细'!V51</x:f>
        <x:v>9307.5</x:v>
      </x:c>
      <x:c r="J281" s="22" t="n">
        <x:f>'参数'!$B$9</x:f>
        <x:v>300</x:v>
      </x:c>
      <x:c r="K281" s="26" t="n">
        <x:f>J281*(G281-H281)-I281*ROUNDUP(J281/F281,0)</x:f>
        <x:v>-196308.60166650015</x:v>
      </x:c>
      <x:c r="L281" s="10" t="str">
        <x:f>IF(G281-H281&lt;=0,"未回本",IF(ROUNDUP(I281/(G281-H281),0)&gt;MIN(F281,J281),"未回本",MAX(1,ROUNDUP(I281/(G281-H281),0))))</x:f>
        <x:v>未回本</x:v>
      </x:c>
    </x:row>
    <x:row r="282" ht="22" customHeight="1">
      <x:c r="A282" s="11" t="str">
        <x:v>lade_0823_30aoi</x:v>
      </x:c>
      <x:c r="B282" s="10" t="n">
        <x:v>30</x:v>
      </x:c>
      <x:c r="C282" s="10" t="n">
        <x:v>42</x:v>
      </x:c>
      <x:c r="D282" s="10" t="str">
        <x:v>M1 / M3</x:v>
      </x:c>
      <x:c r="E282" s="16" t="n">
        <x:v>5</x:v>
      </x:c>
      <x:c r="F282" s="14" t="n">
        <x:v>30</x:v>
      </x:c>
      <x:c r="G282" s="26" t="n">
        <x:f>'成本明细'!U42+'成本明细'!G42*(E282-'参数'!$B$6)</x:f>
        <x:v>3898.0965361505555</x:v>
      </x:c>
      <x:c r="H282" s="26" t="n">
        <x:f>'成本明细'!U48</x:f>
        <x:v>4857.482826402222</x:v>
      </x:c>
      <x:c r="I282" s="26" t="n">
        <x:f>'成本明细'!V48</x:f>
        <x:v>9307.5</x:v>
      </x:c>
      <x:c r="J282" s="22" t="n">
        <x:f>'参数'!$B$9</x:f>
        <x:v>300</x:v>
      </x:c>
      <x:c r="K282" s="26" t="n">
        <x:f>J282*(G282-H282)-I282*ROUNDUP(J282/F282,0)</x:f>
        <x:v>-380890.88707549986</x:v>
      </x:c>
      <x:c r="L282" s="10" t="str">
        <x:f>IF(G282-H282&lt;=0,"未回本",IF(ROUNDUP(I282/(G282-H282),0)&gt;MIN(F282,J282),"未回本",MAX(1,ROUNDUP(I282/(G282-H282),0))))</x:f>
        <x:v>未回本</x:v>
      </x:c>
    </x:row>
    <x:row r="283" ht="22" customHeight="1">
      <x:c r="A283" s="11" t="str">
        <x:v>lade_0823_30aoi</x:v>
      </x:c>
      <x:c r="B283" s="10" t="n">
        <x:v>30</x:v>
      </x:c>
      <x:c r="C283" s="10" t="n">
        <x:v>42</x:v>
      </x:c>
      <x:c r="D283" s="10" t="str">
        <x:v>M2 / M4</x:v>
      </x:c>
      <x:c r="E283" s="16" t="n">
        <x:v>5</x:v>
      </x:c>
      <x:c r="F283" s="14" t="n">
        <x:v>30</x:v>
      </x:c>
      <x:c r="G283" s="26" t="n">
        <x:f>'成本明细'!U45+'成本明细'!G45*(E283-'参数'!$B$6)</x:f>
        <x:v>3898.0965361505555</x:v>
      </x:c>
      <x:c r="H283" s="26" t="n">
        <x:f>'成本明细'!U51</x:f>
        <x:v>4087.083541705556</x:v>
      </x:c>
      <x:c r="I283" s="26" t="n">
        <x:f>'成本明细'!V51</x:f>
        <x:v>9307.5</x:v>
      </x:c>
      <x:c r="J283" s="22" t="n">
        <x:f>'参数'!$B$9</x:f>
        <x:v>300</x:v>
      </x:c>
      <x:c r="K283" s="26" t="n">
        <x:f>J283*(G283-H283)-I283*ROUNDUP(J283/F283,0)</x:f>
        <x:v>-149771.10166650015</x:v>
      </x:c>
      <x:c r="L283" s="10" t="str">
        <x:f>IF(G283-H283&lt;=0,"未回本",IF(ROUNDUP(I283/(G283-H283),0)&gt;MIN(F283,J283),"未回本",MAX(1,ROUNDUP(I283/(G283-H283),0))))</x:f>
        <x:v>未回本</x:v>
      </x:c>
    </x:row>
    <x:row r="284" ht="22" customHeight="1">
      <x:c r="A284" s="11" t="str">
        <x:v>lade_0823_30aoi</x:v>
      </x:c>
      <x:c r="B284" s="10" t="n">
        <x:v>30</x:v>
      </x:c>
      <x:c r="C284" s="10" t="n">
        <x:v>42</x:v>
      </x:c>
      <x:c r="D284" s="10" t="str">
        <x:v>M1 / M3</x:v>
      </x:c>
      <x:c r="E284" s="16" t="n">
        <x:v>5</x:v>
      </x:c>
      <x:c r="F284" s="14" t="n">
        <x:v>50</x:v>
      </x:c>
      <x:c r="G284" s="26" t="n">
        <x:f>'成本明细'!U42+'成本明细'!G42*(E284-'参数'!$B$6)</x:f>
        <x:v>3898.0965361505555</x:v>
      </x:c>
      <x:c r="H284" s="26" t="n">
        <x:f>'成本明细'!U48</x:f>
        <x:v>4857.482826402222</x:v>
      </x:c>
      <x:c r="I284" s="26" t="n">
        <x:f>'成本明细'!V48</x:f>
        <x:v>9307.5</x:v>
      </x:c>
      <x:c r="J284" s="22" t="n">
        <x:f>'参数'!$B$9</x:f>
        <x:v>300</x:v>
      </x:c>
      <x:c r="K284" s="26" t="n">
        <x:f>J284*(G284-H284)-I284*ROUNDUP(J284/F284,0)</x:f>
        <x:v>-343660.88707549986</x:v>
      </x:c>
      <x:c r="L284" s="10" t="str">
        <x:f>IF(G284-H284&lt;=0,"未回本",IF(ROUNDUP(I284/(G284-H284),0)&gt;MIN(F284,J284),"未回本",MAX(1,ROUNDUP(I284/(G284-H284),0))))</x:f>
        <x:v>未回本</x:v>
      </x:c>
    </x:row>
    <x:row r="285" ht="22" customHeight="1">
      <x:c r="A285" s="11" t="str">
        <x:v>lade_0823_30aoi</x:v>
      </x:c>
      <x:c r="B285" s="10" t="n">
        <x:v>30</x:v>
      </x:c>
      <x:c r="C285" s="10" t="n">
        <x:v>42</x:v>
      </x:c>
      <x:c r="D285" s="10" t="str">
        <x:v>M2 / M4</x:v>
      </x:c>
      <x:c r="E285" s="16" t="n">
        <x:v>5</x:v>
      </x:c>
      <x:c r="F285" s="14" t="n">
        <x:v>50</x:v>
      </x:c>
      <x:c r="G285" s="26" t="n">
        <x:f>'成本明细'!U45+'成本明细'!G45*(E285-'参数'!$B$6)</x:f>
        <x:v>3898.0965361505555</x:v>
      </x:c>
      <x:c r="H285" s="26" t="n">
        <x:f>'成本明细'!U51</x:f>
        <x:v>4087.083541705556</x:v>
      </x:c>
      <x:c r="I285" s="26" t="n">
        <x:f>'成本明细'!V51</x:f>
        <x:v>9307.5</x:v>
      </x:c>
      <x:c r="J285" s="22" t="n">
        <x:f>'参数'!$B$9</x:f>
        <x:v>300</x:v>
      </x:c>
      <x:c r="K285" s="26" t="n">
        <x:f>J285*(G285-H285)-I285*ROUNDUP(J285/F285,0)</x:f>
        <x:v>-112541.10166650014</x:v>
      </x:c>
      <x:c r="L285" s="10" t="str">
        <x:f>IF(G285-H285&lt;=0,"未回本",IF(ROUNDUP(I285/(G285-H285),0)&gt;MIN(F285,J285),"未回本",MAX(1,ROUNDUP(I285/(G285-H285),0))))</x:f>
        <x:v>未回本</x:v>
      </x:c>
    </x:row>
    <x:row r="286" ht="22" customHeight="1">
      <x:c r="A286" s="11" t="str">
        <x:v>lade_0823_30aoi</x:v>
      </x:c>
      <x:c r="B286" s="10" t="n">
        <x:v>30</x:v>
      </x:c>
      <x:c r="C286" s="10" t="n">
        <x:v>43</x:v>
      </x:c>
      <x:c r="D286" s="10" t="str">
        <x:v>M1 / M3</x:v>
      </x:c>
      <x:c r="E286" s="16" t="n">
        <x:v>1</x:v>
      </x:c>
      <x:c r="F286" s="14" t="n">
        <x:v>10</x:v>
      </x:c>
      <x:c r="G286" s="26" t="n">
        <x:f>'成本明细'!U43+'成本明细'!G43*(E286-'参数'!$B$6)</x:f>
        <x:v>2879.1533779305555</x:v>
      </x:c>
      <x:c r="H286" s="26" t="n">
        <x:f>'成本明细'!U49</x:f>
        <x:v>5033.082434182222</x:v>
      </x:c>
      <x:c r="I286" s="26" t="n">
        <x:f>'成本明细'!V49</x:f>
        <x:v>9307.5</x:v>
      </x:c>
      <x:c r="J286" s="22" t="n">
        <x:f>'参数'!$B$9</x:f>
        <x:v>300</x:v>
      </x:c>
      <x:c r="K286" s="26" t="n">
        <x:f>J286*(G286-H286)-I286*ROUNDUP(J286/F286,0)</x:f>
        <x:v>-925403.7168754998</x:v>
      </x:c>
      <x:c r="L286" s="10" t="str">
        <x:f>IF(G286-H286&lt;=0,"未回本",IF(ROUNDUP(I286/(G286-H286),0)&gt;MIN(F286,J286),"未回本",MAX(1,ROUNDUP(I286/(G286-H286),0))))</x:f>
        <x:v>未回本</x:v>
      </x:c>
    </x:row>
    <x:row r="287" ht="22" customHeight="1">
      <x:c r="A287" s="11" t="str">
        <x:v>lade_0823_30aoi</x:v>
      </x:c>
      <x:c r="B287" s="10" t="n">
        <x:v>30</x:v>
      </x:c>
      <x:c r="C287" s="10" t="n">
        <x:v>43</x:v>
      </x:c>
      <x:c r="D287" s="10" t="str">
        <x:v>M2 / M4</x:v>
      </x:c>
      <x:c r="E287" s="16" t="n">
        <x:v>1</x:v>
      </x:c>
      <x:c r="F287" s="14" t="n">
        <x:v>10</x:v>
      </x:c>
      <x:c r="G287" s="26" t="n">
        <x:f>'成本明细'!U46+'成本明细'!G46*(E287-'参数'!$B$6)</x:f>
        <x:v>2885.384583691111</x:v>
      </x:c>
      <x:c r="H287" s="26" t="n">
        <x:f>'成本明细'!U52</x:f>
        <x:v>4110.566202278889</x:v>
      </x:c>
      <x:c r="I287" s="26" t="n">
        <x:f>'成本明细'!V52</x:f>
        <x:v>9307.5</x:v>
      </x:c>
      <x:c r="J287" s="22" t="n">
        <x:f>'参数'!$B$9</x:f>
        <x:v>300</x:v>
      </x:c>
      <x:c r="K287" s="26" t="n">
        <x:f>J287*(G287-H287)-I287*ROUNDUP(J287/F287,0)</x:f>
        <x:v>-646779.4855763335</x:v>
      </x:c>
      <x:c r="L287" s="10" t="str">
        <x:f>IF(G287-H287&lt;=0,"未回本",IF(ROUNDUP(I287/(G287-H287),0)&gt;MIN(F287,J287),"未回本",MAX(1,ROUNDUP(I287/(G287-H287),0))))</x:f>
        <x:v>未回本</x:v>
      </x:c>
    </x:row>
    <x:row r="288" ht="22" customHeight="1">
      <x:c r="A288" s="11" t="str">
        <x:v>lade_0823_30aoi</x:v>
      </x:c>
      <x:c r="B288" s="10" t="n">
        <x:v>30</x:v>
      </x:c>
      <x:c r="C288" s="10" t="n">
        <x:v>43</x:v>
      </x:c>
      <x:c r="D288" s="10" t="str">
        <x:v>M1 / M3</x:v>
      </x:c>
      <x:c r="E288" s="16" t="n">
        <x:v>1</x:v>
      </x:c>
      <x:c r="F288" s="14" t="n">
        <x:v>20</x:v>
      </x:c>
      <x:c r="G288" s="26" t="n">
        <x:f>'成本明细'!U43+'成本明细'!G43*(E288-'参数'!$B$6)</x:f>
        <x:v>2879.1533779305555</x:v>
      </x:c>
      <x:c r="H288" s="26" t="n">
        <x:f>'成本明细'!U49</x:f>
        <x:v>5033.082434182222</x:v>
      </x:c>
      <x:c r="I288" s="26" t="n">
        <x:f>'成本明细'!V49</x:f>
        <x:v>9307.5</x:v>
      </x:c>
      <x:c r="J288" s="22" t="n">
        <x:f>'参数'!$B$9</x:f>
        <x:v>300</x:v>
      </x:c>
      <x:c r="K288" s="26" t="n">
        <x:f>J288*(G288-H288)-I288*ROUNDUP(J288/F288,0)</x:f>
        <x:v>-785791.2168754998</x:v>
      </x:c>
      <x:c r="L288" s="10" t="str">
        <x:f>IF(G288-H288&lt;=0,"未回本",IF(ROUNDUP(I288/(G288-H288),0)&gt;MIN(F288,J288),"未回本",MAX(1,ROUNDUP(I288/(G288-H288),0))))</x:f>
        <x:v>未回本</x:v>
      </x:c>
    </x:row>
    <x:row r="289" ht="22" customHeight="1">
      <x:c r="A289" s="11" t="str">
        <x:v>lade_0823_30aoi</x:v>
      </x:c>
      <x:c r="B289" s="10" t="n">
        <x:v>30</x:v>
      </x:c>
      <x:c r="C289" s="10" t="n">
        <x:v>43</x:v>
      </x:c>
      <x:c r="D289" s="10" t="str">
        <x:v>M2 / M4</x:v>
      </x:c>
      <x:c r="E289" s="16" t="n">
        <x:v>1</x:v>
      </x:c>
      <x:c r="F289" s="14" t="n">
        <x:v>20</x:v>
      </x:c>
      <x:c r="G289" s="26" t="n">
        <x:f>'成本明细'!U46+'成本明细'!G46*(E289-'参数'!$B$6)</x:f>
        <x:v>2885.384583691111</x:v>
      </x:c>
      <x:c r="H289" s="26" t="n">
        <x:f>'成本明细'!U52</x:f>
        <x:v>4110.566202278889</x:v>
      </x:c>
      <x:c r="I289" s="26" t="n">
        <x:f>'成本明细'!V52</x:f>
        <x:v>9307.5</x:v>
      </x:c>
      <x:c r="J289" s="22" t="n">
        <x:f>'参数'!$B$9</x:f>
        <x:v>300</x:v>
      </x:c>
      <x:c r="K289" s="26" t="n">
        <x:f>J289*(G289-H289)-I289*ROUNDUP(J289/F289,0)</x:f>
        <x:v>-507166.9855763335</x:v>
      </x:c>
      <x:c r="L289" s="10" t="str">
        <x:f>IF(G289-H289&lt;=0,"未回本",IF(ROUNDUP(I289/(G289-H289),0)&gt;MIN(F289,J289),"未回本",MAX(1,ROUNDUP(I289/(G289-H289),0))))</x:f>
        <x:v>未回本</x:v>
      </x:c>
    </x:row>
    <x:row r="290" ht="22" customHeight="1">
      <x:c r="A290" s="11" t="str">
        <x:v>lade_0823_30aoi</x:v>
      </x:c>
      <x:c r="B290" s="10" t="n">
        <x:v>30</x:v>
      </x:c>
      <x:c r="C290" s="10" t="n">
        <x:v>43</x:v>
      </x:c>
      <x:c r="D290" s="10" t="str">
        <x:v>M1 / M3</x:v>
      </x:c>
      <x:c r="E290" s="16" t="n">
        <x:v>1</x:v>
      </x:c>
      <x:c r="F290" s="14" t="n">
        <x:v>30</x:v>
      </x:c>
      <x:c r="G290" s="26" t="n">
        <x:f>'成本明细'!U43+'成本明细'!G43*(E290-'参数'!$B$6)</x:f>
        <x:v>2879.1533779305555</x:v>
      </x:c>
      <x:c r="H290" s="26" t="n">
        <x:f>'成本明细'!U49</x:f>
        <x:v>5033.082434182222</x:v>
      </x:c>
      <x:c r="I290" s="26" t="n">
        <x:f>'成本明细'!V49</x:f>
        <x:v>9307.5</x:v>
      </x:c>
      <x:c r="J290" s="22" t="n">
        <x:f>'参数'!$B$9</x:f>
        <x:v>300</x:v>
      </x:c>
      <x:c r="K290" s="26" t="n">
        <x:f>J290*(G290-H290)-I290*ROUNDUP(J290/F290,0)</x:f>
        <x:v>-739253.7168754998</x:v>
      </x:c>
      <x:c r="L290" s="10" t="str">
        <x:f>IF(G290-H290&lt;=0,"未回本",IF(ROUNDUP(I290/(G290-H290),0)&gt;MIN(F290,J290),"未回本",MAX(1,ROUNDUP(I290/(G290-H290),0))))</x:f>
        <x:v>未回本</x:v>
      </x:c>
    </x:row>
    <x:row r="291" ht="22" customHeight="1">
      <x:c r="A291" s="11" t="str">
        <x:v>lade_0823_30aoi</x:v>
      </x:c>
      <x:c r="B291" s="10" t="n">
        <x:v>30</x:v>
      </x:c>
      <x:c r="C291" s="10" t="n">
        <x:v>43</x:v>
      </x:c>
      <x:c r="D291" s="10" t="str">
        <x:v>M2 / M4</x:v>
      </x:c>
      <x:c r="E291" s="16" t="n">
        <x:v>1</x:v>
      </x:c>
      <x:c r="F291" s="14" t="n">
        <x:v>30</x:v>
      </x:c>
      <x:c r="G291" s="26" t="n">
        <x:f>'成本明细'!U46+'成本明细'!G46*(E291-'参数'!$B$6)</x:f>
        <x:v>2885.384583691111</x:v>
      </x:c>
      <x:c r="H291" s="26" t="n">
        <x:f>'成本明细'!U52</x:f>
        <x:v>4110.566202278889</x:v>
      </x:c>
      <x:c r="I291" s="26" t="n">
        <x:f>'成本明细'!V52</x:f>
        <x:v>9307.5</x:v>
      </x:c>
      <x:c r="J291" s="22" t="n">
        <x:f>'参数'!$B$9</x:f>
        <x:v>300</x:v>
      </x:c>
      <x:c r="K291" s="26" t="n">
        <x:f>J291*(G291-H291)-I291*ROUNDUP(J291/F291,0)</x:f>
        <x:v>-460629.4855763335</x:v>
      </x:c>
      <x:c r="L291" s="10" t="str">
        <x:f>IF(G291-H291&lt;=0,"未回本",IF(ROUNDUP(I291/(G291-H291),0)&gt;MIN(F291,J291),"未回本",MAX(1,ROUNDUP(I291/(G291-H291),0))))</x:f>
        <x:v>未回本</x:v>
      </x:c>
    </x:row>
    <x:row r="292" ht="22" customHeight="1">
      <x:c r="A292" s="11" t="str">
        <x:v>lade_0823_30aoi</x:v>
      </x:c>
      <x:c r="B292" s="10" t="n">
        <x:v>30</x:v>
      </x:c>
      <x:c r="C292" s="10" t="n">
        <x:v>43</x:v>
      </x:c>
      <x:c r="D292" s="10" t="str">
        <x:v>M1 / M3</x:v>
      </x:c>
      <x:c r="E292" s="16" t="n">
        <x:v>1</x:v>
      </x:c>
      <x:c r="F292" s="14" t="n">
        <x:v>50</x:v>
      </x:c>
      <x:c r="G292" s="26" t="n">
        <x:f>'成本明细'!U43+'成本明细'!G43*(E292-'参数'!$B$6)</x:f>
        <x:v>2879.1533779305555</x:v>
      </x:c>
      <x:c r="H292" s="26" t="n">
        <x:f>'成本明细'!U49</x:f>
        <x:v>5033.082434182222</x:v>
      </x:c>
      <x:c r="I292" s="26" t="n">
        <x:f>'成本明细'!V49</x:f>
        <x:v>9307.5</x:v>
      </x:c>
      <x:c r="J292" s="22" t="n">
        <x:f>'参数'!$B$9</x:f>
        <x:v>300</x:v>
      </x:c>
      <x:c r="K292" s="26" t="n">
        <x:f>J292*(G292-H292)-I292*ROUNDUP(J292/F292,0)</x:f>
        <x:v>-702023.7168754998</x:v>
      </x:c>
      <x:c r="L292" s="10" t="str">
        <x:f>IF(G292-H292&lt;=0,"未回本",IF(ROUNDUP(I292/(G292-H292),0)&gt;MIN(F292,J292),"未回本",MAX(1,ROUNDUP(I292/(G292-H292),0))))</x:f>
        <x:v>未回本</x:v>
      </x:c>
    </x:row>
    <x:row r="293" ht="22" customHeight="1">
      <x:c r="A293" s="11" t="str">
        <x:v>lade_0823_30aoi</x:v>
      </x:c>
      <x:c r="B293" s="10" t="n">
        <x:v>30</x:v>
      </x:c>
      <x:c r="C293" s="10" t="n">
        <x:v>43</x:v>
      </x:c>
      <x:c r="D293" s="10" t="str">
        <x:v>M2 / M4</x:v>
      </x:c>
      <x:c r="E293" s="16" t="n">
        <x:v>1</x:v>
      </x:c>
      <x:c r="F293" s="14" t="n">
        <x:v>50</x:v>
      </x:c>
      <x:c r="G293" s="26" t="n">
        <x:f>'成本明细'!U46+'成本明细'!G46*(E293-'参数'!$B$6)</x:f>
        <x:v>2885.384583691111</x:v>
      </x:c>
      <x:c r="H293" s="26" t="n">
        <x:f>'成本明细'!U52</x:f>
        <x:v>4110.566202278889</x:v>
      </x:c>
      <x:c r="I293" s="26" t="n">
        <x:f>'成本明细'!V52</x:f>
        <x:v>9307.5</x:v>
      </x:c>
      <x:c r="J293" s="22" t="n">
        <x:f>'参数'!$B$9</x:f>
        <x:v>300</x:v>
      </x:c>
      <x:c r="K293" s="26" t="n">
        <x:f>J293*(G293-H293)-I293*ROUNDUP(J293/F293,0)</x:f>
        <x:v>-423399.4855763335</x:v>
      </x:c>
      <x:c r="L293" s="10" t="str">
        <x:f>IF(G293-H293&lt;=0,"未回本",IF(ROUNDUP(I293/(G293-H293),0)&gt;MIN(F293,J293),"未回本",MAX(1,ROUNDUP(I293/(G293-H293),0))))</x:f>
        <x:v>未回本</x:v>
      </x:c>
    </x:row>
    <x:row r="294" ht="22" customHeight="1">
      <x:c r="A294" s="11" t="str">
        <x:v>lade_0823_30aoi</x:v>
      </x:c>
      <x:c r="B294" s="10" t="n">
        <x:v>30</x:v>
      </x:c>
      <x:c r="C294" s="10" t="n">
        <x:v>43</x:v>
      </x:c>
      <x:c r="D294" s="10" t="str">
        <x:v>M1 / M3</x:v>
      </x:c>
      <x:c r="E294" s="16" t="n">
        <x:v>2</x:v>
      </x:c>
      <x:c r="F294" s="14" t="n">
        <x:v>10</x:v>
      </x:c>
      <x:c r="G294" s="26" t="n">
        <x:f>'成本明细'!U43+'成本明细'!G43*(E294-'参数'!$B$6)</x:f>
        <x:v>3134.1533779305555</x:v>
      </x:c>
      <x:c r="H294" s="26" t="n">
        <x:f>'成本明细'!U49</x:f>
        <x:v>5033.082434182222</x:v>
      </x:c>
      <x:c r="I294" s="26" t="n">
        <x:f>'成本明细'!V49</x:f>
        <x:v>9307.5</x:v>
      </x:c>
      <x:c r="J294" s="22" t="n">
        <x:f>'参数'!$B$9</x:f>
        <x:v>300</x:v>
      </x:c>
      <x:c r="K294" s="26" t="n">
        <x:f>J294*(G294-H294)-I294*ROUNDUP(J294/F294,0)</x:f>
        <x:v>-848903.7168754998</x:v>
      </x:c>
      <x:c r="L294" s="10" t="str">
        <x:f>IF(G294-H294&lt;=0,"未回本",IF(ROUNDUP(I294/(G294-H294),0)&gt;MIN(F294,J294),"未回本",MAX(1,ROUNDUP(I294/(G294-H294),0))))</x:f>
        <x:v>未回本</x:v>
      </x:c>
    </x:row>
    <x:row r="295" ht="22" customHeight="1">
      <x:c r="A295" s="11" t="str">
        <x:v>lade_0823_30aoi</x:v>
      </x:c>
      <x:c r="B295" s="10" t="n">
        <x:v>30</x:v>
      </x:c>
      <x:c r="C295" s="10" t="n">
        <x:v>43</x:v>
      </x:c>
      <x:c r="D295" s="10" t="str">
        <x:v>M2 / M4</x:v>
      </x:c>
      <x:c r="E295" s="16" t="n">
        <x:v>2</x:v>
      </x:c>
      <x:c r="F295" s="14" t="n">
        <x:v>10</x:v>
      </x:c>
      <x:c r="G295" s="26" t="n">
        <x:f>'成本明细'!U46+'成本明细'!G46*(E295-'参数'!$B$6)</x:f>
        <x:v>3140.384583691111</x:v>
      </x:c>
      <x:c r="H295" s="26" t="n">
        <x:f>'成本明细'!U52</x:f>
        <x:v>4110.566202278889</x:v>
      </x:c>
      <x:c r="I295" s="26" t="n">
        <x:f>'成本明细'!V52</x:f>
        <x:v>9307.5</x:v>
      </x:c>
      <x:c r="J295" s="22" t="n">
        <x:f>'参数'!$B$9</x:f>
        <x:v>300</x:v>
      </x:c>
      <x:c r="K295" s="26" t="n">
        <x:f>J295*(G295-H295)-I295*ROUNDUP(J295/F295,0)</x:f>
        <x:v>-570279.4855763335</x:v>
      </x:c>
      <x:c r="L295" s="10" t="str">
        <x:f>IF(G295-H295&lt;=0,"未回本",IF(ROUNDUP(I295/(G295-H295),0)&gt;MIN(F295,J295),"未回本",MAX(1,ROUNDUP(I295/(G295-H295),0))))</x:f>
        <x:v>未回本</x:v>
      </x:c>
    </x:row>
    <x:row r="296" ht="22" customHeight="1">
      <x:c r="A296" s="11" t="str">
        <x:v>lade_0823_30aoi</x:v>
      </x:c>
      <x:c r="B296" s="10" t="n">
        <x:v>30</x:v>
      </x:c>
      <x:c r="C296" s="10" t="n">
        <x:v>43</x:v>
      </x:c>
      <x:c r="D296" s="10" t="str">
        <x:v>M1 / M3</x:v>
      </x:c>
      <x:c r="E296" s="16" t="n">
        <x:v>2</x:v>
      </x:c>
      <x:c r="F296" s="14" t="n">
        <x:v>20</x:v>
      </x:c>
      <x:c r="G296" s="26" t="n">
        <x:f>'成本明细'!U43+'成本明细'!G43*(E296-'参数'!$B$6)</x:f>
        <x:v>3134.1533779305555</x:v>
      </x:c>
      <x:c r="H296" s="26" t="n">
        <x:f>'成本明细'!U49</x:f>
        <x:v>5033.082434182222</x:v>
      </x:c>
      <x:c r="I296" s="26" t="n">
        <x:f>'成本明细'!V49</x:f>
        <x:v>9307.5</x:v>
      </x:c>
      <x:c r="J296" s="22" t="n">
        <x:f>'参数'!$B$9</x:f>
        <x:v>300</x:v>
      </x:c>
      <x:c r="K296" s="26" t="n">
        <x:f>J296*(G296-H296)-I296*ROUNDUP(J296/F296,0)</x:f>
        <x:v>-709291.2168754998</x:v>
      </x:c>
      <x:c r="L296" s="10" t="str">
        <x:f>IF(G296-H296&lt;=0,"未回本",IF(ROUNDUP(I296/(G296-H296),0)&gt;MIN(F296,J296),"未回本",MAX(1,ROUNDUP(I296/(G296-H296),0))))</x:f>
        <x:v>未回本</x:v>
      </x:c>
    </x:row>
    <x:row r="297" ht="22" customHeight="1">
      <x:c r="A297" s="11" t="str">
        <x:v>lade_0823_30aoi</x:v>
      </x:c>
      <x:c r="B297" s="10" t="n">
        <x:v>30</x:v>
      </x:c>
      <x:c r="C297" s="10" t="n">
        <x:v>43</x:v>
      </x:c>
      <x:c r="D297" s="10" t="str">
        <x:v>M2 / M4</x:v>
      </x:c>
      <x:c r="E297" s="16" t="n">
        <x:v>2</x:v>
      </x:c>
      <x:c r="F297" s="14" t="n">
        <x:v>20</x:v>
      </x:c>
      <x:c r="G297" s="26" t="n">
        <x:f>'成本明细'!U46+'成本明细'!G46*(E297-'参数'!$B$6)</x:f>
        <x:v>3140.384583691111</x:v>
      </x:c>
      <x:c r="H297" s="26" t="n">
        <x:f>'成本明细'!U52</x:f>
        <x:v>4110.566202278889</x:v>
      </x:c>
      <x:c r="I297" s="26" t="n">
        <x:f>'成本明细'!V52</x:f>
        <x:v>9307.5</x:v>
      </x:c>
      <x:c r="J297" s="22" t="n">
        <x:f>'参数'!$B$9</x:f>
        <x:v>300</x:v>
      </x:c>
      <x:c r="K297" s="26" t="n">
        <x:f>J297*(G297-H297)-I297*ROUNDUP(J297/F297,0)</x:f>
        <x:v>-430666.9855763335</x:v>
      </x:c>
      <x:c r="L297" s="10" t="str">
        <x:f>IF(G297-H297&lt;=0,"未回本",IF(ROUNDUP(I297/(G297-H297),0)&gt;MIN(F297,J297),"未回本",MAX(1,ROUNDUP(I297/(G297-H297),0))))</x:f>
        <x:v>未回本</x:v>
      </x:c>
    </x:row>
    <x:row r="298" ht="22" customHeight="1">
      <x:c r="A298" s="11" t="str">
        <x:v>lade_0823_30aoi</x:v>
      </x:c>
      <x:c r="B298" s="10" t="n">
        <x:v>30</x:v>
      </x:c>
      <x:c r="C298" s="10" t="n">
        <x:v>43</x:v>
      </x:c>
      <x:c r="D298" s="10" t="str">
        <x:v>M1 / M3</x:v>
      </x:c>
      <x:c r="E298" s="16" t="n">
        <x:v>2</x:v>
      </x:c>
      <x:c r="F298" s="14" t="n">
        <x:v>30</x:v>
      </x:c>
      <x:c r="G298" s="26" t="n">
        <x:f>'成本明细'!U43+'成本明细'!G43*(E298-'参数'!$B$6)</x:f>
        <x:v>3134.1533779305555</x:v>
      </x:c>
      <x:c r="H298" s="26" t="n">
        <x:f>'成本明细'!U49</x:f>
        <x:v>5033.082434182222</x:v>
      </x:c>
      <x:c r="I298" s="26" t="n">
        <x:f>'成本明细'!V49</x:f>
        <x:v>9307.5</x:v>
      </x:c>
      <x:c r="J298" s="22" t="n">
        <x:f>'参数'!$B$9</x:f>
        <x:v>300</x:v>
      </x:c>
      <x:c r="K298" s="26" t="n">
        <x:f>J298*(G298-H298)-I298*ROUNDUP(J298/F298,0)</x:f>
        <x:v>-662753.7168754998</x:v>
      </x:c>
      <x:c r="L298" s="10" t="str">
        <x:f>IF(G298-H298&lt;=0,"未回本",IF(ROUNDUP(I298/(G298-H298),0)&gt;MIN(F298,J298),"未回本",MAX(1,ROUNDUP(I298/(G298-H298),0))))</x:f>
        <x:v>未回本</x:v>
      </x:c>
    </x:row>
    <x:row r="299" ht="22" customHeight="1">
      <x:c r="A299" s="11" t="str">
        <x:v>lade_0823_30aoi</x:v>
      </x:c>
      <x:c r="B299" s="10" t="n">
        <x:v>30</x:v>
      </x:c>
      <x:c r="C299" s="10" t="n">
        <x:v>43</x:v>
      </x:c>
      <x:c r="D299" s="10" t="str">
        <x:v>M2 / M4</x:v>
      </x:c>
      <x:c r="E299" s="16" t="n">
        <x:v>2</x:v>
      </x:c>
      <x:c r="F299" s="14" t="n">
        <x:v>30</x:v>
      </x:c>
      <x:c r="G299" s="26" t="n">
        <x:f>'成本明细'!U46+'成本明细'!G46*(E299-'参数'!$B$6)</x:f>
        <x:v>3140.384583691111</x:v>
      </x:c>
      <x:c r="H299" s="26" t="n">
        <x:f>'成本明细'!U52</x:f>
        <x:v>4110.566202278889</x:v>
      </x:c>
      <x:c r="I299" s="26" t="n">
        <x:f>'成本明细'!V52</x:f>
        <x:v>9307.5</x:v>
      </x:c>
      <x:c r="J299" s="22" t="n">
        <x:f>'参数'!$B$9</x:f>
        <x:v>300</x:v>
      </x:c>
      <x:c r="K299" s="26" t="n">
        <x:f>J299*(G299-H299)-I299*ROUNDUP(J299/F299,0)</x:f>
        <x:v>-384129.4855763335</x:v>
      </x:c>
      <x:c r="L299" s="10" t="str">
        <x:f>IF(G299-H299&lt;=0,"未回本",IF(ROUNDUP(I299/(G299-H299),0)&gt;MIN(F299,J299),"未回本",MAX(1,ROUNDUP(I299/(G299-H299),0))))</x:f>
        <x:v>未回本</x:v>
      </x:c>
    </x:row>
    <x:row r="300" ht="22" customHeight="1">
      <x:c r="A300" s="11" t="str">
        <x:v>lade_0823_30aoi</x:v>
      </x:c>
      <x:c r="B300" s="10" t="n">
        <x:v>30</x:v>
      </x:c>
      <x:c r="C300" s="10" t="n">
        <x:v>43</x:v>
      </x:c>
      <x:c r="D300" s="10" t="str">
        <x:v>M1 / M3</x:v>
      </x:c>
      <x:c r="E300" s="16" t="n">
        <x:v>2</x:v>
      </x:c>
      <x:c r="F300" s="14" t="n">
        <x:v>50</x:v>
      </x:c>
      <x:c r="G300" s="26" t="n">
        <x:f>'成本明细'!U43+'成本明细'!G43*(E300-'参数'!$B$6)</x:f>
        <x:v>3134.1533779305555</x:v>
      </x:c>
      <x:c r="H300" s="26" t="n">
        <x:f>'成本明细'!U49</x:f>
        <x:v>5033.082434182222</x:v>
      </x:c>
      <x:c r="I300" s="26" t="n">
        <x:f>'成本明细'!V49</x:f>
        <x:v>9307.5</x:v>
      </x:c>
      <x:c r="J300" s="22" t="n">
        <x:f>'参数'!$B$9</x:f>
        <x:v>300</x:v>
      </x:c>
      <x:c r="K300" s="26" t="n">
        <x:f>J300*(G300-H300)-I300*ROUNDUP(J300/F300,0)</x:f>
        <x:v>-625523.7168754998</x:v>
      </x:c>
      <x:c r="L300" s="10" t="str">
        <x:f>IF(G300-H300&lt;=0,"未回本",IF(ROUNDUP(I300/(G300-H300),0)&gt;MIN(F300,J300),"未回本",MAX(1,ROUNDUP(I300/(G300-H300),0))))</x:f>
        <x:v>未回本</x:v>
      </x:c>
    </x:row>
    <x:row r="301" ht="22" customHeight="1">
      <x:c r="A301" s="11" t="str">
        <x:v>lade_0823_30aoi</x:v>
      </x:c>
      <x:c r="B301" s="10" t="n">
        <x:v>30</x:v>
      </x:c>
      <x:c r="C301" s="10" t="n">
        <x:v>43</x:v>
      </x:c>
      <x:c r="D301" s="10" t="str">
        <x:v>M2 / M4</x:v>
      </x:c>
      <x:c r="E301" s="16" t="n">
        <x:v>2</x:v>
      </x:c>
      <x:c r="F301" s="14" t="n">
        <x:v>50</x:v>
      </x:c>
      <x:c r="G301" s="26" t="n">
        <x:f>'成本明细'!U46+'成本明细'!G46*(E301-'参数'!$B$6)</x:f>
        <x:v>3140.384583691111</x:v>
      </x:c>
      <x:c r="H301" s="26" t="n">
        <x:f>'成本明细'!U52</x:f>
        <x:v>4110.566202278889</x:v>
      </x:c>
      <x:c r="I301" s="26" t="n">
        <x:f>'成本明细'!V52</x:f>
        <x:v>9307.5</x:v>
      </x:c>
      <x:c r="J301" s="22" t="n">
        <x:f>'参数'!$B$9</x:f>
        <x:v>300</x:v>
      </x:c>
      <x:c r="K301" s="26" t="n">
        <x:f>J301*(G301-H301)-I301*ROUNDUP(J301/F301,0)</x:f>
        <x:v>-346899.4855763335</x:v>
      </x:c>
      <x:c r="L301" s="10" t="str">
        <x:f>IF(G301-H301&lt;=0,"未回本",IF(ROUNDUP(I301/(G301-H301),0)&gt;MIN(F301,J301),"未回本",MAX(1,ROUNDUP(I301/(G301-H301),0))))</x:f>
        <x:v>未回本</x:v>
      </x:c>
    </x:row>
    <x:row r="302" ht="22" customHeight="1">
      <x:c r="A302" s="11" t="str">
        <x:v>lade_0823_30aoi</x:v>
      </x:c>
      <x:c r="B302" s="10" t="n">
        <x:v>30</x:v>
      </x:c>
      <x:c r="C302" s="10" t="n">
        <x:v>43</x:v>
      </x:c>
      <x:c r="D302" s="10" t="str">
        <x:v>M1 / M3</x:v>
      </x:c>
      <x:c r="E302" s="16" t="n">
        <x:v>3</x:v>
      </x:c>
      <x:c r="F302" s="14" t="n">
        <x:v>10</x:v>
      </x:c>
      <x:c r="G302" s="26" t="n">
        <x:f>'成本明细'!U43+'成本明细'!G43*(E302-'参数'!$B$6)</x:f>
        <x:v>3389.1533779305555</x:v>
      </x:c>
      <x:c r="H302" s="26" t="n">
        <x:f>'成本明细'!U49</x:f>
        <x:v>5033.082434182222</x:v>
      </x:c>
      <x:c r="I302" s="26" t="n">
        <x:f>'成本明细'!V49</x:f>
        <x:v>9307.5</x:v>
      </x:c>
      <x:c r="J302" s="22" t="n">
        <x:f>'参数'!$B$9</x:f>
        <x:v>300</x:v>
      </x:c>
      <x:c r="K302" s="26" t="n">
        <x:f>J302*(G302-H302)-I302*ROUNDUP(J302/F302,0)</x:f>
        <x:v>-772403.7168754998</x:v>
      </x:c>
      <x:c r="L302" s="10" t="str">
        <x:f>IF(G302-H302&lt;=0,"未回本",IF(ROUNDUP(I302/(G302-H302),0)&gt;MIN(F302,J302),"未回本",MAX(1,ROUNDUP(I302/(G302-H302),0))))</x:f>
        <x:v>未回本</x:v>
      </x:c>
    </x:row>
    <x:row r="303" ht="22" customHeight="1">
      <x:c r="A303" s="11" t="str">
        <x:v>lade_0823_30aoi</x:v>
      </x:c>
      <x:c r="B303" s="10" t="n">
        <x:v>30</x:v>
      </x:c>
      <x:c r="C303" s="10" t="n">
        <x:v>43</x:v>
      </x:c>
      <x:c r="D303" s="10" t="str">
        <x:v>M2 / M4</x:v>
      </x:c>
      <x:c r="E303" s="16" t="n">
        <x:v>3</x:v>
      </x:c>
      <x:c r="F303" s="14" t="n">
        <x:v>10</x:v>
      </x:c>
      <x:c r="G303" s="26" t="n">
        <x:f>'成本明细'!U46+'成本明细'!G46*(E303-'参数'!$B$6)</x:f>
        <x:v>3395.384583691111</x:v>
      </x:c>
      <x:c r="H303" s="26" t="n">
        <x:f>'成本明细'!U52</x:f>
        <x:v>4110.566202278889</x:v>
      </x:c>
      <x:c r="I303" s="26" t="n">
        <x:f>'成本明细'!V52</x:f>
        <x:v>9307.5</x:v>
      </x:c>
      <x:c r="J303" s="22" t="n">
        <x:f>'参数'!$B$9</x:f>
        <x:v>300</x:v>
      </x:c>
      <x:c r="K303" s="26" t="n">
        <x:f>J303*(G303-H303)-I303*ROUNDUP(J303/F303,0)</x:f>
        <x:v>-493779.4855763335</x:v>
      </x:c>
      <x:c r="L303" s="10" t="str">
        <x:f>IF(G303-H303&lt;=0,"未回本",IF(ROUNDUP(I303/(G303-H303),0)&gt;MIN(F303,J303),"未回本",MAX(1,ROUNDUP(I303/(G303-H303),0))))</x:f>
        <x:v>未回本</x:v>
      </x:c>
    </x:row>
    <x:row r="304" ht="22" customHeight="1">
      <x:c r="A304" s="11" t="str">
        <x:v>lade_0823_30aoi</x:v>
      </x:c>
      <x:c r="B304" s="10" t="n">
        <x:v>30</x:v>
      </x:c>
      <x:c r="C304" s="10" t="n">
        <x:v>43</x:v>
      </x:c>
      <x:c r="D304" s="10" t="str">
        <x:v>M1 / M3</x:v>
      </x:c>
      <x:c r="E304" s="16" t="n">
        <x:v>3</x:v>
      </x:c>
      <x:c r="F304" s="14" t="n">
        <x:v>20</x:v>
      </x:c>
      <x:c r="G304" s="26" t="n">
        <x:f>'成本明细'!U43+'成本明细'!G43*(E304-'参数'!$B$6)</x:f>
        <x:v>3389.1533779305555</x:v>
      </x:c>
      <x:c r="H304" s="26" t="n">
        <x:f>'成本明细'!U49</x:f>
        <x:v>5033.082434182222</x:v>
      </x:c>
      <x:c r="I304" s="26" t="n">
        <x:f>'成本明细'!V49</x:f>
        <x:v>9307.5</x:v>
      </x:c>
      <x:c r="J304" s="22" t="n">
        <x:f>'参数'!$B$9</x:f>
        <x:v>300</x:v>
      </x:c>
      <x:c r="K304" s="26" t="n">
        <x:f>J304*(G304-H304)-I304*ROUNDUP(J304/F304,0)</x:f>
        <x:v>-632791.2168754998</x:v>
      </x:c>
      <x:c r="L304" s="10" t="str">
        <x:f>IF(G304-H304&lt;=0,"未回本",IF(ROUNDUP(I304/(G304-H304),0)&gt;MIN(F304,J304),"未回本",MAX(1,ROUNDUP(I304/(G304-H304),0))))</x:f>
        <x:v>未回本</x:v>
      </x:c>
    </x:row>
    <x:row r="305" ht="22" customHeight="1">
      <x:c r="A305" s="11" t="str">
        <x:v>lade_0823_30aoi</x:v>
      </x:c>
      <x:c r="B305" s="10" t="n">
        <x:v>30</x:v>
      </x:c>
      <x:c r="C305" s="10" t="n">
        <x:v>43</x:v>
      </x:c>
      <x:c r="D305" s="10" t="str">
        <x:v>M2 / M4</x:v>
      </x:c>
      <x:c r="E305" s="16" t="n">
        <x:v>3</x:v>
      </x:c>
      <x:c r="F305" s="14" t="n">
        <x:v>20</x:v>
      </x:c>
      <x:c r="G305" s="26" t="n">
        <x:f>'成本明细'!U46+'成本明细'!G46*(E305-'参数'!$B$6)</x:f>
        <x:v>3395.384583691111</x:v>
      </x:c>
      <x:c r="H305" s="26" t="n">
        <x:f>'成本明细'!U52</x:f>
        <x:v>4110.566202278889</x:v>
      </x:c>
      <x:c r="I305" s="26" t="n">
        <x:f>'成本明细'!V52</x:f>
        <x:v>9307.5</x:v>
      </x:c>
      <x:c r="J305" s="22" t="n">
        <x:f>'参数'!$B$9</x:f>
        <x:v>300</x:v>
      </x:c>
      <x:c r="K305" s="26" t="n">
        <x:f>J305*(G305-H305)-I305*ROUNDUP(J305/F305,0)</x:f>
        <x:v>-354166.9855763335</x:v>
      </x:c>
      <x:c r="L305" s="10" t="str">
        <x:f>IF(G305-H305&lt;=0,"未回本",IF(ROUNDUP(I305/(G305-H305),0)&gt;MIN(F305,J305),"未回本",MAX(1,ROUNDUP(I305/(G305-H305),0))))</x:f>
        <x:v>未回本</x:v>
      </x:c>
    </x:row>
    <x:row r="306" ht="22" customHeight="1">
      <x:c r="A306" s="11" t="str">
        <x:v>lade_0823_30aoi</x:v>
      </x:c>
      <x:c r="B306" s="10" t="n">
        <x:v>30</x:v>
      </x:c>
      <x:c r="C306" s="10" t="n">
        <x:v>43</x:v>
      </x:c>
      <x:c r="D306" s="10" t="str">
        <x:v>M1 / M3</x:v>
      </x:c>
      <x:c r="E306" s="16" t="n">
        <x:v>3</x:v>
      </x:c>
      <x:c r="F306" s="14" t="n">
        <x:v>30</x:v>
      </x:c>
      <x:c r="G306" s="26" t="n">
        <x:f>'成本明细'!U43+'成本明细'!G43*(E306-'参数'!$B$6)</x:f>
        <x:v>3389.1533779305555</x:v>
      </x:c>
      <x:c r="H306" s="26" t="n">
        <x:f>'成本明细'!U49</x:f>
        <x:v>5033.082434182222</x:v>
      </x:c>
      <x:c r="I306" s="26" t="n">
        <x:f>'成本明细'!V49</x:f>
        <x:v>9307.5</x:v>
      </x:c>
      <x:c r="J306" s="22" t="n">
        <x:f>'参数'!$B$9</x:f>
        <x:v>300</x:v>
      </x:c>
      <x:c r="K306" s="26" t="n">
        <x:f>J306*(G306-H306)-I306*ROUNDUP(J306/F306,0)</x:f>
        <x:v>-586253.7168754998</x:v>
      </x:c>
      <x:c r="L306" s="10" t="str">
        <x:f>IF(G306-H306&lt;=0,"未回本",IF(ROUNDUP(I306/(G306-H306),0)&gt;MIN(F306,J306),"未回本",MAX(1,ROUNDUP(I306/(G306-H306),0))))</x:f>
        <x:v>未回本</x:v>
      </x:c>
    </x:row>
    <x:row r="307" ht="22" customHeight="1">
      <x:c r="A307" s="11" t="str">
        <x:v>lade_0823_30aoi</x:v>
      </x:c>
      <x:c r="B307" s="10" t="n">
        <x:v>30</x:v>
      </x:c>
      <x:c r="C307" s="10" t="n">
        <x:v>43</x:v>
      </x:c>
      <x:c r="D307" s="10" t="str">
        <x:v>M2 / M4</x:v>
      </x:c>
      <x:c r="E307" s="16" t="n">
        <x:v>3</x:v>
      </x:c>
      <x:c r="F307" s="14" t="n">
        <x:v>30</x:v>
      </x:c>
      <x:c r="G307" s="26" t="n">
        <x:f>'成本明细'!U46+'成本明细'!G46*(E307-'参数'!$B$6)</x:f>
        <x:v>3395.384583691111</x:v>
      </x:c>
      <x:c r="H307" s="26" t="n">
        <x:f>'成本明细'!U52</x:f>
        <x:v>4110.566202278889</x:v>
      </x:c>
      <x:c r="I307" s="26" t="n">
        <x:f>'成本明细'!V52</x:f>
        <x:v>9307.5</x:v>
      </x:c>
      <x:c r="J307" s="22" t="n">
        <x:f>'参数'!$B$9</x:f>
        <x:v>300</x:v>
      </x:c>
      <x:c r="K307" s="26" t="n">
        <x:f>J307*(G307-H307)-I307*ROUNDUP(J307/F307,0)</x:f>
        <x:v>-307629.4855763335</x:v>
      </x:c>
      <x:c r="L307" s="10" t="str">
        <x:f>IF(G307-H307&lt;=0,"未回本",IF(ROUNDUP(I307/(G307-H307),0)&gt;MIN(F307,J307),"未回本",MAX(1,ROUNDUP(I307/(G307-H307),0))))</x:f>
        <x:v>未回本</x:v>
      </x:c>
    </x:row>
    <x:row r="308" ht="22" customHeight="1">
      <x:c r="A308" s="11" t="str">
        <x:v>lade_0823_30aoi</x:v>
      </x:c>
      <x:c r="B308" s="10" t="n">
        <x:v>30</x:v>
      </x:c>
      <x:c r="C308" s="10" t="n">
        <x:v>43</x:v>
      </x:c>
      <x:c r="D308" s="10" t="str">
        <x:v>M1 / M3</x:v>
      </x:c>
      <x:c r="E308" s="16" t="n">
        <x:v>3</x:v>
      </x:c>
      <x:c r="F308" s="14" t="n">
        <x:v>50</x:v>
      </x:c>
      <x:c r="G308" s="26" t="n">
        <x:f>'成本明细'!U43+'成本明细'!G43*(E308-'参数'!$B$6)</x:f>
        <x:v>3389.1533779305555</x:v>
      </x:c>
      <x:c r="H308" s="26" t="n">
        <x:f>'成本明细'!U49</x:f>
        <x:v>5033.082434182222</x:v>
      </x:c>
      <x:c r="I308" s="26" t="n">
        <x:f>'成本明细'!V49</x:f>
        <x:v>9307.5</x:v>
      </x:c>
      <x:c r="J308" s="22" t="n">
        <x:f>'参数'!$B$9</x:f>
        <x:v>300</x:v>
      </x:c>
      <x:c r="K308" s="26" t="n">
        <x:f>J308*(G308-H308)-I308*ROUNDUP(J308/F308,0)</x:f>
        <x:v>-549023.7168754998</x:v>
      </x:c>
      <x:c r="L308" s="10" t="str">
        <x:f>IF(G308-H308&lt;=0,"未回本",IF(ROUNDUP(I308/(G308-H308),0)&gt;MIN(F308,J308),"未回本",MAX(1,ROUNDUP(I308/(G308-H308),0))))</x:f>
        <x:v>未回本</x:v>
      </x:c>
    </x:row>
    <x:row r="309" ht="22" customHeight="1">
      <x:c r="A309" s="11" t="str">
        <x:v>lade_0823_30aoi</x:v>
      </x:c>
      <x:c r="B309" s="10" t="n">
        <x:v>30</x:v>
      </x:c>
      <x:c r="C309" s="10" t="n">
        <x:v>43</x:v>
      </x:c>
      <x:c r="D309" s="10" t="str">
        <x:v>M2 / M4</x:v>
      </x:c>
      <x:c r="E309" s="16" t="n">
        <x:v>3</x:v>
      </x:c>
      <x:c r="F309" s="14" t="n">
        <x:v>50</x:v>
      </x:c>
      <x:c r="G309" s="26" t="n">
        <x:f>'成本明细'!U46+'成本明细'!G46*(E309-'参数'!$B$6)</x:f>
        <x:v>3395.384583691111</x:v>
      </x:c>
      <x:c r="H309" s="26" t="n">
        <x:f>'成本明细'!U52</x:f>
        <x:v>4110.566202278889</x:v>
      </x:c>
      <x:c r="I309" s="26" t="n">
        <x:f>'成本明细'!V52</x:f>
        <x:v>9307.5</x:v>
      </x:c>
      <x:c r="J309" s="22" t="n">
        <x:f>'参数'!$B$9</x:f>
        <x:v>300</x:v>
      </x:c>
      <x:c r="K309" s="26" t="n">
        <x:f>J309*(G309-H309)-I309*ROUNDUP(J309/F309,0)</x:f>
        <x:v>-270399.4855763335</x:v>
      </x:c>
      <x:c r="L309" s="10" t="str">
        <x:f>IF(G309-H309&lt;=0,"未回本",IF(ROUNDUP(I309/(G309-H309),0)&gt;MIN(F309,J309),"未回本",MAX(1,ROUNDUP(I309/(G309-H309),0))))</x:f>
        <x:v>未回本</x:v>
      </x:c>
    </x:row>
    <x:row r="310" ht="22" customHeight="1">
      <x:c r="A310" s="11" t="str">
        <x:v>lade_0823_30aoi</x:v>
      </x:c>
      <x:c r="B310" s="10" t="n">
        <x:v>30</x:v>
      </x:c>
      <x:c r="C310" s="10" t="n">
        <x:v>43</x:v>
      </x:c>
      <x:c r="D310" s="10" t="str">
        <x:v>M1 / M3</x:v>
      </x:c>
      <x:c r="E310" s="16" t="n">
        <x:v>4</x:v>
      </x:c>
      <x:c r="F310" s="14" t="n">
        <x:v>10</x:v>
      </x:c>
      <x:c r="G310" s="26" t="n">
        <x:f>'成本明细'!U43+'成本明细'!G43*(E310-'参数'!$B$6)</x:f>
        <x:v>3644.1533779305555</x:v>
      </x:c>
      <x:c r="H310" s="26" t="n">
        <x:f>'成本明细'!U49</x:f>
        <x:v>5033.082434182222</x:v>
      </x:c>
      <x:c r="I310" s="26" t="n">
        <x:f>'成本明细'!V49</x:f>
        <x:v>9307.5</x:v>
      </x:c>
      <x:c r="J310" s="22" t="n">
        <x:f>'参数'!$B$9</x:f>
        <x:v>300</x:v>
      </x:c>
      <x:c r="K310" s="26" t="n">
        <x:f>J310*(G310-H310)-I310*ROUNDUP(J310/F310,0)</x:f>
        <x:v>-695903.7168754998</x:v>
      </x:c>
      <x:c r="L310" s="10" t="str">
        <x:f>IF(G310-H310&lt;=0,"未回本",IF(ROUNDUP(I310/(G310-H310),0)&gt;MIN(F310,J310),"未回本",MAX(1,ROUNDUP(I310/(G310-H310),0))))</x:f>
        <x:v>未回本</x:v>
      </x:c>
    </x:row>
    <x:row r="311" ht="22" customHeight="1">
      <x:c r="A311" s="11" t="str">
        <x:v>lade_0823_30aoi</x:v>
      </x:c>
      <x:c r="B311" s="10" t="n">
        <x:v>30</x:v>
      </x:c>
      <x:c r="C311" s="10" t="n">
        <x:v>43</x:v>
      </x:c>
      <x:c r="D311" s="10" t="str">
        <x:v>M2 / M4</x:v>
      </x:c>
      <x:c r="E311" s="16" t="n">
        <x:v>4</x:v>
      </x:c>
      <x:c r="F311" s="14" t="n">
        <x:v>10</x:v>
      </x:c>
      <x:c r="G311" s="26" t="n">
        <x:f>'成本明细'!U46+'成本明细'!G46*(E311-'参数'!$B$6)</x:f>
        <x:v>3650.384583691111</x:v>
      </x:c>
      <x:c r="H311" s="26" t="n">
        <x:f>'成本明细'!U52</x:f>
        <x:v>4110.566202278889</x:v>
      </x:c>
      <x:c r="I311" s="26" t="n">
        <x:f>'成本明细'!V52</x:f>
        <x:v>9307.5</x:v>
      </x:c>
      <x:c r="J311" s="22" t="n">
        <x:f>'参数'!$B$9</x:f>
        <x:v>300</x:v>
      </x:c>
      <x:c r="K311" s="26" t="n">
        <x:f>J311*(G311-H311)-I311*ROUNDUP(J311/F311,0)</x:f>
        <x:v>-417279.4855763335</x:v>
      </x:c>
      <x:c r="L311" s="10" t="str">
        <x:f>IF(G311-H311&lt;=0,"未回本",IF(ROUNDUP(I311/(G311-H311),0)&gt;MIN(F311,J311),"未回本",MAX(1,ROUNDUP(I311/(G311-H311),0))))</x:f>
        <x:v>未回本</x:v>
      </x:c>
    </x:row>
    <x:row r="312" ht="22" customHeight="1">
      <x:c r="A312" s="11" t="str">
        <x:v>lade_0823_30aoi</x:v>
      </x:c>
      <x:c r="B312" s="10" t="n">
        <x:v>30</x:v>
      </x:c>
      <x:c r="C312" s="10" t="n">
        <x:v>43</x:v>
      </x:c>
      <x:c r="D312" s="10" t="str">
        <x:v>M1 / M3</x:v>
      </x:c>
      <x:c r="E312" s="16" t="n">
        <x:v>4</x:v>
      </x:c>
      <x:c r="F312" s="14" t="n">
        <x:v>20</x:v>
      </x:c>
      <x:c r="G312" s="26" t="n">
        <x:f>'成本明细'!U43+'成本明细'!G43*(E312-'参数'!$B$6)</x:f>
        <x:v>3644.1533779305555</x:v>
      </x:c>
      <x:c r="H312" s="26" t="n">
        <x:f>'成本明细'!U49</x:f>
        <x:v>5033.082434182222</x:v>
      </x:c>
      <x:c r="I312" s="26" t="n">
        <x:f>'成本明细'!V49</x:f>
        <x:v>9307.5</x:v>
      </x:c>
      <x:c r="J312" s="22" t="n">
        <x:f>'参数'!$B$9</x:f>
        <x:v>300</x:v>
      </x:c>
      <x:c r="K312" s="26" t="n">
        <x:f>J312*(G312-H312)-I312*ROUNDUP(J312/F312,0)</x:f>
        <x:v>-556291.2168754998</x:v>
      </x:c>
      <x:c r="L312" s="10" t="str">
        <x:f>IF(G312-H312&lt;=0,"未回本",IF(ROUNDUP(I312/(G312-H312),0)&gt;MIN(F312,J312),"未回本",MAX(1,ROUNDUP(I312/(G312-H312),0))))</x:f>
        <x:v>未回本</x:v>
      </x:c>
    </x:row>
    <x:row r="313" ht="22" customHeight="1">
      <x:c r="A313" s="11" t="str">
        <x:v>lade_0823_30aoi</x:v>
      </x:c>
      <x:c r="B313" s="10" t="n">
        <x:v>30</x:v>
      </x:c>
      <x:c r="C313" s="10" t="n">
        <x:v>43</x:v>
      </x:c>
      <x:c r="D313" s="10" t="str">
        <x:v>M2 / M4</x:v>
      </x:c>
      <x:c r="E313" s="16" t="n">
        <x:v>4</x:v>
      </x:c>
      <x:c r="F313" s="14" t="n">
        <x:v>20</x:v>
      </x:c>
      <x:c r="G313" s="26" t="n">
        <x:f>'成本明细'!U46+'成本明细'!G46*(E313-'参数'!$B$6)</x:f>
        <x:v>3650.384583691111</x:v>
      </x:c>
      <x:c r="H313" s="26" t="n">
        <x:f>'成本明细'!U52</x:f>
        <x:v>4110.566202278889</x:v>
      </x:c>
      <x:c r="I313" s="26" t="n">
        <x:f>'成本明细'!V52</x:f>
        <x:v>9307.5</x:v>
      </x:c>
      <x:c r="J313" s="22" t="n">
        <x:f>'参数'!$B$9</x:f>
        <x:v>300</x:v>
      </x:c>
      <x:c r="K313" s="26" t="n">
        <x:f>J313*(G313-H313)-I313*ROUNDUP(J313/F313,0)</x:f>
        <x:v>-277666.9855763335</x:v>
      </x:c>
      <x:c r="L313" s="10" t="str">
        <x:f>IF(G313-H313&lt;=0,"未回本",IF(ROUNDUP(I313/(G313-H313),0)&gt;MIN(F313,J313),"未回本",MAX(1,ROUNDUP(I313/(G313-H313),0))))</x:f>
        <x:v>未回本</x:v>
      </x:c>
    </x:row>
    <x:row r="314" ht="22" customHeight="1">
      <x:c r="A314" s="11" t="str">
        <x:v>lade_0823_30aoi</x:v>
      </x:c>
      <x:c r="B314" s="10" t="n">
        <x:v>30</x:v>
      </x:c>
      <x:c r="C314" s="10" t="n">
        <x:v>43</x:v>
      </x:c>
      <x:c r="D314" s="10" t="str">
        <x:v>M1 / M3</x:v>
      </x:c>
      <x:c r="E314" s="16" t="n">
        <x:v>4</x:v>
      </x:c>
      <x:c r="F314" s="14" t="n">
        <x:v>30</x:v>
      </x:c>
      <x:c r="G314" s="26" t="n">
        <x:f>'成本明细'!U43+'成本明细'!G43*(E314-'参数'!$B$6)</x:f>
        <x:v>3644.1533779305555</x:v>
      </x:c>
      <x:c r="H314" s="26" t="n">
        <x:f>'成本明细'!U49</x:f>
        <x:v>5033.082434182222</x:v>
      </x:c>
      <x:c r="I314" s="26" t="n">
        <x:f>'成本明细'!V49</x:f>
        <x:v>9307.5</x:v>
      </x:c>
      <x:c r="J314" s="22" t="n">
        <x:f>'参数'!$B$9</x:f>
        <x:v>300</x:v>
      </x:c>
      <x:c r="K314" s="26" t="n">
        <x:f>J314*(G314-H314)-I314*ROUNDUP(J314/F314,0)</x:f>
        <x:v>-509753.7168754999</x:v>
      </x:c>
      <x:c r="L314" s="10" t="str">
        <x:f>IF(G314-H314&lt;=0,"未回本",IF(ROUNDUP(I314/(G314-H314),0)&gt;MIN(F314,J314),"未回本",MAX(1,ROUNDUP(I314/(G314-H314),0))))</x:f>
        <x:v>未回本</x:v>
      </x:c>
    </x:row>
    <x:row r="315" ht="22" customHeight="1">
      <x:c r="A315" s="11" t="str">
        <x:v>lade_0823_30aoi</x:v>
      </x:c>
      <x:c r="B315" s="10" t="n">
        <x:v>30</x:v>
      </x:c>
      <x:c r="C315" s="10" t="n">
        <x:v>43</x:v>
      </x:c>
      <x:c r="D315" s="10" t="str">
        <x:v>M2 / M4</x:v>
      </x:c>
      <x:c r="E315" s="16" t="n">
        <x:v>4</x:v>
      </x:c>
      <x:c r="F315" s="14" t="n">
        <x:v>30</x:v>
      </x:c>
      <x:c r="G315" s="26" t="n">
        <x:f>'成本明细'!U46+'成本明细'!G46*(E315-'参数'!$B$6)</x:f>
        <x:v>3650.384583691111</x:v>
      </x:c>
      <x:c r="H315" s="26" t="n">
        <x:f>'成本明细'!U52</x:f>
        <x:v>4110.566202278889</x:v>
      </x:c>
      <x:c r="I315" s="26" t="n">
        <x:f>'成本明细'!V52</x:f>
        <x:v>9307.5</x:v>
      </x:c>
      <x:c r="J315" s="22" t="n">
        <x:f>'参数'!$B$9</x:f>
        <x:v>300</x:v>
      </x:c>
      <x:c r="K315" s="26" t="n">
        <x:f>J315*(G315-H315)-I315*ROUNDUP(J315/F315,0)</x:f>
        <x:v>-231129.48557633348</x:v>
      </x:c>
      <x:c r="L315" s="10" t="str">
        <x:f>IF(G315-H315&lt;=0,"未回本",IF(ROUNDUP(I315/(G315-H315),0)&gt;MIN(F315,J315),"未回本",MAX(1,ROUNDUP(I315/(G315-H315),0))))</x:f>
        <x:v>未回本</x:v>
      </x:c>
    </x:row>
    <x:row r="316" ht="22" customHeight="1">
      <x:c r="A316" s="11" t="str">
        <x:v>lade_0823_30aoi</x:v>
      </x:c>
      <x:c r="B316" s="10" t="n">
        <x:v>30</x:v>
      </x:c>
      <x:c r="C316" s="10" t="n">
        <x:v>43</x:v>
      </x:c>
      <x:c r="D316" s="10" t="str">
        <x:v>M1 / M3</x:v>
      </x:c>
      <x:c r="E316" s="16" t="n">
        <x:v>4</x:v>
      </x:c>
      <x:c r="F316" s="14" t="n">
        <x:v>50</x:v>
      </x:c>
      <x:c r="G316" s="26" t="n">
        <x:f>'成本明细'!U43+'成本明细'!G43*(E316-'参数'!$B$6)</x:f>
        <x:v>3644.1533779305555</x:v>
      </x:c>
      <x:c r="H316" s="26" t="n">
        <x:f>'成本明细'!U49</x:f>
        <x:v>5033.082434182222</x:v>
      </x:c>
      <x:c r="I316" s="26" t="n">
        <x:f>'成本明细'!V49</x:f>
        <x:v>9307.5</x:v>
      </x:c>
      <x:c r="J316" s="22" t="n">
        <x:f>'参数'!$B$9</x:f>
        <x:v>300</x:v>
      </x:c>
      <x:c r="K316" s="26" t="n">
        <x:f>J316*(G316-H316)-I316*ROUNDUP(J316/F316,0)</x:f>
        <x:v>-472523.7168754999</x:v>
      </x:c>
      <x:c r="L316" s="10" t="str">
        <x:f>IF(G316-H316&lt;=0,"未回本",IF(ROUNDUP(I316/(G316-H316),0)&gt;MIN(F316,J316),"未回本",MAX(1,ROUNDUP(I316/(G316-H316),0))))</x:f>
        <x:v>未回本</x:v>
      </x:c>
    </x:row>
    <x:row r="317" ht="22" customHeight="1">
      <x:c r="A317" s="11" t="str">
        <x:v>lade_0823_30aoi</x:v>
      </x:c>
      <x:c r="B317" s="10" t="n">
        <x:v>30</x:v>
      </x:c>
      <x:c r="C317" s="10" t="n">
        <x:v>43</x:v>
      </x:c>
      <x:c r="D317" s="10" t="str">
        <x:v>M2 / M4</x:v>
      </x:c>
      <x:c r="E317" s="16" t="n">
        <x:v>4</x:v>
      </x:c>
      <x:c r="F317" s="14" t="n">
        <x:v>50</x:v>
      </x:c>
      <x:c r="G317" s="26" t="n">
        <x:f>'成本明细'!U46+'成本明细'!G46*(E317-'参数'!$B$6)</x:f>
        <x:v>3650.384583691111</x:v>
      </x:c>
      <x:c r="H317" s="26" t="n">
        <x:f>'成本明细'!U52</x:f>
        <x:v>4110.566202278889</x:v>
      </x:c>
      <x:c r="I317" s="26" t="n">
        <x:f>'成本明细'!V52</x:f>
        <x:v>9307.5</x:v>
      </x:c>
      <x:c r="J317" s="22" t="n">
        <x:f>'参数'!$B$9</x:f>
        <x:v>300</x:v>
      </x:c>
      <x:c r="K317" s="26" t="n">
        <x:f>J317*(G317-H317)-I317*ROUNDUP(J317/F317,0)</x:f>
        <x:v>-193899.48557633348</x:v>
      </x:c>
      <x:c r="L317" s="10" t="str">
        <x:f>IF(G317-H317&lt;=0,"未回本",IF(ROUNDUP(I317/(G317-H317),0)&gt;MIN(F317,J317),"未回本",MAX(1,ROUNDUP(I317/(G317-H317),0))))</x:f>
        <x:v>未回本</x:v>
      </x:c>
    </x:row>
    <x:row r="318" ht="22" customHeight="1">
      <x:c r="A318" s="11" t="str">
        <x:v>lade_0823_30aoi</x:v>
      </x:c>
      <x:c r="B318" s="10" t="n">
        <x:v>30</x:v>
      </x:c>
      <x:c r="C318" s="10" t="n">
        <x:v>43</x:v>
      </x:c>
      <x:c r="D318" s="10" t="str">
        <x:v>M1 / M3</x:v>
      </x:c>
      <x:c r="E318" s="16" t="n">
        <x:v>5</x:v>
      </x:c>
      <x:c r="F318" s="14" t="n">
        <x:v>10</x:v>
      </x:c>
      <x:c r="G318" s="26" t="n">
        <x:f>'成本明细'!U43+'成本明细'!G43*(E318-'参数'!$B$6)</x:f>
        <x:v>3899.1533779305555</x:v>
      </x:c>
      <x:c r="H318" s="26" t="n">
        <x:f>'成本明细'!U49</x:f>
        <x:v>5033.082434182222</x:v>
      </x:c>
      <x:c r="I318" s="26" t="n">
        <x:f>'成本明细'!V49</x:f>
        <x:v>9307.5</x:v>
      </x:c>
      <x:c r="J318" s="22" t="n">
        <x:f>'参数'!$B$9</x:f>
        <x:v>300</x:v>
      </x:c>
      <x:c r="K318" s="26" t="n">
        <x:f>J318*(G318-H318)-I318*ROUNDUP(J318/F318,0)</x:f>
        <x:v>-619403.7168754998</x:v>
      </x:c>
      <x:c r="L318" s="10" t="str">
        <x:f>IF(G318-H318&lt;=0,"未回本",IF(ROUNDUP(I318/(G318-H318),0)&gt;MIN(F318,J318),"未回本",MAX(1,ROUNDUP(I318/(G318-H318),0))))</x:f>
        <x:v>未回本</x:v>
      </x:c>
    </x:row>
    <x:row r="319" ht="22" customHeight="1">
      <x:c r="A319" s="11" t="str">
        <x:v>lade_0823_30aoi</x:v>
      </x:c>
      <x:c r="B319" s="10" t="n">
        <x:v>30</x:v>
      </x:c>
      <x:c r="C319" s="10" t="n">
        <x:v>43</x:v>
      </x:c>
      <x:c r="D319" s="10" t="str">
        <x:v>M2 / M4</x:v>
      </x:c>
      <x:c r="E319" s="16" t="n">
        <x:v>5</x:v>
      </x:c>
      <x:c r="F319" s="14" t="n">
        <x:v>10</x:v>
      </x:c>
      <x:c r="G319" s="26" t="n">
        <x:f>'成本明细'!U46+'成本明细'!G46*(E319-'参数'!$B$6)</x:f>
        <x:v>3905.384583691111</x:v>
      </x:c>
      <x:c r="H319" s="26" t="n">
        <x:f>'成本明细'!U52</x:f>
        <x:v>4110.566202278889</x:v>
      </x:c>
      <x:c r="I319" s="26" t="n">
        <x:f>'成本明细'!V52</x:f>
        <x:v>9307.5</x:v>
      </x:c>
      <x:c r="J319" s="22" t="n">
        <x:f>'参数'!$B$9</x:f>
        <x:v>300</x:v>
      </x:c>
      <x:c r="K319" s="26" t="n">
        <x:f>J319*(G319-H319)-I319*ROUNDUP(J319/F319,0)</x:f>
        <x:v>-340779.4855763335</x:v>
      </x:c>
      <x:c r="L319" s="10" t="str">
        <x:f>IF(G319-H319&lt;=0,"未回本",IF(ROUNDUP(I319/(G319-H319),0)&gt;MIN(F319,J319),"未回本",MAX(1,ROUNDUP(I319/(G319-H319),0))))</x:f>
        <x:v>未回本</x:v>
      </x:c>
    </x:row>
    <x:row r="320" ht="22" customHeight="1">
      <x:c r="A320" s="11" t="str">
        <x:v>lade_0823_30aoi</x:v>
      </x:c>
      <x:c r="B320" s="10" t="n">
        <x:v>30</x:v>
      </x:c>
      <x:c r="C320" s="10" t="n">
        <x:v>43</x:v>
      </x:c>
      <x:c r="D320" s="10" t="str">
        <x:v>M1 / M3</x:v>
      </x:c>
      <x:c r="E320" s="16" t="n">
        <x:v>5</x:v>
      </x:c>
      <x:c r="F320" s="14" t="n">
        <x:v>20</x:v>
      </x:c>
      <x:c r="G320" s="26" t="n">
        <x:f>'成本明细'!U43+'成本明细'!G43*(E320-'参数'!$B$6)</x:f>
        <x:v>3899.1533779305555</x:v>
      </x:c>
      <x:c r="H320" s="26" t="n">
        <x:f>'成本明细'!U49</x:f>
        <x:v>5033.082434182222</x:v>
      </x:c>
      <x:c r="I320" s="26" t="n">
        <x:f>'成本明细'!V49</x:f>
        <x:v>9307.5</x:v>
      </x:c>
      <x:c r="J320" s="22" t="n">
        <x:f>'参数'!$B$9</x:f>
        <x:v>300</x:v>
      </x:c>
      <x:c r="K320" s="26" t="n">
        <x:f>J320*(G320-H320)-I320*ROUNDUP(J320/F320,0)</x:f>
        <x:v>-479791.2168754999</x:v>
      </x:c>
      <x:c r="L320" s="10" t="str">
        <x:f>IF(G320-H320&lt;=0,"未回本",IF(ROUNDUP(I320/(G320-H320),0)&gt;MIN(F320,J320),"未回本",MAX(1,ROUNDUP(I320/(G320-H320),0))))</x:f>
        <x:v>未回本</x:v>
      </x:c>
    </x:row>
    <x:row r="321" ht="22" customHeight="1">
      <x:c r="A321" s="11" t="str">
        <x:v>lade_0823_30aoi</x:v>
      </x:c>
      <x:c r="B321" s="10" t="n">
        <x:v>30</x:v>
      </x:c>
      <x:c r="C321" s="10" t="n">
        <x:v>43</x:v>
      </x:c>
      <x:c r="D321" s="10" t="str">
        <x:v>M2 / M4</x:v>
      </x:c>
      <x:c r="E321" s="16" t="n">
        <x:v>5</x:v>
      </x:c>
      <x:c r="F321" s="14" t="n">
        <x:v>20</x:v>
      </x:c>
      <x:c r="G321" s="26" t="n">
        <x:f>'成本明细'!U46+'成本明细'!G46*(E321-'参数'!$B$6)</x:f>
        <x:v>3905.384583691111</x:v>
      </x:c>
      <x:c r="H321" s="26" t="n">
        <x:f>'成本明细'!U52</x:f>
        <x:v>4110.566202278889</x:v>
      </x:c>
      <x:c r="I321" s="26" t="n">
        <x:f>'成本明细'!V52</x:f>
        <x:v>9307.5</x:v>
      </x:c>
      <x:c r="J321" s="22" t="n">
        <x:f>'参数'!$B$9</x:f>
        <x:v>300</x:v>
      </x:c>
      <x:c r="K321" s="26" t="n">
        <x:f>J321*(G321-H321)-I321*ROUNDUP(J321/F321,0)</x:f>
        <x:v>-201166.98557633348</x:v>
      </x:c>
      <x:c r="L321" s="10" t="str">
        <x:f>IF(G321-H321&lt;=0,"未回本",IF(ROUNDUP(I321/(G321-H321),0)&gt;MIN(F321,J321),"未回本",MAX(1,ROUNDUP(I321/(G321-H321),0))))</x:f>
        <x:v>未回本</x:v>
      </x:c>
    </x:row>
    <x:row r="322" ht="22" customHeight="1">
      <x:c r="A322" s="11" t="str">
        <x:v>lade_0823_30aoi</x:v>
      </x:c>
      <x:c r="B322" s="10" t="n">
        <x:v>30</x:v>
      </x:c>
      <x:c r="C322" s="10" t="n">
        <x:v>43</x:v>
      </x:c>
      <x:c r="D322" s="10" t="str">
        <x:v>M1 / M3</x:v>
      </x:c>
      <x:c r="E322" s="16" t="n">
        <x:v>5</x:v>
      </x:c>
      <x:c r="F322" s="14" t="n">
        <x:v>30</x:v>
      </x:c>
      <x:c r="G322" s="26" t="n">
        <x:f>'成本明细'!U43+'成本明细'!G43*(E322-'参数'!$B$6)</x:f>
        <x:v>3899.1533779305555</x:v>
      </x:c>
      <x:c r="H322" s="26" t="n">
        <x:f>'成本明细'!U49</x:f>
        <x:v>5033.082434182222</x:v>
      </x:c>
      <x:c r="I322" s="26" t="n">
        <x:f>'成本明细'!V49</x:f>
        <x:v>9307.5</x:v>
      </x:c>
      <x:c r="J322" s="22" t="n">
        <x:f>'参数'!$B$9</x:f>
        <x:v>300</x:v>
      </x:c>
      <x:c r="K322" s="26" t="n">
        <x:f>J322*(G322-H322)-I322*ROUNDUP(J322/F322,0)</x:f>
        <x:v>-433253.7168754999</x:v>
      </x:c>
      <x:c r="L322" s="10" t="str">
        <x:f>IF(G322-H322&lt;=0,"未回本",IF(ROUNDUP(I322/(G322-H322),0)&gt;MIN(F322,J322),"未回本",MAX(1,ROUNDUP(I322/(G322-H322),0))))</x:f>
        <x:v>未回本</x:v>
      </x:c>
    </x:row>
    <x:row r="323" ht="22" customHeight="1">
      <x:c r="A323" s="11" t="str">
        <x:v>lade_0823_30aoi</x:v>
      </x:c>
      <x:c r="B323" s="10" t="n">
        <x:v>30</x:v>
      </x:c>
      <x:c r="C323" s="10" t="n">
        <x:v>43</x:v>
      </x:c>
      <x:c r="D323" s="10" t="str">
        <x:v>M2 / M4</x:v>
      </x:c>
      <x:c r="E323" s="16" t="n">
        <x:v>5</x:v>
      </x:c>
      <x:c r="F323" s="14" t="n">
        <x:v>30</x:v>
      </x:c>
      <x:c r="G323" s="26" t="n">
        <x:f>'成本明细'!U46+'成本明细'!G46*(E323-'参数'!$B$6)</x:f>
        <x:v>3905.384583691111</x:v>
      </x:c>
      <x:c r="H323" s="26" t="n">
        <x:f>'成本明细'!U52</x:f>
        <x:v>4110.566202278889</x:v>
      </x:c>
      <x:c r="I323" s="26" t="n">
        <x:f>'成本明细'!V52</x:f>
        <x:v>9307.5</x:v>
      </x:c>
      <x:c r="J323" s="22" t="n">
        <x:f>'参数'!$B$9</x:f>
        <x:v>300</x:v>
      </x:c>
      <x:c r="K323" s="26" t="n">
        <x:f>J323*(G323-H323)-I323*ROUNDUP(J323/F323,0)</x:f>
        <x:v>-154629.48557633348</x:v>
      </x:c>
      <x:c r="L323" s="10" t="str">
        <x:f>IF(G323-H323&lt;=0,"未回本",IF(ROUNDUP(I323/(G323-H323),0)&gt;MIN(F323,J323),"未回本",MAX(1,ROUNDUP(I323/(G323-H323),0))))</x:f>
        <x:v>未回本</x:v>
      </x:c>
    </x:row>
    <x:row r="324" ht="22" customHeight="1">
      <x:c r="A324" s="11" t="str">
        <x:v>lade_0823_30aoi</x:v>
      </x:c>
      <x:c r="B324" s="10" t="n">
        <x:v>30</x:v>
      </x:c>
      <x:c r="C324" s="10" t="n">
        <x:v>43</x:v>
      </x:c>
      <x:c r="D324" s="10" t="str">
        <x:v>M1 / M3</x:v>
      </x:c>
      <x:c r="E324" s="16" t="n">
        <x:v>5</x:v>
      </x:c>
      <x:c r="F324" s="14" t="n">
        <x:v>50</x:v>
      </x:c>
      <x:c r="G324" s="26" t="n">
        <x:f>'成本明细'!U43+'成本明细'!G43*(E324-'参数'!$B$6)</x:f>
        <x:v>3899.1533779305555</x:v>
      </x:c>
      <x:c r="H324" s="26" t="n">
        <x:f>'成本明细'!U49</x:f>
        <x:v>5033.082434182222</x:v>
      </x:c>
      <x:c r="I324" s="26" t="n">
        <x:f>'成本明细'!V49</x:f>
        <x:v>9307.5</x:v>
      </x:c>
      <x:c r="J324" s="22" t="n">
        <x:f>'参数'!$B$9</x:f>
        <x:v>300</x:v>
      </x:c>
      <x:c r="K324" s="26" t="n">
        <x:f>J324*(G324-H324)-I324*ROUNDUP(J324/F324,0)</x:f>
        <x:v>-396023.7168754999</x:v>
      </x:c>
      <x:c r="L324" s="10" t="str">
        <x:f>IF(G324-H324&lt;=0,"未回本",IF(ROUNDUP(I324/(G324-H324),0)&gt;MIN(F324,J324),"未回本",MAX(1,ROUNDUP(I324/(G324-H324),0))))</x:f>
        <x:v>未回本</x:v>
      </x:c>
    </x:row>
    <x:row r="325" ht="22" customHeight="1">
      <x:c r="A325" s="11" t="str">
        <x:v>lade_0823_30aoi</x:v>
      </x:c>
      <x:c r="B325" s="10" t="n">
        <x:v>30</x:v>
      </x:c>
      <x:c r="C325" s="10" t="n">
        <x:v>43</x:v>
      </x:c>
      <x:c r="D325" s="10" t="str">
        <x:v>M2 / M4</x:v>
      </x:c>
      <x:c r="E325" s="16" t="n">
        <x:v>5</x:v>
      </x:c>
      <x:c r="F325" s="14" t="n">
        <x:v>50</x:v>
      </x:c>
      <x:c r="G325" s="26" t="n">
        <x:f>'成本明细'!U46+'成本明细'!G46*(E325-'参数'!$B$6)</x:f>
        <x:v>3905.384583691111</x:v>
      </x:c>
      <x:c r="H325" s="26" t="n">
        <x:f>'成本明细'!U52</x:f>
        <x:v>4110.566202278889</x:v>
      </x:c>
      <x:c r="I325" s="26" t="n">
        <x:f>'成本明细'!V52</x:f>
        <x:v>9307.5</x:v>
      </x:c>
      <x:c r="J325" s="22" t="n">
        <x:f>'参数'!$B$9</x:f>
        <x:v>300</x:v>
      </x:c>
      <x:c r="K325" s="26" t="n">
        <x:f>J325*(G325-H325)-I325*ROUNDUP(J325/F325,0)</x:f>
        <x:v>-117399.48557633349</x:v>
      </x:c>
      <x:c r="L325" s="10" t="str">
        <x:f>IF(G325-H325&lt;=0,"未回本",IF(ROUNDUP(I325/(G325-H325),0)&gt;MIN(F325,J325),"未回本",MAX(1,ROUNDUP(I325/(G325-H325),0))))</x:f>
        <x:v>未回本</x:v>
      </x:c>
    </x:row>
    <x:row r="326" ht="22" customHeight="1">
      <x:c r="A326" s="11" t="str">
        <x:v>lade_0823_30aoi</x:v>
      </x:c>
      <x:c r="B326" s="10" t="n">
        <x:v>30</x:v>
      </x:c>
      <x:c r="C326" s="10" t="n">
        <x:v>44</x:v>
      </x:c>
      <x:c r="D326" s="10" t="str">
        <x:v>M1 / M3</x:v>
      </x:c>
      <x:c r="E326" s="16" t="n">
        <x:v>1</x:v>
      </x:c>
      <x:c r="F326" s="14" t="n">
        <x:v>10</x:v>
      </x:c>
      <x:c r="G326" s="26" t="n">
        <x:f>'成本明细'!U44+'成本明细'!G44*(E326-'参数'!$B$6)</x:f>
        <x:v>2715.288131316667</x:v>
      </x:c>
      <x:c r="H326" s="26" t="n">
        <x:f>'成本明细'!U50</x:f>
        <x:v>4112.408973272777</x:v>
      </x:c>
      <x:c r="I326" s="26" t="n">
        <x:f>'成本明细'!V50</x:f>
        <x:v>9307.5</x:v>
      </x:c>
      <x:c r="J326" s="22" t="n">
        <x:f>'参数'!$B$9</x:f>
        <x:v>300</x:v>
      </x:c>
      <x:c r="K326" s="26" t="n">
        <x:f>J326*(G326-H326)-I326*ROUNDUP(J326/F326,0)</x:f>
        <x:v>-698361.252586833</x:v>
      </x:c>
      <x:c r="L326" s="10" t="str">
        <x:f>IF(G326-H326&lt;=0,"未回本",IF(ROUNDUP(I326/(G326-H326),0)&gt;MIN(F326,J326),"未回本",MAX(1,ROUNDUP(I326/(G326-H326),0))))</x:f>
        <x:v>未回本</x:v>
      </x:c>
    </x:row>
    <x:row r="327" ht="22" customHeight="1">
      <x:c r="A327" s="11" t="str">
        <x:v>lade_0823_30aoi</x:v>
      </x:c>
      <x:c r="B327" s="10" t="n">
        <x:v>30</x:v>
      </x:c>
      <x:c r="C327" s="10" t="n">
        <x:v>44</x:v>
      </x:c>
      <x:c r="D327" s="10" t="str">
        <x:v>M2 / M4</x:v>
      </x:c>
      <x:c r="E327" s="16" t="n">
        <x:v>1</x:v>
      </x:c>
      <x:c r="F327" s="14" t="n">
        <x:v>10</x:v>
      </x:c>
      <x:c r="G327" s="26" t="n">
        <x:f>'成本明细'!U47+'成本明细'!G47*(E327-'参数'!$B$6)</x:f>
        <x:v>3045.991402921111</x:v>
      </x:c>
      <x:c r="H327" s="26" t="n">
        <x:f>'成本明细'!U53</x:f>
        <x:v>5042.073609766111</x:v>
      </x:c>
      <x:c r="I327" s="26" t="n">
        <x:f>'成本明细'!V53</x:f>
        <x:v>9307.5</x:v>
      </x:c>
      <x:c r="J327" s="22" t="n">
        <x:f>'参数'!$B$9</x:f>
        <x:v>300</x:v>
      </x:c>
      <x:c r="K327" s="26" t="n">
        <x:f>J327*(G327-H327)-I327*ROUNDUP(J327/F327,0)</x:f>
        <x:v>-878049.6620535001</x:v>
      </x:c>
      <x:c r="L327" s="10" t="str">
        <x:f>IF(G327-H327&lt;=0,"未回本",IF(ROUNDUP(I327/(G327-H327),0)&gt;MIN(F327,J327),"未回本",MAX(1,ROUNDUP(I327/(G327-H327),0))))</x:f>
        <x:v>未回本</x:v>
      </x:c>
    </x:row>
    <x:row r="328" ht="22" customHeight="1">
      <x:c r="A328" s="11" t="str">
        <x:v>lade_0823_30aoi</x:v>
      </x:c>
      <x:c r="B328" s="10" t="n">
        <x:v>30</x:v>
      </x:c>
      <x:c r="C328" s="10" t="n">
        <x:v>44</x:v>
      </x:c>
      <x:c r="D328" s="10" t="str">
        <x:v>M1 / M3</x:v>
      </x:c>
      <x:c r="E328" s="16" t="n">
        <x:v>1</x:v>
      </x:c>
      <x:c r="F328" s="14" t="n">
        <x:v>20</x:v>
      </x:c>
      <x:c r="G328" s="26" t="n">
        <x:f>'成本明细'!U44+'成本明细'!G44*(E328-'参数'!$B$6)</x:f>
        <x:v>2715.288131316667</x:v>
      </x:c>
      <x:c r="H328" s="26" t="n">
        <x:f>'成本明细'!U50</x:f>
        <x:v>4112.408973272777</x:v>
      </x:c>
      <x:c r="I328" s="26" t="n">
        <x:f>'成本明细'!V50</x:f>
        <x:v>9307.5</x:v>
      </x:c>
      <x:c r="J328" s="22" t="n">
        <x:f>'参数'!$B$9</x:f>
        <x:v>300</x:v>
      </x:c>
      <x:c r="K328" s="26" t="n">
        <x:f>J328*(G328-H328)-I328*ROUNDUP(J328/F328,0)</x:f>
        <x:v>-558748.752586833</x:v>
      </x:c>
      <x:c r="L328" s="10" t="str">
        <x:f>IF(G328-H328&lt;=0,"未回本",IF(ROUNDUP(I328/(G328-H328),0)&gt;MIN(F328,J328),"未回本",MAX(1,ROUNDUP(I328/(G328-H328),0))))</x:f>
        <x:v>未回本</x:v>
      </x:c>
    </x:row>
    <x:row r="329" ht="22" customHeight="1">
      <x:c r="A329" s="11" t="str">
        <x:v>lade_0823_30aoi</x:v>
      </x:c>
      <x:c r="B329" s="10" t="n">
        <x:v>30</x:v>
      </x:c>
      <x:c r="C329" s="10" t="n">
        <x:v>44</x:v>
      </x:c>
      <x:c r="D329" s="10" t="str">
        <x:v>M2 / M4</x:v>
      </x:c>
      <x:c r="E329" s="16" t="n">
        <x:v>1</x:v>
      </x:c>
      <x:c r="F329" s="14" t="n">
        <x:v>20</x:v>
      </x:c>
      <x:c r="G329" s="26" t="n">
        <x:f>'成本明细'!U47+'成本明细'!G47*(E329-'参数'!$B$6)</x:f>
        <x:v>3045.991402921111</x:v>
      </x:c>
      <x:c r="H329" s="26" t="n">
        <x:f>'成本明细'!U53</x:f>
        <x:v>5042.073609766111</x:v>
      </x:c>
      <x:c r="I329" s="26" t="n">
        <x:f>'成本明细'!V53</x:f>
        <x:v>9307.5</x:v>
      </x:c>
      <x:c r="J329" s="22" t="n">
        <x:f>'参数'!$B$9</x:f>
        <x:v>300</x:v>
      </x:c>
      <x:c r="K329" s="26" t="n">
        <x:f>J329*(G329-H329)-I329*ROUNDUP(J329/F329,0)</x:f>
        <x:v>-738437.1620535001</x:v>
      </x:c>
      <x:c r="L329" s="10" t="str">
        <x:f>IF(G329-H329&lt;=0,"未回本",IF(ROUNDUP(I329/(G329-H329),0)&gt;MIN(F329,J329),"未回本",MAX(1,ROUNDUP(I329/(G329-H329),0))))</x:f>
        <x:v>未回本</x:v>
      </x:c>
    </x:row>
    <x:row r="330" ht="22" customHeight="1">
      <x:c r="A330" s="11" t="str">
        <x:v>lade_0823_30aoi</x:v>
      </x:c>
      <x:c r="B330" s="10" t="n">
        <x:v>30</x:v>
      </x:c>
      <x:c r="C330" s="10" t="n">
        <x:v>44</x:v>
      </x:c>
      <x:c r="D330" s="10" t="str">
        <x:v>M1 / M3</x:v>
      </x:c>
      <x:c r="E330" s="16" t="n">
        <x:v>1</x:v>
      </x:c>
      <x:c r="F330" s="14" t="n">
        <x:v>30</x:v>
      </x:c>
      <x:c r="G330" s="26" t="n">
        <x:f>'成本明细'!U44+'成本明细'!G44*(E330-'参数'!$B$6)</x:f>
        <x:v>2715.288131316667</x:v>
      </x:c>
      <x:c r="H330" s="26" t="n">
        <x:f>'成本明细'!U50</x:f>
        <x:v>4112.408973272777</x:v>
      </x:c>
      <x:c r="I330" s="26" t="n">
        <x:f>'成本明细'!V50</x:f>
        <x:v>9307.5</x:v>
      </x:c>
      <x:c r="J330" s="22" t="n">
        <x:f>'参数'!$B$9</x:f>
        <x:v>300</x:v>
      </x:c>
      <x:c r="K330" s="26" t="n">
        <x:f>J330*(G330-H330)-I330*ROUNDUP(J330/F330,0)</x:f>
        <x:v>-512211.25258683297</x:v>
      </x:c>
      <x:c r="L330" s="10" t="str">
        <x:f>IF(G330-H330&lt;=0,"未回本",IF(ROUNDUP(I330/(G330-H330),0)&gt;MIN(F330,J330),"未回本",MAX(1,ROUNDUP(I330/(G330-H330),0))))</x:f>
        <x:v>未回本</x:v>
      </x:c>
    </x:row>
    <x:row r="331" ht="22" customHeight="1">
      <x:c r="A331" s="11" t="str">
        <x:v>lade_0823_30aoi</x:v>
      </x:c>
      <x:c r="B331" s="10" t="n">
        <x:v>30</x:v>
      </x:c>
      <x:c r="C331" s="10" t="n">
        <x:v>44</x:v>
      </x:c>
      <x:c r="D331" s="10" t="str">
        <x:v>M2 / M4</x:v>
      </x:c>
      <x:c r="E331" s="16" t="n">
        <x:v>1</x:v>
      </x:c>
      <x:c r="F331" s="14" t="n">
        <x:v>30</x:v>
      </x:c>
      <x:c r="G331" s="26" t="n">
        <x:f>'成本明细'!U47+'成本明细'!G47*(E331-'参数'!$B$6)</x:f>
        <x:v>3045.991402921111</x:v>
      </x:c>
      <x:c r="H331" s="26" t="n">
        <x:f>'成本明细'!U53</x:f>
        <x:v>5042.073609766111</x:v>
      </x:c>
      <x:c r="I331" s="26" t="n">
        <x:f>'成本明细'!V53</x:f>
        <x:v>9307.5</x:v>
      </x:c>
      <x:c r="J331" s="22" t="n">
        <x:f>'参数'!$B$9</x:f>
        <x:v>300</x:v>
      </x:c>
      <x:c r="K331" s="26" t="n">
        <x:f>J331*(G331-H331)-I331*ROUNDUP(J331/F331,0)</x:f>
        <x:v>-691899.6620535001</x:v>
      </x:c>
      <x:c r="L331" s="10" t="str">
        <x:f>IF(G331-H331&lt;=0,"未回本",IF(ROUNDUP(I331/(G331-H331),0)&gt;MIN(F331,J331),"未回本",MAX(1,ROUNDUP(I331/(G331-H331),0))))</x:f>
        <x:v>未回本</x:v>
      </x:c>
    </x:row>
    <x:row r="332" ht="22" customHeight="1">
      <x:c r="A332" s="11" t="str">
        <x:v>lade_0823_30aoi</x:v>
      </x:c>
      <x:c r="B332" s="10" t="n">
        <x:v>30</x:v>
      </x:c>
      <x:c r="C332" s="10" t="n">
        <x:v>44</x:v>
      </x:c>
      <x:c r="D332" s="10" t="str">
        <x:v>M1 / M3</x:v>
      </x:c>
      <x:c r="E332" s="16" t="n">
        <x:v>1</x:v>
      </x:c>
      <x:c r="F332" s="14" t="n">
        <x:v>50</x:v>
      </x:c>
      <x:c r="G332" s="26" t="n">
        <x:f>'成本明细'!U44+'成本明细'!G44*(E332-'参数'!$B$6)</x:f>
        <x:v>2715.288131316667</x:v>
      </x:c>
      <x:c r="H332" s="26" t="n">
        <x:f>'成本明细'!U50</x:f>
        <x:v>4112.408973272777</x:v>
      </x:c>
      <x:c r="I332" s="26" t="n">
        <x:f>'成本明细'!V50</x:f>
        <x:v>9307.5</x:v>
      </x:c>
      <x:c r="J332" s="22" t="n">
        <x:f>'参数'!$B$9</x:f>
        <x:v>300</x:v>
      </x:c>
      <x:c r="K332" s="26" t="n">
        <x:f>J332*(G332-H332)-I332*ROUNDUP(J332/F332,0)</x:f>
        <x:v>-474981.25258683297</x:v>
      </x:c>
      <x:c r="L332" s="10" t="str">
        <x:f>IF(G332-H332&lt;=0,"未回本",IF(ROUNDUP(I332/(G332-H332),0)&gt;MIN(F332,J332),"未回本",MAX(1,ROUNDUP(I332/(G332-H332),0))))</x:f>
        <x:v>未回本</x:v>
      </x:c>
    </x:row>
    <x:row r="333" ht="22" customHeight="1">
      <x:c r="A333" s="11" t="str">
        <x:v>lade_0823_30aoi</x:v>
      </x:c>
      <x:c r="B333" s="10" t="n">
        <x:v>30</x:v>
      </x:c>
      <x:c r="C333" s="10" t="n">
        <x:v>44</x:v>
      </x:c>
      <x:c r="D333" s="10" t="str">
        <x:v>M2 / M4</x:v>
      </x:c>
      <x:c r="E333" s="16" t="n">
        <x:v>1</x:v>
      </x:c>
      <x:c r="F333" s="14" t="n">
        <x:v>50</x:v>
      </x:c>
      <x:c r="G333" s="26" t="n">
        <x:f>'成本明细'!U47+'成本明细'!G47*(E333-'参数'!$B$6)</x:f>
        <x:v>3045.991402921111</x:v>
      </x:c>
      <x:c r="H333" s="26" t="n">
        <x:f>'成本明细'!U53</x:f>
        <x:v>5042.073609766111</x:v>
      </x:c>
      <x:c r="I333" s="26" t="n">
        <x:f>'成本明细'!V53</x:f>
        <x:v>9307.5</x:v>
      </x:c>
      <x:c r="J333" s="22" t="n">
        <x:f>'参数'!$B$9</x:f>
        <x:v>300</x:v>
      </x:c>
      <x:c r="K333" s="26" t="n">
        <x:f>J333*(G333-H333)-I333*ROUNDUP(J333/F333,0)</x:f>
        <x:v>-654669.6620535001</x:v>
      </x:c>
      <x:c r="L333" s="10" t="str">
        <x:f>IF(G333-H333&lt;=0,"未回本",IF(ROUNDUP(I333/(G333-H333),0)&gt;MIN(F333,J333),"未回本",MAX(1,ROUNDUP(I333/(G333-H333),0))))</x:f>
        <x:v>未回本</x:v>
      </x:c>
    </x:row>
    <x:row r="334" ht="22" customHeight="1">
      <x:c r="A334" s="11" t="str">
        <x:v>lade_0823_30aoi</x:v>
      </x:c>
      <x:c r="B334" s="10" t="n">
        <x:v>30</x:v>
      </x:c>
      <x:c r="C334" s="10" t="n">
        <x:v>44</x:v>
      </x:c>
      <x:c r="D334" s="10" t="str">
        <x:v>M1 / M3</x:v>
      </x:c>
      <x:c r="E334" s="16" t="n">
        <x:v>2</x:v>
      </x:c>
      <x:c r="F334" s="14" t="n">
        <x:v>10</x:v>
      </x:c>
      <x:c r="G334" s="26" t="n">
        <x:f>'成本明细'!U44+'成本明细'!G44*(E334-'参数'!$B$6)</x:f>
        <x:v>2970.288131316667</x:v>
      </x:c>
      <x:c r="H334" s="26" t="n">
        <x:f>'成本明细'!U50</x:f>
        <x:v>4112.408973272777</x:v>
      </x:c>
      <x:c r="I334" s="26" t="n">
        <x:f>'成本明细'!V50</x:f>
        <x:v>9307.5</x:v>
      </x:c>
      <x:c r="J334" s="22" t="n">
        <x:f>'参数'!$B$9</x:f>
        <x:v>300</x:v>
      </x:c>
      <x:c r="K334" s="26" t="n">
        <x:f>J334*(G334-H334)-I334*ROUNDUP(J334/F334,0)</x:f>
        <x:v>-621861.252586833</x:v>
      </x:c>
      <x:c r="L334" s="10" t="str">
        <x:f>IF(G334-H334&lt;=0,"未回本",IF(ROUNDUP(I334/(G334-H334),0)&gt;MIN(F334,J334),"未回本",MAX(1,ROUNDUP(I334/(G334-H334),0))))</x:f>
        <x:v>未回本</x:v>
      </x:c>
    </x:row>
    <x:row r="335" ht="22" customHeight="1">
      <x:c r="A335" s="11" t="str">
        <x:v>lade_0823_30aoi</x:v>
      </x:c>
      <x:c r="B335" s="10" t="n">
        <x:v>30</x:v>
      </x:c>
      <x:c r="C335" s="10" t="n">
        <x:v>44</x:v>
      </x:c>
      <x:c r="D335" s="10" t="str">
        <x:v>M2 / M4</x:v>
      </x:c>
      <x:c r="E335" s="16" t="n">
        <x:v>2</x:v>
      </x:c>
      <x:c r="F335" s="14" t="n">
        <x:v>10</x:v>
      </x:c>
      <x:c r="G335" s="26" t="n">
        <x:f>'成本明细'!U47+'成本明细'!G47*(E335-'参数'!$B$6)</x:f>
        <x:v>3300.991402921111</x:v>
      </x:c>
      <x:c r="H335" s="26" t="n">
        <x:f>'成本明细'!U53</x:f>
        <x:v>5042.073609766111</x:v>
      </x:c>
      <x:c r="I335" s="26" t="n">
        <x:f>'成本明细'!V53</x:f>
        <x:v>9307.5</x:v>
      </x:c>
      <x:c r="J335" s="22" t="n">
        <x:f>'参数'!$B$9</x:f>
        <x:v>300</x:v>
      </x:c>
      <x:c r="K335" s="26" t="n">
        <x:f>J335*(G335-H335)-I335*ROUNDUP(J335/F335,0)</x:f>
        <x:v>-801549.6620535001</x:v>
      </x:c>
      <x:c r="L335" s="10" t="str">
        <x:f>IF(G335-H335&lt;=0,"未回本",IF(ROUNDUP(I335/(G335-H335),0)&gt;MIN(F335,J335),"未回本",MAX(1,ROUNDUP(I335/(G335-H335),0))))</x:f>
        <x:v>未回本</x:v>
      </x:c>
    </x:row>
    <x:row r="336" ht="22" customHeight="1">
      <x:c r="A336" s="11" t="str">
        <x:v>lade_0823_30aoi</x:v>
      </x:c>
      <x:c r="B336" s="10" t="n">
        <x:v>30</x:v>
      </x:c>
      <x:c r="C336" s="10" t="n">
        <x:v>44</x:v>
      </x:c>
      <x:c r="D336" s="10" t="str">
        <x:v>M1 / M3</x:v>
      </x:c>
      <x:c r="E336" s="16" t="n">
        <x:v>2</x:v>
      </x:c>
      <x:c r="F336" s="14" t="n">
        <x:v>20</x:v>
      </x:c>
      <x:c r="G336" s="26" t="n">
        <x:f>'成本明细'!U44+'成本明细'!G44*(E336-'参数'!$B$6)</x:f>
        <x:v>2970.288131316667</x:v>
      </x:c>
      <x:c r="H336" s="26" t="n">
        <x:f>'成本明细'!U50</x:f>
        <x:v>4112.408973272777</x:v>
      </x:c>
      <x:c r="I336" s="26" t="n">
        <x:f>'成本明细'!V50</x:f>
        <x:v>9307.5</x:v>
      </x:c>
      <x:c r="J336" s="22" t="n">
        <x:f>'参数'!$B$9</x:f>
        <x:v>300</x:v>
      </x:c>
      <x:c r="K336" s="26" t="n">
        <x:f>J336*(G336-H336)-I336*ROUNDUP(J336/F336,0)</x:f>
        <x:v>-482248.75258683297</x:v>
      </x:c>
      <x:c r="L336" s="10" t="str">
        <x:f>IF(G336-H336&lt;=0,"未回本",IF(ROUNDUP(I336/(G336-H336),0)&gt;MIN(F336,J336),"未回本",MAX(1,ROUNDUP(I336/(G336-H336),0))))</x:f>
        <x:v>未回本</x:v>
      </x:c>
    </x:row>
    <x:row r="337" ht="22" customHeight="1">
      <x:c r="A337" s="11" t="str">
        <x:v>lade_0823_30aoi</x:v>
      </x:c>
      <x:c r="B337" s="10" t="n">
        <x:v>30</x:v>
      </x:c>
      <x:c r="C337" s="10" t="n">
        <x:v>44</x:v>
      </x:c>
      <x:c r="D337" s="10" t="str">
        <x:v>M2 / M4</x:v>
      </x:c>
      <x:c r="E337" s="16" t="n">
        <x:v>2</x:v>
      </x:c>
      <x:c r="F337" s="14" t="n">
        <x:v>20</x:v>
      </x:c>
      <x:c r="G337" s="26" t="n">
        <x:f>'成本明细'!U47+'成本明细'!G47*(E337-'参数'!$B$6)</x:f>
        <x:v>3300.991402921111</x:v>
      </x:c>
      <x:c r="H337" s="26" t="n">
        <x:f>'成本明细'!U53</x:f>
        <x:v>5042.073609766111</x:v>
      </x:c>
      <x:c r="I337" s="26" t="n">
        <x:f>'成本明细'!V53</x:f>
        <x:v>9307.5</x:v>
      </x:c>
      <x:c r="J337" s="22" t="n">
        <x:f>'参数'!$B$9</x:f>
        <x:v>300</x:v>
      </x:c>
      <x:c r="K337" s="26" t="n">
        <x:f>J337*(G337-H337)-I337*ROUNDUP(J337/F337,0)</x:f>
        <x:v>-661937.1620535001</x:v>
      </x:c>
      <x:c r="L337" s="10" t="str">
        <x:f>IF(G337-H337&lt;=0,"未回本",IF(ROUNDUP(I337/(G337-H337),0)&gt;MIN(F337,J337),"未回本",MAX(1,ROUNDUP(I337/(G337-H337),0))))</x:f>
        <x:v>未回本</x:v>
      </x:c>
    </x:row>
    <x:row r="338" ht="22" customHeight="1">
      <x:c r="A338" s="11" t="str">
        <x:v>lade_0823_30aoi</x:v>
      </x:c>
      <x:c r="B338" s="10" t="n">
        <x:v>30</x:v>
      </x:c>
      <x:c r="C338" s="10" t="n">
        <x:v>44</x:v>
      </x:c>
      <x:c r="D338" s="10" t="str">
        <x:v>M1 / M3</x:v>
      </x:c>
      <x:c r="E338" s="16" t="n">
        <x:v>2</x:v>
      </x:c>
      <x:c r="F338" s="14" t="n">
        <x:v>30</x:v>
      </x:c>
      <x:c r="G338" s="26" t="n">
        <x:f>'成本明细'!U44+'成本明细'!G44*(E338-'参数'!$B$6)</x:f>
        <x:v>2970.288131316667</x:v>
      </x:c>
      <x:c r="H338" s="26" t="n">
        <x:f>'成本明细'!U50</x:f>
        <x:v>4112.408973272777</x:v>
      </x:c>
      <x:c r="I338" s="26" t="n">
        <x:f>'成本明细'!V50</x:f>
        <x:v>9307.5</x:v>
      </x:c>
      <x:c r="J338" s="22" t="n">
        <x:f>'参数'!$B$9</x:f>
        <x:v>300</x:v>
      </x:c>
      <x:c r="K338" s="26" t="n">
        <x:f>J338*(G338-H338)-I338*ROUNDUP(J338/F338,0)</x:f>
        <x:v>-435711.25258683297</x:v>
      </x:c>
      <x:c r="L338" s="10" t="str">
        <x:f>IF(G338-H338&lt;=0,"未回本",IF(ROUNDUP(I338/(G338-H338),0)&gt;MIN(F338,J338),"未回本",MAX(1,ROUNDUP(I338/(G338-H338),0))))</x:f>
        <x:v>未回本</x:v>
      </x:c>
    </x:row>
    <x:row r="339" ht="22" customHeight="1">
      <x:c r="A339" s="11" t="str">
        <x:v>lade_0823_30aoi</x:v>
      </x:c>
      <x:c r="B339" s="10" t="n">
        <x:v>30</x:v>
      </x:c>
      <x:c r="C339" s="10" t="n">
        <x:v>44</x:v>
      </x:c>
      <x:c r="D339" s="10" t="str">
        <x:v>M2 / M4</x:v>
      </x:c>
      <x:c r="E339" s="16" t="n">
        <x:v>2</x:v>
      </x:c>
      <x:c r="F339" s="14" t="n">
        <x:v>30</x:v>
      </x:c>
      <x:c r="G339" s="26" t="n">
        <x:f>'成本明细'!U47+'成本明细'!G47*(E339-'参数'!$B$6)</x:f>
        <x:v>3300.991402921111</x:v>
      </x:c>
      <x:c r="H339" s="26" t="n">
        <x:f>'成本明细'!U53</x:f>
        <x:v>5042.073609766111</x:v>
      </x:c>
      <x:c r="I339" s="26" t="n">
        <x:f>'成本明细'!V53</x:f>
        <x:v>9307.5</x:v>
      </x:c>
      <x:c r="J339" s="22" t="n">
        <x:f>'参数'!$B$9</x:f>
        <x:v>300</x:v>
      </x:c>
      <x:c r="K339" s="26" t="n">
        <x:f>J339*(G339-H339)-I339*ROUNDUP(J339/F339,0)</x:f>
        <x:v>-615399.6620535001</x:v>
      </x:c>
      <x:c r="L339" s="10" t="str">
        <x:f>IF(G339-H339&lt;=0,"未回本",IF(ROUNDUP(I339/(G339-H339),0)&gt;MIN(F339,J339),"未回本",MAX(1,ROUNDUP(I339/(G339-H339),0))))</x:f>
        <x:v>未回本</x:v>
      </x:c>
    </x:row>
    <x:row r="340" ht="22" customHeight="1">
      <x:c r="A340" s="11" t="str">
        <x:v>lade_0823_30aoi</x:v>
      </x:c>
      <x:c r="B340" s="10" t="n">
        <x:v>30</x:v>
      </x:c>
      <x:c r="C340" s="10" t="n">
        <x:v>44</x:v>
      </x:c>
      <x:c r="D340" s="10" t="str">
        <x:v>M1 / M3</x:v>
      </x:c>
      <x:c r="E340" s="16" t="n">
        <x:v>2</x:v>
      </x:c>
      <x:c r="F340" s="14" t="n">
        <x:v>50</x:v>
      </x:c>
      <x:c r="G340" s="26" t="n">
        <x:f>'成本明细'!U44+'成本明细'!G44*(E340-'参数'!$B$6)</x:f>
        <x:v>2970.288131316667</x:v>
      </x:c>
      <x:c r="H340" s="26" t="n">
        <x:f>'成本明细'!U50</x:f>
        <x:v>4112.408973272777</x:v>
      </x:c>
      <x:c r="I340" s="26" t="n">
        <x:f>'成本明细'!V50</x:f>
        <x:v>9307.5</x:v>
      </x:c>
      <x:c r="J340" s="22" t="n">
        <x:f>'参数'!$B$9</x:f>
        <x:v>300</x:v>
      </x:c>
      <x:c r="K340" s="26" t="n">
        <x:f>J340*(G340-H340)-I340*ROUNDUP(J340/F340,0)</x:f>
        <x:v>-398481.25258683297</x:v>
      </x:c>
      <x:c r="L340" s="10" t="str">
        <x:f>IF(G340-H340&lt;=0,"未回本",IF(ROUNDUP(I340/(G340-H340),0)&gt;MIN(F340,J340),"未回本",MAX(1,ROUNDUP(I340/(G340-H340),0))))</x:f>
        <x:v>未回本</x:v>
      </x:c>
    </x:row>
    <x:row r="341" ht="22" customHeight="1">
      <x:c r="A341" s="11" t="str">
        <x:v>lade_0823_30aoi</x:v>
      </x:c>
      <x:c r="B341" s="10" t="n">
        <x:v>30</x:v>
      </x:c>
      <x:c r="C341" s="10" t="n">
        <x:v>44</x:v>
      </x:c>
      <x:c r="D341" s="10" t="str">
        <x:v>M2 / M4</x:v>
      </x:c>
      <x:c r="E341" s="16" t="n">
        <x:v>2</x:v>
      </x:c>
      <x:c r="F341" s="14" t="n">
        <x:v>50</x:v>
      </x:c>
      <x:c r="G341" s="26" t="n">
        <x:f>'成本明细'!U47+'成本明细'!G47*(E341-'参数'!$B$6)</x:f>
        <x:v>3300.991402921111</x:v>
      </x:c>
      <x:c r="H341" s="26" t="n">
        <x:f>'成本明细'!U53</x:f>
        <x:v>5042.073609766111</x:v>
      </x:c>
      <x:c r="I341" s="26" t="n">
        <x:f>'成本明细'!V53</x:f>
        <x:v>9307.5</x:v>
      </x:c>
      <x:c r="J341" s="22" t="n">
        <x:f>'参数'!$B$9</x:f>
        <x:v>300</x:v>
      </x:c>
      <x:c r="K341" s="26" t="n">
        <x:f>J341*(G341-H341)-I341*ROUNDUP(J341/F341,0)</x:f>
        <x:v>-578169.6620535001</x:v>
      </x:c>
      <x:c r="L341" s="10" t="str">
        <x:f>IF(G341-H341&lt;=0,"未回本",IF(ROUNDUP(I341/(G341-H341),0)&gt;MIN(F341,J341),"未回本",MAX(1,ROUNDUP(I341/(G341-H341),0))))</x:f>
        <x:v>未回本</x:v>
      </x:c>
    </x:row>
    <x:row r="342" ht="22" customHeight="1">
      <x:c r="A342" s="11" t="str">
        <x:v>lade_0823_30aoi</x:v>
      </x:c>
      <x:c r="B342" s="10" t="n">
        <x:v>30</x:v>
      </x:c>
      <x:c r="C342" s="10" t="n">
        <x:v>44</x:v>
      </x:c>
      <x:c r="D342" s="10" t="str">
        <x:v>M1 / M3</x:v>
      </x:c>
      <x:c r="E342" s="16" t="n">
        <x:v>3</x:v>
      </x:c>
      <x:c r="F342" s="14" t="n">
        <x:v>10</x:v>
      </x:c>
      <x:c r="G342" s="26" t="n">
        <x:f>'成本明细'!U44+'成本明细'!G44*(E342-'参数'!$B$6)</x:f>
        <x:v>3225.288131316667</x:v>
      </x:c>
      <x:c r="H342" s="26" t="n">
        <x:f>'成本明细'!U50</x:f>
        <x:v>4112.408973272777</x:v>
      </x:c>
      <x:c r="I342" s="26" t="n">
        <x:f>'成本明细'!V50</x:f>
        <x:v>9307.5</x:v>
      </x:c>
      <x:c r="J342" s="22" t="n">
        <x:f>'参数'!$B$9</x:f>
        <x:v>300</x:v>
      </x:c>
      <x:c r="K342" s="26" t="n">
        <x:f>J342*(G342-H342)-I342*ROUNDUP(J342/F342,0)</x:f>
        <x:v>-545361.252586833</x:v>
      </x:c>
      <x:c r="L342" s="10" t="str">
        <x:f>IF(G342-H342&lt;=0,"未回本",IF(ROUNDUP(I342/(G342-H342),0)&gt;MIN(F342,J342),"未回本",MAX(1,ROUNDUP(I342/(G342-H342),0))))</x:f>
        <x:v>未回本</x:v>
      </x:c>
    </x:row>
    <x:row r="343" ht="22" customHeight="1">
      <x:c r="A343" s="11" t="str">
        <x:v>lade_0823_30aoi</x:v>
      </x:c>
      <x:c r="B343" s="10" t="n">
        <x:v>30</x:v>
      </x:c>
      <x:c r="C343" s="10" t="n">
        <x:v>44</x:v>
      </x:c>
      <x:c r="D343" s="10" t="str">
        <x:v>M2 / M4</x:v>
      </x:c>
      <x:c r="E343" s="16" t="n">
        <x:v>3</x:v>
      </x:c>
      <x:c r="F343" s="14" t="n">
        <x:v>10</x:v>
      </x:c>
      <x:c r="G343" s="26" t="n">
        <x:f>'成本明细'!U47+'成本明细'!G47*(E343-'参数'!$B$6)</x:f>
        <x:v>3555.991402921111</x:v>
      </x:c>
      <x:c r="H343" s="26" t="n">
        <x:f>'成本明细'!U53</x:f>
        <x:v>5042.073609766111</x:v>
      </x:c>
      <x:c r="I343" s="26" t="n">
        <x:f>'成本明细'!V53</x:f>
        <x:v>9307.5</x:v>
      </x:c>
      <x:c r="J343" s="22" t="n">
        <x:f>'参数'!$B$9</x:f>
        <x:v>300</x:v>
      </x:c>
      <x:c r="K343" s="26" t="n">
        <x:f>J343*(G343-H343)-I343*ROUNDUP(J343/F343,0)</x:f>
        <x:v>-725049.6620535001</x:v>
      </x:c>
      <x:c r="L343" s="10" t="str">
        <x:f>IF(G343-H343&lt;=0,"未回本",IF(ROUNDUP(I343/(G343-H343),0)&gt;MIN(F343,J343),"未回本",MAX(1,ROUNDUP(I343/(G343-H343),0))))</x:f>
        <x:v>未回本</x:v>
      </x:c>
    </x:row>
    <x:row r="344" ht="22" customHeight="1">
      <x:c r="A344" s="11" t="str">
        <x:v>lade_0823_30aoi</x:v>
      </x:c>
      <x:c r="B344" s="10" t="n">
        <x:v>30</x:v>
      </x:c>
      <x:c r="C344" s="10" t="n">
        <x:v>44</x:v>
      </x:c>
      <x:c r="D344" s="10" t="str">
        <x:v>M1 / M3</x:v>
      </x:c>
      <x:c r="E344" s="16" t="n">
        <x:v>3</x:v>
      </x:c>
      <x:c r="F344" s="14" t="n">
        <x:v>20</x:v>
      </x:c>
      <x:c r="G344" s="26" t="n">
        <x:f>'成本明细'!U44+'成本明细'!G44*(E344-'参数'!$B$6)</x:f>
        <x:v>3225.288131316667</x:v>
      </x:c>
      <x:c r="H344" s="26" t="n">
        <x:f>'成本明细'!U50</x:f>
        <x:v>4112.408973272777</x:v>
      </x:c>
      <x:c r="I344" s="26" t="n">
        <x:f>'成本明细'!V50</x:f>
        <x:v>9307.5</x:v>
      </x:c>
      <x:c r="J344" s="22" t="n">
        <x:f>'参数'!$B$9</x:f>
        <x:v>300</x:v>
      </x:c>
      <x:c r="K344" s="26" t="n">
        <x:f>J344*(G344-H344)-I344*ROUNDUP(J344/F344,0)</x:f>
        <x:v>-405748.75258683297</x:v>
      </x:c>
      <x:c r="L344" s="10" t="str">
        <x:f>IF(G344-H344&lt;=0,"未回本",IF(ROUNDUP(I344/(G344-H344),0)&gt;MIN(F344,J344),"未回本",MAX(1,ROUNDUP(I344/(G344-H344),0))))</x:f>
        <x:v>未回本</x:v>
      </x:c>
    </x:row>
    <x:row r="345" ht="22" customHeight="1">
      <x:c r="A345" s="11" t="str">
        <x:v>lade_0823_30aoi</x:v>
      </x:c>
      <x:c r="B345" s="10" t="n">
        <x:v>30</x:v>
      </x:c>
      <x:c r="C345" s="10" t="n">
        <x:v>44</x:v>
      </x:c>
      <x:c r="D345" s="10" t="str">
        <x:v>M2 / M4</x:v>
      </x:c>
      <x:c r="E345" s="16" t="n">
        <x:v>3</x:v>
      </x:c>
      <x:c r="F345" s="14" t="n">
        <x:v>20</x:v>
      </x:c>
      <x:c r="G345" s="26" t="n">
        <x:f>'成本明细'!U47+'成本明细'!G47*(E345-'参数'!$B$6)</x:f>
        <x:v>3555.991402921111</x:v>
      </x:c>
      <x:c r="H345" s="26" t="n">
        <x:f>'成本明细'!U53</x:f>
        <x:v>5042.073609766111</x:v>
      </x:c>
      <x:c r="I345" s="26" t="n">
        <x:f>'成本明细'!V53</x:f>
        <x:v>9307.5</x:v>
      </x:c>
      <x:c r="J345" s="22" t="n">
        <x:f>'参数'!$B$9</x:f>
        <x:v>300</x:v>
      </x:c>
      <x:c r="K345" s="26" t="n">
        <x:f>J345*(G345-H345)-I345*ROUNDUP(J345/F345,0)</x:f>
        <x:v>-585437.1620535001</x:v>
      </x:c>
      <x:c r="L345" s="10" t="str">
        <x:f>IF(G345-H345&lt;=0,"未回本",IF(ROUNDUP(I345/(G345-H345),0)&gt;MIN(F345,J345),"未回本",MAX(1,ROUNDUP(I345/(G345-H345),0))))</x:f>
        <x:v>未回本</x:v>
      </x:c>
    </x:row>
    <x:row r="346" ht="22" customHeight="1">
      <x:c r="A346" s="11" t="str">
        <x:v>lade_0823_30aoi</x:v>
      </x:c>
      <x:c r="B346" s="10" t="n">
        <x:v>30</x:v>
      </x:c>
      <x:c r="C346" s="10" t="n">
        <x:v>44</x:v>
      </x:c>
      <x:c r="D346" s="10" t="str">
        <x:v>M1 / M3</x:v>
      </x:c>
      <x:c r="E346" s="16" t="n">
        <x:v>3</x:v>
      </x:c>
      <x:c r="F346" s="14" t="n">
        <x:v>30</x:v>
      </x:c>
      <x:c r="G346" s="26" t="n">
        <x:f>'成本明细'!U44+'成本明细'!G44*(E346-'参数'!$B$6)</x:f>
        <x:v>3225.288131316667</x:v>
      </x:c>
      <x:c r="H346" s="26" t="n">
        <x:f>'成本明细'!U50</x:f>
        <x:v>4112.408973272777</x:v>
      </x:c>
      <x:c r="I346" s="26" t="n">
        <x:f>'成本明细'!V50</x:f>
        <x:v>9307.5</x:v>
      </x:c>
      <x:c r="J346" s="22" t="n">
        <x:f>'参数'!$B$9</x:f>
        <x:v>300</x:v>
      </x:c>
      <x:c r="K346" s="26" t="n">
        <x:f>J346*(G346-H346)-I346*ROUNDUP(J346/F346,0)</x:f>
        <x:v>-359211.25258683297</x:v>
      </x:c>
      <x:c r="L346" s="10" t="str">
        <x:f>IF(G346-H346&lt;=0,"未回本",IF(ROUNDUP(I346/(G346-H346),0)&gt;MIN(F346,J346),"未回本",MAX(1,ROUNDUP(I346/(G346-H346),0))))</x:f>
        <x:v>未回本</x:v>
      </x:c>
    </x:row>
    <x:row r="347" ht="22" customHeight="1">
      <x:c r="A347" s="11" t="str">
        <x:v>lade_0823_30aoi</x:v>
      </x:c>
      <x:c r="B347" s="10" t="n">
        <x:v>30</x:v>
      </x:c>
      <x:c r="C347" s="10" t="n">
        <x:v>44</x:v>
      </x:c>
      <x:c r="D347" s="10" t="str">
        <x:v>M2 / M4</x:v>
      </x:c>
      <x:c r="E347" s="16" t="n">
        <x:v>3</x:v>
      </x:c>
      <x:c r="F347" s="14" t="n">
        <x:v>30</x:v>
      </x:c>
      <x:c r="G347" s="26" t="n">
        <x:f>'成本明细'!U47+'成本明细'!G47*(E347-'参数'!$B$6)</x:f>
        <x:v>3555.991402921111</x:v>
      </x:c>
      <x:c r="H347" s="26" t="n">
        <x:f>'成本明细'!U53</x:f>
        <x:v>5042.073609766111</x:v>
      </x:c>
      <x:c r="I347" s="26" t="n">
        <x:f>'成本明细'!V53</x:f>
        <x:v>9307.5</x:v>
      </x:c>
      <x:c r="J347" s="22" t="n">
        <x:f>'参数'!$B$9</x:f>
        <x:v>300</x:v>
      </x:c>
      <x:c r="K347" s="26" t="n">
        <x:f>J347*(G347-H347)-I347*ROUNDUP(J347/F347,0)</x:f>
        <x:v>-538899.6620535001</x:v>
      </x:c>
      <x:c r="L347" s="10" t="str">
        <x:f>IF(G347-H347&lt;=0,"未回本",IF(ROUNDUP(I347/(G347-H347),0)&gt;MIN(F347,J347),"未回本",MAX(1,ROUNDUP(I347/(G347-H347),0))))</x:f>
        <x:v>未回本</x:v>
      </x:c>
    </x:row>
    <x:row r="348" ht="22" customHeight="1">
      <x:c r="A348" s="11" t="str">
        <x:v>lade_0823_30aoi</x:v>
      </x:c>
      <x:c r="B348" s="10" t="n">
        <x:v>30</x:v>
      </x:c>
      <x:c r="C348" s="10" t="n">
        <x:v>44</x:v>
      </x:c>
      <x:c r="D348" s="10" t="str">
        <x:v>M1 / M3</x:v>
      </x:c>
      <x:c r="E348" s="16" t="n">
        <x:v>3</x:v>
      </x:c>
      <x:c r="F348" s="14" t="n">
        <x:v>50</x:v>
      </x:c>
      <x:c r="G348" s="26" t="n">
        <x:f>'成本明细'!U44+'成本明细'!G44*(E348-'参数'!$B$6)</x:f>
        <x:v>3225.288131316667</x:v>
      </x:c>
      <x:c r="H348" s="26" t="n">
        <x:f>'成本明细'!U50</x:f>
        <x:v>4112.408973272777</x:v>
      </x:c>
      <x:c r="I348" s="26" t="n">
        <x:f>'成本明细'!V50</x:f>
        <x:v>9307.5</x:v>
      </x:c>
      <x:c r="J348" s="22" t="n">
        <x:f>'参数'!$B$9</x:f>
        <x:v>300</x:v>
      </x:c>
      <x:c r="K348" s="26" t="n">
        <x:f>J348*(G348-H348)-I348*ROUNDUP(J348/F348,0)</x:f>
        <x:v>-321981.25258683297</x:v>
      </x:c>
      <x:c r="L348" s="10" t="str">
        <x:f>IF(G348-H348&lt;=0,"未回本",IF(ROUNDUP(I348/(G348-H348),0)&gt;MIN(F348,J348),"未回本",MAX(1,ROUNDUP(I348/(G348-H348),0))))</x:f>
        <x:v>未回本</x:v>
      </x:c>
    </x:row>
    <x:row r="349" ht="22" customHeight="1">
      <x:c r="A349" s="11" t="str">
        <x:v>lade_0823_30aoi</x:v>
      </x:c>
      <x:c r="B349" s="10" t="n">
        <x:v>30</x:v>
      </x:c>
      <x:c r="C349" s="10" t="n">
        <x:v>44</x:v>
      </x:c>
      <x:c r="D349" s="10" t="str">
        <x:v>M2 / M4</x:v>
      </x:c>
      <x:c r="E349" s="16" t="n">
        <x:v>3</x:v>
      </x:c>
      <x:c r="F349" s="14" t="n">
        <x:v>50</x:v>
      </x:c>
      <x:c r="G349" s="26" t="n">
        <x:f>'成本明细'!U47+'成本明细'!G47*(E349-'参数'!$B$6)</x:f>
        <x:v>3555.991402921111</x:v>
      </x:c>
      <x:c r="H349" s="26" t="n">
        <x:f>'成本明细'!U53</x:f>
        <x:v>5042.073609766111</x:v>
      </x:c>
      <x:c r="I349" s="26" t="n">
        <x:f>'成本明细'!V53</x:f>
        <x:v>9307.5</x:v>
      </x:c>
      <x:c r="J349" s="22" t="n">
        <x:f>'参数'!$B$9</x:f>
        <x:v>300</x:v>
      </x:c>
      <x:c r="K349" s="26" t="n">
        <x:f>J349*(G349-H349)-I349*ROUNDUP(J349/F349,0)</x:f>
        <x:v>-501669.66205350007</x:v>
      </x:c>
      <x:c r="L349" s="10" t="str">
        <x:f>IF(G349-H349&lt;=0,"未回本",IF(ROUNDUP(I349/(G349-H349),0)&gt;MIN(F349,J349),"未回本",MAX(1,ROUNDUP(I349/(G349-H349),0))))</x:f>
        <x:v>未回本</x:v>
      </x:c>
    </x:row>
    <x:row r="350" ht="22" customHeight="1">
      <x:c r="A350" s="11" t="str">
        <x:v>lade_0823_30aoi</x:v>
      </x:c>
      <x:c r="B350" s="10" t="n">
        <x:v>30</x:v>
      </x:c>
      <x:c r="C350" s="10" t="n">
        <x:v>44</x:v>
      </x:c>
      <x:c r="D350" s="10" t="str">
        <x:v>M1 / M3</x:v>
      </x:c>
      <x:c r="E350" s="16" t="n">
        <x:v>4</x:v>
      </x:c>
      <x:c r="F350" s="14" t="n">
        <x:v>10</x:v>
      </x:c>
      <x:c r="G350" s="26" t="n">
        <x:f>'成本明细'!U44+'成本明细'!G44*(E350-'参数'!$B$6)</x:f>
        <x:v>3480.288131316667</x:v>
      </x:c>
      <x:c r="H350" s="26" t="n">
        <x:f>'成本明细'!U50</x:f>
        <x:v>4112.408973272777</x:v>
      </x:c>
      <x:c r="I350" s="26" t="n">
        <x:f>'成本明细'!V50</x:f>
        <x:v>9307.5</x:v>
      </x:c>
      <x:c r="J350" s="22" t="n">
        <x:f>'参数'!$B$9</x:f>
        <x:v>300</x:v>
      </x:c>
      <x:c r="K350" s="26" t="n">
        <x:f>J350*(G350-H350)-I350*ROUNDUP(J350/F350,0)</x:f>
        <x:v>-468861.25258683297</x:v>
      </x:c>
      <x:c r="L350" s="10" t="str">
        <x:f>IF(G350-H350&lt;=0,"未回本",IF(ROUNDUP(I350/(G350-H350),0)&gt;MIN(F350,J350),"未回本",MAX(1,ROUNDUP(I350/(G350-H350),0))))</x:f>
        <x:v>未回本</x:v>
      </x:c>
    </x:row>
    <x:row r="351" ht="22" customHeight="1">
      <x:c r="A351" s="11" t="str">
        <x:v>lade_0823_30aoi</x:v>
      </x:c>
      <x:c r="B351" s="10" t="n">
        <x:v>30</x:v>
      </x:c>
      <x:c r="C351" s="10" t="n">
        <x:v>44</x:v>
      </x:c>
      <x:c r="D351" s="10" t="str">
        <x:v>M2 / M4</x:v>
      </x:c>
      <x:c r="E351" s="16" t="n">
        <x:v>4</x:v>
      </x:c>
      <x:c r="F351" s="14" t="n">
        <x:v>10</x:v>
      </x:c>
      <x:c r="G351" s="26" t="n">
        <x:f>'成本明细'!U47+'成本明细'!G47*(E351-'参数'!$B$6)</x:f>
        <x:v>3810.991402921111</x:v>
      </x:c>
      <x:c r="H351" s="26" t="n">
        <x:f>'成本明细'!U53</x:f>
        <x:v>5042.073609766111</x:v>
      </x:c>
      <x:c r="I351" s="26" t="n">
        <x:f>'成本明细'!V53</x:f>
        <x:v>9307.5</x:v>
      </x:c>
      <x:c r="J351" s="22" t="n">
        <x:f>'参数'!$B$9</x:f>
        <x:v>300</x:v>
      </x:c>
      <x:c r="K351" s="26" t="n">
        <x:f>J351*(G351-H351)-I351*ROUNDUP(J351/F351,0)</x:f>
        <x:v>-648549.6620535001</x:v>
      </x:c>
      <x:c r="L351" s="10" t="str">
        <x:f>IF(G351-H351&lt;=0,"未回本",IF(ROUNDUP(I351/(G351-H351),0)&gt;MIN(F351,J351),"未回本",MAX(1,ROUNDUP(I351/(G351-H351),0))))</x:f>
        <x:v>未回本</x:v>
      </x:c>
    </x:row>
    <x:row r="352" ht="22" customHeight="1">
      <x:c r="A352" s="11" t="str">
        <x:v>lade_0823_30aoi</x:v>
      </x:c>
      <x:c r="B352" s="10" t="n">
        <x:v>30</x:v>
      </x:c>
      <x:c r="C352" s="10" t="n">
        <x:v>44</x:v>
      </x:c>
      <x:c r="D352" s="10" t="str">
        <x:v>M1 / M3</x:v>
      </x:c>
      <x:c r="E352" s="16" t="n">
        <x:v>4</x:v>
      </x:c>
      <x:c r="F352" s="14" t="n">
        <x:v>20</x:v>
      </x:c>
      <x:c r="G352" s="26" t="n">
        <x:f>'成本明细'!U44+'成本明细'!G44*(E352-'参数'!$B$6)</x:f>
        <x:v>3480.288131316667</x:v>
      </x:c>
      <x:c r="H352" s="26" t="n">
        <x:f>'成本明细'!U50</x:f>
        <x:v>4112.408973272777</x:v>
      </x:c>
      <x:c r="I352" s="26" t="n">
        <x:f>'成本明细'!V50</x:f>
        <x:v>9307.5</x:v>
      </x:c>
      <x:c r="J352" s="22" t="n">
        <x:f>'参数'!$B$9</x:f>
        <x:v>300</x:v>
      </x:c>
      <x:c r="K352" s="26" t="n">
        <x:f>J352*(G352-H352)-I352*ROUNDUP(J352/F352,0)</x:f>
        <x:v>-329248.75258683297</x:v>
      </x:c>
      <x:c r="L352" s="10" t="str">
        <x:f>IF(G352-H352&lt;=0,"未回本",IF(ROUNDUP(I352/(G352-H352),0)&gt;MIN(F352,J352),"未回本",MAX(1,ROUNDUP(I352/(G352-H352),0))))</x:f>
        <x:v>未回本</x:v>
      </x:c>
    </x:row>
    <x:row r="353" ht="22" customHeight="1">
      <x:c r="A353" s="11" t="str">
        <x:v>lade_0823_30aoi</x:v>
      </x:c>
      <x:c r="B353" s="10" t="n">
        <x:v>30</x:v>
      </x:c>
      <x:c r="C353" s="10" t="n">
        <x:v>44</x:v>
      </x:c>
      <x:c r="D353" s="10" t="str">
        <x:v>M2 / M4</x:v>
      </x:c>
      <x:c r="E353" s="16" t="n">
        <x:v>4</x:v>
      </x:c>
      <x:c r="F353" s="14" t="n">
        <x:v>20</x:v>
      </x:c>
      <x:c r="G353" s="26" t="n">
        <x:f>'成本明细'!U47+'成本明细'!G47*(E353-'参数'!$B$6)</x:f>
        <x:v>3810.991402921111</x:v>
      </x:c>
      <x:c r="H353" s="26" t="n">
        <x:f>'成本明细'!U53</x:f>
        <x:v>5042.073609766111</x:v>
      </x:c>
      <x:c r="I353" s="26" t="n">
        <x:f>'成本明细'!V53</x:f>
        <x:v>9307.5</x:v>
      </x:c>
      <x:c r="J353" s="22" t="n">
        <x:f>'参数'!$B$9</x:f>
        <x:v>300</x:v>
      </x:c>
      <x:c r="K353" s="26" t="n">
        <x:f>J353*(G353-H353)-I353*ROUNDUP(J353/F353,0)</x:f>
        <x:v>-508937.16205350007</x:v>
      </x:c>
      <x:c r="L353" s="10" t="str">
        <x:f>IF(G353-H353&lt;=0,"未回本",IF(ROUNDUP(I353/(G353-H353),0)&gt;MIN(F353,J353),"未回本",MAX(1,ROUNDUP(I353/(G353-H353),0))))</x:f>
        <x:v>未回本</x:v>
      </x:c>
    </x:row>
    <x:row r="354" ht="22" customHeight="1">
      <x:c r="A354" s="11" t="str">
        <x:v>lade_0823_30aoi</x:v>
      </x:c>
      <x:c r="B354" s="10" t="n">
        <x:v>30</x:v>
      </x:c>
      <x:c r="C354" s="10" t="n">
        <x:v>44</x:v>
      </x:c>
      <x:c r="D354" s="10" t="str">
        <x:v>M1 / M3</x:v>
      </x:c>
      <x:c r="E354" s="16" t="n">
        <x:v>4</x:v>
      </x:c>
      <x:c r="F354" s="14" t="n">
        <x:v>30</x:v>
      </x:c>
      <x:c r="G354" s="26" t="n">
        <x:f>'成本明细'!U44+'成本明细'!G44*(E354-'参数'!$B$6)</x:f>
        <x:v>3480.288131316667</x:v>
      </x:c>
      <x:c r="H354" s="26" t="n">
        <x:f>'成本明细'!U50</x:f>
        <x:v>4112.408973272777</x:v>
      </x:c>
      <x:c r="I354" s="26" t="n">
        <x:f>'成本明细'!V50</x:f>
        <x:v>9307.5</x:v>
      </x:c>
      <x:c r="J354" s="22" t="n">
        <x:f>'参数'!$B$9</x:f>
        <x:v>300</x:v>
      </x:c>
      <x:c r="K354" s="26" t="n">
        <x:f>J354*(G354-H354)-I354*ROUNDUP(J354/F354,0)</x:f>
        <x:v>-282711.25258683297</x:v>
      </x:c>
      <x:c r="L354" s="10" t="str">
        <x:f>IF(G354-H354&lt;=0,"未回本",IF(ROUNDUP(I354/(G354-H354),0)&gt;MIN(F354,J354),"未回本",MAX(1,ROUNDUP(I354/(G354-H354),0))))</x:f>
        <x:v>未回本</x:v>
      </x:c>
    </x:row>
    <x:row r="355" ht="22" customHeight="1">
      <x:c r="A355" s="11" t="str">
        <x:v>lade_0823_30aoi</x:v>
      </x:c>
      <x:c r="B355" s="10" t="n">
        <x:v>30</x:v>
      </x:c>
      <x:c r="C355" s="10" t="n">
        <x:v>44</x:v>
      </x:c>
      <x:c r="D355" s="10" t="str">
        <x:v>M2 / M4</x:v>
      </x:c>
      <x:c r="E355" s="16" t="n">
        <x:v>4</x:v>
      </x:c>
      <x:c r="F355" s="14" t="n">
        <x:v>30</x:v>
      </x:c>
      <x:c r="G355" s="26" t="n">
        <x:f>'成本明细'!U47+'成本明细'!G47*(E355-'参数'!$B$6)</x:f>
        <x:v>3810.991402921111</x:v>
      </x:c>
      <x:c r="H355" s="26" t="n">
        <x:f>'成本明细'!U53</x:f>
        <x:v>5042.073609766111</x:v>
      </x:c>
      <x:c r="I355" s="26" t="n">
        <x:f>'成本明细'!V53</x:f>
        <x:v>9307.5</x:v>
      </x:c>
      <x:c r="J355" s="22" t="n">
        <x:f>'参数'!$B$9</x:f>
        <x:v>300</x:v>
      </x:c>
      <x:c r="K355" s="26" t="n">
        <x:f>J355*(G355-H355)-I355*ROUNDUP(J355/F355,0)</x:f>
        <x:v>-462399.66205350007</x:v>
      </x:c>
      <x:c r="L355" s="10" t="str">
        <x:f>IF(G355-H355&lt;=0,"未回本",IF(ROUNDUP(I355/(G355-H355),0)&gt;MIN(F355,J355),"未回本",MAX(1,ROUNDUP(I355/(G355-H355),0))))</x:f>
        <x:v>未回本</x:v>
      </x:c>
    </x:row>
    <x:row r="356" ht="22" customHeight="1">
      <x:c r="A356" s="11" t="str">
        <x:v>lade_0823_30aoi</x:v>
      </x:c>
      <x:c r="B356" s="10" t="n">
        <x:v>30</x:v>
      </x:c>
      <x:c r="C356" s="10" t="n">
        <x:v>44</x:v>
      </x:c>
      <x:c r="D356" s="10" t="str">
        <x:v>M1 / M3</x:v>
      </x:c>
      <x:c r="E356" s="16" t="n">
        <x:v>4</x:v>
      </x:c>
      <x:c r="F356" s="14" t="n">
        <x:v>50</x:v>
      </x:c>
      <x:c r="G356" s="26" t="n">
        <x:f>'成本明细'!U44+'成本明细'!G44*(E356-'参数'!$B$6)</x:f>
        <x:v>3480.288131316667</x:v>
      </x:c>
      <x:c r="H356" s="26" t="n">
        <x:f>'成本明细'!U50</x:f>
        <x:v>4112.408973272777</x:v>
      </x:c>
      <x:c r="I356" s="26" t="n">
        <x:f>'成本明细'!V50</x:f>
        <x:v>9307.5</x:v>
      </x:c>
      <x:c r="J356" s="22" t="n">
        <x:f>'参数'!$B$9</x:f>
        <x:v>300</x:v>
      </x:c>
      <x:c r="K356" s="26" t="n">
        <x:f>J356*(G356-H356)-I356*ROUNDUP(J356/F356,0)</x:f>
        <x:v>-245481.25258683297</x:v>
      </x:c>
      <x:c r="L356" s="10" t="str">
        <x:f>IF(G356-H356&lt;=0,"未回本",IF(ROUNDUP(I356/(G356-H356),0)&gt;MIN(F356,J356),"未回本",MAX(1,ROUNDUP(I356/(G356-H356),0))))</x:f>
        <x:v>未回本</x:v>
      </x:c>
    </x:row>
    <x:row r="357" ht="22" customHeight="1">
      <x:c r="A357" s="11" t="str">
        <x:v>lade_0823_30aoi</x:v>
      </x:c>
      <x:c r="B357" s="10" t="n">
        <x:v>30</x:v>
      </x:c>
      <x:c r="C357" s="10" t="n">
        <x:v>44</x:v>
      </x:c>
      <x:c r="D357" s="10" t="str">
        <x:v>M2 / M4</x:v>
      </x:c>
      <x:c r="E357" s="16" t="n">
        <x:v>4</x:v>
      </x:c>
      <x:c r="F357" s="14" t="n">
        <x:v>50</x:v>
      </x:c>
      <x:c r="G357" s="26" t="n">
        <x:f>'成本明细'!U47+'成本明细'!G47*(E357-'参数'!$B$6)</x:f>
        <x:v>3810.991402921111</x:v>
      </x:c>
      <x:c r="H357" s="26" t="n">
        <x:f>'成本明细'!U53</x:f>
        <x:v>5042.073609766111</x:v>
      </x:c>
      <x:c r="I357" s="26" t="n">
        <x:f>'成本明细'!V53</x:f>
        <x:v>9307.5</x:v>
      </x:c>
      <x:c r="J357" s="22" t="n">
        <x:f>'参数'!$B$9</x:f>
        <x:v>300</x:v>
      </x:c>
      <x:c r="K357" s="26" t="n">
        <x:f>J357*(G357-H357)-I357*ROUNDUP(J357/F357,0)</x:f>
        <x:v>-425169.66205350007</x:v>
      </x:c>
      <x:c r="L357" s="10" t="str">
        <x:f>IF(G357-H357&lt;=0,"未回本",IF(ROUNDUP(I357/(G357-H357),0)&gt;MIN(F357,J357),"未回本",MAX(1,ROUNDUP(I357/(G357-H357),0))))</x:f>
        <x:v>未回本</x:v>
      </x:c>
    </x:row>
    <x:row r="358" ht="22" customHeight="1">
      <x:c r="A358" s="11" t="str">
        <x:v>lade_0823_30aoi</x:v>
      </x:c>
      <x:c r="B358" s="10" t="n">
        <x:v>30</x:v>
      </x:c>
      <x:c r="C358" s="10" t="n">
        <x:v>44</x:v>
      </x:c>
      <x:c r="D358" s="10" t="str">
        <x:v>M1 / M3</x:v>
      </x:c>
      <x:c r="E358" s="16" t="n">
        <x:v>5</x:v>
      </x:c>
      <x:c r="F358" s="14" t="n">
        <x:v>10</x:v>
      </x:c>
      <x:c r="G358" s="26" t="n">
        <x:f>'成本明细'!U44+'成本明细'!G44*(E358-'参数'!$B$6)</x:f>
        <x:v>3735.288131316667</x:v>
      </x:c>
      <x:c r="H358" s="26" t="n">
        <x:f>'成本明细'!U50</x:f>
        <x:v>4112.408973272777</x:v>
      </x:c>
      <x:c r="I358" s="26" t="n">
        <x:f>'成本明细'!V50</x:f>
        <x:v>9307.5</x:v>
      </x:c>
      <x:c r="J358" s="22" t="n">
        <x:f>'参数'!$B$9</x:f>
        <x:v>300</x:v>
      </x:c>
      <x:c r="K358" s="26" t="n">
        <x:f>J358*(G358-H358)-I358*ROUNDUP(J358/F358,0)</x:f>
        <x:v>-392361.25258683297</x:v>
      </x:c>
      <x:c r="L358" s="10" t="str">
        <x:f>IF(G358-H358&lt;=0,"未回本",IF(ROUNDUP(I358/(G358-H358),0)&gt;MIN(F358,J358),"未回本",MAX(1,ROUNDUP(I358/(G358-H358),0))))</x:f>
        <x:v>未回本</x:v>
      </x:c>
    </x:row>
    <x:row r="359" ht="22" customHeight="1">
      <x:c r="A359" s="11" t="str">
        <x:v>lade_0823_30aoi</x:v>
      </x:c>
      <x:c r="B359" s="10" t="n">
        <x:v>30</x:v>
      </x:c>
      <x:c r="C359" s="10" t="n">
        <x:v>44</x:v>
      </x:c>
      <x:c r="D359" s="10" t="str">
        <x:v>M2 / M4</x:v>
      </x:c>
      <x:c r="E359" s="16" t="n">
        <x:v>5</x:v>
      </x:c>
      <x:c r="F359" s="14" t="n">
        <x:v>10</x:v>
      </x:c>
      <x:c r="G359" s="26" t="n">
        <x:f>'成本明细'!U47+'成本明细'!G47*(E359-'参数'!$B$6)</x:f>
        <x:v>4065.991402921111</x:v>
      </x:c>
      <x:c r="H359" s="26" t="n">
        <x:f>'成本明细'!U53</x:f>
        <x:v>5042.073609766111</x:v>
      </x:c>
      <x:c r="I359" s="26" t="n">
        <x:f>'成本明细'!V53</x:f>
        <x:v>9307.5</x:v>
      </x:c>
      <x:c r="J359" s="22" t="n">
        <x:f>'参数'!$B$9</x:f>
        <x:v>300</x:v>
      </x:c>
      <x:c r="K359" s="26" t="n">
        <x:f>J359*(G359-H359)-I359*ROUNDUP(J359/F359,0)</x:f>
        <x:v>-572049.6620535001</x:v>
      </x:c>
      <x:c r="L359" s="10" t="str">
        <x:f>IF(G359-H359&lt;=0,"未回本",IF(ROUNDUP(I359/(G359-H359),0)&gt;MIN(F359,J359),"未回本",MAX(1,ROUNDUP(I359/(G359-H359),0))))</x:f>
        <x:v>未回本</x:v>
      </x:c>
    </x:row>
    <x:row r="360" ht="22" customHeight="1">
      <x:c r="A360" s="11" t="str">
        <x:v>lade_0823_30aoi</x:v>
      </x:c>
      <x:c r="B360" s="10" t="n">
        <x:v>30</x:v>
      </x:c>
      <x:c r="C360" s="10" t="n">
        <x:v>44</x:v>
      </x:c>
      <x:c r="D360" s="10" t="str">
        <x:v>M1 / M3</x:v>
      </x:c>
      <x:c r="E360" s="16" t="n">
        <x:v>5</x:v>
      </x:c>
      <x:c r="F360" s="14" t="n">
        <x:v>20</x:v>
      </x:c>
      <x:c r="G360" s="26" t="n">
        <x:f>'成本明细'!U44+'成本明细'!G44*(E360-'参数'!$B$6)</x:f>
        <x:v>3735.288131316667</x:v>
      </x:c>
      <x:c r="H360" s="26" t="n">
        <x:f>'成本明细'!U50</x:f>
        <x:v>4112.408973272777</x:v>
      </x:c>
      <x:c r="I360" s="26" t="n">
        <x:f>'成本明细'!V50</x:f>
        <x:v>9307.5</x:v>
      </x:c>
      <x:c r="J360" s="22" t="n">
        <x:f>'参数'!$B$9</x:f>
        <x:v>300</x:v>
      </x:c>
      <x:c r="K360" s="26" t="n">
        <x:f>J360*(G360-H360)-I360*ROUNDUP(J360/F360,0)</x:f>
        <x:v>-252748.75258683297</x:v>
      </x:c>
      <x:c r="L360" s="10" t="str">
        <x:f>IF(G360-H360&lt;=0,"未回本",IF(ROUNDUP(I360/(G360-H360),0)&gt;MIN(F360,J360),"未回本",MAX(1,ROUNDUP(I360/(G360-H360),0))))</x:f>
        <x:v>未回本</x:v>
      </x:c>
    </x:row>
    <x:row r="361" ht="22" customHeight="1">
      <x:c r="A361" s="11" t="str">
        <x:v>lade_0823_30aoi</x:v>
      </x:c>
      <x:c r="B361" s="10" t="n">
        <x:v>30</x:v>
      </x:c>
      <x:c r="C361" s="10" t="n">
        <x:v>44</x:v>
      </x:c>
      <x:c r="D361" s="10" t="str">
        <x:v>M2 / M4</x:v>
      </x:c>
      <x:c r="E361" s="16" t="n">
        <x:v>5</x:v>
      </x:c>
      <x:c r="F361" s="14" t="n">
        <x:v>20</x:v>
      </x:c>
      <x:c r="G361" s="26" t="n">
        <x:f>'成本明细'!U47+'成本明细'!G47*(E361-'参数'!$B$6)</x:f>
        <x:v>4065.991402921111</x:v>
      </x:c>
      <x:c r="H361" s="26" t="n">
        <x:f>'成本明细'!U53</x:f>
        <x:v>5042.073609766111</x:v>
      </x:c>
      <x:c r="I361" s="26" t="n">
        <x:f>'成本明细'!V53</x:f>
        <x:v>9307.5</x:v>
      </x:c>
      <x:c r="J361" s="22" t="n">
        <x:f>'参数'!$B$9</x:f>
        <x:v>300</x:v>
      </x:c>
      <x:c r="K361" s="26" t="n">
        <x:f>J361*(G361-H361)-I361*ROUNDUP(J361/F361,0)</x:f>
        <x:v>-432437.16205350007</x:v>
      </x:c>
      <x:c r="L361" s="10" t="str">
        <x:f>IF(G361-H361&lt;=0,"未回本",IF(ROUNDUP(I361/(G361-H361),0)&gt;MIN(F361,J361),"未回本",MAX(1,ROUNDUP(I361/(G361-H361),0))))</x:f>
        <x:v>未回本</x:v>
      </x:c>
    </x:row>
    <x:row r="362" ht="22" customHeight="1">
      <x:c r="A362" s="11" t="str">
        <x:v>lade_0823_30aoi</x:v>
      </x:c>
      <x:c r="B362" s="10" t="n">
        <x:v>30</x:v>
      </x:c>
      <x:c r="C362" s="10" t="n">
        <x:v>44</x:v>
      </x:c>
      <x:c r="D362" s="10" t="str">
        <x:v>M1 / M3</x:v>
      </x:c>
      <x:c r="E362" s="16" t="n">
        <x:v>5</x:v>
      </x:c>
      <x:c r="F362" s="14" t="n">
        <x:v>30</x:v>
      </x:c>
      <x:c r="G362" s="26" t="n">
        <x:f>'成本明细'!U44+'成本明细'!G44*(E362-'参数'!$B$6)</x:f>
        <x:v>3735.288131316667</x:v>
      </x:c>
      <x:c r="H362" s="26" t="n">
        <x:f>'成本明细'!U50</x:f>
        <x:v>4112.408973272777</x:v>
      </x:c>
      <x:c r="I362" s="26" t="n">
        <x:f>'成本明细'!V50</x:f>
        <x:v>9307.5</x:v>
      </x:c>
      <x:c r="J362" s="22" t="n">
        <x:f>'参数'!$B$9</x:f>
        <x:v>300</x:v>
      </x:c>
      <x:c r="K362" s="26" t="n">
        <x:f>J362*(G362-H362)-I362*ROUNDUP(J362/F362,0)</x:f>
        <x:v>-206211.25258683297</x:v>
      </x:c>
      <x:c r="L362" s="10" t="str">
        <x:f>IF(G362-H362&lt;=0,"未回本",IF(ROUNDUP(I362/(G362-H362),0)&gt;MIN(F362,J362),"未回本",MAX(1,ROUNDUP(I362/(G362-H362),0))))</x:f>
        <x:v>未回本</x:v>
      </x:c>
    </x:row>
    <x:row r="363" ht="22" customHeight="1">
      <x:c r="A363" s="11" t="str">
        <x:v>lade_0823_30aoi</x:v>
      </x:c>
      <x:c r="B363" s="10" t="n">
        <x:v>30</x:v>
      </x:c>
      <x:c r="C363" s="10" t="n">
        <x:v>44</x:v>
      </x:c>
      <x:c r="D363" s="10" t="str">
        <x:v>M2 / M4</x:v>
      </x:c>
      <x:c r="E363" s="16" t="n">
        <x:v>5</x:v>
      </x:c>
      <x:c r="F363" s="14" t="n">
        <x:v>30</x:v>
      </x:c>
      <x:c r="G363" s="26" t="n">
        <x:f>'成本明细'!U47+'成本明细'!G47*(E363-'参数'!$B$6)</x:f>
        <x:v>4065.991402921111</x:v>
      </x:c>
      <x:c r="H363" s="26" t="n">
        <x:f>'成本明细'!U53</x:f>
        <x:v>5042.073609766111</x:v>
      </x:c>
      <x:c r="I363" s="26" t="n">
        <x:f>'成本明细'!V53</x:f>
        <x:v>9307.5</x:v>
      </x:c>
      <x:c r="J363" s="22" t="n">
        <x:f>'参数'!$B$9</x:f>
        <x:v>300</x:v>
      </x:c>
      <x:c r="K363" s="26" t="n">
        <x:f>J363*(G363-H363)-I363*ROUNDUP(J363/F363,0)</x:f>
        <x:v>-385899.66205350007</x:v>
      </x:c>
      <x:c r="L363" s="10" t="str">
        <x:f>IF(G363-H363&lt;=0,"未回本",IF(ROUNDUP(I363/(G363-H363),0)&gt;MIN(F363,J363),"未回本",MAX(1,ROUNDUP(I363/(G363-H363),0))))</x:f>
        <x:v>未回本</x:v>
      </x:c>
    </x:row>
    <x:row r="364" ht="22" customHeight="1">
      <x:c r="A364" s="11" t="str">
        <x:v>lade_0823_30aoi</x:v>
      </x:c>
      <x:c r="B364" s="10" t="n">
        <x:v>30</x:v>
      </x:c>
      <x:c r="C364" s="10" t="n">
        <x:v>44</x:v>
      </x:c>
      <x:c r="D364" s="10" t="str">
        <x:v>M1 / M3</x:v>
      </x:c>
      <x:c r="E364" s="16" t="n">
        <x:v>5</x:v>
      </x:c>
      <x:c r="F364" s="14" t="n">
        <x:v>50</x:v>
      </x:c>
      <x:c r="G364" s="26" t="n">
        <x:f>'成本明细'!U44+'成本明细'!G44*(E364-'参数'!$B$6)</x:f>
        <x:v>3735.288131316667</x:v>
      </x:c>
      <x:c r="H364" s="26" t="n">
        <x:f>'成本明细'!U50</x:f>
        <x:v>4112.408973272777</x:v>
      </x:c>
      <x:c r="I364" s="26" t="n">
        <x:f>'成本明细'!V50</x:f>
        <x:v>9307.5</x:v>
      </x:c>
      <x:c r="J364" s="22" t="n">
        <x:f>'参数'!$B$9</x:f>
        <x:v>300</x:v>
      </x:c>
      <x:c r="K364" s="26" t="n">
        <x:f>J364*(G364-H364)-I364*ROUNDUP(J364/F364,0)</x:f>
        <x:v>-168981.25258683297</x:v>
      </x:c>
      <x:c r="L364" s="10" t="str">
        <x:f>IF(G364-H364&lt;=0,"未回本",IF(ROUNDUP(I364/(G364-H364),0)&gt;MIN(F364,J364),"未回本",MAX(1,ROUNDUP(I364/(G364-H364),0))))</x:f>
        <x:v>未回本</x:v>
      </x:c>
    </x:row>
    <x:row r="365" ht="22" customHeight="1">
      <x:c r="A365" s="11" t="str">
        <x:v>lade_0823_30aoi</x:v>
      </x:c>
      <x:c r="B365" s="10" t="n">
        <x:v>30</x:v>
      </x:c>
      <x:c r="C365" s="10" t="n">
        <x:v>44</x:v>
      </x:c>
      <x:c r="D365" s="10" t="str">
        <x:v>M2 / M4</x:v>
      </x:c>
      <x:c r="E365" s="16" t="n">
        <x:v>5</x:v>
      </x:c>
      <x:c r="F365" s="14" t="n">
        <x:v>50</x:v>
      </x:c>
      <x:c r="G365" s="26" t="n">
        <x:f>'成本明细'!U47+'成本明细'!G47*(E365-'参数'!$B$6)</x:f>
        <x:v>4065.991402921111</x:v>
      </x:c>
      <x:c r="H365" s="26" t="n">
        <x:f>'成本明细'!U53</x:f>
        <x:v>5042.073609766111</x:v>
      </x:c>
      <x:c r="I365" s="26" t="n">
        <x:f>'成本明细'!V53</x:f>
        <x:v>9307.5</x:v>
      </x:c>
      <x:c r="J365" s="22" t="n">
        <x:f>'参数'!$B$9</x:f>
        <x:v>300</x:v>
      </x:c>
      <x:c r="K365" s="26" t="n">
        <x:f>J365*(G365-H365)-I365*ROUNDUP(J365/F365,0)</x:f>
        <x:v>-348669.66205350007</x:v>
      </x:c>
      <x:c r="L365" s="10" t="str">
        <x:f>IF(G365-H365&lt;=0,"未回本",IF(ROUNDUP(I365/(G365-H365),0)&gt;MIN(F365,J365),"未回本",MAX(1,ROUNDUP(I365/(G365-H365),0))))</x:f>
        <x:v>未回本</x:v>
      </x:c>
    </x:row>
    <x:row r="366" ht="22" customHeight="1">
      <x:c r="A366" s="11" t="str">
        <x:v>lade_0824_10aoi</x:v>
      </x:c>
      <x:c r="B366" s="10" t="n">
        <x:v>10</x:v>
      </x:c>
      <x:c r="C366" s="10" t="n">
        <x:v>42</x:v>
      </x:c>
      <x:c r="D366" s="10" t="str">
        <x:v>M1 / M3</x:v>
      </x:c>
      <x:c r="E366" s="16" t="n">
        <x:v>1</x:v>
      </x:c>
      <x:c r="F366" s="14" t="n">
        <x:v>10</x:v>
      </x:c>
      <x:c r="G366" s="26" t="n">
        <x:f>'成本明细'!U60+'成本明细'!G60*(E366-'参数'!$B$6)</x:f>
        <x:v>1453.2131281672223</x:v>
      </x:c>
      <x:c r="H366" s="26" t="n">
        <x:f>'成本明细'!U66</x:f>
        <x:v>2280.5780732538888</x:v>
      </x:c>
      <x:c r="I366" s="26" t="n">
        <x:f>'成本明细'!V66</x:f>
        <x:v>4781.5</x:v>
      </x:c>
      <x:c r="J366" s="22" t="n">
        <x:f>'参数'!$B$9</x:f>
        <x:v>300</x:v>
      </x:c>
      <x:c r="K366" s="26" t="n">
        <x:f>J366*(G366-H366)-I366*ROUNDUP(J366/F366,0)</x:f>
        <x:v>-391654.48352599994</x:v>
      </x:c>
      <x:c r="L366" s="10" t="str">
        <x:f>IF(G366-H366&lt;=0,"未回本",IF(ROUNDUP(I366/(G366-H366),0)&gt;MIN(F366,J366),"未回本",MAX(1,ROUNDUP(I366/(G366-H366),0))))</x:f>
        <x:v>未回本</x:v>
      </x:c>
    </x:row>
    <x:row r="367" ht="22" customHeight="1">
      <x:c r="A367" s="11" t="str">
        <x:v>lade_0824_10aoi</x:v>
      </x:c>
      <x:c r="B367" s="10" t="n">
        <x:v>10</x:v>
      </x:c>
      <x:c r="C367" s="10" t="n">
        <x:v>42</x:v>
      </x:c>
      <x:c r="D367" s="10" t="str">
        <x:v>M2 / M4</x:v>
      </x:c>
      <x:c r="E367" s="16" t="n">
        <x:v>1</x:v>
      </x:c>
      <x:c r="F367" s="14" t="n">
        <x:v>10</x:v>
      </x:c>
      <x:c r="G367" s="26" t="n">
        <x:f>'成本明细'!U63+'成本明细'!G63*(E367-'参数'!$B$6)</x:f>
        <x:v>1453.2131281672223</x:v>
      </x:c>
      <x:c r="H367" s="26" t="n">
        <x:f>'成本明细'!U69</x:f>
        <x:v>2119.9720763766663</x:v>
      </x:c>
      <x:c r="I367" s="26" t="n">
        <x:f>'成本明细'!V69</x:f>
        <x:v>4781.5</x:v>
      </x:c>
      <x:c r="J367" s="22" t="n">
        <x:f>'参数'!$B$9</x:f>
        <x:v>300</x:v>
      </x:c>
      <x:c r="K367" s="26" t="n">
        <x:f>J367*(G367-H367)-I367*ROUNDUP(J367/F367,0)</x:f>
        <x:v>-343472.6844628332</x:v>
      </x:c>
      <x:c r="L367" s="10" t="str">
        <x:f>IF(G367-H367&lt;=0,"未回本",IF(ROUNDUP(I367/(G367-H367),0)&gt;MIN(F367,J367),"未回本",MAX(1,ROUNDUP(I367/(G367-H367),0))))</x:f>
        <x:v>未回本</x:v>
      </x:c>
    </x:row>
    <x:row r="368" ht="22" customHeight="1">
      <x:c r="A368" s="11" t="str">
        <x:v>lade_0824_10aoi</x:v>
      </x:c>
      <x:c r="B368" s="10" t="n">
        <x:v>10</x:v>
      </x:c>
      <x:c r="C368" s="10" t="n">
        <x:v>42</x:v>
      </x:c>
      <x:c r="D368" s="10" t="str">
        <x:v>M1 / M3</x:v>
      </x:c>
      <x:c r="E368" s="16" t="n">
        <x:v>1</x:v>
      </x:c>
      <x:c r="F368" s="14" t="n">
        <x:v>20</x:v>
      </x:c>
      <x:c r="G368" s="26" t="n">
        <x:f>'成本明细'!U60+'成本明细'!G60*(E368-'参数'!$B$6)</x:f>
        <x:v>1453.2131281672223</x:v>
      </x:c>
      <x:c r="H368" s="26" t="n">
        <x:f>'成本明细'!U66</x:f>
        <x:v>2280.5780732538888</x:v>
      </x:c>
      <x:c r="I368" s="26" t="n">
        <x:f>'成本明细'!V66</x:f>
        <x:v>4781.5</x:v>
      </x:c>
      <x:c r="J368" s="22" t="n">
        <x:f>'参数'!$B$9</x:f>
        <x:v>300</x:v>
      </x:c>
      <x:c r="K368" s="26" t="n">
        <x:f>J368*(G368-H368)-I368*ROUNDUP(J368/F368,0)</x:f>
        <x:v>-319931.98352599994</x:v>
      </x:c>
      <x:c r="L368" s="10" t="str">
        <x:f>IF(G368-H368&lt;=0,"未回本",IF(ROUNDUP(I368/(G368-H368),0)&gt;MIN(F368,J368),"未回本",MAX(1,ROUNDUP(I368/(G368-H368),0))))</x:f>
        <x:v>未回本</x:v>
      </x:c>
    </x:row>
    <x:row r="369" ht="22" customHeight="1">
      <x:c r="A369" s="11" t="str">
        <x:v>lade_0824_10aoi</x:v>
      </x:c>
      <x:c r="B369" s="10" t="n">
        <x:v>10</x:v>
      </x:c>
      <x:c r="C369" s="10" t="n">
        <x:v>42</x:v>
      </x:c>
      <x:c r="D369" s="10" t="str">
        <x:v>M2 / M4</x:v>
      </x:c>
      <x:c r="E369" s="16" t="n">
        <x:v>1</x:v>
      </x:c>
      <x:c r="F369" s="14" t="n">
        <x:v>20</x:v>
      </x:c>
      <x:c r="G369" s="26" t="n">
        <x:f>'成本明细'!U63+'成本明细'!G63*(E369-'参数'!$B$6)</x:f>
        <x:v>1453.2131281672223</x:v>
      </x:c>
      <x:c r="H369" s="26" t="n">
        <x:f>'成本明细'!U69</x:f>
        <x:v>2119.9720763766663</x:v>
      </x:c>
      <x:c r="I369" s="26" t="n">
        <x:f>'成本明细'!V69</x:f>
        <x:v>4781.5</x:v>
      </x:c>
      <x:c r="J369" s="22" t="n">
        <x:f>'参数'!$B$9</x:f>
        <x:v>300</x:v>
      </x:c>
      <x:c r="K369" s="26" t="n">
        <x:f>J369*(G369-H369)-I369*ROUNDUP(J369/F369,0)</x:f>
        <x:v>-271750.1844628332</x:v>
      </x:c>
      <x:c r="L369" s="10" t="str">
        <x:f>IF(G369-H369&lt;=0,"未回本",IF(ROUNDUP(I369/(G369-H369),0)&gt;MIN(F369,J369),"未回本",MAX(1,ROUNDUP(I369/(G369-H369),0))))</x:f>
        <x:v>未回本</x:v>
      </x:c>
    </x:row>
    <x:row r="370" ht="22" customHeight="1">
      <x:c r="A370" s="11" t="str">
        <x:v>lade_0824_10aoi</x:v>
      </x:c>
      <x:c r="B370" s="10" t="n">
        <x:v>10</x:v>
      </x:c>
      <x:c r="C370" s="10" t="n">
        <x:v>42</x:v>
      </x:c>
      <x:c r="D370" s="10" t="str">
        <x:v>M1 / M3</x:v>
      </x:c>
      <x:c r="E370" s="16" t="n">
        <x:v>1</x:v>
      </x:c>
      <x:c r="F370" s="14" t="n">
        <x:v>30</x:v>
      </x:c>
      <x:c r="G370" s="26" t="n">
        <x:f>'成本明细'!U60+'成本明细'!G60*(E370-'参数'!$B$6)</x:f>
        <x:v>1453.2131281672223</x:v>
      </x:c>
      <x:c r="H370" s="26" t="n">
        <x:f>'成本明细'!U66</x:f>
        <x:v>2280.5780732538888</x:v>
      </x:c>
      <x:c r="I370" s="26" t="n">
        <x:f>'成本明细'!V66</x:f>
        <x:v>4781.5</x:v>
      </x:c>
      <x:c r="J370" s="22" t="n">
        <x:f>'参数'!$B$9</x:f>
        <x:v>300</x:v>
      </x:c>
      <x:c r="K370" s="26" t="n">
        <x:f>J370*(G370-H370)-I370*ROUNDUP(J370/F370,0)</x:f>
        <x:v>-296024.48352599994</x:v>
      </x:c>
      <x:c r="L370" s="10" t="str">
        <x:f>IF(G370-H370&lt;=0,"未回本",IF(ROUNDUP(I370/(G370-H370),0)&gt;MIN(F370,J370),"未回本",MAX(1,ROUNDUP(I370/(G370-H370),0))))</x:f>
        <x:v>未回本</x:v>
      </x:c>
    </x:row>
    <x:row r="371" ht="22" customHeight="1">
      <x:c r="A371" s="11" t="str">
        <x:v>lade_0824_10aoi</x:v>
      </x:c>
      <x:c r="B371" s="10" t="n">
        <x:v>10</x:v>
      </x:c>
      <x:c r="C371" s="10" t="n">
        <x:v>42</x:v>
      </x:c>
      <x:c r="D371" s="10" t="str">
        <x:v>M2 / M4</x:v>
      </x:c>
      <x:c r="E371" s="16" t="n">
        <x:v>1</x:v>
      </x:c>
      <x:c r="F371" s="14" t="n">
        <x:v>30</x:v>
      </x:c>
      <x:c r="G371" s="26" t="n">
        <x:f>'成本明细'!U63+'成本明细'!G63*(E371-'参数'!$B$6)</x:f>
        <x:v>1453.2131281672223</x:v>
      </x:c>
      <x:c r="H371" s="26" t="n">
        <x:f>'成本明细'!U69</x:f>
        <x:v>2119.9720763766663</x:v>
      </x:c>
      <x:c r="I371" s="26" t="n">
        <x:f>'成本明细'!V69</x:f>
        <x:v>4781.5</x:v>
      </x:c>
      <x:c r="J371" s="22" t="n">
        <x:f>'参数'!$B$9</x:f>
        <x:v>300</x:v>
      </x:c>
      <x:c r="K371" s="26" t="n">
        <x:f>J371*(G371-H371)-I371*ROUNDUP(J371/F371,0)</x:f>
        <x:v>-247842.68446283322</x:v>
      </x:c>
      <x:c r="L371" s="10" t="str">
        <x:f>IF(G371-H371&lt;=0,"未回本",IF(ROUNDUP(I371/(G371-H371),0)&gt;MIN(F371,J371),"未回本",MAX(1,ROUNDUP(I371/(G371-H371),0))))</x:f>
        <x:v>未回本</x:v>
      </x:c>
    </x:row>
    <x:row r="372" ht="22" customHeight="1">
      <x:c r="A372" s="11" t="str">
        <x:v>lade_0824_10aoi</x:v>
      </x:c>
      <x:c r="B372" s="10" t="n">
        <x:v>10</x:v>
      </x:c>
      <x:c r="C372" s="10" t="n">
        <x:v>42</x:v>
      </x:c>
      <x:c r="D372" s="10" t="str">
        <x:v>M1 / M3</x:v>
      </x:c>
      <x:c r="E372" s="16" t="n">
        <x:v>1</x:v>
      </x:c>
      <x:c r="F372" s="14" t="n">
        <x:v>50</x:v>
      </x:c>
      <x:c r="G372" s="26" t="n">
        <x:f>'成本明细'!U60+'成本明细'!G60*(E372-'参数'!$B$6)</x:f>
        <x:v>1453.2131281672223</x:v>
      </x:c>
      <x:c r="H372" s="26" t="n">
        <x:f>'成本明细'!U66</x:f>
        <x:v>2280.5780732538888</x:v>
      </x:c>
      <x:c r="I372" s="26" t="n">
        <x:f>'成本明细'!V66</x:f>
        <x:v>4781.5</x:v>
      </x:c>
      <x:c r="J372" s="22" t="n">
        <x:f>'参数'!$B$9</x:f>
        <x:v>300</x:v>
      </x:c>
      <x:c r="K372" s="26" t="n">
        <x:f>J372*(G372-H372)-I372*ROUNDUP(J372/F372,0)</x:f>
        <x:v>-276898.48352599994</x:v>
      </x:c>
      <x:c r="L372" s="10" t="str">
        <x:f>IF(G372-H372&lt;=0,"未回本",IF(ROUNDUP(I372/(G372-H372),0)&gt;MIN(F372,J372),"未回本",MAX(1,ROUNDUP(I372/(G372-H372),0))))</x:f>
        <x:v>未回本</x:v>
      </x:c>
    </x:row>
    <x:row r="373" ht="22" customHeight="1">
      <x:c r="A373" s="11" t="str">
        <x:v>lade_0824_10aoi</x:v>
      </x:c>
      <x:c r="B373" s="10" t="n">
        <x:v>10</x:v>
      </x:c>
      <x:c r="C373" s="10" t="n">
        <x:v>42</x:v>
      </x:c>
      <x:c r="D373" s="10" t="str">
        <x:v>M2 / M4</x:v>
      </x:c>
      <x:c r="E373" s="16" t="n">
        <x:v>1</x:v>
      </x:c>
      <x:c r="F373" s="14" t="n">
        <x:v>50</x:v>
      </x:c>
      <x:c r="G373" s="26" t="n">
        <x:f>'成本明细'!U63+'成本明细'!G63*(E373-'参数'!$B$6)</x:f>
        <x:v>1453.2131281672223</x:v>
      </x:c>
      <x:c r="H373" s="26" t="n">
        <x:f>'成本明细'!U69</x:f>
        <x:v>2119.9720763766663</x:v>
      </x:c>
      <x:c r="I373" s="26" t="n">
        <x:f>'成本明细'!V69</x:f>
        <x:v>4781.5</x:v>
      </x:c>
      <x:c r="J373" s="22" t="n">
        <x:f>'参数'!$B$9</x:f>
        <x:v>300</x:v>
      </x:c>
      <x:c r="K373" s="26" t="n">
        <x:f>J373*(G373-H373)-I373*ROUNDUP(J373/F373,0)</x:f>
        <x:v>-228716.68446283322</x:v>
      </x:c>
      <x:c r="L373" s="10" t="str">
        <x:f>IF(G373-H373&lt;=0,"未回本",IF(ROUNDUP(I373/(G373-H373),0)&gt;MIN(F373,J373),"未回本",MAX(1,ROUNDUP(I373/(G373-H373),0))))</x:f>
        <x:v>未回本</x:v>
      </x:c>
    </x:row>
    <x:row r="374" ht="22" customHeight="1">
      <x:c r="A374" s="11" t="str">
        <x:v>lade_0824_10aoi</x:v>
      </x:c>
      <x:c r="B374" s="10" t="n">
        <x:v>10</x:v>
      </x:c>
      <x:c r="C374" s="10" t="n">
        <x:v>42</x:v>
      </x:c>
      <x:c r="D374" s="10" t="str">
        <x:v>M1 / M3</x:v>
      </x:c>
      <x:c r="E374" s="16" t="n">
        <x:v>2</x:v>
      </x:c>
      <x:c r="F374" s="14" t="n">
        <x:v>10</x:v>
      </x:c>
      <x:c r="G374" s="26" t="n">
        <x:f>'成本明细'!U60+'成本明细'!G60*(E374-'参数'!$B$6)</x:f>
        <x:v>1584.2131281672223</x:v>
      </x:c>
      <x:c r="H374" s="26" t="n">
        <x:f>'成本明细'!U66</x:f>
        <x:v>2280.5780732538888</x:v>
      </x:c>
      <x:c r="I374" s="26" t="n">
        <x:f>'成本明细'!V66</x:f>
        <x:v>4781.5</x:v>
      </x:c>
      <x:c r="J374" s="22" t="n">
        <x:f>'参数'!$B$9</x:f>
        <x:v>300</x:v>
      </x:c>
      <x:c r="K374" s="26" t="n">
        <x:f>J374*(G374-H374)-I374*ROUNDUP(J374/F374,0)</x:f>
        <x:v>-352354.48352599994</x:v>
      </x:c>
      <x:c r="L374" s="10" t="str">
        <x:f>IF(G374-H374&lt;=0,"未回本",IF(ROUNDUP(I374/(G374-H374),0)&gt;MIN(F374,J374),"未回本",MAX(1,ROUNDUP(I374/(G374-H374),0))))</x:f>
        <x:v>未回本</x:v>
      </x:c>
    </x:row>
    <x:row r="375" ht="22" customHeight="1">
      <x:c r="A375" s="11" t="str">
        <x:v>lade_0824_10aoi</x:v>
      </x:c>
      <x:c r="B375" s="10" t="n">
        <x:v>10</x:v>
      </x:c>
      <x:c r="C375" s="10" t="n">
        <x:v>42</x:v>
      </x:c>
      <x:c r="D375" s="10" t="str">
        <x:v>M2 / M4</x:v>
      </x:c>
      <x:c r="E375" s="16" t="n">
        <x:v>2</x:v>
      </x:c>
      <x:c r="F375" s="14" t="n">
        <x:v>10</x:v>
      </x:c>
      <x:c r="G375" s="26" t="n">
        <x:f>'成本明细'!U63+'成本明细'!G63*(E375-'参数'!$B$6)</x:f>
        <x:v>1584.2131281672223</x:v>
      </x:c>
      <x:c r="H375" s="26" t="n">
        <x:f>'成本明细'!U69</x:f>
        <x:v>2119.9720763766663</x:v>
      </x:c>
      <x:c r="I375" s="26" t="n">
        <x:f>'成本明细'!V69</x:f>
        <x:v>4781.5</x:v>
      </x:c>
      <x:c r="J375" s="22" t="n">
        <x:f>'参数'!$B$9</x:f>
        <x:v>300</x:v>
      </x:c>
      <x:c r="K375" s="26" t="n">
        <x:f>J375*(G375-H375)-I375*ROUNDUP(J375/F375,0)</x:f>
        <x:v>-304172.6844628332</x:v>
      </x:c>
      <x:c r="L375" s="10" t="str">
        <x:f>IF(G375-H375&lt;=0,"未回本",IF(ROUNDUP(I375/(G375-H375),0)&gt;MIN(F375,J375),"未回本",MAX(1,ROUNDUP(I375/(G375-H375),0))))</x:f>
        <x:v>未回本</x:v>
      </x:c>
    </x:row>
    <x:row r="376" ht="22" customHeight="1">
      <x:c r="A376" s="11" t="str">
        <x:v>lade_0824_10aoi</x:v>
      </x:c>
      <x:c r="B376" s="10" t="n">
        <x:v>10</x:v>
      </x:c>
      <x:c r="C376" s="10" t="n">
        <x:v>42</x:v>
      </x:c>
      <x:c r="D376" s="10" t="str">
        <x:v>M1 / M3</x:v>
      </x:c>
      <x:c r="E376" s="16" t="n">
        <x:v>2</x:v>
      </x:c>
      <x:c r="F376" s="14" t="n">
        <x:v>20</x:v>
      </x:c>
      <x:c r="G376" s="26" t="n">
        <x:f>'成本明细'!U60+'成本明细'!G60*(E376-'参数'!$B$6)</x:f>
        <x:v>1584.2131281672223</x:v>
      </x:c>
      <x:c r="H376" s="26" t="n">
        <x:f>'成本明细'!U66</x:f>
        <x:v>2280.5780732538888</x:v>
      </x:c>
      <x:c r="I376" s="26" t="n">
        <x:f>'成本明细'!V66</x:f>
        <x:v>4781.5</x:v>
      </x:c>
      <x:c r="J376" s="22" t="n">
        <x:f>'参数'!$B$9</x:f>
        <x:v>300</x:v>
      </x:c>
      <x:c r="K376" s="26" t="n">
        <x:f>J376*(G376-H376)-I376*ROUNDUP(J376/F376,0)</x:f>
        <x:v>-280631.98352599994</x:v>
      </x:c>
      <x:c r="L376" s="10" t="str">
        <x:f>IF(G376-H376&lt;=0,"未回本",IF(ROUNDUP(I376/(G376-H376),0)&gt;MIN(F376,J376),"未回本",MAX(1,ROUNDUP(I376/(G376-H376),0))))</x:f>
        <x:v>未回本</x:v>
      </x:c>
    </x:row>
    <x:row r="377" ht="22" customHeight="1">
      <x:c r="A377" s="11" t="str">
        <x:v>lade_0824_10aoi</x:v>
      </x:c>
      <x:c r="B377" s="10" t="n">
        <x:v>10</x:v>
      </x:c>
      <x:c r="C377" s="10" t="n">
        <x:v>42</x:v>
      </x:c>
      <x:c r="D377" s="10" t="str">
        <x:v>M2 / M4</x:v>
      </x:c>
      <x:c r="E377" s="16" t="n">
        <x:v>2</x:v>
      </x:c>
      <x:c r="F377" s="14" t="n">
        <x:v>20</x:v>
      </x:c>
      <x:c r="G377" s="26" t="n">
        <x:f>'成本明细'!U63+'成本明细'!G63*(E377-'参数'!$B$6)</x:f>
        <x:v>1584.2131281672223</x:v>
      </x:c>
      <x:c r="H377" s="26" t="n">
        <x:f>'成本明细'!U69</x:f>
        <x:v>2119.9720763766663</x:v>
      </x:c>
      <x:c r="I377" s="26" t="n">
        <x:f>'成本明细'!V69</x:f>
        <x:v>4781.5</x:v>
      </x:c>
      <x:c r="J377" s="22" t="n">
        <x:f>'参数'!$B$9</x:f>
        <x:v>300</x:v>
      </x:c>
      <x:c r="K377" s="26" t="n">
        <x:f>J377*(G377-H377)-I377*ROUNDUP(J377/F377,0)</x:f>
        <x:v>-232450.18446283322</x:v>
      </x:c>
      <x:c r="L377" s="10" t="str">
        <x:f>IF(G377-H377&lt;=0,"未回本",IF(ROUNDUP(I377/(G377-H377),0)&gt;MIN(F377,J377),"未回本",MAX(1,ROUNDUP(I377/(G377-H377),0))))</x:f>
        <x:v>未回本</x:v>
      </x:c>
    </x:row>
    <x:row r="378" ht="22" customHeight="1">
      <x:c r="A378" s="11" t="str">
        <x:v>lade_0824_10aoi</x:v>
      </x:c>
      <x:c r="B378" s="10" t="n">
        <x:v>10</x:v>
      </x:c>
      <x:c r="C378" s="10" t="n">
        <x:v>42</x:v>
      </x:c>
      <x:c r="D378" s="10" t="str">
        <x:v>M1 / M3</x:v>
      </x:c>
      <x:c r="E378" s="16" t="n">
        <x:v>2</x:v>
      </x:c>
      <x:c r="F378" s="14" t="n">
        <x:v>30</x:v>
      </x:c>
      <x:c r="G378" s="26" t="n">
        <x:f>'成本明细'!U60+'成本明细'!G60*(E378-'参数'!$B$6)</x:f>
        <x:v>1584.2131281672223</x:v>
      </x:c>
      <x:c r="H378" s="26" t="n">
        <x:f>'成本明细'!U66</x:f>
        <x:v>2280.5780732538888</x:v>
      </x:c>
      <x:c r="I378" s="26" t="n">
        <x:f>'成本明细'!V66</x:f>
        <x:v>4781.5</x:v>
      </x:c>
      <x:c r="J378" s="22" t="n">
        <x:f>'参数'!$B$9</x:f>
        <x:v>300</x:v>
      </x:c>
      <x:c r="K378" s="26" t="n">
        <x:f>J378*(G378-H378)-I378*ROUNDUP(J378/F378,0)</x:f>
        <x:v>-256724.48352599994</x:v>
      </x:c>
      <x:c r="L378" s="10" t="str">
        <x:f>IF(G378-H378&lt;=0,"未回本",IF(ROUNDUP(I378/(G378-H378),0)&gt;MIN(F378,J378),"未回本",MAX(1,ROUNDUP(I378/(G378-H378),0))))</x:f>
        <x:v>未回本</x:v>
      </x:c>
    </x:row>
    <x:row r="379" ht="22" customHeight="1">
      <x:c r="A379" s="11" t="str">
        <x:v>lade_0824_10aoi</x:v>
      </x:c>
      <x:c r="B379" s="10" t="n">
        <x:v>10</x:v>
      </x:c>
      <x:c r="C379" s="10" t="n">
        <x:v>42</x:v>
      </x:c>
      <x:c r="D379" s="10" t="str">
        <x:v>M2 / M4</x:v>
      </x:c>
      <x:c r="E379" s="16" t="n">
        <x:v>2</x:v>
      </x:c>
      <x:c r="F379" s="14" t="n">
        <x:v>30</x:v>
      </x:c>
      <x:c r="G379" s="26" t="n">
        <x:f>'成本明细'!U63+'成本明细'!G63*(E379-'参数'!$B$6)</x:f>
        <x:v>1584.2131281672223</x:v>
      </x:c>
      <x:c r="H379" s="26" t="n">
        <x:f>'成本明细'!U69</x:f>
        <x:v>2119.9720763766663</x:v>
      </x:c>
      <x:c r="I379" s="26" t="n">
        <x:f>'成本明细'!V69</x:f>
        <x:v>4781.5</x:v>
      </x:c>
      <x:c r="J379" s="22" t="n">
        <x:f>'参数'!$B$9</x:f>
        <x:v>300</x:v>
      </x:c>
      <x:c r="K379" s="26" t="n">
        <x:f>J379*(G379-H379)-I379*ROUNDUP(J379/F379,0)</x:f>
        <x:v>-208542.68446283322</x:v>
      </x:c>
      <x:c r="L379" s="10" t="str">
        <x:f>IF(G379-H379&lt;=0,"未回本",IF(ROUNDUP(I379/(G379-H379),0)&gt;MIN(F379,J379),"未回本",MAX(1,ROUNDUP(I379/(G379-H379),0))))</x:f>
        <x:v>未回本</x:v>
      </x:c>
    </x:row>
    <x:row r="380" ht="22" customHeight="1">
      <x:c r="A380" s="11" t="str">
        <x:v>lade_0824_10aoi</x:v>
      </x:c>
      <x:c r="B380" s="10" t="n">
        <x:v>10</x:v>
      </x:c>
      <x:c r="C380" s="10" t="n">
        <x:v>42</x:v>
      </x:c>
      <x:c r="D380" s="10" t="str">
        <x:v>M1 / M3</x:v>
      </x:c>
      <x:c r="E380" s="16" t="n">
        <x:v>2</x:v>
      </x:c>
      <x:c r="F380" s="14" t="n">
        <x:v>50</x:v>
      </x:c>
      <x:c r="G380" s="26" t="n">
        <x:f>'成本明细'!U60+'成本明细'!G60*(E380-'参数'!$B$6)</x:f>
        <x:v>1584.2131281672223</x:v>
      </x:c>
      <x:c r="H380" s="26" t="n">
        <x:f>'成本明细'!U66</x:f>
        <x:v>2280.5780732538888</x:v>
      </x:c>
      <x:c r="I380" s="26" t="n">
        <x:f>'成本明细'!V66</x:f>
        <x:v>4781.5</x:v>
      </x:c>
      <x:c r="J380" s="22" t="n">
        <x:f>'参数'!$B$9</x:f>
        <x:v>300</x:v>
      </x:c>
      <x:c r="K380" s="26" t="n">
        <x:f>J380*(G380-H380)-I380*ROUNDUP(J380/F380,0)</x:f>
        <x:v>-237598.48352599994</x:v>
      </x:c>
      <x:c r="L380" s="10" t="str">
        <x:f>IF(G380-H380&lt;=0,"未回本",IF(ROUNDUP(I380/(G380-H380),0)&gt;MIN(F380,J380),"未回本",MAX(1,ROUNDUP(I380/(G380-H380),0))))</x:f>
        <x:v>未回本</x:v>
      </x:c>
    </x:row>
    <x:row r="381" ht="22" customHeight="1">
      <x:c r="A381" s="11" t="str">
        <x:v>lade_0824_10aoi</x:v>
      </x:c>
      <x:c r="B381" s="10" t="n">
        <x:v>10</x:v>
      </x:c>
      <x:c r="C381" s="10" t="n">
        <x:v>42</x:v>
      </x:c>
      <x:c r="D381" s="10" t="str">
        <x:v>M2 / M4</x:v>
      </x:c>
      <x:c r="E381" s="16" t="n">
        <x:v>2</x:v>
      </x:c>
      <x:c r="F381" s="14" t="n">
        <x:v>50</x:v>
      </x:c>
      <x:c r="G381" s="26" t="n">
        <x:f>'成本明细'!U63+'成本明细'!G63*(E381-'参数'!$B$6)</x:f>
        <x:v>1584.2131281672223</x:v>
      </x:c>
      <x:c r="H381" s="26" t="n">
        <x:f>'成本明细'!U69</x:f>
        <x:v>2119.9720763766663</x:v>
      </x:c>
      <x:c r="I381" s="26" t="n">
        <x:f>'成本明细'!V69</x:f>
        <x:v>4781.5</x:v>
      </x:c>
      <x:c r="J381" s="22" t="n">
        <x:f>'参数'!$B$9</x:f>
        <x:v>300</x:v>
      </x:c>
      <x:c r="K381" s="26" t="n">
        <x:f>J381*(G381-H381)-I381*ROUNDUP(J381/F381,0)</x:f>
        <x:v>-189416.68446283322</x:v>
      </x:c>
      <x:c r="L381" s="10" t="str">
        <x:f>IF(G381-H381&lt;=0,"未回本",IF(ROUNDUP(I381/(G381-H381),0)&gt;MIN(F381,J381),"未回本",MAX(1,ROUNDUP(I381/(G381-H381),0))))</x:f>
        <x:v>未回本</x:v>
      </x:c>
    </x:row>
    <x:row r="382" ht="22" customHeight="1">
      <x:c r="A382" s="11" t="str">
        <x:v>lade_0824_10aoi</x:v>
      </x:c>
      <x:c r="B382" s="10" t="n">
        <x:v>10</x:v>
      </x:c>
      <x:c r="C382" s="10" t="n">
        <x:v>42</x:v>
      </x:c>
      <x:c r="D382" s="10" t="str">
        <x:v>M1 / M3</x:v>
      </x:c>
      <x:c r="E382" s="16" t="n">
        <x:v>3</x:v>
      </x:c>
      <x:c r="F382" s="14" t="n">
        <x:v>10</x:v>
      </x:c>
      <x:c r="G382" s="26" t="n">
        <x:f>'成本明细'!U60+'成本明细'!G60*(E382-'参数'!$B$6)</x:f>
        <x:v>1715.2131281672223</x:v>
      </x:c>
      <x:c r="H382" s="26" t="n">
        <x:f>'成本明细'!U66</x:f>
        <x:v>2280.5780732538888</x:v>
      </x:c>
      <x:c r="I382" s="26" t="n">
        <x:f>'成本明细'!V66</x:f>
        <x:v>4781.5</x:v>
      </x:c>
      <x:c r="J382" s="22" t="n">
        <x:f>'参数'!$B$9</x:f>
        <x:v>300</x:v>
      </x:c>
      <x:c r="K382" s="26" t="n">
        <x:f>J382*(G382-H382)-I382*ROUNDUP(J382/F382,0)</x:f>
        <x:v>-313054.48352599994</x:v>
      </x:c>
      <x:c r="L382" s="10" t="str">
        <x:f>IF(G382-H382&lt;=0,"未回本",IF(ROUNDUP(I382/(G382-H382),0)&gt;MIN(F382,J382),"未回本",MAX(1,ROUNDUP(I382/(G382-H382),0))))</x:f>
        <x:v>未回本</x:v>
      </x:c>
    </x:row>
    <x:row r="383" ht="22" customHeight="1">
      <x:c r="A383" s="11" t="str">
        <x:v>lade_0824_10aoi</x:v>
      </x:c>
      <x:c r="B383" s="10" t="n">
        <x:v>10</x:v>
      </x:c>
      <x:c r="C383" s="10" t="n">
        <x:v>42</x:v>
      </x:c>
      <x:c r="D383" s="10" t="str">
        <x:v>M2 / M4</x:v>
      </x:c>
      <x:c r="E383" s="16" t="n">
        <x:v>3</x:v>
      </x:c>
      <x:c r="F383" s="14" t="n">
        <x:v>10</x:v>
      </x:c>
      <x:c r="G383" s="26" t="n">
        <x:f>'成本明细'!U63+'成本明细'!G63*(E383-'参数'!$B$6)</x:f>
        <x:v>1715.2131281672223</x:v>
      </x:c>
      <x:c r="H383" s="26" t="n">
        <x:f>'成本明细'!U69</x:f>
        <x:v>2119.9720763766663</x:v>
      </x:c>
      <x:c r="I383" s="26" t="n">
        <x:f>'成本明细'!V69</x:f>
        <x:v>4781.5</x:v>
      </x:c>
      <x:c r="J383" s="22" t="n">
        <x:f>'参数'!$B$9</x:f>
        <x:v>300</x:v>
      </x:c>
      <x:c r="K383" s="26" t="n">
        <x:f>J383*(G383-H383)-I383*ROUNDUP(J383/F383,0)</x:f>
        <x:v>-264872.6844628332</x:v>
      </x:c>
      <x:c r="L383" s="10" t="str">
        <x:f>IF(G383-H383&lt;=0,"未回本",IF(ROUNDUP(I383/(G383-H383),0)&gt;MIN(F383,J383),"未回本",MAX(1,ROUNDUP(I383/(G383-H383),0))))</x:f>
        <x:v>未回本</x:v>
      </x:c>
    </x:row>
    <x:row r="384" ht="22" customHeight="1">
      <x:c r="A384" s="11" t="str">
        <x:v>lade_0824_10aoi</x:v>
      </x:c>
      <x:c r="B384" s="10" t="n">
        <x:v>10</x:v>
      </x:c>
      <x:c r="C384" s="10" t="n">
        <x:v>42</x:v>
      </x:c>
      <x:c r="D384" s="10" t="str">
        <x:v>M1 / M3</x:v>
      </x:c>
      <x:c r="E384" s="16" t="n">
        <x:v>3</x:v>
      </x:c>
      <x:c r="F384" s="14" t="n">
        <x:v>20</x:v>
      </x:c>
      <x:c r="G384" s="26" t="n">
        <x:f>'成本明细'!U60+'成本明细'!G60*(E384-'参数'!$B$6)</x:f>
        <x:v>1715.2131281672223</x:v>
      </x:c>
      <x:c r="H384" s="26" t="n">
        <x:f>'成本明细'!U66</x:f>
        <x:v>2280.5780732538888</x:v>
      </x:c>
      <x:c r="I384" s="26" t="n">
        <x:f>'成本明细'!V66</x:f>
        <x:v>4781.5</x:v>
      </x:c>
      <x:c r="J384" s="22" t="n">
        <x:f>'参数'!$B$9</x:f>
        <x:v>300</x:v>
      </x:c>
      <x:c r="K384" s="26" t="n">
        <x:f>J384*(G384-H384)-I384*ROUNDUP(J384/F384,0)</x:f>
        <x:v>-241331.98352599994</x:v>
      </x:c>
      <x:c r="L384" s="10" t="str">
        <x:f>IF(G384-H384&lt;=0,"未回本",IF(ROUNDUP(I384/(G384-H384),0)&gt;MIN(F384,J384),"未回本",MAX(1,ROUNDUP(I384/(G384-H384),0))))</x:f>
        <x:v>未回本</x:v>
      </x:c>
    </x:row>
    <x:row r="385" ht="22" customHeight="1">
      <x:c r="A385" s="11" t="str">
        <x:v>lade_0824_10aoi</x:v>
      </x:c>
      <x:c r="B385" s="10" t="n">
        <x:v>10</x:v>
      </x:c>
      <x:c r="C385" s="10" t="n">
        <x:v>42</x:v>
      </x:c>
      <x:c r="D385" s="10" t="str">
        <x:v>M2 / M4</x:v>
      </x:c>
      <x:c r="E385" s="16" t="n">
        <x:v>3</x:v>
      </x:c>
      <x:c r="F385" s="14" t="n">
        <x:v>20</x:v>
      </x:c>
      <x:c r="G385" s="26" t="n">
        <x:f>'成本明细'!U63+'成本明细'!G63*(E385-'参数'!$B$6)</x:f>
        <x:v>1715.2131281672223</x:v>
      </x:c>
      <x:c r="H385" s="26" t="n">
        <x:f>'成本明细'!U69</x:f>
        <x:v>2119.9720763766663</x:v>
      </x:c>
      <x:c r="I385" s="26" t="n">
        <x:f>'成本明细'!V69</x:f>
        <x:v>4781.5</x:v>
      </x:c>
      <x:c r="J385" s="22" t="n">
        <x:f>'参数'!$B$9</x:f>
        <x:v>300</x:v>
      </x:c>
      <x:c r="K385" s="26" t="n">
        <x:f>J385*(G385-H385)-I385*ROUNDUP(J385/F385,0)</x:f>
        <x:v>-193150.18446283322</x:v>
      </x:c>
      <x:c r="L385" s="10" t="str">
        <x:f>IF(G385-H385&lt;=0,"未回本",IF(ROUNDUP(I385/(G385-H385),0)&gt;MIN(F385,J385),"未回本",MAX(1,ROUNDUP(I385/(G385-H385),0))))</x:f>
        <x:v>未回本</x:v>
      </x:c>
    </x:row>
    <x:row r="386" ht="22" customHeight="1">
      <x:c r="A386" s="11" t="str">
        <x:v>lade_0824_10aoi</x:v>
      </x:c>
      <x:c r="B386" s="10" t="n">
        <x:v>10</x:v>
      </x:c>
      <x:c r="C386" s="10" t="n">
        <x:v>42</x:v>
      </x:c>
      <x:c r="D386" s="10" t="str">
        <x:v>M1 / M3</x:v>
      </x:c>
      <x:c r="E386" s="16" t="n">
        <x:v>3</x:v>
      </x:c>
      <x:c r="F386" s="14" t="n">
        <x:v>30</x:v>
      </x:c>
      <x:c r="G386" s="26" t="n">
        <x:f>'成本明细'!U60+'成本明细'!G60*(E386-'参数'!$B$6)</x:f>
        <x:v>1715.2131281672223</x:v>
      </x:c>
      <x:c r="H386" s="26" t="n">
        <x:f>'成本明细'!U66</x:f>
        <x:v>2280.5780732538888</x:v>
      </x:c>
      <x:c r="I386" s="26" t="n">
        <x:f>'成本明细'!V66</x:f>
        <x:v>4781.5</x:v>
      </x:c>
      <x:c r="J386" s="22" t="n">
        <x:f>'参数'!$B$9</x:f>
        <x:v>300</x:v>
      </x:c>
      <x:c r="K386" s="26" t="n">
        <x:f>J386*(G386-H386)-I386*ROUNDUP(J386/F386,0)</x:f>
        <x:v>-217424.48352599994</x:v>
      </x:c>
      <x:c r="L386" s="10" t="str">
        <x:f>IF(G386-H386&lt;=0,"未回本",IF(ROUNDUP(I386/(G386-H386),0)&gt;MIN(F386,J386),"未回本",MAX(1,ROUNDUP(I386/(G386-H386),0))))</x:f>
        <x:v>未回本</x:v>
      </x:c>
    </x:row>
    <x:row r="387" ht="22" customHeight="1">
      <x:c r="A387" s="11" t="str">
        <x:v>lade_0824_10aoi</x:v>
      </x:c>
      <x:c r="B387" s="10" t="n">
        <x:v>10</x:v>
      </x:c>
      <x:c r="C387" s="10" t="n">
        <x:v>42</x:v>
      </x:c>
      <x:c r="D387" s="10" t="str">
        <x:v>M2 / M4</x:v>
      </x:c>
      <x:c r="E387" s="16" t="n">
        <x:v>3</x:v>
      </x:c>
      <x:c r="F387" s="14" t="n">
        <x:v>30</x:v>
      </x:c>
      <x:c r="G387" s="26" t="n">
        <x:f>'成本明细'!U63+'成本明细'!G63*(E387-'参数'!$B$6)</x:f>
        <x:v>1715.2131281672223</x:v>
      </x:c>
      <x:c r="H387" s="26" t="n">
        <x:f>'成本明细'!U69</x:f>
        <x:v>2119.9720763766663</x:v>
      </x:c>
      <x:c r="I387" s="26" t="n">
        <x:f>'成本明细'!V69</x:f>
        <x:v>4781.5</x:v>
      </x:c>
      <x:c r="J387" s="22" t="n">
        <x:f>'参数'!$B$9</x:f>
        <x:v>300</x:v>
      </x:c>
      <x:c r="K387" s="26" t="n">
        <x:f>J387*(G387-H387)-I387*ROUNDUP(J387/F387,0)</x:f>
        <x:v>-169242.68446283322</x:v>
      </x:c>
      <x:c r="L387" s="10" t="str">
        <x:f>IF(G387-H387&lt;=0,"未回本",IF(ROUNDUP(I387/(G387-H387),0)&gt;MIN(F387,J387),"未回本",MAX(1,ROUNDUP(I387/(G387-H387),0))))</x:f>
        <x:v>未回本</x:v>
      </x:c>
    </x:row>
    <x:row r="388" ht="22" customHeight="1">
      <x:c r="A388" s="11" t="str">
        <x:v>lade_0824_10aoi</x:v>
      </x:c>
      <x:c r="B388" s="10" t="n">
        <x:v>10</x:v>
      </x:c>
      <x:c r="C388" s="10" t="n">
        <x:v>42</x:v>
      </x:c>
      <x:c r="D388" s="10" t="str">
        <x:v>M1 / M3</x:v>
      </x:c>
      <x:c r="E388" s="16" t="n">
        <x:v>3</x:v>
      </x:c>
      <x:c r="F388" s="14" t="n">
        <x:v>50</x:v>
      </x:c>
      <x:c r="G388" s="26" t="n">
        <x:f>'成本明细'!U60+'成本明细'!G60*(E388-'参数'!$B$6)</x:f>
        <x:v>1715.2131281672223</x:v>
      </x:c>
      <x:c r="H388" s="26" t="n">
        <x:f>'成本明细'!U66</x:f>
        <x:v>2280.5780732538888</x:v>
      </x:c>
      <x:c r="I388" s="26" t="n">
        <x:f>'成本明细'!V66</x:f>
        <x:v>4781.5</x:v>
      </x:c>
      <x:c r="J388" s="22" t="n">
        <x:f>'参数'!$B$9</x:f>
        <x:v>300</x:v>
      </x:c>
      <x:c r="K388" s="26" t="n">
        <x:f>J388*(G388-H388)-I388*ROUNDUP(J388/F388,0)</x:f>
        <x:v>-198298.48352599994</x:v>
      </x:c>
      <x:c r="L388" s="10" t="str">
        <x:f>IF(G388-H388&lt;=0,"未回本",IF(ROUNDUP(I388/(G388-H388),0)&gt;MIN(F388,J388),"未回本",MAX(1,ROUNDUP(I388/(G388-H388),0))))</x:f>
        <x:v>未回本</x:v>
      </x:c>
    </x:row>
    <x:row r="389" ht="22" customHeight="1">
      <x:c r="A389" s="11" t="str">
        <x:v>lade_0824_10aoi</x:v>
      </x:c>
      <x:c r="B389" s="10" t="n">
        <x:v>10</x:v>
      </x:c>
      <x:c r="C389" s="10" t="n">
        <x:v>42</x:v>
      </x:c>
      <x:c r="D389" s="10" t="str">
        <x:v>M2 / M4</x:v>
      </x:c>
      <x:c r="E389" s="16" t="n">
        <x:v>3</x:v>
      </x:c>
      <x:c r="F389" s="14" t="n">
        <x:v>50</x:v>
      </x:c>
      <x:c r="G389" s="26" t="n">
        <x:f>'成本明细'!U63+'成本明细'!G63*(E389-'参数'!$B$6)</x:f>
        <x:v>1715.2131281672223</x:v>
      </x:c>
      <x:c r="H389" s="26" t="n">
        <x:f>'成本明细'!U69</x:f>
        <x:v>2119.9720763766663</x:v>
      </x:c>
      <x:c r="I389" s="26" t="n">
        <x:f>'成本明细'!V69</x:f>
        <x:v>4781.5</x:v>
      </x:c>
      <x:c r="J389" s="22" t="n">
        <x:f>'参数'!$B$9</x:f>
        <x:v>300</x:v>
      </x:c>
      <x:c r="K389" s="26" t="n">
        <x:f>J389*(G389-H389)-I389*ROUNDUP(J389/F389,0)</x:f>
        <x:v>-150116.68446283322</x:v>
      </x:c>
      <x:c r="L389" s="10" t="str">
        <x:f>IF(G389-H389&lt;=0,"未回本",IF(ROUNDUP(I389/(G389-H389),0)&gt;MIN(F389,J389),"未回本",MAX(1,ROUNDUP(I389/(G389-H389),0))))</x:f>
        <x:v>未回本</x:v>
      </x:c>
    </x:row>
    <x:row r="390" ht="22" customHeight="1">
      <x:c r="A390" s="11" t="str">
        <x:v>lade_0824_10aoi</x:v>
      </x:c>
      <x:c r="B390" s="10" t="n">
        <x:v>10</x:v>
      </x:c>
      <x:c r="C390" s="10" t="n">
        <x:v>42</x:v>
      </x:c>
      <x:c r="D390" s="10" t="str">
        <x:v>M1 / M3</x:v>
      </x:c>
      <x:c r="E390" s="16" t="n">
        <x:v>4</x:v>
      </x:c>
      <x:c r="F390" s="14" t="n">
        <x:v>10</x:v>
      </x:c>
      <x:c r="G390" s="26" t="n">
        <x:f>'成本明细'!U60+'成本明细'!G60*(E390-'参数'!$B$6)</x:f>
        <x:v>1846.2131281672223</x:v>
      </x:c>
      <x:c r="H390" s="26" t="n">
        <x:f>'成本明细'!U66</x:f>
        <x:v>2280.5780732538888</x:v>
      </x:c>
      <x:c r="I390" s="26" t="n">
        <x:f>'成本明细'!V66</x:f>
        <x:v>4781.5</x:v>
      </x:c>
      <x:c r="J390" s="22" t="n">
        <x:f>'参数'!$B$9</x:f>
        <x:v>300</x:v>
      </x:c>
      <x:c r="K390" s="26" t="n">
        <x:f>J390*(G390-H390)-I390*ROUNDUP(J390/F390,0)</x:f>
        <x:v>-273754.48352599994</x:v>
      </x:c>
      <x:c r="L390" s="10" t="str">
        <x:f>IF(G390-H390&lt;=0,"未回本",IF(ROUNDUP(I390/(G390-H390),0)&gt;MIN(F390,J390),"未回本",MAX(1,ROUNDUP(I390/(G390-H390),0))))</x:f>
        <x:v>未回本</x:v>
      </x:c>
    </x:row>
    <x:row r="391" ht="22" customHeight="1">
      <x:c r="A391" s="11" t="str">
        <x:v>lade_0824_10aoi</x:v>
      </x:c>
      <x:c r="B391" s="10" t="n">
        <x:v>10</x:v>
      </x:c>
      <x:c r="C391" s="10" t="n">
        <x:v>42</x:v>
      </x:c>
      <x:c r="D391" s="10" t="str">
        <x:v>M2 / M4</x:v>
      </x:c>
      <x:c r="E391" s="16" t="n">
        <x:v>4</x:v>
      </x:c>
      <x:c r="F391" s="14" t="n">
        <x:v>10</x:v>
      </x:c>
      <x:c r="G391" s="26" t="n">
        <x:f>'成本明细'!U63+'成本明细'!G63*(E391-'参数'!$B$6)</x:f>
        <x:v>1846.2131281672223</x:v>
      </x:c>
      <x:c r="H391" s="26" t="n">
        <x:f>'成本明细'!U69</x:f>
        <x:v>2119.9720763766663</x:v>
      </x:c>
      <x:c r="I391" s="26" t="n">
        <x:f>'成本明细'!V69</x:f>
        <x:v>4781.5</x:v>
      </x:c>
      <x:c r="J391" s="22" t="n">
        <x:f>'参数'!$B$9</x:f>
        <x:v>300</x:v>
      </x:c>
      <x:c r="K391" s="26" t="n">
        <x:f>J391*(G391-H391)-I391*ROUNDUP(J391/F391,0)</x:f>
        <x:v>-225572.68446283322</x:v>
      </x:c>
      <x:c r="L391" s="10" t="str">
        <x:f>IF(G391-H391&lt;=0,"未回本",IF(ROUNDUP(I391/(G391-H391),0)&gt;MIN(F391,J391),"未回本",MAX(1,ROUNDUP(I391/(G391-H391),0))))</x:f>
        <x:v>未回本</x:v>
      </x:c>
    </x:row>
    <x:row r="392" ht="22" customHeight="1">
      <x:c r="A392" s="11" t="str">
        <x:v>lade_0824_10aoi</x:v>
      </x:c>
      <x:c r="B392" s="10" t="n">
        <x:v>10</x:v>
      </x:c>
      <x:c r="C392" s="10" t="n">
        <x:v>42</x:v>
      </x:c>
      <x:c r="D392" s="10" t="str">
        <x:v>M1 / M3</x:v>
      </x:c>
      <x:c r="E392" s="16" t="n">
        <x:v>4</x:v>
      </x:c>
      <x:c r="F392" s="14" t="n">
        <x:v>20</x:v>
      </x:c>
      <x:c r="G392" s="26" t="n">
        <x:f>'成本明细'!U60+'成本明细'!G60*(E392-'参数'!$B$6)</x:f>
        <x:v>1846.2131281672223</x:v>
      </x:c>
      <x:c r="H392" s="26" t="n">
        <x:f>'成本明细'!U66</x:f>
        <x:v>2280.5780732538888</x:v>
      </x:c>
      <x:c r="I392" s="26" t="n">
        <x:f>'成本明细'!V66</x:f>
        <x:v>4781.5</x:v>
      </x:c>
      <x:c r="J392" s="22" t="n">
        <x:f>'参数'!$B$9</x:f>
        <x:v>300</x:v>
      </x:c>
      <x:c r="K392" s="26" t="n">
        <x:f>J392*(G392-H392)-I392*ROUNDUP(J392/F392,0)</x:f>
        <x:v>-202031.98352599994</x:v>
      </x:c>
      <x:c r="L392" s="10" t="str">
        <x:f>IF(G392-H392&lt;=0,"未回本",IF(ROUNDUP(I392/(G392-H392),0)&gt;MIN(F392,J392),"未回本",MAX(1,ROUNDUP(I392/(G392-H392),0))))</x:f>
        <x:v>未回本</x:v>
      </x:c>
    </x:row>
    <x:row r="393" ht="22" customHeight="1">
      <x:c r="A393" s="11" t="str">
        <x:v>lade_0824_10aoi</x:v>
      </x:c>
      <x:c r="B393" s="10" t="n">
        <x:v>10</x:v>
      </x:c>
      <x:c r="C393" s="10" t="n">
        <x:v>42</x:v>
      </x:c>
      <x:c r="D393" s="10" t="str">
        <x:v>M2 / M4</x:v>
      </x:c>
      <x:c r="E393" s="16" t="n">
        <x:v>4</x:v>
      </x:c>
      <x:c r="F393" s="14" t="n">
        <x:v>20</x:v>
      </x:c>
      <x:c r="G393" s="26" t="n">
        <x:f>'成本明细'!U63+'成本明细'!G63*(E393-'参数'!$B$6)</x:f>
        <x:v>1846.2131281672223</x:v>
      </x:c>
      <x:c r="H393" s="26" t="n">
        <x:f>'成本明细'!U69</x:f>
        <x:v>2119.9720763766663</x:v>
      </x:c>
      <x:c r="I393" s="26" t="n">
        <x:f>'成本明细'!V69</x:f>
        <x:v>4781.5</x:v>
      </x:c>
      <x:c r="J393" s="22" t="n">
        <x:f>'参数'!$B$9</x:f>
        <x:v>300</x:v>
      </x:c>
      <x:c r="K393" s="26" t="n">
        <x:f>J393*(G393-H393)-I393*ROUNDUP(J393/F393,0)</x:f>
        <x:v>-153850.18446283322</x:v>
      </x:c>
      <x:c r="L393" s="10" t="str">
        <x:f>IF(G393-H393&lt;=0,"未回本",IF(ROUNDUP(I393/(G393-H393),0)&gt;MIN(F393,J393),"未回本",MAX(1,ROUNDUP(I393/(G393-H393),0))))</x:f>
        <x:v>未回本</x:v>
      </x:c>
    </x:row>
    <x:row r="394" ht="22" customHeight="1">
      <x:c r="A394" s="11" t="str">
        <x:v>lade_0824_10aoi</x:v>
      </x:c>
      <x:c r="B394" s="10" t="n">
        <x:v>10</x:v>
      </x:c>
      <x:c r="C394" s="10" t="n">
        <x:v>42</x:v>
      </x:c>
      <x:c r="D394" s="10" t="str">
        <x:v>M1 / M3</x:v>
      </x:c>
      <x:c r="E394" s="16" t="n">
        <x:v>4</x:v>
      </x:c>
      <x:c r="F394" s="14" t="n">
        <x:v>30</x:v>
      </x:c>
      <x:c r="G394" s="26" t="n">
        <x:f>'成本明细'!U60+'成本明细'!G60*(E394-'参数'!$B$6)</x:f>
        <x:v>1846.2131281672223</x:v>
      </x:c>
      <x:c r="H394" s="26" t="n">
        <x:f>'成本明细'!U66</x:f>
        <x:v>2280.5780732538888</x:v>
      </x:c>
      <x:c r="I394" s="26" t="n">
        <x:f>'成本明细'!V66</x:f>
        <x:v>4781.5</x:v>
      </x:c>
      <x:c r="J394" s="22" t="n">
        <x:f>'参数'!$B$9</x:f>
        <x:v>300</x:v>
      </x:c>
      <x:c r="K394" s="26" t="n">
        <x:f>J394*(G394-H394)-I394*ROUNDUP(J394/F394,0)</x:f>
        <x:v>-178124.48352599994</x:v>
      </x:c>
      <x:c r="L394" s="10" t="str">
        <x:f>IF(G394-H394&lt;=0,"未回本",IF(ROUNDUP(I394/(G394-H394),0)&gt;MIN(F394,J394),"未回本",MAX(1,ROUNDUP(I394/(G394-H394),0))))</x:f>
        <x:v>未回本</x:v>
      </x:c>
    </x:row>
    <x:row r="395" ht="22" customHeight="1">
      <x:c r="A395" s="11" t="str">
        <x:v>lade_0824_10aoi</x:v>
      </x:c>
      <x:c r="B395" s="10" t="n">
        <x:v>10</x:v>
      </x:c>
      <x:c r="C395" s="10" t="n">
        <x:v>42</x:v>
      </x:c>
      <x:c r="D395" s="10" t="str">
        <x:v>M2 / M4</x:v>
      </x:c>
      <x:c r="E395" s="16" t="n">
        <x:v>4</x:v>
      </x:c>
      <x:c r="F395" s="14" t="n">
        <x:v>30</x:v>
      </x:c>
      <x:c r="G395" s="26" t="n">
        <x:f>'成本明细'!U63+'成本明细'!G63*(E395-'参数'!$B$6)</x:f>
        <x:v>1846.2131281672223</x:v>
      </x:c>
      <x:c r="H395" s="26" t="n">
        <x:f>'成本明细'!U69</x:f>
        <x:v>2119.9720763766663</x:v>
      </x:c>
      <x:c r="I395" s="26" t="n">
        <x:f>'成本明细'!V69</x:f>
        <x:v>4781.5</x:v>
      </x:c>
      <x:c r="J395" s="22" t="n">
        <x:f>'参数'!$B$9</x:f>
        <x:v>300</x:v>
      </x:c>
      <x:c r="K395" s="26" t="n">
        <x:f>J395*(G395-H395)-I395*ROUNDUP(J395/F395,0)</x:f>
        <x:v>-129942.68446283322</x:v>
      </x:c>
      <x:c r="L395" s="10" t="str">
        <x:f>IF(G395-H395&lt;=0,"未回本",IF(ROUNDUP(I395/(G395-H395),0)&gt;MIN(F395,J395),"未回本",MAX(1,ROUNDUP(I395/(G395-H395),0))))</x:f>
        <x:v>未回本</x:v>
      </x:c>
    </x:row>
    <x:row r="396" ht="22" customHeight="1">
      <x:c r="A396" s="11" t="str">
        <x:v>lade_0824_10aoi</x:v>
      </x:c>
      <x:c r="B396" s="10" t="n">
        <x:v>10</x:v>
      </x:c>
      <x:c r="C396" s="10" t="n">
        <x:v>42</x:v>
      </x:c>
      <x:c r="D396" s="10" t="str">
        <x:v>M1 / M3</x:v>
      </x:c>
      <x:c r="E396" s="16" t="n">
        <x:v>4</x:v>
      </x:c>
      <x:c r="F396" s="14" t="n">
        <x:v>50</x:v>
      </x:c>
      <x:c r="G396" s="26" t="n">
        <x:f>'成本明细'!U60+'成本明细'!G60*(E396-'参数'!$B$6)</x:f>
        <x:v>1846.2131281672223</x:v>
      </x:c>
      <x:c r="H396" s="26" t="n">
        <x:f>'成本明细'!U66</x:f>
        <x:v>2280.5780732538888</x:v>
      </x:c>
      <x:c r="I396" s="26" t="n">
        <x:f>'成本明细'!V66</x:f>
        <x:v>4781.5</x:v>
      </x:c>
      <x:c r="J396" s="22" t="n">
        <x:f>'参数'!$B$9</x:f>
        <x:v>300</x:v>
      </x:c>
      <x:c r="K396" s="26" t="n">
        <x:f>J396*(G396-H396)-I396*ROUNDUP(J396/F396,0)</x:f>
        <x:v>-158998.48352599994</x:v>
      </x:c>
      <x:c r="L396" s="10" t="str">
        <x:f>IF(G396-H396&lt;=0,"未回本",IF(ROUNDUP(I396/(G396-H396),0)&gt;MIN(F396,J396),"未回本",MAX(1,ROUNDUP(I396/(G396-H396),0))))</x:f>
        <x:v>未回本</x:v>
      </x:c>
    </x:row>
    <x:row r="397" ht="22" customHeight="1">
      <x:c r="A397" s="11" t="str">
        <x:v>lade_0824_10aoi</x:v>
      </x:c>
      <x:c r="B397" s="10" t="n">
        <x:v>10</x:v>
      </x:c>
      <x:c r="C397" s="10" t="n">
        <x:v>42</x:v>
      </x:c>
      <x:c r="D397" s="10" t="str">
        <x:v>M2 / M4</x:v>
      </x:c>
      <x:c r="E397" s="16" t="n">
        <x:v>4</x:v>
      </x:c>
      <x:c r="F397" s="14" t="n">
        <x:v>50</x:v>
      </x:c>
      <x:c r="G397" s="26" t="n">
        <x:f>'成本明细'!U63+'成本明细'!G63*(E397-'参数'!$B$6)</x:f>
        <x:v>1846.2131281672223</x:v>
      </x:c>
      <x:c r="H397" s="26" t="n">
        <x:f>'成本明细'!U69</x:f>
        <x:v>2119.9720763766663</x:v>
      </x:c>
      <x:c r="I397" s="26" t="n">
        <x:f>'成本明细'!V69</x:f>
        <x:v>4781.5</x:v>
      </x:c>
      <x:c r="J397" s="22" t="n">
        <x:f>'参数'!$B$9</x:f>
        <x:v>300</x:v>
      </x:c>
      <x:c r="K397" s="26" t="n">
        <x:f>J397*(G397-H397)-I397*ROUNDUP(J397/F397,0)</x:f>
        <x:v>-110816.68446283322</x:v>
      </x:c>
      <x:c r="L397" s="10" t="str">
        <x:f>IF(G397-H397&lt;=0,"未回本",IF(ROUNDUP(I397/(G397-H397),0)&gt;MIN(F397,J397),"未回本",MAX(1,ROUNDUP(I397/(G397-H397),0))))</x:f>
        <x:v>未回本</x:v>
      </x:c>
    </x:row>
    <x:row r="398" ht="22" customHeight="1">
      <x:c r="A398" s="11" t="str">
        <x:v>lade_0824_10aoi</x:v>
      </x:c>
      <x:c r="B398" s="10" t="n">
        <x:v>10</x:v>
      </x:c>
      <x:c r="C398" s="10" t="n">
        <x:v>42</x:v>
      </x:c>
      <x:c r="D398" s="10" t="str">
        <x:v>M1 / M3</x:v>
      </x:c>
      <x:c r="E398" s="16" t="n">
        <x:v>5</x:v>
      </x:c>
      <x:c r="F398" s="14" t="n">
        <x:v>10</x:v>
      </x:c>
      <x:c r="G398" s="26" t="n">
        <x:f>'成本明细'!U60+'成本明细'!G60*(E398-'参数'!$B$6)</x:f>
        <x:v>1977.2131281672223</x:v>
      </x:c>
      <x:c r="H398" s="26" t="n">
        <x:f>'成本明细'!U66</x:f>
        <x:v>2280.5780732538888</x:v>
      </x:c>
      <x:c r="I398" s="26" t="n">
        <x:f>'成本明细'!V66</x:f>
        <x:v>4781.5</x:v>
      </x:c>
      <x:c r="J398" s="22" t="n">
        <x:f>'参数'!$B$9</x:f>
        <x:v>300</x:v>
      </x:c>
      <x:c r="K398" s="26" t="n">
        <x:f>J398*(G398-H398)-I398*ROUNDUP(J398/F398,0)</x:f>
        <x:v>-234454.48352599994</x:v>
      </x:c>
      <x:c r="L398" s="10" t="str">
        <x:f>IF(G398-H398&lt;=0,"未回本",IF(ROUNDUP(I398/(G398-H398),0)&gt;MIN(F398,J398),"未回本",MAX(1,ROUNDUP(I398/(G398-H398),0))))</x:f>
        <x:v>未回本</x:v>
      </x:c>
    </x:row>
    <x:row r="399" ht="22" customHeight="1">
      <x:c r="A399" s="11" t="str">
        <x:v>lade_0824_10aoi</x:v>
      </x:c>
      <x:c r="B399" s="10" t="n">
        <x:v>10</x:v>
      </x:c>
      <x:c r="C399" s="10" t="n">
        <x:v>42</x:v>
      </x:c>
      <x:c r="D399" s="10" t="str">
        <x:v>M2 / M4</x:v>
      </x:c>
      <x:c r="E399" s="16" t="n">
        <x:v>5</x:v>
      </x:c>
      <x:c r="F399" s="14" t="n">
        <x:v>10</x:v>
      </x:c>
      <x:c r="G399" s="26" t="n">
        <x:f>'成本明细'!U63+'成本明细'!G63*(E399-'参数'!$B$6)</x:f>
        <x:v>1977.2131281672223</x:v>
      </x:c>
      <x:c r="H399" s="26" t="n">
        <x:f>'成本明细'!U69</x:f>
        <x:v>2119.9720763766663</x:v>
      </x:c>
      <x:c r="I399" s="26" t="n">
        <x:f>'成本明细'!V69</x:f>
        <x:v>4781.5</x:v>
      </x:c>
      <x:c r="J399" s="22" t="n">
        <x:f>'参数'!$B$9</x:f>
        <x:v>300</x:v>
      </x:c>
      <x:c r="K399" s="26" t="n">
        <x:f>J399*(G399-H399)-I399*ROUNDUP(J399/F399,0)</x:f>
        <x:v>-186272.68446283322</x:v>
      </x:c>
      <x:c r="L399" s="10" t="str">
        <x:f>IF(G399-H399&lt;=0,"未回本",IF(ROUNDUP(I399/(G399-H399),0)&gt;MIN(F399,J399),"未回本",MAX(1,ROUNDUP(I399/(G399-H399),0))))</x:f>
        <x:v>未回本</x:v>
      </x:c>
    </x:row>
    <x:row r="400" ht="22" customHeight="1">
      <x:c r="A400" s="11" t="str">
        <x:v>lade_0824_10aoi</x:v>
      </x:c>
      <x:c r="B400" s="10" t="n">
        <x:v>10</x:v>
      </x:c>
      <x:c r="C400" s="10" t="n">
        <x:v>42</x:v>
      </x:c>
      <x:c r="D400" s="10" t="str">
        <x:v>M1 / M3</x:v>
      </x:c>
      <x:c r="E400" s="16" t="n">
        <x:v>5</x:v>
      </x:c>
      <x:c r="F400" s="14" t="n">
        <x:v>20</x:v>
      </x:c>
      <x:c r="G400" s="26" t="n">
        <x:f>'成本明细'!U60+'成本明细'!G60*(E400-'参数'!$B$6)</x:f>
        <x:v>1977.2131281672223</x:v>
      </x:c>
      <x:c r="H400" s="26" t="n">
        <x:f>'成本明细'!U66</x:f>
        <x:v>2280.5780732538888</x:v>
      </x:c>
      <x:c r="I400" s="26" t="n">
        <x:f>'成本明细'!V66</x:f>
        <x:v>4781.5</x:v>
      </x:c>
      <x:c r="J400" s="22" t="n">
        <x:f>'参数'!$B$9</x:f>
        <x:v>300</x:v>
      </x:c>
      <x:c r="K400" s="26" t="n">
        <x:f>J400*(G400-H400)-I400*ROUNDUP(J400/F400,0)</x:f>
        <x:v>-162731.98352599994</x:v>
      </x:c>
      <x:c r="L400" s="10" t="str">
        <x:f>IF(G400-H400&lt;=0,"未回本",IF(ROUNDUP(I400/(G400-H400),0)&gt;MIN(F400,J400),"未回本",MAX(1,ROUNDUP(I400/(G400-H400),0))))</x:f>
        <x:v>未回本</x:v>
      </x:c>
    </x:row>
    <x:row r="401" ht="22" customHeight="1">
      <x:c r="A401" s="11" t="str">
        <x:v>lade_0824_10aoi</x:v>
      </x:c>
      <x:c r="B401" s="10" t="n">
        <x:v>10</x:v>
      </x:c>
      <x:c r="C401" s="10" t="n">
        <x:v>42</x:v>
      </x:c>
      <x:c r="D401" s="10" t="str">
        <x:v>M2 / M4</x:v>
      </x:c>
      <x:c r="E401" s="16" t="n">
        <x:v>5</x:v>
      </x:c>
      <x:c r="F401" s="14" t="n">
        <x:v>20</x:v>
      </x:c>
      <x:c r="G401" s="26" t="n">
        <x:f>'成本明细'!U63+'成本明细'!G63*(E401-'参数'!$B$6)</x:f>
        <x:v>1977.2131281672223</x:v>
      </x:c>
      <x:c r="H401" s="26" t="n">
        <x:f>'成本明细'!U69</x:f>
        <x:v>2119.9720763766663</x:v>
      </x:c>
      <x:c r="I401" s="26" t="n">
        <x:f>'成本明细'!V69</x:f>
        <x:v>4781.5</x:v>
      </x:c>
      <x:c r="J401" s="22" t="n">
        <x:f>'参数'!$B$9</x:f>
        <x:v>300</x:v>
      </x:c>
      <x:c r="K401" s="26" t="n">
        <x:f>J401*(G401-H401)-I401*ROUNDUP(J401/F401,0)</x:f>
        <x:v>-114550.18446283322</x:v>
      </x:c>
      <x:c r="L401" s="10" t="str">
        <x:f>IF(G401-H401&lt;=0,"未回本",IF(ROUNDUP(I401/(G401-H401),0)&gt;MIN(F401,J401),"未回本",MAX(1,ROUNDUP(I401/(G401-H401),0))))</x:f>
        <x:v>未回本</x:v>
      </x:c>
    </x:row>
    <x:row r="402" ht="22" customHeight="1">
      <x:c r="A402" s="11" t="str">
        <x:v>lade_0824_10aoi</x:v>
      </x:c>
      <x:c r="B402" s="10" t="n">
        <x:v>10</x:v>
      </x:c>
      <x:c r="C402" s="10" t="n">
        <x:v>42</x:v>
      </x:c>
      <x:c r="D402" s="10" t="str">
        <x:v>M1 / M3</x:v>
      </x:c>
      <x:c r="E402" s="16" t="n">
        <x:v>5</x:v>
      </x:c>
      <x:c r="F402" s="14" t="n">
        <x:v>30</x:v>
      </x:c>
      <x:c r="G402" s="26" t="n">
        <x:f>'成本明细'!U60+'成本明细'!G60*(E402-'参数'!$B$6)</x:f>
        <x:v>1977.2131281672223</x:v>
      </x:c>
      <x:c r="H402" s="26" t="n">
        <x:f>'成本明细'!U66</x:f>
        <x:v>2280.5780732538888</x:v>
      </x:c>
      <x:c r="I402" s="26" t="n">
        <x:f>'成本明细'!V66</x:f>
        <x:v>4781.5</x:v>
      </x:c>
      <x:c r="J402" s="22" t="n">
        <x:f>'参数'!$B$9</x:f>
        <x:v>300</x:v>
      </x:c>
      <x:c r="K402" s="26" t="n">
        <x:f>J402*(G402-H402)-I402*ROUNDUP(J402/F402,0)</x:f>
        <x:v>-138824.48352599994</x:v>
      </x:c>
      <x:c r="L402" s="10" t="str">
        <x:f>IF(G402-H402&lt;=0,"未回本",IF(ROUNDUP(I402/(G402-H402),0)&gt;MIN(F402,J402),"未回本",MAX(1,ROUNDUP(I402/(G402-H402),0))))</x:f>
        <x:v>未回本</x:v>
      </x:c>
    </x:row>
    <x:row r="403" ht="22" customHeight="1">
      <x:c r="A403" s="11" t="str">
        <x:v>lade_0824_10aoi</x:v>
      </x:c>
      <x:c r="B403" s="10" t="n">
        <x:v>10</x:v>
      </x:c>
      <x:c r="C403" s="10" t="n">
        <x:v>42</x:v>
      </x:c>
      <x:c r="D403" s="10" t="str">
        <x:v>M2 / M4</x:v>
      </x:c>
      <x:c r="E403" s="16" t="n">
        <x:v>5</x:v>
      </x:c>
      <x:c r="F403" s="14" t="n">
        <x:v>30</x:v>
      </x:c>
      <x:c r="G403" s="26" t="n">
        <x:f>'成本明细'!U63+'成本明细'!G63*(E403-'参数'!$B$6)</x:f>
        <x:v>1977.2131281672223</x:v>
      </x:c>
      <x:c r="H403" s="26" t="n">
        <x:f>'成本明细'!U69</x:f>
        <x:v>2119.9720763766663</x:v>
      </x:c>
      <x:c r="I403" s="26" t="n">
        <x:f>'成本明细'!V69</x:f>
        <x:v>4781.5</x:v>
      </x:c>
      <x:c r="J403" s="22" t="n">
        <x:f>'参数'!$B$9</x:f>
        <x:v>300</x:v>
      </x:c>
      <x:c r="K403" s="26" t="n">
        <x:f>J403*(G403-H403)-I403*ROUNDUP(J403/F403,0)</x:f>
        <x:v>-90642.68446283322</x:v>
      </x:c>
      <x:c r="L403" s="10" t="str">
        <x:f>IF(G403-H403&lt;=0,"未回本",IF(ROUNDUP(I403/(G403-H403),0)&gt;MIN(F403,J403),"未回本",MAX(1,ROUNDUP(I403/(G403-H403),0))))</x:f>
        <x:v>未回本</x:v>
      </x:c>
    </x:row>
    <x:row r="404" ht="22" customHeight="1">
      <x:c r="A404" s="11" t="str">
        <x:v>lade_0824_10aoi</x:v>
      </x:c>
      <x:c r="B404" s="10" t="n">
        <x:v>10</x:v>
      </x:c>
      <x:c r="C404" s="10" t="n">
        <x:v>42</x:v>
      </x:c>
      <x:c r="D404" s="10" t="str">
        <x:v>M1 / M3</x:v>
      </x:c>
      <x:c r="E404" s="16" t="n">
        <x:v>5</x:v>
      </x:c>
      <x:c r="F404" s="14" t="n">
        <x:v>50</x:v>
      </x:c>
      <x:c r="G404" s="26" t="n">
        <x:f>'成本明细'!U60+'成本明细'!G60*(E404-'参数'!$B$6)</x:f>
        <x:v>1977.2131281672223</x:v>
      </x:c>
      <x:c r="H404" s="26" t="n">
        <x:f>'成本明细'!U66</x:f>
        <x:v>2280.5780732538888</x:v>
      </x:c>
      <x:c r="I404" s="26" t="n">
        <x:f>'成本明细'!V66</x:f>
        <x:v>4781.5</x:v>
      </x:c>
      <x:c r="J404" s="22" t="n">
        <x:f>'参数'!$B$9</x:f>
        <x:v>300</x:v>
      </x:c>
      <x:c r="K404" s="26" t="n">
        <x:f>J404*(G404-H404)-I404*ROUNDUP(J404/F404,0)</x:f>
        <x:v>-119698.48352599994</x:v>
      </x:c>
      <x:c r="L404" s="10" t="str">
        <x:f>IF(G404-H404&lt;=0,"未回本",IF(ROUNDUP(I404/(G404-H404),0)&gt;MIN(F404,J404),"未回本",MAX(1,ROUNDUP(I404/(G404-H404),0))))</x:f>
        <x:v>未回本</x:v>
      </x:c>
    </x:row>
    <x:row r="405" ht="22" customHeight="1">
      <x:c r="A405" s="11" t="str">
        <x:v>lade_0824_10aoi</x:v>
      </x:c>
      <x:c r="B405" s="10" t="n">
        <x:v>10</x:v>
      </x:c>
      <x:c r="C405" s="10" t="n">
        <x:v>42</x:v>
      </x:c>
      <x:c r="D405" s="10" t="str">
        <x:v>M2 / M4</x:v>
      </x:c>
      <x:c r="E405" s="16" t="n">
        <x:v>5</x:v>
      </x:c>
      <x:c r="F405" s="14" t="n">
        <x:v>50</x:v>
      </x:c>
      <x:c r="G405" s="26" t="n">
        <x:f>'成本明细'!U63+'成本明细'!G63*(E405-'参数'!$B$6)</x:f>
        <x:v>1977.2131281672223</x:v>
      </x:c>
      <x:c r="H405" s="26" t="n">
        <x:f>'成本明细'!U69</x:f>
        <x:v>2119.9720763766663</x:v>
      </x:c>
      <x:c r="I405" s="26" t="n">
        <x:f>'成本明细'!V69</x:f>
        <x:v>4781.5</x:v>
      </x:c>
      <x:c r="J405" s="22" t="n">
        <x:f>'参数'!$B$9</x:f>
        <x:v>300</x:v>
      </x:c>
      <x:c r="K405" s="26" t="n">
        <x:f>J405*(G405-H405)-I405*ROUNDUP(J405/F405,0)</x:f>
        <x:v>-71516.68446283322</x:v>
      </x:c>
      <x:c r="L405" s="10" t="str">
        <x:f>IF(G405-H405&lt;=0,"未回本",IF(ROUNDUP(I405/(G405-H405),0)&gt;MIN(F405,J405),"未回本",MAX(1,ROUNDUP(I405/(G405-H405),0))))</x:f>
        <x:v>未回本</x:v>
      </x:c>
    </x:row>
    <x:row r="406" ht="22" customHeight="1">
      <x:c r="A406" s="11" t="str">
        <x:v>lade_0824_10aoi</x:v>
      </x:c>
      <x:c r="B406" s="10" t="n">
        <x:v>10</x:v>
      </x:c>
      <x:c r="C406" s="10" t="n">
        <x:v>43</x:v>
      </x:c>
      <x:c r="D406" s="10" t="str">
        <x:v>M1 / M3</x:v>
      </x:c>
      <x:c r="E406" s="16" t="n">
        <x:v>1</x:v>
      </x:c>
      <x:c r="F406" s="14" t="n">
        <x:v>10</x:v>
      </x:c>
      <x:c r="G406" s="26" t="n">
        <x:f>'成本明细'!U61+'成本明细'!G61*(E406-'参数'!$B$6)</x:f>
        <x:v>1453.2131281672223</x:v>
      </x:c>
      <x:c r="H406" s="26" t="n">
        <x:f>'成本明细'!U67</x:f>
        <x:v>2280.5780732538888</x:v>
      </x:c>
      <x:c r="I406" s="26" t="n">
        <x:f>'成本明细'!V67</x:f>
        <x:v>4781.5</x:v>
      </x:c>
      <x:c r="J406" s="22" t="n">
        <x:f>'参数'!$B$9</x:f>
        <x:v>300</x:v>
      </x:c>
      <x:c r="K406" s="26" t="n">
        <x:f>J406*(G406-H406)-I406*ROUNDUP(J406/F406,0)</x:f>
        <x:v>-391654.48352599994</x:v>
      </x:c>
      <x:c r="L406" s="10" t="str">
        <x:f>IF(G406-H406&lt;=0,"未回本",IF(ROUNDUP(I406/(G406-H406),0)&gt;MIN(F406,J406),"未回本",MAX(1,ROUNDUP(I406/(G406-H406),0))))</x:f>
        <x:v>未回本</x:v>
      </x:c>
    </x:row>
    <x:row r="407" ht="22" customHeight="1">
      <x:c r="A407" s="11" t="str">
        <x:v>lade_0824_10aoi</x:v>
      </x:c>
      <x:c r="B407" s="10" t="n">
        <x:v>10</x:v>
      </x:c>
      <x:c r="C407" s="10" t="n">
        <x:v>43</x:v>
      </x:c>
      <x:c r="D407" s="10" t="str">
        <x:v>M2 / M4</x:v>
      </x:c>
      <x:c r="E407" s="16" t="n">
        <x:v>1</x:v>
      </x:c>
      <x:c r="F407" s="14" t="n">
        <x:v>10</x:v>
      </x:c>
      <x:c r="G407" s="26" t="n">
        <x:f>'成本明细'!U64+'成本明细'!G64*(E407-'参数'!$B$6)</x:f>
        <x:v>1453.2131281672223</x:v>
      </x:c>
      <x:c r="H407" s="26" t="n">
        <x:f>'成本明细'!U70</x:f>
        <x:v>2281.1852640566667</x:v>
      </x:c>
      <x:c r="I407" s="26" t="n">
        <x:f>'成本明细'!V70</x:f>
        <x:v>4781.5</x:v>
      </x:c>
      <x:c r="J407" s="22" t="n">
        <x:f>'参数'!$B$9</x:f>
        <x:v>300</x:v>
      </x:c>
      <x:c r="K407" s="26" t="n">
        <x:f>J407*(G407-H407)-I407*ROUNDUP(J407/F407,0)</x:f>
        <x:v>-391836.6407668333</x:v>
      </x:c>
      <x:c r="L407" s="10" t="str">
        <x:f>IF(G407-H407&lt;=0,"未回本",IF(ROUNDUP(I407/(G407-H407),0)&gt;MIN(F407,J407),"未回本",MAX(1,ROUNDUP(I407/(G407-H407),0))))</x:f>
        <x:v>未回本</x:v>
      </x:c>
    </x:row>
    <x:row r="408" ht="22" customHeight="1">
      <x:c r="A408" s="11" t="str">
        <x:v>lade_0824_10aoi</x:v>
      </x:c>
      <x:c r="B408" s="10" t="n">
        <x:v>10</x:v>
      </x:c>
      <x:c r="C408" s="10" t="n">
        <x:v>43</x:v>
      </x:c>
      <x:c r="D408" s="10" t="str">
        <x:v>M1 / M3</x:v>
      </x:c>
      <x:c r="E408" s="16" t="n">
        <x:v>1</x:v>
      </x:c>
      <x:c r="F408" s="14" t="n">
        <x:v>20</x:v>
      </x:c>
      <x:c r="G408" s="26" t="n">
        <x:f>'成本明细'!U61+'成本明细'!G61*(E408-'参数'!$B$6)</x:f>
        <x:v>1453.2131281672223</x:v>
      </x:c>
      <x:c r="H408" s="26" t="n">
        <x:f>'成本明细'!U67</x:f>
        <x:v>2280.5780732538888</x:v>
      </x:c>
      <x:c r="I408" s="26" t="n">
        <x:f>'成本明细'!V67</x:f>
        <x:v>4781.5</x:v>
      </x:c>
      <x:c r="J408" s="22" t="n">
        <x:f>'参数'!$B$9</x:f>
        <x:v>300</x:v>
      </x:c>
      <x:c r="K408" s="26" t="n">
        <x:f>J408*(G408-H408)-I408*ROUNDUP(J408/F408,0)</x:f>
        <x:v>-319931.98352599994</x:v>
      </x:c>
      <x:c r="L408" s="10" t="str">
        <x:f>IF(G408-H408&lt;=0,"未回本",IF(ROUNDUP(I408/(G408-H408),0)&gt;MIN(F408,J408),"未回本",MAX(1,ROUNDUP(I408/(G408-H408),0))))</x:f>
        <x:v>未回本</x:v>
      </x:c>
    </x:row>
    <x:row r="409" ht="22" customHeight="1">
      <x:c r="A409" s="11" t="str">
        <x:v>lade_0824_10aoi</x:v>
      </x:c>
      <x:c r="B409" s="10" t="n">
        <x:v>10</x:v>
      </x:c>
      <x:c r="C409" s="10" t="n">
        <x:v>43</x:v>
      </x:c>
      <x:c r="D409" s="10" t="str">
        <x:v>M2 / M4</x:v>
      </x:c>
      <x:c r="E409" s="16" t="n">
        <x:v>1</x:v>
      </x:c>
      <x:c r="F409" s="14" t="n">
        <x:v>20</x:v>
      </x:c>
      <x:c r="G409" s="26" t="n">
        <x:f>'成本明细'!U64+'成本明细'!G64*(E409-'参数'!$B$6)</x:f>
        <x:v>1453.2131281672223</x:v>
      </x:c>
      <x:c r="H409" s="26" t="n">
        <x:f>'成本明细'!U70</x:f>
        <x:v>2281.1852640566667</x:v>
      </x:c>
      <x:c r="I409" s="26" t="n">
        <x:f>'成本明细'!V70</x:f>
        <x:v>4781.5</x:v>
      </x:c>
      <x:c r="J409" s="22" t="n">
        <x:f>'参数'!$B$9</x:f>
        <x:v>300</x:v>
      </x:c>
      <x:c r="K409" s="26" t="n">
        <x:f>J409*(G409-H409)-I409*ROUNDUP(J409/F409,0)</x:f>
        <x:v>-320114.1407668333</x:v>
      </x:c>
      <x:c r="L409" s="10" t="str">
        <x:f>IF(G409-H409&lt;=0,"未回本",IF(ROUNDUP(I409/(G409-H409),0)&gt;MIN(F409,J409),"未回本",MAX(1,ROUNDUP(I409/(G409-H409),0))))</x:f>
        <x:v>未回本</x:v>
      </x:c>
    </x:row>
    <x:row r="410" ht="22" customHeight="1">
      <x:c r="A410" s="11" t="str">
        <x:v>lade_0824_10aoi</x:v>
      </x:c>
      <x:c r="B410" s="10" t="n">
        <x:v>10</x:v>
      </x:c>
      <x:c r="C410" s="10" t="n">
        <x:v>43</x:v>
      </x:c>
      <x:c r="D410" s="10" t="str">
        <x:v>M1 / M3</x:v>
      </x:c>
      <x:c r="E410" s="16" t="n">
        <x:v>1</x:v>
      </x:c>
      <x:c r="F410" s="14" t="n">
        <x:v>30</x:v>
      </x:c>
      <x:c r="G410" s="26" t="n">
        <x:f>'成本明细'!U61+'成本明细'!G61*(E410-'参数'!$B$6)</x:f>
        <x:v>1453.2131281672223</x:v>
      </x:c>
      <x:c r="H410" s="26" t="n">
        <x:f>'成本明细'!U67</x:f>
        <x:v>2280.5780732538888</x:v>
      </x:c>
      <x:c r="I410" s="26" t="n">
        <x:f>'成本明细'!V67</x:f>
        <x:v>4781.5</x:v>
      </x:c>
      <x:c r="J410" s="22" t="n">
        <x:f>'参数'!$B$9</x:f>
        <x:v>300</x:v>
      </x:c>
      <x:c r="K410" s="26" t="n">
        <x:f>J410*(G410-H410)-I410*ROUNDUP(J410/F410,0)</x:f>
        <x:v>-296024.48352599994</x:v>
      </x:c>
      <x:c r="L410" s="10" t="str">
        <x:f>IF(G410-H410&lt;=0,"未回本",IF(ROUNDUP(I410/(G410-H410),0)&gt;MIN(F410,J410),"未回本",MAX(1,ROUNDUP(I410/(G410-H410),0))))</x:f>
        <x:v>未回本</x:v>
      </x:c>
    </x:row>
    <x:row r="411" ht="22" customHeight="1">
      <x:c r="A411" s="11" t="str">
        <x:v>lade_0824_10aoi</x:v>
      </x:c>
      <x:c r="B411" s="10" t="n">
        <x:v>10</x:v>
      </x:c>
      <x:c r="C411" s="10" t="n">
        <x:v>43</x:v>
      </x:c>
      <x:c r="D411" s="10" t="str">
        <x:v>M2 / M4</x:v>
      </x:c>
      <x:c r="E411" s="16" t="n">
        <x:v>1</x:v>
      </x:c>
      <x:c r="F411" s="14" t="n">
        <x:v>30</x:v>
      </x:c>
      <x:c r="G411" s="26" t="n">
        <x:f>'成本明细'!U64+'成本明细'!G64*(E411-'参数'!$B$6)</x:f>
        <x:v>1453.2131281672223</x:v>
      </x:c>
      <x:c r="H411" s="26" t="n">
        <x:f>'成本明细'!U70</x:f>
        <x:v>2281.1852640566667</x:v>
      </x:c>
      <x:c r="I411" s="26" t="n">
        <x:f>'成本明细'!V70</x:f>
        <x:v>4781.5</x:v>
      </x:c>
      <x:c r="J411" s="22" t="n">
        <x:f>'参数'!$B$9</x:f>
        <x:v>300</x:v>
      </x:c>
      <x:c r="K411" s="26" t="n">
        <x:f>J411*(G411-H411)-I411*ROUNDUP(J411/F411,0)</x:f>
        <x:v>-296206.6407668333</x:v>
      </x:c>
      <x:c r="L411" s="10" t="str">
        <x:f>IF(G411-H411&lt;=0,"未回本",IF(ROUNDUP(I411/(G411-H411),0)&gt;MIN(F411,J411),"未回本",MAX(1,ROUNDUP(I411/(G411-H411),0))))</x:f>
        <x:v>未回本</x:v>
      </x:c>
    </x:row>
    <x:row r="412" ht="22" customHeight="1">
      <x:c r="A412" s="11" t="str">
        <x:v>lade_0824_10aoi</x:v>
      </x:c>
      <x:c r="B412" s="10" t="n">
        <x:v>10</x:v>
      </x:c>
      <x:c r="C412" s="10" t="n">
        <x:v>43</x:v>
      </x:c>
      <x:c r="D412" s="10" t="str">
        <x:v>M1 / M3</x:v>
      </x:c>
      <x:c r="E412" s="16" t="n">
        <x:v>1</x:v>
      </x:c>
      <x:c r="F412" s="14" t="n">
        <x:v>50</x:v>
      </x:c>
      <x:c r="G412" s="26" t="n">
        <x:f>'成本明细'!U61+'成本明细'!G61*(E412-'参数'!$B$6)</x:f>
        <x:v>1453.2131281672223</x:v>
      </x:c>
      <x:c r="H412" s="26" t="n">
        <x:f>'成本明细'!U67</x:f>
        <x:v>2280.5780732538888</x:v>
      </x:c>
      <x:c r="I412" s="26" t="n">
        <x:f>'成本明细'!V67</x:f>
        <x:v>4781.5</x:v>
      </x:c>
      <x:c r="J412" s="22" t="n">
        <x:f>'参数'!$B$9</x:f>
        <x:v>300</x:v>
      </x:c>
      <x:c r="K412" s="26" t="n">
        <x:f>J412*(G412-H412)-I412*ROUNDUP(J412/F412,0)</x:f>
        <x:v>-276898.48352599994</x:v>
      </x:c>
      <x:c r="L412" s="10" t="str">
        <x:f>IF(G412-H412&lt;=0,"未回本",IF(ROUNDUP(I412/(G412-H412),0)&gt;MIN(F412,J412),"未回本",MAX(1,ROUNDUP(I412/(G412-H412),0))))</x:f>
        <x:v>未回本</x:v>
      </x:c>
    </x:row>
    <x:row r="413" ht="22" customHeight="1">
      <x:c r="A413" s="11" t="str">
        <x:v>lade_0824_10aoi</x:v>
      </x:c>
      <x:c r="B413" s="10" t="n">
        <x:v>10</x:v>
      </x:c>
      <x:c r="C413" s="10" t="n">
        <x:v>43</x:v>
      </x:c>
      <x:c r="D413" s="10" t="str">
        <x:v>M2 / M4</x:v>
      </x:c>
      <x:c r="E413" s="16" t="n">
        <x:v>1</x:v>
      </x:c>
      <x:c r="F413" s="14" t="n">
        <x:v>50</x:v>
      </x:c>
      <x:c r="G413" s="26" t="n">
        <x:f>'成本明细'!U64+'成本明细'!G64*(E413-'参数'!$B$6)</x:f>
        <x:v>1453.2131281672223</x:v>
      </x:c>
      <x:c r="H413" s="26" t="n">
        <x:f>'成本明细'!U70</x:f>
        <x:v>2281.1852640566667</x:v>
      </x:c>
      <x:c r="I413" s="26" t="n">
        <x:f>'成本明细'!V70</x:f>
        <x:v>4781.5</x:v>
      </x:c>
      <x:c r="J413" s="22" t="n">
        <x:f>'参数'!$B$9</x:f>
        <x:v>300</x:v>
      </x:c>
      <x:c r="K413" s="26" t="n">
        <x:f>J413*(G413-H413)-I413*ROUNDUP(J413/F413,0)</x:f>
        <x:v>-277080.6407668333</x:v>
      </x:c>
      <x:c r="L413" s="10" t="str">
        <x:f>IF(G413-H413&lt;=0,"未回本",IF(ROUNDUP(I413/(G413-H413),0)&gt;MIN(F413,J413),"未回本",MAX(1,ROUNDUP(I413/(G413-H413),0))))</x:f>
        <x:v>未回本</x:v>
      </x:c>
    </x:row>
    <x:row r="414" ht="22" customHeight="1">
      <x:c r="A414" s="11" t="str">
        <x:v>lade_0824_10aoi</x:v>
      </x:c>
      <x:c r="B414" s="10" t="n">
        <x:v>10</x:v>
      </x:c>
      <x:c r="C414" s="10" t="n">
        <x:v>43</x:v>
      </x:c>
      <x:c r="D414" s="10" t="str">
        <x:v>M1 / M3</x:v>
      </x:c>
      <x:c r="E414" s="16" t="n">
        <x:v>2</x:v>
      </x:c>
      <x:c r="F414" s="14" t="n">
        <x:v>10</x:v>
      </x:c>
      <x:c r="G414" s="26" t="n">
        <x:f>'成本明细'!U61+'成本明细'!G61*(E414-'参数'!$B$6)</x:f>
        <x:v>1584.2131281672223</x:v>
      </x:c>
      <x:c r="H414" s="26" t="n">
        <x:f>'成本明细'!U67</x:f>
        <x:v>2280.5780732538888</x:v>
      </x:c>
      <x:c r="I414" s="26" t="n">
        <x:f>'成本明细'!V67</x:f>
        <x:v>4781.5</x:v>
      </x:c>
      <x:c r="J414" s="22" t="n">
        <x:f>'参数'!$B$9</x:f>
        <x:v>300</x:v>
      </x:c>
      <x:c r="K414" s="26" t="n">
        <x:f>J414*(G414-H414)-I414*ROUNDUP(J414/F414,0)</x:f>
        <x:v>-352354.48352599994</x:v>
      </x:c>
      <x:c r="L414" s="10" t="str">
        <x:f>IF(G414-H414&lt;=0,"未回本",IF(ROUNDUP(I414/(G414-H414),0)&gt;MIN(F414,J414),"未回本",MAX(1,ROUNDUP(I414/(G414-H414),0))))</x:f>
        <x:v>未回本</x:v>
      </x:c>
    </x:row>
    <x:row r="415" ht="22" customHeight="1">
      <x:c r="A415" s="11" t="str">
        <x:v>lade_0824_10aoi</x:v>
      </x:c>
      <x:c r="B415" s="10" t="n">
        <x:v>10</x:v>
      </x:c>
      <x:c r="C415" s="10" t="n">
        <x:v>43</x:v>
      </x:c>
      <x:c r="D415" s="10" t="str">
        <x:v>M2 / M4</x:v>
      </x:c>
      <x:c r="E415" s="16" t="n">
        <x:v>2</x:v>
      </x:c>
      <x:c r="F415" s="14" t="n">
        <x:v>10</x:v>
      </x:c>
      <x:c r="G415" s="26" t="n">
        <x:f>'成本明细'!U64+'成本明细'!G64*(E415-'参数'!$B$6)</x:f>
        <x:v>1584.2131281672223</x:v>
      </x:c>
      <x:c r="H415" s="26" t="n">
        <x:f>'成本明细'!U70</x:f>
        <x:v>2281.1852640566667</x:v>
      </x:c>
      <x:c r="I415" s="26" t="n">
        <x:f>'成本明细'!V70</x:f>
        <x:v>4781.5</x:v>
      </x:c>
      <x:c r="J415" s="22" t="n">
        <x:f>'参数'!$B$9</x:f>
        <x:v>300</x:v>
      </x:c>
      <x:c r="K415" s="26" t="n">
        <x:f>J415*(G415-H415)-I415*ROUNDUP(J415/F415,0)</x:f>
        <x:v>-352536.6407668333</x:v>
      </x:c>
      <x:c r="L415" s="10" t="str">
        <x:f>IF(G415-H415&lt;=0,"未回本",IF(ROUNDUP(I415/(G415-H415),0)&gt;MIN(F415,J415),"未回本",MAX(1,ROUNDUP(I415/(G415-H415),0))))</x:f>
        <x:v>未回本</x:v>
      </x:c>
    </x:row>
    <x:row r="416" ht="22" customHeight="1">
      <x:c r="A416" s="11" t="str">
        <x:v>lade_0824_10aoi</x:v>
      </x:c>
      <x:c r="B416" s="10" t="n">
        <x:v>10</x:v>
      </x:c>
      <x:c r="C416" s="10" t="n">
        <x:v>43</x:v>
      </x:c>
      <x:c r="D416" s="10" t="str">
        <x:v>M1 / M3</x:v>
      </x:c>
      <x:c r="E416" s="16" t="n">
        <x:v>2</x:v>
      </x:c>
      <x:c r="F416" s="14" t="n">
        <x:v>20</x:v>
      </x:c>
      <x:c r="G416" s="26" t="n">
        <x:f>'成本明细'!U61+'成本明细'!G61*(E416-'参数'!$B$6)</x:f>
        <x:v>1584.2131281672223</x:v>
      </x:c>
      <x:c r="H416" s="26" t="n">
        <x:f>'成本明细'!U67</x:f>
        <x:v>2280.5780732538888</x:v>
      </x:c>
      <x:c r="I416" s="26" t="n">
        <x:f>'成本明细'!V67</x:f>
        <x:v>4781.5</x:v>
      </x:c>
      <x:c r="J416" s="22" t="n">
        <x:f>'参数'!$B$9</x:f>
        <x:v>300</x:v>
      </x:c>
      <x:c r="K416" s="26" t="n">
        <x:f>J416*(G416-H416)-I416*ROUNDUP(J416/F416,0)</x:f>
        <x:v>-280631.98352599994</x:v>
      </x:c>
      <x:c r="L416" s="10" t="str">
        <x:f>IF(G416-H416&lt;=0,"未回本",IF(ROUNDUP(I416/(G416-H416),0)&gt;MIN(F416,J416),"未回本",MAX(1,ROUNDUP(I416/(G416-H416),0))))</x:f>
        <x:v>未回本</x:v>
      </x:c>
    </x:row>
    <x:row r="417" ht="22" customHeight="1">
      <x:c r="A417" s="11" t="str">
        <x:v>lade_0824_10aoi</x:v>
      </x:c>
      <x:c r="B417" s="10" t="n">
        <x:v>10</x:v>
      </x:c>
      <x:c r="C417" s="10" t="n">
        <x:v>43</x:v>
      </x:c>
      <x:c r="D417" s="10" t="str">
        <x:v>M2 / M4</x:v>
      </x:c>
      <x:c r="E417" s="16" t="n">
        <x:v>2</x:v>
      </x:c>
      <x:c r="F417" s="14" t="n">
        <x:v>20</x:v>
      </x:c>
      <x:c r="G417" s="26" t="n">
        <x:f>'成本明细'!U64+'成本明细'!G64*(E417-'参数'!$B$6)</x:f>
        <x:v>1584.2131281672223</x:v>
      </x:c>
      <x:c r="H417" s="26" t="n">
        <x:f>'成本明细'!U70</x:f>
        <x:v>2281.1852640566667</x:v>
      </x:c>
      <x:c r="I417" s="26" t="n">
        <x:f>'成本明细'!V70</x:f>
        <x:v>4781.5</x:v>
      </x:c>
      <x:c r="J417" s="22" t="n">
        <x:f>'参数'!$B$9</x:f>
        <x:v>300</x:v>
      </x:c>
      <x:c r="K417" s="26" t="n">
        <x:f>J417*(G417-H417)-I417*ROUNDUP(J417/F417,0)</x:f>
        <x:v>-280814.1407668333</x:v>
      </x:c>
      <x:c r="L417" s="10" t="str">
        <x:f>IF(G417-H417&lt;=0,"未回本",IF(ROUNDUP(I417/(G417-H417),0)&gt;MIN(F417,J417),"未回本",MAX(1,ROUNDUP(I417/(G417-H417),0))))</x:f>
        <x:v>未回本</x:v>
      </x:c>
    </x:row>
    <x:row r="418" ht="22" customHeight="1">
      <x:c r="A418" s="11" t="str">
        <x:v>lade_0824_10aoi</x:v>
      </x:c>
      <x:c r="B418" s="10" t="n">
        <x:v>10</x:v>
      </x:c>
      <x:c r="C418" s="10" t="n">
        <x:v>43</x:v>
      </x:c>
      <x:c r="D418" s="10" t="str">
        <x:v>M1 / M3</x:v>
      </x:c>
      <x:c r="E418" s="16" t="n">
        <x:v>2</x:v>
      </x:c>
      <x:c r="F418" s="14" t="n">
        <x:v>30</x:v>
      </x:c>
      <x:c r="G418" s="26" t="n">
        <x:f>'成本明细'!U61+'成本明细'!G61*(E418-'参数'!$B$6)</x:f>
        <x:v>1584.2131281672223</x:v>
      </x:c>
      <x:c r="H418" s="26" t="n">
        <x:f>'成本明细'!U67</x:f>
        <x:v>2280.5780732538888</x:v>
      </x:c>
      <x:c r="I418" s="26" t="n">
        <x:f>'成本明细'!V67</x:f>
        <x:v>4781.5</x:v>
      </x:c>
      <x:c r="J418" s="22" t="n">
        <x:f>'参数'!$B$9</x:f>
        <x:v>300</x:v>
      </x:c>
      <x:c r="K418" s="26" t="n">
        <x:f>J418*(G418-H418)-I418*ROUNDUP(J418/F418,0)</x:f>
        <x:v>-256724.48352599994</x:v>
      </x:c>
      <x:c r="L418" s="10" t="str">
        <x:f>IF(G418-H418&lt;=0,"未回本",IF(ROUNDUP(I418/(G418-H418),0)&gt;MIN(F418,J418),"未回本",MAX(1,ROUNDUP(I418/(G418-H418),0))))</x:f>
        <x:v>未回本</x:v>
      </x:c>
    </x:row>
    <x:row r="419" ht="22" customHeight="1">
      <x:c r="A419" s="11" t="str">
        <x:v>lade_0824_10aoi</x:v>
      </x:c>
      <x:c r="B419" s="10" t="n">
        <x:v>10</x:v>
      </x:c>
      <x:c r="C419" s="10" t="n">
        <x:v>43</x:v>
      </x:c>
      <x:c r="D419" s="10" t="str">
        <x:v>M2 / M4</x:v>
      </x:c>
      <x:c r="E419" s="16" t="n">
        <x:v>2</x:v>
      </x:c>
      <x:c r="F419" s="14" t="n">
        <x:v>30</x:v>
      </x:c>
      <x:c r="G419" s="26" t="n">
        <x:f>'成本明细'!U64+'成本明细'!G64*(E419-'参数'!$B$6)</x:f>
        <x:v>1584.2131281672223</x:v>
      </x:c>
      <x:c r="H419" s="26" t="n">
        <x:f>'成本明细'!U70</x:f>
        <x:v>2281.1852640566667</x:v>
      </x:c>
      <x:c r="I419" s="26" t="n">
        <x:f>'成本明细'!V70</x:f>
        <x:v>4781.5</x:v>
      </x:c>
      <x:c r="J419" s="22" t="n">
        <x:f>'参数'!$B$9</x:f>
        <x:v>300</x:v>
      </x:c>
      <x:c r="K419" s="26" t="n">
        <x:f>J419*(G419-H419)-I419*ROUNDUP(J419/F419,0)</x:f>
        <x:v>-256906.64076683333</x:v>
      </x:c>
      <x:c r="L419" s="10" t="str">
        <x:f>IF(G419-H419&lt;=0,"未回本",IF(ROUNDUP(I419/(G419-H419),0)&gt;MIN(F419,J419),"未回本",MAX(1,ROUNDUP(I419/(G419-H419),0))))</x:f>
        <x:v>未回本</x:v>
      </x:c>
    </x:row>
    <x:row r="420" ht="22" customHeight="1">
      <x:c r="A420" s="11" t="str">
        <x:v>lade_0824_10aoi</x:v>
      </x:c>
      <x:c r="B420" s="10" t="n">
        <x:v>10</x:v>
      </x:c>
      <x:c r="C420" s="10" t="n">
        <x:v>43</x:v>
      </x:c>
      <x:c r="D420" s="10" t="str">
        <x:v>M1 / M3</x:v>
      </x:c>
      <x:c r="E420" s="16" t="n">
        <x:v>2</x:v>
      </x:c>
      <x:c r="F420" s="14" t="n">
        <x:v>50</x:v>
      </x:c>
      <x:c r="G420" s="26" t="n">
        <x:f>'成本明细'!U61+'成本明细'!G61*(E420-'参数'!$B$6)</x:f>
        <x:v>1584.2131281672223</x:v>
      </x:c>
      <x:c r="H420" s="26" t="n">
        <x:f>'成本明细'!U67</x:f>
        <x:v>2280.5780732538888</x:v>
      </x:c>
      <x:c r="I420" s="26" t="n">
        <x:f>'成本明细'!V67</x:f>
        <x:v>4781.5</x:v>
      </x:c>
      <x:c r="J420" s="22" t="n">
        <x:f>'参数'!$B$9</x:f>
        <x:v>300</x:v>
      </x:c>
      <x:c r="K420" s="26" t="n">
        <x:f>J420*(G420-H420)-I420*ROUNDUP(J420/F420,0)</x:f>
        <x:v>-237598.48352599994</x:v>
      </x:c>
      <x:c r="L420" s="10" t="str">
        <x:f>IF(G420-H420&lt;=0,"未回本",IF(ROUNDUP(I420/(G420-H420),0)&gt;MIN(F420,J420),"未回本",MAX(1,ROUNDUP(I420/(G420-H420),0))))</x:f>
        <x:v>未回本</x:v>
      </x:c>
    </x:row>
    <x:row r="421" ht="22" customHeight="1">
      <x:c r="A421" s="11" t="str">
        <x:v>lade_0824_10aoi</x:v>
      </x:c>
      <x:c r="B421" s="10" t="n">
        <x:v>10</x:v>
      </x:c>
      <x:c r="C421" s="10" t="n">
        <x:v>43</x:v>
      </x:c>
      <x:c r="D421" s="10" t="str">
        <x:v>M2 / M4</x:v>
      </x:c>
      <x:c r="E421" s="16" t="n">
        <x:v>2</x:v>
      </x:c>
      <x:c r="F421" s="14" t="n">
        <x:v>50</x:v>
      </x:c>
      <x:c r="G421" s="26" t="n">
        <x:f>'成本明细'!U64+'成本明细'!G64*(E421-'参数'!$B$6)</x:f>
        <x:v>1584.2131281672223</x:v>
      </x:c>
      <x:c r="H421" s="26" t="n">
        <x:f>'成本明细'!U70</x:f>
        <x:v>2281.1852640566667</x:v>
      </x:c>
      <x:c r="I421" s="26" t="n">
        <x:f>'成本明细'!V70</x:f>
        <x:v>4781.5</x:v>
      </x:c>
      <x:c r="J421" s="22" t="n">
        <x:f>'参数'!$B$9</x:f>
        <x:v>300</x:v>
      </x:c>
      <x:c r="K421" s="26" t="n">
        <x:f>J421*(G421-H421)-I421*ROUNDUP(J421/F421,0)</x:f>
        <x:v>-237780.64076683333</x:v>
      </x:c>
      <x:c r="L421" s="10" t="str">
        <x:f>IF(G421-H421&lt;=0,"未回本",IF(ROUNDUP(I421/(G421-H421),0)&gt;MIN(F421,J421),"未回本",MAX(1,ROUNDUP(I421/(G421-H421),0))))</x:f>
        <x:v>未回本</x:v>
      </x:c>
    </x:row>
    <x:row r="422" ht="22" customHeight="1">
      <x:c r="A422" s="11" t="str">
        <x:v>lade_0824_10aoi</x:v>
      </x:c>
      <x:c r="B422" s="10" t="n">
        <x:v>10</x:v>
      </x:c>
      <x:c r="C422" s="10" t="n">
        <x:v>43</x:v>
      </x:c>
      <x:c r="D422" s="10" t="str">
        <x:v>M1 / M3</x:v>
      </x:c>
      <x:c r="E422" s="16" t="n">
        <x:v>3</x:v>
      </x:c>
      <x:c r="F422" s="14" t="n">
        <x:v>10</x:v>
      </x:c>
      <x:c r="G422" s="26" t="n">
        <x:f>'成本明细'!U61+'成本明细'!G61*(E422-'参数'!$B$6)</x:f>
        <x:v>1715.2131281672223</x:v>
      </x:c>
      <x:c r="H422" s="26" t="n">
        <x:f>'成本明细'!U67</x:f>
        <x:v>2280.5780732538888</x:v>
      </x:c>
      <x:c r="I422" s="26" t="n">
        <x:f>'成本明细'!V67</x:f>
        <x:v>4781.5</x:v>
      </x:c>
      <x:c r="J422" s="22" t="n">
        <x:f>'参数'!$B$9</x:f>
        <x:v>300</x:v>
      </x:c>
      <x:c r="K422" s="26" t="n">
        <x:f>J422*(G422-H422)-I422*ROUNDUP(J422/F422,0)</x:f>
        <x:v>-313054.48352599994</x:v>
      </x:c>
      <x:c r="L422" s="10" t="str">
        <x:f>IF(G422-H422&lt;=0,"未回本",IF(ROUNDUP(I422/(G422-H422),0)&gt;MIN(F422,J422),"未回本",MAX(1,ROUNDUP(I422/(G422-H422),0))))</x:f>
        <x:v>未回本</x:v>
      </x:c>
    </x:row>
    <x:row r="423" ht="22" customHeight="1">
      <x:c r="A423" s="11" t="str">
        <x:v>lade_0824_10aoi</x:v>
      </x:c>
      <x:c r="B423" s="10" t="n">
        <x:v>10</x:v>
      </x:c>
      <x:c r="C423" s="10" t="n">
        <x:v>43</x:v>
      </x:c>
      <x:c r="D423" s="10" t="str">
        <x:v>M2 / M4</x:v>
      </x:c>
      <x:c r="E423" s="16" t="n">
        <x:v>3</x:v>
      </x:c>
      <x:c r="F423" s="14" t="n">
        <x:v>10</x:v>
      </x:c>
      <x:c r="G423" s="26" t="n">
        <x:f>'成本明细'!U64+'成本明细'!G64*(E423-'参数'!$B$6)</x:f>
        <x:v>1715.2131281672223</x:v>
      </x:c>
      <x:c r="H423" s="26" t="n">
        <x:f>'成本明细'!U70</x:f>
        <x:v>2281.1852640566667</x:v>
      </x:c>
      <x:c r="I423" s="26" t="n">
        <x:f>'成本明细'!V70</x:f>
        <x:v>4781.5</x:v>
      </x:c>
      <x:c r="J423" s="22" t="n">
        <x:f>'参数'!$B$9</x:f>
        <x:v>300</x:v>
      </x:c>
      <x:c r="K423" s="26" t="n">
        <x:f>J423*(G423-H423)-I423*ROUNDUP(J423/F423,0)</x:f>
        <x:v>-313236.6407668333</x:v>
      </x:c>
      <x:c r="L423" s="10" t="str">
        <x:f>IF(G423-H423&lt;=0,"未回本",IF(ROUNDUP(I423/(G423-H423),0)&gt;MIN(F423,J423),"未回本",MAX(1,ROUNDUP(I423/(G423-H423),0))))</x:f>
        <x:v>未回本</x:v>
      </x:c>
    </x:row>
    <x:row r="424" ht="22" customHeight="1">
      <x:c r="A424" s="11" t="str">
        <x:v>lade_0824_10aoi</x:v>
      </x:c>
      <x:c r="B424" s="10" t="n">
        <x:v>10</x:v>
      </x:c>
      <x:c r="C424" s="10" t="n">
        <x:v>43</x:v>
      </x:c>
      <x:c r="D424" s="10" t="str">
        <x:v>M1 / M3</x:v>
      </x:c>
      <x:c r="E424" s="16" t="n">
        <x:v>3</x:v>
      </x:c>
      <x:c r="F424" s="14" t="n">
        <x:v>20</x:v>
      </x:c>
      <x:c r="G424" s="26" t="n">
        <x:f>'成本明细'!U61+'成本明细'!G61*(E424-'参数'!$B$6)</x:f>
        <x:v>1715.2131281672223</x:v>
      </x:c>
      <x:c r="H424" s="26" t="n">
        <x:f>'成本明细'!U67</x:f>
        <x:v>2280.5780732538888</x:v>
      </x:c>
      <x:c r="I424" s="26" t="n">
        <x:f>'成本明细'!V67</x:f>
        <x:v>4781.5</x:v>
      </x:c>
      <x:c r="J424" s="22" t="n">
        <x:f>'参数'!$B$9</x:f>
        <x:v>300</x:v>
      </x:c>
      <x:c r="K424" s="26" t="n">
        <x:f>J424*(G424-H424)-I424*ROUNDUP(J424/F424,0)</x:f>
        <x:v>-241331.98352599994</x:v>
      </x:c>
      <x:c r="L424" s="10" t="str">
        <x:f>IF(G424-H424&lt;=0,"未回本",IF(ROUNDUP(I424/(G424-H424),0)&gt;MIN(F424,J424),"未回本",MAX(1,ROUNDUP(I424/(G424-H424),0))))</x:f>
        <x:v>未回本</x:v>
      </x:c>
    </x:row>
    <x:row r="425" ht="22" customHeight="1">
      <x:c r="A425" s="11" t="str">
        <x:v>lade_0824_10aoi</x:v>
      </x:c>
      <x:c r="B425" s="10" t="n">
        <x:v>10</x:v>
      </x:c>
      <x:c r="C425" s="10" t="n">
        <x:v>43</x:v>
      </x:c>
      <x:c r="D425" s="10" t="str">
        <x:v>M2 / M4</x:v>
      </x:c>
      <x:c r="E425" s="16" t="n">
        <x:v>3</x:v>
      </x:c>
      <x:c r="F425" s="14" t="n">
        <x:v>20</x:v>
      </x:c>
      <x:c r="G425" s="26" t="n">
        <x:f>'成本明细'!U64+'成本明细'!G64*(E425-'参数'!$B$6)</x:f>
        <x:v>1715.2131281672223</x:v>
      </x:c>
      <x:c r="H425" s="26" t="n">
        <x:f>'成本明细'!U70</x:f>
        <x:v>2281.1852640566667</x:v>
      </x:c>
      <x:c r="I425" s="26" t="n">
        <x:f>'成本明细'!V70</x:f>
        <x:v>4781.5</x:v>
      </x:c>
      <x:c r="J425" s="22" t="n">
        <x:f>'参数'!$B$9</x:f>
        <x:v>300</x:v>
      </x:c>
      <x:c r="K425" s="26" t="n">
        <x:f>J425*(G425-H425)-I425*ROUNDUP(J425/F425,0)</x:f>
        <x:v>-241514.14076683333</x:v>
      </x:c>
      <x:c r="L425" s="10" t="str">
        <x:f>IF(G425-H425&lt;=0,"未回本",IF(ROUNDUP(I425/(G425-H425),0)&gt;MIN(F425,J425),"未回本",MAX(1,ROUNDUP(I425/(G425-H425),0))))</x:f>
        <x:v>未回本</x:v>
      </x:c>
    </x:row>
    <x:row r="426" ht="22" customHeight="1">
      <x:c r="A426" s="11" t="str">
        <x:v>lade_0824_10aoi</x:v>
      </x:c>
      <x:c r="B426" s="10" t="n">
        <x:v>10</x:v>
      </x:c>
      <x:c r="C426" s="10" t="n">
        <x:v>43</x:v>
      </x:c>
      <x:c r="D426" s="10" t="str">
        <x:v>M1 / M3</x:v>
      </x:c>
      <x:c r="E426" s="16" t="n">
        <x:v>3</x:v>
      </x:c>
      <x:c r="F426" s="14" t="n">
        <x:v>30</x:v>
      </x:c>
      <x:c r="G426" s="26" t="n">
        <x:f>'成本明细'!U61+'成本明细'!G61*(E426-'参数'!$B$6)</x:f>
        <x:v>1715.2131281672223</x:v>
      </x:c>
      <x:c r="H426" s="26" t="n">
        <x:f>'成本明细'!U67</x:f>
        <x:v>2280.5780732538888</x:v>
      </x:c>
      <x:c r="I426" s="26" t="n">
        <x:f>'成本明细'!V67</x:f>
        <x:v>4781.5</x:v>
      </x:c>
      <x:c r="J426" s="22" t="n">
        <x:f>'参数'!$B$9</x:f>
        <x:v>300</x:v>
      </x:c>
      <x:c r="K426" s="26" t="n">
        <x:f>J426*(G426-H426)-I426*ROUNDUP(J426/F426,0)</x:f>
        <x:v>-217424.48352599994</x:v>
      </x:c>
      <x:c r="L426" s="10" t="str">
        <x:f>IF(G426-H426&lt;=0,"未回本",IF(ROUNDUP(I426/(G426-H426),0)&gt;MIN(F426,J426),"未回本",MAX(1,ROUNDUP(I426/(G426-H426),0))))</x:f>
        <x:v>未回本</x:v>
      </x:c>
    </x:row>
    <x:row r="427" ht="22" customHeight="1">
      <x:c r="A427" s="11" t="str">
        <x:v>lade_0824_10aoi</x:v>
      </x:c>
      <x:c r="B427" s="10" t="n">
        <x:v>10</x:v>
      </x:c>
      <x:c r="C427" s="10" t="n">
        <x:v>43</x:v>
      </x:c>
      <x:c r="D427" s="10" t="str">
        <x:v>M2 / M4</x:v>
      </x:c>
      <x:c r="E427" s="16" t="n">
        <x:v>3</x:v>
      </x:c>
      <x:c r="F427" s="14" t="n">
        <x:v>30</x:v>
      </x:c>
      <x:c r="G427" s="26" t="n">
        <x:f>'成本明细'!U64+'成本明细'!G64*(E427-'参数'!$B$6)</x:f>
        <x:v>1715.2131281672223</x:v>
      </x:c>
      <x:c r="H427" s="26" t="n">
        <x:f>'成本明细'!U70</x:f>
        <x:v>2281.1852640566667</x:v>
      </x:c>
      <x:c r="I427" s="26" t="n">
        <x:f>'成本明细'!V70</x:f>
        <x:v>4781.5</x:v>
      </x:c>
      <x:c r="J427" s="22" t="n">
        <x:f>'参数'!$B$9</x:f>
        <x:v>300</x:v>
      </x:c>
      <x:c r="K427" s="26" t="n">
        <x:f>J427*(G427-H427)-I427*ROUNDUP(J427/F427,0)</x:f>
        <x:v>-217606.64076683333</x:v>
      </x:c>
      <x:c r="L427" s="10" t="str">
        <x:f>IF(G427-H427&lt;=0,"未回本",IF(ROUNDUP(I427/(G427-H427),0)&gt;MIN(F427,J427),"未回本",MAX(1,ROUNDUP(I427/(G427-H427),0))))</x:f>
        <x:v>未回本</x:v>
      </x:c>
    </x:row>
    <x:row r="428" ht="22" customHeight="1">
      <x:c r="A428" s="11" t="str">
        <x:v>lade_0824_10aoi</x:v>
      </x:c>
      <x:c r="B428" s="10" t="n">
        <x:v>10</x:v>
      </x:c>
      <x:c r="C428" s="10" t="n">
        <x:v>43</x:v>
      </x:c>
      <x:c r="D428" s="10" t="str">
        <x:v>M1 / M3</x:v>
      </x:c>
      <x:c r="E428" s="16" t="n">
        <x:v>3</x:v>
      </x:c>
      <x:c r="F428" s="14" t="n">
        <x:v>50</x:v>
      </x:c>
      <x:c r="G428" s="26" t="n">
        <x:f>'成本明细'!U61+'成本明细'!G61*(E428-'参数'!$B$6)</x:f>
        <x:v>1715.2131281672223</x:v>
      </x:c>
      <x:c r="H428" s="26" t="n">
        <x:f>'成本明细'!U67</x:f>
        <x:v>2280.5780732538888</x:v>
      </x:c>
      <x:c r="I428" s="26" t="n">
        <x:f>'成本明细'!V67</x:f>
        <x:v>4781.5</x:v>
      </x:c>
      <x:c r="J428" s="22" t="n">
        <x:f>'参数'!$B$9</x:f>
        <x:v>300</x:v>
      </x:c>
      <x:c r="K428" s="26" t="n">
        <x:f>J428*(G428-H428)-I428*ROUNDUP(J428/F428,0)</x:f>
        <x:v>-198298.48352599994</x:v>
      </x:c>
      <x:c r="L428" s="10" t="str">
        <x:f>IF(G428-H428&lt;=0,"未回本",IF(ROUNDUP(I428/(G428-H428),0)&gt;MIN(F428,J428),"未回本",MAX(1,ROUNDUP(I428/(G428-H428),0))))</x:f>
        <x:v>未回本</x:v>
      </x:c>
    </x:row>
    <x:row r="429" ht="22" customHeight="1">
      <x:c r="A429" s="11" t="str">
        <x:v>lade_0824_10aoi</x:v>
      </x:c>
      <x:c r="B429" s="10" t="n">
        <x:v>10</x:v>
      </x:c>
      <x:c r="C429" s="10" t="n">
        <x:v>43</x:v>
      </x:c>
      <x:c r="D429" s="10" t="str">
        <x:v>M2 / M4</x:v>
      </x:c>
      <x:c r="E429" s="16" t="n">
        <x:v>3</x:v>
      </x:c>
      <x:c r="F429" s="14" t="n">
        <x:v>50</x:v>
      </x:c>
      <x:c r="G429" s="26" t="n">
        <x:f>'成本明细'!U64+'成本明细'!G64*(E429-'参数'!$B$6)</x:f>
        <x:v>1715.2131281672223</x:v>
      </x:c>
      <x:c r="H429" s="26" t="n">
        <x:f>'成本明细'!U70</x:f>
        <x:v>2281.1852640566667</x:v>
      </x:c>
      <x:c r="I429" s="26" t="n">
        <x:f>'成本明细'!V70</x:f>
        <x:v>4781.5</x:v>
      </x:c>
      <x:c r="J429" s="22" t="n">
        <x:f>'参数'!$B$9</x:f>
        <x:v>300</x:v>
      </x:c>
      <x:c r="K429" s="26" t="n">
        <x:f>J429*(G429-H429)-I429*ROUNDUP(J429/F429,0)</x:f>
        <x:v>-198480.64076683333</x:v>
      </x:c>
      <x:c r="L429" s="10" t="str">
        <x:f>IF(G429-H429&lt;=0,"未回本",IF(ROUNDUP(I429/(G429-H429),0)&gt;MIN(F429,J429),"未回本",MAX(1,ROUNDUP(I429/(G429-H429),0))))</x:f>
        <x:v>未回本</x:v>
      </x:c>
    </x:row>
    <x:row r="430" ht="22" customHeight="1">
      <x:c r="A430" s="11" t="str">
        <x:v>lade_0824_10aoi</x:v>
      </x:c>
      <x:c r="B430" s="10" t="n">
        <x:v>10</x:v>
      </x:c>
      <x:c r="C430" s="10" t="n">
        <x:v>43</x:v>
      </x:c>
      <x:c r="D430" s="10" t="str">
        <x:v>M1 / M3</x:v>
      </x:c>
      <x:c r="E430" s="16" t="n">
        <x:v>4</x:v>
      </x:c>
      <x:c r="F430" s="14" t="n">
        <x:v>10</x:v>
      </x:c>
      <x:c r="G430" s="26" t="n">
        <x:f>'成本明细'!U61+'成本明细'!G61*(E430-'参数'!$B$6)</x:f>
        <x:v>1846.2131281672223</x:v>
      </x:c>
      <x:c r="H430" s="26" t="n">
        <x:f>'成本明细'!U67</x:f>
        <x:v>2280.5780732538888</x:v>
      </x:c>
      <x:c r="I430" s="26" t="n">
        <x:f>'成本明细'!V67</x:f>
        <x:v>4781.5</x:v>
      </x:c>
      <x:c r="J430" s="22" t="n">
        <x:f>'参数'!$B$9</x:f>
        <x:v>300</x:v>
      </x:c>
      <x:c r="K430" s="26" t="n">
        <x:f>J430*(G430-H430)-I430*ROUNDUP(J430/F430,0)</x:f>
        <x:v>-273754.48352599994</x:v>
      </x:c>
      <x:c r="L430" s="10" t="str">
        <x:f>IF(G430-H430&lt;=0,"未回本",IF(ROUNDUP(I430/(G430-H430),0)&gt;MIN(F430,J430),"未回本",MAX(1,ROUNDUP(I430/(G430-H430),0))))</x:f>
        <x:v>未回本</x:v>
      </x:c>
    </x:row>
    <x:row r="431" ht="22" customHeight="1">
      <x:c r="A431" s="11" t="str">
        <x:v>lade_0824_10aoi</x:v>
      </x:c>
      <x:c r="B431" s="10" t="n">
        <x:v>10</x:v>
      </x:c>
      <x:c r="C431" s="10" t="n">
        <x:v>43</x:v>
      </x:c>
      <x:c r="D431" s="10" t="str">
        <x:v>M2 / M4</x:v>
      </x:c>
      <x:c r="E431" s="16" t="n">
        <x:v>4</x:v>
      </x:c>
      <x:c r="F431" s="14" t="n">
        <x:v>10</x:v>
      </x:c>
      <x:c r="G431" s="26" t="n">
        <x:f>'成本明细'!U64+'成本明细'!G64*(E431-'参数'!$B$6)</x:f>
        <x:v>1846.2131281672223</x:v>
      </x:c>
      <x:c r="H431" s="26" t="n">
        <x:f>'成本明细'!U70</x:f>
        <x:v>2281.1852640566667</x:v>
      </x:c>
      <x:c r="I431" s="26" t="n">
        <x:f>'成本明细'!V70</x:f>
        <x:v>4781.5</x:v>
      </x:c>
      <x:c r="J431" s="22" t="n">
        <x:f>'参数'!$B$9</x:f>
        <x:v>300</x:v>
      </x:c>
      <x:c r="K431" s="26" t="n">
        <x:f>J431*(G431-H431)-I431*ROUNDUP(J431/F431,0)</x:f>
        <x:v>-273936.6407668333</x:v>
      </x:c>
      <x:c r="L431" s="10" t="str">
        <x:f>IF(G431-H431&lt;=0,"未回本",IF(ROUNDUP(I431/(G431-H431),0)&gt;MIN(F431,J431),"未回本",MAX(1,ROUNDUP(I431/(G431-H431),0))))</x:f>
        <x:v>未回本</x:v>
      </x:c>
    </x:row>
    <x:row r="432" ht="22" customHeight="1">
      <x:c r="A432" s="11" t="str">
        <x:v>lade_0824_10aoi</x:v>
      </x:c>
      <x:c r="B432" s="10" t="n">
        <x:v>10</x:v>
      </x:c>
      <x:c r="C432" s="10" t="n">
        <x:v>43</x:v>
      </x:c>
      <x:c r="D432" s="10" t="str">
        <x:v>M1 / M3</x:v>
      </x:c>
      <x:c r="E432" s="16" t="n">
        <x:v>4</x:v>
      </x:c>
      <x:c r="F432" s="14" t="n">
        <x:v>20</x:v>
      </x:c>
      <x:c r="G432" s="26" t="n">
        <x:f>'成本明细'!U61+'成本明细'!G61*(E432-'参数'!$B$6)</x:f>
        <x:v>1846.2131281672223</x:v>
      </x:c>
      <x:c r="H432" s="26" t="n">
        <x:f>'成本明细'!U67</x:f>
        <x:v>2280.5780732538888</x:v>
      </x:c>
      <x:c r="I432" s="26" t="n">
        <x:f>'成本明细'!V67</x:f>
        <x:v>4781.5</x:v>
      </x:c>
      <x:c r="J432" s="22" t="n">
        <x:f>'参数'!$B$9</x:f>
        <x:v>300</x:v>
      </x:c>
      <x:c r="K432" s="26" t="n">
        <x:f>J432*(G432-H432)-I432*ROUNDUP(J432/F432,0)</x:f>
        <x:v>-202031.98352599994</x:v>
      </x:c>
      <x:c r="L432" s="10" t="str">
        <x:f>IF(G432-H432&lt;=0,"未回本",IF(ROUNDUP(I432/(G432-H432),0)&gt;MIN(F432,J432),"未回本",MAX(1,ROUNDUP(I432/(G432-H432),0))))</x:f>
        <x:v>未回本</x:v>
      </x:c>
    </x:row>
    <x:row r="433" ht="22" customHeight="1">
      <x:c r="A433" s="11" t="str">
        <x:v>lade_0824_10aoi</x:v>
      </x:c>
      <x:c r="B433" s="10" t="n">
        <x:v>10</x:v>
      </x:c>
      <x:c r="C433" s="10" t="n">
        <x:v>43</x:v>
      </x:c>
      <x:c r="D433" s="10" t="str">
        <x:v>M2 / M4</x:v>
      </x:c>
      <x:c r="E433" s="16" t="n">
        <x:v>4</x:v>
      </x:c>
      <x:c r="F433" s="14" t="n">
        <x:v>20</x:v>
      </x:c>
      <x:c r="G433" s="26" t="n">
        <x:f>'成本明细'!U64+'成本明细'!G64*(E433-'参数'!$B$6)</x:f>
        <x:v>1846.2131281672223</x:v>
      </x:c>
      <x:c r="H433" s="26" t="n">
        <x:f>'成本明细'!U70</x:f>
        <x:v>2281.1852640566667</x:v>
      </x:c>
      <x:c r="I433" s="26" t="n">
        <x:f>'成本明细'!V70</x:f>
        <x:v>4781.5</x:v>
      </x:c>
      <x:c r="J433" s="22" t="n">
        <x:f>'参数'!$B$9</x:f>
        <x:v>300</x:v>
      </x:c>
      <x:c r="K433" s="26" t="n">
        <x:f>J433*(G433-H433)-I433*ROUNDUP(J433/F433,0)</x:f>
        <x:v>-202214.14076683333</x:v>
      </x:c>
      <x:c r="L433" s="10" t="str">
        <x:f>IF(G433-H433&lt;=0,"未回本",IF(ROUNDUP(I433/(G433-H433),0)&gt;MIN(F433,J433),"未回本",MAX(1,ROUNDUP(I433/(G433-H433),0))))</x:f>
        <x:v>未回本</x:v>
      </x:c>
    </x:row>
    <x:row r="434" ht="22" customHeight="1">
      <x:c r="A434" s="11" t="str">
        <x:v>lade_0824_10aoi</x:v>
      </x:c>
      <x:c r="B434" s="10" t="n">
        <x:v>10</x:v>
      </x:c>
      <x:c r="C434" s="10" t="n">
        <x:v>43</x:v>
      </x:c>
      <x:c r="D434" s="10" t="str">
        <x:v>M1 / M3</x:v>
      </x:c>
      <x:c r="E434" s="16" t="n">
        <x:v>4</x:v>
      </x:c>
      <x:c r="F434" s="14" t="n">
        <x:v>30</x:v>
      </x:c>
      <x:c r="G434" s="26" t="n">
        <x:f>'成本明细'!U61+'成本明细'!G61*(E434-'参数'!$B$6)</x:f>
        <x:v>1846.2131281672223</x:v>
      </x:c>
      <x:c r="H434" s="26" t="n">
        <x:f>'成本明细'!U67</x:f>
        <x:v>2280.5780732538888</x:v>
      </x:c>
      <x:c r="I434" s="26" t="n">
        <x:f>'成本明细'!V67</x:f>
        <x:v>4781.5</x:v>
      </x:c>
      <x:c r="J434" s="22" t="n">
        <x:f>'参数'!$B$9</x:f>
        <x:v>300</x:v>
      </x:c>
      <x:c r="K434" s="26" t="n">
        <x:f>J434*(G434-H434)-I434*ROUNDUP(J434/F434,0)</x:f>
        <x:v>-178124.48352599994</x:v>
      </x:c>
      <x:c r="L434" s="10" t="str">
        <x:f>IF(G434-H434&lt;=0,"未回本",IF(ROUNDUP(I434/(G434-H434),0)&gt;MIN(F434,J434),"未回本",MAX(1,ROUNDUP(I434/(G434-H434),0))))</x:f>
        <x:v>未回本</x:v>
      </x:c>
    </x:row>
    <x:row r="435" ht="22" customHeight="1">
      <x:c r="A435" s="11" t="str">
        <x:v>lade_0824_10aoi</x:v>
      </x:c>
      <x:c r="B435" s="10" t="n">
        <x:v>10</x:v>
      </x:c>
      <x:c r="C435" s="10" t="n">
        <x:v>43</x:v>
      </x:c>
      <x:c r="D435" s="10" t="str">
        <x:v>M2 / M4</x:v>
      </x:c>
      <x:c r="E435" s="16" t="n">
        <x:v>4</x:v>
      </x:c>
      <x:c r="F435" s="14" t="n">
        <x:v>30</x:v>
      </x:c>
      <x:c r="G435" s="26" t="n">
        <x:f>'成本明细'!U64+'成本明细'!G64*(E435-'参数'!$B$6)</x:f>
        <x:v>1846.2131281672223</x:v>
      </x:c>
      <x:c r="H435" s="26" t="n">
        <x:f>'成本明细'!U70</x:f>
        <x:v>2281.1852640566667</x:v>
      </x:c>
      <x:c r="I435" s="26" t="n">
        <x:f>'成本明细'!V70</x:f>
        <x:v>4781.5</x:v>
      </x:c>
      <x:c r="J435" s="22" t="n">
        <x:f>'参数'!$B$9</x:f>
        <x:v>300</x:v>
      </x:c>
      <x:c r="K435" s="26" t="n">
        <x:f>J435*(G435-H435)-I435*ROUNDUP(J435/F435,0)</x:f>
        <x:v>-178306.64076683333</x:v>
      </x:c>
      <x:c r="L435" s="10" t="str">
        <x:f>IF(G435-H435&lt;=0,"未回本",IF(ROUNDUP(I435/(G435-H435),0)&gt;MIN(F435,J435),"未回本",MAX(1,ROUNDUP(I435/(G435-H435),0))))</x:f>
        <x:v>未回本</x:v>
      </x:c>
    </x:row>
    <x:row r="436" ht="22" customHeight="1">
      <x:c r="A436" s="11" t="str">
        <x:v>lade_0824_10aoi</x:v>
      </x:c>
      <x:c r="B436" s="10" t="n">
        <x:v>10</x:v>
      </x:c>
      <x:c r="C436" s="10" t="n">
        <x:v>43</x:v>
      </x:c>
      <x:c r="D436" s="10" t="str">
        <x:v>M1 / M3</x:v>
      </x:c>
      <x:c r="E436" s="16" t="n">
        <x:v>4</x:v>
      </x:c>
      <x:c r="F436" s="14" t="n">
        <x:v>50</x:v>
      </x:c>
      <x:c r="G436" s="26" t="n">
        <x:f>'成本明细'!U61+'成本明细'!G61*(E436-'参数'!$B$6)</x:f>
        <x:v>1846.2131281672223</x:v>
      </x:c>
      <x:c r="H436" s="26" t="n">
        <x:f>'成本明细'!U67</x:f>
        <x:v>2280.5780732538888</x:v>
      </x:c>
      <x:c r="I436" s="26" t="n">
        <x:f>'成本明细'!V67</x:f>
        <x:v>4781.5</x:v>
      </x:c>
      <x:c r="J436" s="22" t="n">
        <x:f>'参数'!$B$9</x:f>
        <x:v>300</x:v>
      </x:c>
      <x:c r="K436" s="26" t="n">
        <x:f>J436*(G436-H436)-I436*ROUNDUP(J436/F436,0)</x:f>
        <x:v>-158998.48352599994</x:v>
      </x:c>
      <x:c r="L436" s="10" t="str">
        <x:f>IF(G436-H436&lt;=0,"未回本",IF(ROUNDUP(I436/(G436-H436),0)&gt;MIN(F436,J436),"未回本",MAX(1,ROUNDUP(I436/(G436-H436),0))))</x:f>
        <x:v>未回本</x:v>
      </x:c>
    </x:row>
    <x:row r="437" ht="22" customHeight="1">
      <x:c r="A437" s="11" t="str">
        <x:v>lade_0824_10aoi</x:v>
      </x:c>
      <x:c r="B437" s="10" t="n">
        <x:v>10</x:v>
      </x:c>
      <x:c r="C437" s="10" t="n">
        <x:v>43</x:v>
      </x:c>
      <x:c r="D437" s="10" t="str">
        <x:v>M2 / M4</x:v>
      </x:c>
      <x:c r="E437" s="16" t="n">
        <x:v>4</x:v>
      </x:c>
      <x:c r="F437" s="14" t="n">
        <x:v>50</x:v>
      </x:c>
      <x:c r="G437" s="26" t="n">
        <x:f>'成本明细'!U64+'成本明细'!G64*(E437-'参数'!$B$6)</x:f>
        <x:v>1846.2131281672223</x:v>
      </x:c>
      <x:c r="H437" s="26" t="n">
        <x:f>'成本明细'!U70</x:f>
        <x:v>2281.1852640566667</x:v>
      </x:c>
      <x:c r="I437" s="26" t="n">
        <x:f>'成本明细'!V70</x:f>
        <x:v>4781.5</x:v>
      </x:c>
      <x:c r="J437" s="22" t="n">
        <x:f>'参数'!$B$9</x:f>
        <x:v>300</x:v>
      </x:c>
      <x:c r="K437" s="26" t="n">
        <x:f>J437*(G437-H437)-I437*ROUNDUP(J437/F437,0)</x:f>
        <x:v>-159180.64076683333</x:v>
      </x:c>
      <x:c r="L437" s="10" t="str">
        <x:f>IF(G437-H437&lt;=0,"未回本",IF(ROUNDUP(I437/(G437-H437),0)&gt;MIN(F437,J437),"未回本",MAX(1,ROUNDUP(I437/(G437-H437),0))))</x:f>
        <x:v>未回本</x:v>
      </x:c>
    </x:row>
    <x:row r="438" ht="22" customHeight="1">
      <x:c r="A438" s="11" t="str">
        <x:v>lade_0824_10aoi</x:v>
      </x:c>
      <x:c r="B438" s="10" t="n">
        <x:v>10</x:v>
      </x:c>
      <x:c r="C438" s="10" t="n">
        <x:v>43</x:v>
      </x:c>
      <x:c r="D438" s="10" t="str">
        <x:v>M1 / M3</x:v>
      </x:c>
      <x:c r="E438" s="16" t="n">
        <x:v>5</x:v>
      </x:c>
      <x:c r="F438" s="14" t="n">
        <x:v>10</x:v>
      </x:c>
      <x:c r="G438" s="26" t="n">
        <x:f>'成本明细'!U61+'成本明细'!G61*(E438-'参数'!$B$6)</x:f>
        <x:v>1977.2131281672223</x:v>
      </x:c>
      <x:c r="H438" s="26" t="n">
        <x:f>'成本明细'!U67</x:f>
        <x:v>2280.5780732538888</x:v>
      </x:c>
      <x:c r="I438" s="26" t="n">
        <x:f>'成本明细'!V67</x:f>
        <x:v>4781.5</x:v>
      </x:c>
      <x:c r="J438" s="22" t="n">
        <x:f>'参数'!$B$9</x:f>
        <x:v>300</x:v>
      </x:c>
      <x:c r="K438" s="26" t="n">
        <x:f>J438*(G438-H438)-I438*ROUNDUP(J438/F438,0)</x:f>
        <x:v>-234454.48352599994</x:v>
      </x:c>
      <x:c r="L438" s="10" t="str">
        <x:f>IF(G438-H438&lt;=0,"未回本",IF(ROUNDUP(I438/(G438-H438),0)&gt;MIN(F438,J438),"未回本",MAX(1,ROUNDUP(I438/(G438-H438),0))))</x:f>
        <x:v>未回本</x:v>
      </x:c>
    </x:row>
    <x:row r="439" ht="22" customHeight="1">
      <x:c r="A439" s="11" t="str">
        <x:v>lade_0824_10aoi</x:v>
      </x:c>
      <x:c r="B439" s="10" t="n">
        <x:v>10</x:v>
      </x:c>
      <x:c r="C439" s="10" t="n">
        <x:v>43</x:v>
      </x:c>
      <x:c r="D439" s="10" t="str">
        <x:v>M2 / M4</x:v>
      </x:c>
      <x:c r="E439" s="16" t="n">
        <x:v>5</x:v>
      </x:c>
      <x:c r="F439" s="14" t="n">
        <x:v>10</x:v>
      </x:c>
      <x:c r="G439" s="26" t="n">
        <x:f>'成本明细'!U64+'成本明细'!G64*(E439-'参数'!$B$6)</x:f>
        <x:v>1977.2131281672223</x:v>
      </x:c>
      <x:c r="H439" s="26" t="n">
        <x:f>'成本明细'!U70</x:f>
        <x:v>2281.1852640566667</x:v>
      </x:c>
      <x:c r="I439" s="26" t="n">
        <x:f>'成本明细'!V70</x:f>
        <x:v>4781.5</x:v>
      </x:c>
      <x:c r="J439" s="22" t="n">
        <x:f>'参数'!$B$9</x:f>
        <x:v>300</x:v>
      </x:c>
      <x:c r="K439" s="26" t="n">
        <x:f>J439*(G439-H439)-I439*ROUNDUP(J439/F439,0)</x:f>
        <x:v>-234636.64076683333</x:v>
      </x:c>
      <x:c r="L439" s="10" t="str">
        <x:f>IF(G439-H439&lt;=0,"未回本",IF(ROUNDUP(I439/(G439-H439),0)&gt;MIN(F439,J439),"未回本",MAX(1,ROUNDUP(I439/(G439-H439),0))))</x:f>
        <x:v>未回本</x:v>
      </x:c>
    </x:row>
    <x:row r="440" ht="22" customHeight="1">
      <x:c r="A440" s="11" t="str">
        <x:v>lade_0824_10aoi</x:v>
      </x:c>
      <x:c r="B440" s="10" t="n">
        <x:v>10</x:v>
      </x:c>
      <x:c r="C440" s="10" t="n">
        <x:v>43</x:v>
      </x:c>
      <x:c r="D440" s="10" t="str">
        <x:v>M1 / M3</x:v>
      </x:c>
      <x:c r="E440" s="16" t="n">
        <x:v>5</x:v>
      </x:c>
      <x:c r="F440" s="14" t="n">
        <x:v>20</x:v>
      </x:c>
      <x:c r="G440" s="26" t="n">
        <x:f>'成本明细'!U61+'成本明细'!G61*(E440-'参数'!$B$6)</x:f>
        <x:v>1977.2131281672223</x:v>
      </x:c>
      <x:c r="H440" s="26" t="n">
        <x:f>'成本明细'!U67</x:f>
        <x:v>2280.5780732538888</x:v>
      </x:c>
      <x:c r="I440" s="26" t="n">
        <x:f>'成本明细'!V67</x:f>
        <x:v>4781.5</x:v>
      </x:c>
      <x:c r="J440" s="22" t="n">
        <x:f>'参数'!$B$9</x:f>
        <x:v>300</x:v>
      </x:c>
      <x:c r="K440" s="26" t="n">
        <x:f>J440*(G440-H440)-I440*ROUNDUP(J440/F440,0)</x:f>
        <x:v>-162731.98352599994</x:v>
      </x:c>
      <x:c r="L440" s="10" t="str">
        <x:f>IF(G440-H440&lt;=0,"未回本",IF(ROUNDUP(I440/(G440-H440),0)&gt;MIN(F440,J440),"未回本",MAX(1,ROUNDUP(I440/(G440-H440),0))))</x:f>
        <x:v>未回本</x:v>
      </x:c>
    </x:row>
    <x:row r="441" ht="22" customHeight="1">
      <x:c r="A441" s="11" t="str">
        <x:v>lade_0824_10aoi</x:v>
      </x:c>
      <x:c r="B441" s="10" t="n">
        <x:v>10</x:v>
      </x:c>
      <x:c r="C441" s="10" t="n">
        <x:v>43</x:v>
      </x:c>
      <x:c r="D441" s="10" t="str">
        <x:v>M2 / M4</x:v>
      </x:c>
      <x:c r="E441" s="16" t="n">
        <x:v>5</x:v>
      </x:c>
      <x:c r="F441" s="14" t="n">
        <x:v>20</x:v>
      </x:c>
      <x:c r="G441" s="26" t="n">
        <x:f>'成本明细'!U64+'成本明细'!G64*(E441-'参数'!$B$6)</x:f>
        <x:v>1977.2131281672223</x:v>
      </x:c>
      <x:c r="H441" s="26" t="n">
        <x:f>'成本明细'!U70</x:f>
        <x:v>2281.1852640566667</x:v>
      </x:c>
      <x:c r="I441" s="26" t="n">
        <x:f>'成本明细'!V70</x:f>
        <x:v>4781.5</x:v>
      </x:c>
      <x:c r="J441" s="22" t="n">
        <x:f>'参数'!$B$9</x:f>
        <x:v>300</x:v>
      </x:c>
      <x:c r="K441" s="26" t="n">
        <x:f>J441*(G441-H441)-I441*ROUNDUP(J441/F441,0)</x:f>
        <x:v>-162914.14076683333</x:v>
      </x:c>
      <x:c r="L441" s="10" t="str">
        <x:f>IF(G441-H441&lt;=0,"未回本",IF(ROUNDUP(I441/(G441-H441),0)&gt;MIN(F441,J441),"未回本",MAX(1,ROUNDUP(I441/(G441-H441),0))))</x:f>
        <x:v>未回本</x:v>
      </x:c>
    </x:row>
    <x:row r="442" ht="22" customHeight="1">
      <x:c r="A442" s="11" t="str">
        <x:v>lade_0824_10aoi</x:v>
      </x:c>
      <x:c r="B442" s="10" t="n">
        <x:v>10</x:v>
      </x:c>
      <x:c r="C442" s="10" t="n">
        <x:v>43</x:v>
      </x:c>
      <x:c r="D442" s="10" t="str">
        <x:v>M1 / M3</x:v>
      </x:c>
      <x:c r="E442" s="16" t="n">
        <x:v>5</x:v>
      </x:c>
      <x:c r="F442" s="14" t="n">
        <x:v>30</x:v>
      </x:c>
      <x:c r="G442" s="26" t="n">
        <x:f>'成本明细'!U61+'成本明细'!G61*(E442-'参数'!$B$6)</x:f>
        <x:v>1977.2131281672223</x:v>
      </x:c>
      <x:c r="H442" s="26" t="n">
        <x:f>'成本明细'!U67</x:f>
        <x:v>2280.5780732538888</x:v>
      </x:c>
      <x:c r="I442" s="26" t="n">
        <x:f>'成本明细'!V67</x:f>
        <x:v>4781.5</x:v>
      </x:c>
      <x:c r="J442" s="22" t="n">
        <x:f>'参数'!$B$9</x:f>
        <x:v>300</x:v>
      </x:c>
      <x:c r="K442" s="26" t="n">
        <x:f>J442*(G442-H442)-I442*ROUNDUP(J442/F442,0)</x:f>
        <x:v>-138824.48352599994</x:v>
      </x:c>
      <x:c r="L442" s="10" t="str">
        <x:f>IF(G442-H442&lt;=0,"未回本",IF(ROUNDUP(I442/(G442-H442),0)&gt;MIN(F442,J442),"未回本",MAX(1,ROUNDUP(I442/(G442-H442),0))))</x:f>
        <x:v>未回本</x:v>
      </x:c>
    </x:row>
    <x:row r="443" ht="22" customHeight="1">
      <x:c r="A443" s="11" t="str">
        <x:v>lade_0824_10aoi</x:v>
      </x:c>
      <x:c r="B443" s="10" t="n">
        <x:v>10</x:v>
      </x:c>
      <x:c r="C443" s="10" t="n">
        <x:v>43</x:v>
      </x:c>
      <x:c r="D443" s="10" t="str">
        <x:v>M2 / M4</x:v>
      </x:c>
      <x:c r="E443" s="16" t="n">
        <x:v>5</x:v>
      </x:c>
      <x:c r="F443" s="14" t="n">
        <x:v>30</x:v>
      </x:c>
      <x:c r="G443" s="26" t="n">
        <x:f>'成本明细'!U64+'成本明细'!G64*(E443-'参数'!$B$6)</x:f>
        <x:v>1977.2131281672223</x:v>
      </x:c>
      <x:c r="H443" s="26" t="n">
        <x:f>'成本明细'!U70</x:f>
        <x:v>2281.1852640566667</x:v>
      </x:c>
      <x:c r="I443" s="26" t="n">
        <x:f>'成本明细'!V70</x:f>
        <x:v>4781.5</x:v>
      </x:c>
      <x:c r="J443" s="22" t="n">
        <x:f>'参数'!$B$9</x:f>
        <x:v>300</x:v>
      </x:c>
      <x:c r="K443" s="26" t="n">
        <x:f>J443*(G443-H443)-I443*ROUNDUP(J443/F443,0)</x:f>
        <x:v>-139006.64076683333</x:v>
      </x:c>
      <x:c r="L443" s="10" t="str">
        <x:f>IF(G443-H443&lt;=0,"未回本",IF(ROUNDUP(I443/(G443-H443),0)&gt;MIN(F443,J443),"未回本",MAX(1,ROUNDUP(I443/(G443-H443),0))))</x:f>
        <x:v>未回本</x:v>
      </x:c>
    </x:row>
    <x:row r="444" ht="22" customHeight="1">
      <x:c r="A444" s="11" t="str">
        <x:v>lade_0824_10aoi</x:v>
      </x:c>
      <x:c r="B444" s="10" t="n">
        <x:v>10</x:v>
      </x:c>
      <x:c r="C444" s="10" t="n">
        <x:v>43</x:v>
      </x:c>
      <x:c r="D444" s="10" t="str">
        <x:v>M1 / M3</x:v>
      </x:c>
      <x:c r="E444" s="16" t="n">
        <x:v>5</x:v>
      </x:c>
      <x:c r="F444" s="14" t="n">
        <x:v>50</x:v>
      </x:c>
      <x:c r="G444" s="26" t="n">
        <x:f>'成本明细'!U61+'成本明细'!G61*(E444-'参数'!$B$6)</x:f>
        <x:v>1977.2131281672223</x:v>
      </x:c>
      <x:c r="H444" s="26" t="n">
        <x:f>'成本明细'!U67</x:f>
        <x:v>2280.5780732538888</x:v>
      </x:c>
      <x:c r="I444" s="26" t="n">
        <x:f>'成本明细'!V67</x:f>
        <x:v>4781.5</x:v>
      </x:c>
      <x:c r="J444" s="22" t="n">
        <x:f>'参数'!$B$9</x:f>
        <x:v>300</x:v>
      </x:c>
      <x:c r="K444" s="26" t="n">
        <x:f>J444*(G444-H444)-I444*ROUNDUP(J444/F444,0)</x:f>
        <x:v>-119698.48352599994</x:v>
      </x:c>
      <x:c r="L444" s="10" t="str">
        <x:f>IF(G444-H444&lt;=0,"未回本",IF(ROUNDUP(I444/(G444-H444),0)&gt;MIN(F444,J444),"未回本",MAX(1,ROUNDUP(I444/(G444-H444),0))))</x:f>
        <x:v>未回本</x:v>
      </x:c>
    </x:row>
    <x:row r="445" ht="22" customHeight="1">
      <x:c r="A445" s="11" t="str">
        <x:v>lade_0824_10aoi</x:v>
      </x:c>
      <x:c r="B445" s="10" t="n">
        <x:v>10</x:v>
      </x:c>
      <x:c r="C445" s="10" t="n">
        <x:v>43</x:v>
      </x:c>
      <x:c r="D445" s="10" t="str">
        <x:v>M2 / M4</x:v>
      </x:c>
      <x:c r="E445" s="16" t="n">
        <x:v>5</x:v>
      </x:c>
      <x:c r="F445" s="14" t="n">
        <x:v>50</x:v>
      </x:c>
      <x:c r="G445" s="26" t="n">
        <x:f>'成本明细'!U64+'成本明细'!G64*(E445-'参数'!$B$6)</x:f>
        <x:v>1977.2131281672223</x:v>
      </x:c>
      <x:c r="H445" s="26" t="n">
        <x:f>'成本明细'!U70</x:f>
        <x:v>2281.1852640566667</x:v>
      </x:c>
      <x:c r="I445" s="26" t="n">
        <x:f>'成本明细'!V70</x:f>
        <x:v>4781.5</x:v>
      </x:c>
      <x:c r="J445" s="22" t="n">
        <x:f>'参数'!$B$9</x:f>
        <x:v>300</x:v>
      </x:c>
      <x:c r="K445" s="26" t="n">
        <x:f>J445*(G445-H445)-I445*ROUNDUP(J445/F445,0)</x:f>
        <x:v>-119880.64076683333</x:v>
      </x:c>
      <x:c r="L445" s="10" t="str">
        <x:f>IF(G445-H445&lt;=0,"未回本",IF(ROUNDUP(I445/(G445-H445),0)&gt;MIN(F445,J445),"未回本",MAX(1,ROUNDUP(I445/(G445-H445),0))))</x:f>
        <x:v>未回本</x:v>
      </x:c>
    </x:row>
    <x:row r="446" ht="22" customHeight="1">
      <x:c r="A446" s="11" t="str">
        <x:v>lade_0824_10aoi</x:v>
      </x:c>
      <x:c r="B446" s="10" t="n">
        <x:v>10</x:v>
      </x:c>
      <x:c r="C446" s="10" t="n">
        <x:v>44</x:v>
      </x:c>
      <x:c r="D446" s="10" t="str">
        <x:v>M1 / M3</x:v>
      </x:c>
      <x:c r="E446" s="16" t="n">
        <x:v>1</x:v>
      </x:c>
      <x:c r="F446" s="14" t="n">
        <x:v>10</x:v>
      </x:c>
      <x:c r="G446" s="26" t="n">
        <x:f>'成本明细'!U62+'成本明细'!G62*(E446-'参数'!$B$6)</x:f>
        <x:v>1453.2131281672223</x:v>
      </x:c>
      <x:c r="H446" s="26" t="n">
        <x:f>'成本明细'!U68</x:f>
        <x:v>2280.5780732538888</x:v>
      </x:c>
      <x:c r="I446" s="26" t="n">
        <x:f>'成本明细'!V68</x:f>
        <x:v>4781.5</x:v>
      </x:c>
      <x:c r="J446" s="22" t="n">
        <x:f>'参数'!$B$9</x:f>
        <x:v>300</x:v>
      </x:c>
      <x:c r="K446" s="26" t="n">
        <x:f>J446*(G446-H446)-I446*ROUNDUP(J446/F446,0)</x:f>
        <x:v>-391654.48352599994</x:v>
      </x:c>
      <x:c r="L446" s="10" t="str">
        <x:f>IF(G446-H446&lt;=0,"未回本",IF(ROUNDUP(I446/(G446-H446),0)&gt;MIN(F446,J446),"未回本",MAX(1,ROUNDUP(I446/(G446-H446),0))))</x:f>
        <x:v>未回本</x:v>
      </x:c>
    </x:row>
    <x:row r="447" ht="22" customHeight="1">
      <x:c r="A447" s="11" t="str">
        <x:v>lade_0824_10aoi</x:v>
      </x:c>
      <x:c r="B447" s="10" t="n">
        <x:v>10</x:v>
      </x:c>
      <x:c r="C447" s="10" t="n">
        <x:v>44</x:v>
      </x:c>
      <x:c r="D447" s="10" t="str">
        <x:v>M2 / M4</x:v>
      </x:c>
      <x:c r="E447" s="16" t="n">
        <x:v>1</x:v>
      </x:c>
      <x:c r="F447" s="14" t="n">
        <x:v>10</x:v>
      </x:c>
      <x:c r="G447" s="26" t="n">
        <x:f>'成本明细'!U65+'成本明细'!G65*(E447-'参数'!$B$6)</x:f>
        <x:v>1453.2131281672223</x:v>
      </x:c>
      <x:c r="H447" s="26" t="n">
        <x:f>'成本明细'!U71</x:f>
        <x:v>2263.6798181655554</x:v>
      </x:c>
      <x:c r="I447" s="26" t="n">
        <x:f>'成本明细'!V71</x:f>
        <x:v>4781.5</x:v>
      </x:c>
      <x:c r="J447" s="22" t="n">
        <x:f>'参数'!$B$9</x:f>
        <x:v>300</x:v>
      </x:c>
      <x:c r="K447" s="26" t="n">
        <x:f>J447*(G447-H447)-I447*ROUNDUP(J447/F447,0)</x:f>
        <x:v>-386585.0069994999</x:v>
      </x:c>
      <x:c r="L447" s="10" t="str">
        <x:f>IF(G447-H447&lt;=0,"未回本",IF(ROUNDUP(I447/(G447-H447),0)&gt;MIN(F447,J447),"未回本",MAX(1,ROUNDUP(I447/(G447-H447),0))))</x:f>
        <x:v>未回本</x:v>
      </x:c>
    </x:row>
    <x:row r="448" ht="22" customHeight="1">
      <x:c r="A448" s="11" t="str">
        <x:v>lade_0824_10aoi</x:v>
      </x:c>
      <x:c r="B448" s="10" t="n">
        <x:v>10</x:v>
      </x:c>
      <x:c r="C448" s="10" t="n">
        <x:v>44</x:v>
      </x:c>
      <x:c r="D448" s="10" t="str">
        <x:v>M1 / M3</x:v>
      </x:c>
      <x:c r="E448" s="16" t="n">
        <x:v>1</x:v>
      </x:c>
      <x:c r="F448" s="14" t="n">
        <x:v>20</x:v>
      </x:c>
      <x:c r="G448" s="26" t="n">
        <x:f>'成本明细'!U62+'成本明细'!G62*(E448-'参数'!$B$6)</x:f>
        <x:v>1453.2131281672223</x:v>
      </x:c>
      <x:c r="H448" s="26" t="n">
        <x:f>'成本明细'!U68</x:f>
        <x:v>2280.5780732538888</x:v>
      </x:c>
      <x:c r="I448" s="26" t="n">
        <x:f>'成本明细'!V68</x:f>
        <x:v>4781.5</x:v>
      </x:c>
      <x:c r="J448" s="22" t="n">
        <x:f>'参数'!$B$9</x:f>
        <x:v>300</x:v>
      </x:c>
      <x:c r="K448" s="26" t="n">
        <x:f>J448*(G448-H448)-I448*ROUNDUP(J448/F448,0)</x:f>
        <x:v>-319931.98352599994</x:v>
      </x:c>
      <x:c r="L448" s="10" t="str">
        <x:f>IF(G448-H448&lt;=0,"未回本",IF(ROUNDUP(I448/(G448-H448),0)&gt;MIN(F448,J448),"未回本",MAX(1,ROUNDUP(I448/(G448-H448),0))))</x:f>
        <x:v>未回本</x:v>
      </x:c>
    </x:row>
    <x:row r="449" ht="22" customHeight="1">
      <x:c r="A449" s="11" t="str">
        <x:v>lade_0824_10aoi</x:v>
      </x:c>
      <x:c r="B449" s="10" t="n">
        <x:v>10</x:v>
      </x:c>
      <x:c r="C449" s="10" t="n">
        <x:v>44</x:v>
      </x:c>
      <x:c r="D449" s="10" t="str">
        <x:v>M2 / M4</x:v>
      </x:c>
      <x:c r="E449" s="16" t="n">
        <x:v>1</x:v>
      </x:c>
      <x:c r="F449" s="14" t="n">
        <x:v>20</x:v>
      </x:c>
      <x:c r="G449" s="26" t="n">
        <x:f>'成本明细'!U65+'成本明细'!G65*(E449-'参数'!$B$6)</x:f>
        <x:v>1453.2131281672223</x:v>
      </x:c>
      <x:c r="H449" s="26" t="n">
        <x:f>'成本明细'!U71</x:f>
        <x:v>2263.6798181655554</x:v>
      </x:c>
      <x:c r="I449" s="26" t="n">
        <x:f>'成本明细'!V71</x:f>
        <x:v>4781.5</x:v>
      </x:c>
      <x:c r="J449" s="22" t="n">
        <x:f>'参数'!$B$9</x:f>
        <x:v>300</x:v>
      </x:c>
      <x:c r="K449" s="26" t="n">
        <x:f>J449*(G449-H449)-I449*ROUNDUP(J449/F449,0)</x:f>
        <x:v>-314862.5069994999</x:v>
      </x:c>
      <x:c r="L449" s="10" t="str">
        <x:f>IF(G449-H449&lt;=0,"未回本",IF(ROUNDUP(I449/(G449-H449),0)&gt;MIN(F449,J449),"未回本",MAX(1,ROUNDUP(I449/(G449-H449),0))))</x:f>
        <x:v>未回本</x:v>
      </x:c>
    </x:row>
    <x:row r="450" ht="22" customHeight="1">
      <x:c r="A450" s="11" t="str">
        <x:v>lade_0824_10aoi</x:v>
      </x:c>
      <x:c r="B450" s="10" t="n">
        <x:v>10</x:v>
      </x:c>
      <x:c r="C450" s="10" t="n">
        <x:v>44</x:v>
      </x:c>
      <x:c r="D450" s="10" t="str">
        <x:v>M1 / M3</x:v>
      </x:c>
      <x:c r="E450" s="16" t="n">
        <x:v>1</x:v>
      </x:c>
      <x:c r="F450" s="14" t="n">
        <x:v>30</x:v>
      </x:c>
      <x:c r="G450" s="26" t="n">
        <x:f>'成本明细'!U62+'成本明细'!G62*(E450-'参数'!$B$6)</x:f>
        <x:v>1453.2131281672223</x:v>
      </x:c>
      <x:c r="H450" s="26" t="n">
        <x:f>'成本明细'!U68</x:f>
        <x:v>2280.5780732538888</x:v>
      </x:c>
      <x:c r="I450" s="26" t="n">
        <x:f>'成本明细'!V68</x:f>
        <x:v>4781.5</x:v>
      </x:c>
      <x:c r="J450" s="22" t="n">
        <x:f>'参数'!$B$9</x:f>
        <x:v>300</x:v>
      </x:c>
      <x:c r="K450" s="26" t="n">
        <x:f>J450*(G450-H450)-I450*ROUNDUP(J450/F450,0)</x:f>
        <x:v>-296024.48352599994</x:v>
      </x:c>
      <x:c r="L450" s="10" t="str">
        <x:f>IF(G450-H450&lt;=0,"未回本",IF(ROUNDUP(I450/(G450-H450),0)&gt;MIN(F450,J450),"未回本",MAX(1,ROUNDUP(I450/(G450-H450),0))))</x:f>
        <x:v>未回本</x:v>
      </x:c>
    </x:row>
    <x:row r="451" ht="22" customHeight="1">
      <x:c r="A451" s="11" t="str">
        <x:v>lade_0824_10aoi</x:v>
      </x:c>
      <x:c r="B451" s="10" t="n">
        <x:v>10</x:v>
      </x:c>
      <x:c r="C451" s="10" t="n">
        <x:v>44</x:v>
      </x:c>
      <x:c r="D451" s="10" t="str">
        <x:v>M2 / M4</x:v>
      </x:c>
      <x:c r="E451" s="16" t="n">
        <x:v>1</x:v>
      </x:c>
      <x:c r="F451" s="14" t="n">
        <x:v>30</x:v>
      </x:c>
      <x:c r="G451" s="26" t="n">
        <x:f>'成本明细'!U65+'成本明细'!G65*(E451-'参数'!$B$6)</x:f>
        <x:v>1453.2131281672223</x:v>
      </x:c>
      <x:c r="H451" s="26" t="n">
        <x:f>'成本明细'!U71</x:f>
        <x:v>2263.6798181655554</x:v>
      </x:c>
      <x:c r="I451" s="26" t="n">
        <x:f>'成本明细'!V71</x:f>
        <x:v>4781.5</x:v>
      </x:c>
      <x:c r="J451" s="22" t="n">
        <x:f>'参数'!$B$9</x:f>
        <x:v>300</x:v>
      </x:c>
      <x:c r="K451" s="26" t="n">
        <x:f>J451*(G451-H451)-I451*ROUNDUP(J451/F451,0)</x:f>
        <x:v>-290955.0069994999</x:v>
      </x:c>
      <x:c r="L451" s="10" t="str">
        <x:f>IF(G451-H451&lt;=0,"未回本",IF(ROUNDUP(I451/(G451-H451),0)&gt;MIN(F451,J451),"未回本",MAX(1,ROUNDUP(I451/(G451-H451),0))))</x:f>
        <x:v>未回本</x:v>
      </x:c>
    </x:row>
    <x:row r="452" ht="22" customHeight="1">
      <x:c r="A452" s="11" t="str">
        <x:v>lade_0824_10aoi</x:v>
      </x:c>
      <x:c r="B452" s="10" t="n">
        <x:v>10</x:v>
      </x:c>
      <x:c r="C452" s="10" t="n">
        <x:v>44</x:v>
      </x:c>
      <x:c r="D452" s="10" t="str">
        <x:v>M1 / M3</x:v>
      </x:c>
      <x:c r="E452" s="16" t="n">
        <x:v>1</x:v>
      </x:c>
      <x:c r="F452" s="14" t="n">
        <x:v>50</x:v>
      </x:c>
      <x:c r="G452" s="26" t="n">
        <x:f>'成本明细'!U62+'成本明细'!G62*(E452-'参数'!$B$6)</x:f>
        <x:v>1453.2131281672223</x:v>
      </x:c>
      <x:c r="H452" s="26" t="n">
        <x:f>'成本明细'!U68</x:f>
        <x:v>2280.5780732538888</x:v>
      </x:c>
      <x:c r="I452" s="26" t="n">
        <x:f>'成本明细'!V68</x:f>
        <x:v>4781.5</x:v>
      </x:c>
      <x:c r="J452" s="22" t="n">
        <x:f>'参数'!$B$9</x:f>
        <x:v>300</x:v>
      </x:c>
      <x:c r="K452" s="26" t="n">
        <x:f>J452*(G452-H452)-I452*ROUNDUP(J452/F452,0)</x:f>
        <x:v>-276898.48352599994</x:v>
      </x:c>
      <x:c r="L452" s="10" t="str">
        <x:f>IF(G452-H452&lt;=0,"未回本",IF(ROUNDUP(I452/(G452-H452),0)&gt;MIN(F452,J452),"未回本",MAX(1,ROUNDUP(I452/(G452-H452),0))))</x:f>
        <x:v>未回本</x:v>
      </x:c>
    </x:row>
    <x:row r="453" ht="22" customHeight="1">
      <x:c r="A453" s="11" t="str">
        <x:v>lade_0824_10aoi</x:v>
      </x:c>
      <x:c r="B453" s="10" t="n">
        <x:v>10</x:v>
      </x:c>
      <x:c r="C453" s="10" t="n">
        <x:v>44</x:v>
      </x:c>
      <x:c r="D453" s="10" t="str">
        <x:v>M2 / M4</x:v>
      </x:c>
      <x:c r="E453" s="16" t="n">
        <x:v>1</x:v>
      </x:c>
      <x:c r="F453" s="14" t="n">
        <x:v>50</x:v>
      </x:c>
      <x:c r="G453" s="26" t="n">
        <x:f>'成本明细'!U65+'成本明细'!G65*(E453-'参数'!$B$6)</x:f>
        <x:v>1453.2131281672223</x:v>
      </x:c>
      <x:c r="H453" s="26" t="n">
        <x:f>'成本明细'!U71</x:f>
        <x:v>2263.6798181655554</x:v>
      </x:c>
      <x:c r="I453" s="26" t="n">
        <x:f>'成本明细'!V71</x:f>
        <x:v>4781.5</x:v>
      </x:c>
      <x:c r="J453" s="22" t="n">
        <x:f>'参数'!$B$9</x:f>
        <x:v>300</x:v>
      </x:c>
      <x:c r="K453" s="26" t="n">
        <x:f>J453*(G453-H453)-I453*ROUNDUP(J453/F453,0)</x:f>
        <x:v>-271829.0069994999</x:v>
      </x:c>
      <x:c r="L453" s="10" t="str">
        <x:f>IF(G453-H453&lt;=0,"未回本",IF(ROUNDUP(I453/(G453-H453),0)&gt;MIN(F453,J453),"未回本",MAX(1,ROUNDUP(I453/(G453-H453),0))))</x:f>
        <x:v>未回本</x:v>
      </x:c>
    </x:row>
    <x:row r="454" ht="22" customHeight="1">
      <x:c r="A454" s="11" t="str">
        <x:v>lade_0824_10aoi</x:v>
      </x:c>
      <x:c r="B454" s="10" t="n">
        <x:v>10</x:v>
      </x:c>
      <x:c r="C454" s="10" t="n">
        <x:v>44</x:v>
      </x:c>
      <x:c r="D454" s="10" t="str">
        <x:v>M1 / M3</x:v>
      </x:c>
      <x:c r="E454" s="16" t="n">
        <x:v>2</x:v>
      </x:c>
      <x:c r="F454" s="14" t="n">
        <x:v>10</x:v>
      </x:c>
      <x:c r="G454" s="26" t="n">
        <x:f>'成本明细'!U62+'成本明细'!G62*(E454-'参数'!$B$6)</x:f>
        <x:v>1584.2131281672223</x:v>
      </x:c>
      <x:c r="H454" s="26" t="n">
        <x:f>'成本明细'!U68</x:f>
        <x:v>2280.5780732538888</x:v>
      </x:c>
      <x:c r="I454" s="26" t="n">
        <x:f>'成本明细'!V68</x:f>
        <x:v>4781.5</x:v>
      </x:c>
      <x:c r="J454" s="22" t="n">
        <x:f>'参数'!$B$9</x:f>
        <x:v>300</x:v>
      </x:c>
      <x:c r="K454" s="26" t="n">
        <x:f>J454*(G454-H454)-I454*ROUNDUP(J454/F454,0)</x:f>
        <x:v>-352354.48352599994</x:v>
      </x:c>
      <x:c r="L454" s="10" t="str">
        <x:f>IF(G454-H454&lt;=0,"未回本",IF(ROUNDUP(I454/(G454-H454),0)&gt;MIN(F454,J454),"未回本",MAX(1,ROUNDUP(I454/(G454-H454),0))))</x:f>
        <x:v>未回本</x:v>
      </x:c>
    </x:row>
    <x:row r="455" ht="22" customHeight="1">
      <x:c r="A455" s="11" t="str">
        <x:v>lade_0824_10aoi</x:v>
      </x:c>
      <x:c r="B455" s="10" t="n">
        <x:v>10</x:v>
      </x:c>
      <x:c r="C455" s="10" t="n">
        <x:v>44</x:v>
      </x:c>
      <x:c r="D455" s="10" t="str">
        <x:v>M2 / M4</x:v>
      </x:c>
      <x:c r="E455" s="16" t="n">
        <x:v>2</x:v>
      </x:c>
      <x:c r="F455" s="14" t="n">
        <x:v>10</x:v>
      </x:c>
      <x:c r="G455" s="26" t="n">
        <x:f>'成本明细'!U65+'成本明细'!G65*(E455-'参数'!$B$6)</x:f>
        <x:v>1584.2131281672223</x:v>
      </x:c>
      <x:c r="H455" s="26" t="n">
        <x:f>'成本明细'!U71</x:f>
        <x:v>2263.6798181655554</x:v>
      </x:c>
      <x:c r="I455" s="26" t="n">
        <x:f>'成本明细'!V71</x:f>
        <x:v>4781.5</x:v>
      </x:c>
      <x:c r="J455" s="22" t="n">
        <x:f>'参数'!$B$9</x:f>
        <x:v>300</x:v>
      </x:c>
      <x:c r="K455" s="26" t="n">
        <x:f>J455*(G455-H455)-I455*ROUNDUP(J455/F455,0)</x:f>
        <x:v>-347285.0069994999</x:v>
      </x:c>
      <x:c r="L455" s="10" t="str">
        <x:f>IF(G455-H455&lt;=0,"未回本",IF(ROUNDUP(I455/(G455-H455),0)&gt;MIN(F455,J455),"未回本",MAX(1,ROUNDUP(I455/(G455-H455),0))))</x:f>
        <x:v>未回本</x:v>
      </x:c>
    </x:row>
    <x:row r="456" ht="22" customHeight="1">
      <x:c r="A456" s="11" t="str">
        <x:v>lade_0824_10aoi</x:v>
      </x:c>
      <x:c r="B456" s="10" t="n">
        <x:v>10</x:v>
      </x:c>
      <x:c r="C456" s="10" t="n">
        <x:v>44</x:v>
      </x:c>
      <x:c r="D456" s="10" t="str">
        <x:v>M1 / M3</x:v>
      </x:c>
      <x:c r="E456" s="16" t="n">
        <x:v>2</x:v>
      </x:c>
      <x:c r="F456" s="14" t="n">
        <x:v>20</x:v>
      </x:c>
      <x:c r="G456" s="26" t="n">
        <x:f>'成本明细'!U62+'成本明细'!G62*(E456-'参数'!$B$6)</x:f>
        <x:v>1584.2131281672223</x:v>
      </x:c>
      <x:c r="H456" s="26" t="n">
        <x:f>'成本明细'!U68</x:f>
        <x:v>2280.5780732538888</x:v>
      </x:c>
      <x:c r="I456" s="26" t="n">
        <x:f>'成本明细'!V68</x:f>
        <x:v>4781.5</x:v>
      </x:c>
      <x:c r="J456" s="22" t="n">
        <x:f>'参数'!$B$9</x:f>
        <x:v>300</x:v>
      </x:c>
      <x:c r="K456" s="26" t="n">
        <x:f>J456*(G456-H456)-I456*ROUNDUP(J456/F456,0)</x:f>
        <x:v>-280631.98352599994</x:v>
      </x:c>
      <x:c r="L456" s="10" t="str">
        <x:f>IF(G456-H456&lt;=0,"未回本",IF(ROUNDUP(I456/(G456-H456),0)&gt;MIN(F456,J456),"未回本",MAX(1,ROUNDUP(I456/(G456-H456),0))))</x:f>
        <x:v>未回本</x:v>
      </x:c>
    </x:row>
    <x:row r="457" ht="22" customHeight="1">
      <x:c r="A457" s="11" t="str">
        <x:v>lade_0824_10aoi</x:v>
      </x:c>
      <x:c r="B457" s="10" t="n">
        <x:v>10</x:v>
      </x:c>
      <x:c r="C457" s="10" t="n">
        <x:v>44</x:v>
      </x:c>
      <x:c r="D457" s="10" t="str">
        <x:v>M2 / M4</x:v>
      </x:c>
      <x:c r="E457" s="16" t="n">
        <x:v>2</x:v>
      </x:c>
      <x:c r="F457" s="14" t="n">
        <x:v>20</x:v>
      </x:c>
      <x:c r="G457" s="26" t="n">
        <x:f>'成本明细'!U65+'成本明细'!G65*(E457-'参数'!$B$6)</x:f>
        <x:v>1584.2131281672223</x:v>
      </x:c>
      <x:c r="H457" s="26" t="n">
        <x:f>'成本明细'!U71</x:f>
        <x:v>2263.6798181655554</x:v>
      </x:c>
      <x:c r="I457" s="26" t="n">
        <x:f>'成本明细'!V71</x:f>
        <x:v>4781.5</x:v>
      </x:c>
      <x:c r="J457" s="22" t="n">
        <x:f>'参数'!$B$9</x:f>
        <x:v>300</x:v>
      </x:c>
      <x:c r="K457" s="26" t="n">
        <x:f>J457*(G457-H457)-I457*ROUNDUP(J457/F457,0)</x:f>
        <x:v>-275562.5069994999</x:v>
      </x:c>
      <x:c r="L457" s="10" t="str">
        <x:f>IF(G457-H457&lt;=0,"未回本",IF(ROUNDUP(I457/(G457-H457),0)&gt;MIN(F457,J457),"未回本",MAX(1,ROUNDUP(I457/(G457-H457),0))))</x:f>
        <x:v>未回本</x:v>
      </x:c>
    </x:row>
    <x:row r="458" ht="22" customHeight="1">
      <x:c r="A458" s="11" t="str">
        <x:v>lade_0824_10aoi</x:v>
      </x:c>
      <x:c r="B458" s="10" t="n">
        <x:v>10</x:v>
      </x:c>
      <x:c r="C458" s="10" t="n">
        <x:v>44</x:v>
      </x:c>
      <x:c r="D458" s="10" t="str">
        <x:v>M1 / M3</x:v>
      </x:c>
      <x:c r="E458" s="16" t="n">
        <x:v>2</x:v>
      </x:c>
      <x:c r="F458" s="14" t="n">
        <x:v>30</x:v>
      </x:c>
      <x:c r="G458" s="26" t="n">
        <x:f>'成本明细'!U62+'成本明细'!G62*(E458-'参数'!$B$6)</x:f>
        <x:v>1584.2131281672223</x:v>
      </x:c>
      <x:c r="H458" s="26" t="n">
        <x:f>'成本明细'!U68</x:f>
        <x:v>2280.5780732538888</x:v>
      </x:c>
      <x:c r="I458" s="26" t="n">
        <x:f>'成本明细'!V68</x:f>
        <x:v>4781.5</x:v>
      </x:c>
      <x:c r="J458" s="22" t="n">
        <x:f>'参数'!$B$9</x:f>
        <x:v>300</x:v>
      </x:c>
      <x:c r="K458" s="26" t="n">
        <x:f>J458*(G458-H458)-I458*ROUNDUP(J458/F458,0)</x:f>
        <x:v>-256724.48352599994</x:v>
      </x:c>
      <x:c r="L458" s="10" t="str">
        <x:f>IF(G458-H458&lt;=0,"未回本",IF(ROUNDUP(I458/(G458-H458),0)&gt;MIN(F458,J458),"未回本",MAX(1,ROUNDUP(I458/(G458-H458),0))))</x:f>
        <x:v>未回本</x:v>
      </x:c>
    </x:row>
    <x:row r="459" ht="22" customHeight="1">
      <x:c r="A459" s="11" t="str">
        <x:v>lade_0824_10aoi</x:v>
      </x:c>
      <x:c r="B459" s="10" t="n">
        <x:v>10</x:v>
      </x:c>
      <x:c r="C459" s="10" t="n">
        <x:v>44</x:v>
      </x:c>
      <x:c r="D459" s="10" t="str">
        <x:v>M2 / M4</x:v>
      </x:c>
      <x:c r="E459" s="16" t="n">
        <x:v>2</x:v>
      </x:c>
      <x:c r="F459" s="14" t="n">
        <x:v>30</x:v>
      </x:c>
      <x:c r="G459" s="26" t="n">
        <x:f>'成本明细'!U65+'成本明细'!G65*(E459-'参数'!$B$6)</x:f>
        <x:v>1584.2131281672223</x:v>
      </x:c>
      <x:c r="H459" s="26" t="n">
        <x:f>'成本明细'!U71</x:f>
        <x:v>2263.6798181655554</x:v>
      </x:c>
      <x:c r="I459" s="26" t="n">
        <x:f>'成本明细'!V71</x:f>
        <x:v>4781.5</x:v>
      </x:c>
      <x:c r="J459" s="22" t="n">
        <x:f>'参数'!$B$9</x:f>
        <x:v>300</x:v>
      </x:c>
      <x:c r="K459" s="26" t="n">
        <x:f>J459*(G459-H459)-I459*ROUNDUP(J459/F459,0)</x:f>
        <x:v>-251655.00699949992</x:v>
      </x:c>
      <x:c r="L459" s="10" t="str">
        <x:f>IF(G459-H459&lt;=0,"未回本",IF(ROUNDUP(I459/(G459-H459),0)&gt;MIN(F459,J459),"未回本",MAX(1,ROUNDUP(I459/(G459-H459),0))))</x:f>
        <x:v>未回本</x:v>
      </x:c>
    </x:row>
    <x:row r="460" ht="22" customHeight="1">
      <x:c r="A460" s="11" t="str">
        <x:v>lade_0824_10aoi</x:v>
      </x:c>
      <x:c r="B460" s="10" t="n">
        <x:v>10</x:v>
      </x:c>
      <x:c r="C460" s="10" t="n">
        <x:v>44</x:v>
      </x:c>
      <x:c r="D460" s="10" t="str">
        <x:v>M1 / M3</x:v>
      </x:c>
      <x:c r="E460" s="16" t="n">
        <x:v>2</x:v>
      </x:c>
      <x:c r="F460" s="14" t="n">
        <x:v>50</x:v>
      </x:c>
      <x:c r="G460" s="26" t="n">
        <x:f>'成本明细'!U62+'成本明细'!G62*(E460-'参数'!$B$6)</x:f>
        <x:v>1584.2131281672223</x:v>
      </x:c>
      <x:c r="H460" s="26" t="n">
        <x:f>'成本明细'!U68</x:f>
        <x:v>2280.5780732538888</x:v>
      </x:c>
      <x:c r="I460" s="26" t="n">
        <x:f>'成本明细'!V68</x:f>
        <x:v>4781.5</x:v>
      </x:c>
      <x:c r="J460" s="22" t="n">
        <x:f>'参数'!$B$9</x:f>
        <x:v>300</x:v>
      </x:c>
      <x:c r="K460" s="26" t="n">
        <x:f>J460*(G460-H460)-I460*ROUNDUP(J460/F460,0)</x:f>
        <x:v>-237598.48352599994</x:v>
      </x:c>
      <x:c r="L460" s="10" t="str">
        <x:f>IF(G460-H460&lt;=0,"未回本",IF(ROUNDUP(I460/(G460-H460),0)&gt;MIN(F460,J460),"未回本",MAX(1,ROUNDUP(I460/(G460-H460),0))))</x:f>
        <x:v>未回本</x:v>
      </x:c>
    </x:row>
    <x:row r="461" ht="22" customHeight="1">
      <x:c r="A461" s="11" t="str">
        <x:v>lade_0824_10aoi</x:v>
      </x:c>
      <x:c r="B461" s="10" t="n">
        <x:v>10</x:v>
      </x:c>
      <x:c r="C461" s="10" t="n">
        <x:v>44</x:v>
      </x:c>
      <x:c r="D461" s="10" t="str">
        <x:v>M2 / M4</x:v>
      </x:c>
      <x:c r="E461" s="16" t="n">
        <x:v>2</x:v>
      </x:c>
      <x:c r="F461" s="14" t="n">
        <x:v>50</x:v>
      </x:c>
      <x:c r="G461" s="26" t="n">
        <x:f>'成本明细'!U65+'成本明细'!G65*(E461-'参数'!$B$6)</x:f>
        <x:v>1584.2131281672223</x:v>
      </x:c>
      <x:c r="H461" s="26" t="n">
        <x:f>'成本明细'!U71</x:f>
        <x:v>2263.6798181655554</x:v>
      </x:c>
      <x:c r="I461" s="26" t="n">
        <x:f>'成本明细'!V71</x:f>
        <x:v>4781.5</x:v>
      </x:c>
      <x:c r="J461" s="22" t="n">
        <x:f>'参数'!$B$9</x:f>
        <x:v>300</x:v>
      </x:c>
      <x:c r="K461" s="26" t="n">
        <x:f>J461*(G461-H461)-I461*ROUNDUP(J461/F461,0)</x:f>
        <x:v>-232529.00699949992</x:v>
      </x:c>
      <x:c r="L461" s="10" t="str">
        <x:f>IF(G461-H461&lt;=0,"未回本",IF(ROUNDUP(I461/(G461-H461),0)&gt;MIN(F461,J461),"未回本",MAX(1,ROUNDUP(I461/(G461-H461),0))))</x:f>
        <x:v>未回本</x:v>
      </x:c>
    </x:row>
    <x:row r="462" ht="22" customHeight="1">
      <x:c r="A462" s="11" t="str">
        <x:v>lade_0824_10aoi</x:v>
      </x:c>
      <x:c r="B462" s="10" t="n">
        <x:v>10</x:v>
      </x:c>
      <x:c r="C462" s="10" t="n">
        <x:v>44</x:v>
      </x:c>
      <x:c r="D462" s="10" t="str">
        <x:v>M1 / M3</x:v>
      </x:c>
      <x:c r="E462" s="16" t="n">
        <x:v>3</x:v>
      </x:c>
      <x:c r="F462" s="14" t="n">
        <x:v>10</x:v>
      </x:c>
      <x:c r="G462" s="26" t="n">
        <x:f>'成本明细'!U62+'成本明细'!G62*(E462-'参数'!$B$6)</x:f>
        <x:v>1715.2131281672223</x:v>
      </x:c>
      <x:c r="H462" s="26" t="n">
        <x:f>'成本明细'!U68</x:f>
        <x:v>2280.5780732538888</x:v>
      </x:c>
      <x:c r="I462" s="26" t="n">
        <x:f>'成本明细'!V68</x:f>
        <x:v>4781.5</x:v>
      </x:c>
      <x:c r="J462" s="22" t="n">
        <x:f>'参数'!$B$9</x:f>
        <x:v>300</x:v>
      </x:c>
      <x:c r="K462" s="26" t="n">
        <x:f>J462*(G462-H462)-I462*ROUNDUP(J462/F462,0)</x:f>
        <x:v>-313054.48352599994</x:v>
      </x:c>
      <x:c r="L462" s="10" t="str">
        <x:f>IF(G462-H462&lt;=0,"未回本",IF(ROUNDUP(I462/(G462-H462),0)&gt;MIN(F462,J462),"未回本",MAX(1,ROUNDUP(I462/(G462-H462),0))))</x:f>
        <x:v>未回本</x:v>
      </x:c>
    </x:row>
    <x:row r="463" ht="22" customHeight="1">
      <x:c r="A463" s="11" t="str">
        <x:v>lade_0824_10aoi</x:v>
      </x:c>
      <x:c r="B463" s="10" t="n">
        <x:v>10</x:v>
      </x:c>
      <x:c r="C463" s="10" t="n">
        <x:v>44</x:v>
      </x:c>
      <x:c r="D463" s="10" t="str">
        <x:v>M2 / M4</x:v>
      </x:c>
      <x:c r="E463" s="16" t="n">
        <x:v>3</x:v>
      </x:c>
      <x:c r="F463" s="14" t="n">
        <x:v>10</x:v>
      </x:c>
      <x:c r="G463" s="26" t="n">
        <x:f>'成本明细'!U65+'成本明细'!G65*(E463-'参数'!$B$6)</x:f>
        <x:v>1715.2131281672223</x:v>
      </x:c>
      <x:c r="H463" s="26" t="n">
        <x:f>'成本明细'!U71</x:f>
        <x:v>2263.6798181655554</x:v>
      </x:c>
      <x:c r="I463" s="26" t="n">
        <x:f>'成本明细'!V71</x:f>
        <x:v>4781.5</x:v>
      </x:c>
      <x:c r="J463" s="22" t="n">
        <x:f>'参数'!$B$9</x:f>
        <x:v>300</x:v>
      </x:c>
      <x:c r="K463" s="26" t="n">
        <x:f>J463*(G463-H463)-I463*ROUNDUP(J463/F463,0)</x:f>
        <x:v>-307985.0069994999</x:v>
      </x:c>
      <x:c r="L463" s="10" t="str">
        <x:f>IF(G463-H463&lt;=0,"未回本",IF(ROUNDUP(I463/(G463-H463),0)&gt;MIN(F463,J463),"未回本",MAX(1,ROUNDUP(I463/(G463-H463),0))))</x:f>
        <x:v>未回本</x:v>
      </x:c>
    </x:row>
    <x:row r="464" ht="22" customHeight="1">
      <x:c r="A464" s="11" t="str">
        <x:v>lade_0824_10aoi</x:v>
      </x:c>
      <x:c r="B464" s="10" t="n">
        <x:v>10</x:v>
      </x:c>
      <x:c r="C464" s="10" t="n">
        <x:v>44</x:v>
      </x:c>
      <x:c r="D464" s="10" t="str">
        <x:v>M1 / M3</x:v>
      </x:c>
      <x:c r="E464" s="16" t="n">
        <x:v>3</x:v>
      </x:c>
      <x:c r="F464" s="14" t="n">
        <x:v>20</x:v>
      </x:c>
      <x:c r="G464" s="26" t="n">
        <x:f>'成本明细'!U62+'成本明细'!G62*(E464-'参数'!$B$6)</x:f>
        <x:v>1715.2131281672223</x:v>
      </x:c>
      <x:c r="H464" s="26" t="n">
        <x:f>'成本明细'!U68</x:f>
        <x:v>2280.5780732538888</x:v>
      </x:c>
      <x:c r="I464" s="26" t="n">
        <x:f>'成本明细'!V68</x:f>
        <x:v>4781.5</x:v>
      </x:c>
      <x:c r="J464" s="22" t="n">
        <x:f>'参数'!$B$9</x:f>
        <x:v>300</x:v>
      </x:c>
      <x:c r="K464" s="26" t="n">
        <x:f>J464*(G464-H464)-I464*ROUNDUP(J464/F464,0)</x:f>
        <x:v>-241331.98352599994</x:v>
      </x:c>
      <x:c r="L464" s="10" t="str">
        <x:f>IF(G464-H464&lt;=0,"未回本",IF(ROUNDUP(I464/(G464-H464),0)&gt;MIN(F464,J464),"未回本",MAX(1,ROUNDUP(I464/(G464-H464),0))))</x:f>
        <x:v>未回本</x:v>
      </x:c>
    </x:row>
    <x:row r="465" ht="22" customHeight="1">
      <x:c r="A465" s="11" t="str">
        <x:v>lade_0824_10aoi</x:v>
      </x:c>
      <x:c r="B465" s="10" t="n">
        <x:v>10</x:v>
      </x:c>
      <x:c r="C465" s="10" t="n">
        <x:v>44</x:v>
      </x:c>
      <x:c r="D465" s="10" t="str">
        <x:v>M2 / M4</x:v>
      </x:c>
      <x:c r="E465" s="16" t="n">
        <x:v>3</x:v>
      </x:c>
      <x:c r="F465" s="14" t="n">
        <x:v>20</x:v>
      </x:c>
      <x:c r="G465" s="26" t="n">
        <x:f>'成本明细'!U65+'成本明细'!G65*(E465-'参数'!$B$6)</x:f>
        <x:v>1715.2131281672223</x:v>
      </x:c>
      <x:c r="H465" s="26" t="n">
        <x:f>'成本明细'!U71</x:f>
        <x:v>2263.6798181655554</x:v>
      </x:c>
      <x:c r="I465" s="26" t="n">
        <x:f>'成本明细'!V71</x:f>
        <x:v>4781.5</x:v>
      </x:c>
      <x:c r="J465" s="22" t="n">
        <x:f>'参数'!$B$9</x:f>
        <x:v>300</x:v>
      </x:c>
      <x:c r="K465" s="26" t="n">
        <x:f>J465*(G465-H465)-I465*ROUNDUP(J465/F465,0)</x:f>
        <x:v>-236262.50699949992</x:v>
      </x:c>
      <x:c r="L465" s="10" t="str">
        <x:f>IF(G465-H465&lt;=0,"未回本",IF(ROUNDUP(I465/(G465-H465),0)&gt;MIN(F465,J465),"未回本",MAX(1,ROUNDUP(I465/(G465-H465),0))))</x:f>
        <x:v>未回本</x:v>
      </x:c>
    </x:row>
    <x:row r="466" ht="22" customHeight="1">
      <x:c r="A466" s="11" t="str">
        <x:v>lade_0824_10aoi</x:v>
      </x:c>
      <x:c r="B466" s="10" t="n">
        <x:v>10</x:v>
      </x:c>
      <x:c r="C466" s="10" t="n">
        <x:v>44</x:v>
      </x:c>
      <x:c r="D466" s="10" t="str">
        <x:v>M1 / M3</x:v>
      </x:c>
      <x:c r="E466" s="16" t="n">
        <x:v>3</x:v>
      </x:c>
      <x:c r="F466" s="14" t="n">
        <x:v>30</x:v>
      </x:c>
      <x:c r="G466" s="26" t="n">
        <x:f>'成本明细'!U62+'成本明细'!G62*(E466-'参数'!$B$6)</x:f>
        <x:v>1715.2131281672223</x:v>
      </x:c>
      <x:c r="H466" s="26" t="n">
        <x:f>'成本明细'!U68</x:f>
        <x:v>2280.5780732538888</x:v>
      </x:c>
      <x:c r="I466" s="26" t="n">
        <x:f>'成本明细'!V68</x:f>
        <x:v>4781.5</x:v>
      </x:c>
      <x:c r="J466" s="22" t="n">
        <x:f>'参数'!$B$9</x:f>
        <x:v>300</x:v>
      </x:c>
      <x:c r="K466" s="26" t="n">
        <x:f>J466*(G466-H466)-I466*ROUNDUP(J466/F466,0)</x:f>
        <x:v>-217424.48352599994</x:v>
      </x:c>
      <x:c r="L466" s="10" t="str">
        <x:f>IF(G466-H466&lt;=0,"未回本",IF(ROUNDUP(I466/(G466-H466),0)&gt;MIN(F466,J466),"未回本",MAX(1,ROUNDUP(I466/(G466-H466),0))))</x:f>
        <x:v>未回本</x:v>
      </x:c>
    </x:row>
    <x:row r="467" ht="22" customHeight="1">
      <x:c r="A467" s="11" t="str">
        <x:v>lade_0824_10aoi</x:v>
      </x:c>
      <x:c r="B467" s="10" t="n">
        <x:v>10</x:v>
      </x:c>
      <x:c r="C467" s="10" t="n">
        <x:v>44</x:v>
      </x:c>
      <x:c r="D467" s="10" t="str">
        <x:v>M2 / M4</x:v>
      </x:c>
      <x:c r="E467" s="16" t="n">
        <x:v>3</x:v>
      </x:c>
      <x:c r="F467" s="14" t="n">
        <x:v>30</x:v>
      </x:c>
      <x:c r="G467" s="26" t="n">
        <x:f>'成本明细'!U65+'成本明细'!G65*(E467-'参数'!$B$6)</x:f>
        <x:v>1715.2131281672223</x:v>
      </x:c>
      <x:c r="H467" s="26" t="n">
        <x:f>'成本明细'!U71</x:f>
        <x:v>2263.6798181655554</x:v>
      </x:c>
      <x:c r="I467" s="26" t="n">
        <x:f>'成本明细'!V71</x:f>
        <x:v>4781.5</x:v>
      </x:c>
      <x:c r="J467" s="22" t="n">
        <x:f>'参数'!$B$9</x:f>
        <x:v>300</x:v>
      </x:c>
      <x:c r="K467" s="26" t="n">
        <x:f>J467*(G467-H467)-I467*ROUNDUP(J467/F467,0)</x:f>
        <x:v>-212355.00699949992</x:v>
      </x:c>
      <x:c r="L467" s="10" t="str">
        <x:f>IF(G467-H467&lt;=0,"未回本",IF(ROUNDUP(I467/(G467-H467),0)&gt;MIN(F467,J467),"未回本",MAX(1,ROUNDUP(I467/(G467-H467),0))))</x:f>
        <x:v>未回本</x:v>
      </x:c>
    </x:row>
    <x:row r="468" ht="22" customHeight="1">
      <x:c r="A468" s="11" t="str">
        <x:v>lade_0824_10aoi</x:v>
      </x:c>
      <x:c r="B468" s="10" t="n">
        <x:v>10</x:v>
      </x:c>
      <x:c r="C468" s="10" t="n">
        <x:v>44</x:v>
      </x:c>
      <x:c r="D468" s="10" t="str">
        <x:v>M1 / M3</x:v>
      </x:c>
      <x:c r="E468" s="16" t="n">
        <x:v>3</x:v>
      </x:c>
      <x:c r="F468" s="14" t="n">
        <x:v>50</x:v>
      </x:c>
      <x:c r="G468" s="26" t="n">
        <x:f>'成本明细'!U62+'成本明细'!G62*(E468-'参数'!$B$6)</x:f>
        <x:v>1715.2131281672223</x:v>
      </x:c>
      <x:c r="H468" s="26" t="n">
        <x:f>'成本明细'!U68</x:f>
        <x:v>2280.5780732538888</x:v>
      </x:c>
      <x:c r="I468" s="26" t="n">
        <x:f>'成本明细'!V68</x:f>
        <x:v>4781.5</x:v>
      </x:c>
      <x:c r="J468" s="22" t="n">
        <x:f>'参数'!$B$9</x:f>
        <x:v>300</x:v>
      </x:c>
      <x:c r="K468" s="26" t="n">
        <x:f>J468*(G468-H468)-I468*ROUNDUP(J468/F468,0)</x:f>
        <x:v>-198298.48352599994</x:v>
      </x:c>
      <x:c r="L468" s="10" t="str">
        <x:f>IF(G468-H468&lt;=0,"未回本",IF(ROUNDUP(I468/(G468-H468),0)&gt;MIN(F468,J468),"未回本",MAX(1,ROUNDUP(I468/(G468-H468),0))))</x:f>
        <x:v>未回本</x:v>
      </x:c>
    </x:row>
    <x:row r="469" ht="22" customHeight="1">
      <x:c r="A469" s="11" t="str">
        <x:v>lade_0824_10aoi</x:v>
      </x:c>
      <x:c r="B469" s="10" t="n">
        <x:v>10</x:v>
      </x:c>
      <x:c r="C469" s="10" t="n">
        <x:v>44</x:v>
      </x:c>
      <x:c r="D469" s="10" t="str">
        <x:v>M2 / M4</x:v>
      </x:c>
      <x:c r="E469" s="16" t="n">
        <x:v>3</x:v>
      </x:c>
      <x:c r="F469" s="14" t="n">
        <x:v>50</x:v>
      </x:c>
      <x:c r="G469" s="26" t="n">
        <x:f>'成本明细'!U65+'成本明细'!G65*(E469-'参数'!$B$6)</x:f>
        <x:v>1715.2131281672223</x:v>
      </x:c>
      <x:c r="H469" s="26" t="n">
        <x:f>'成本明细'!U71</x:f>
        <x:v>2263.6798181655554</x:v>
      </x:c>
      <x:c r="I469" s="26" t="n">
        <x:f>'成本明细'!V71</x:f>
        <x:v>4781.5</x:v>
      </x:c>
      <x:c r="J469" s="22" t="n">
        <x:f>'参数'!$B$9</x:f>
        <x:v>300</x:v>
      </x:c>
      <x:c r="K469" s="26" t="n">
        <x:f>J469*(G469-H469)-I469*ROUNDUP(J469/F469,0)</x:f>
        <x:v>-193229.00699949992</x:v>
      </x:c>
      <x:c r="L469" s="10" t="str">
        <x:f>IF(G469-H469&lt;=0,"未回本",IF(ROUNDUP(I469/(G469-H469),0)&gt;MIN(F469,J469),"未回本",MAX(1,ROUNDUP(I469/(G469-H469),0))))</x:f>
        <x:v>未回本</x:v>
      </x:c>
    </x:row>
    <x:row r="470" ht="22" customHeight="1">
      <x:c r="A470" s="11" t="str">
        <x:v>lade_0824_10aoi</x:v>
      </x:c>
      <x:c r="B470" s="10" t="n">
        <x:v>10</x:v>
      </x:c>
      <x:c r="C470" s="10" t="n">
        <x:v>44</x:v>
      </x:c>
      <x:c r="D470" s="10" t="str">
        <x:v>M1 / M3</x:v>
      </x:c>
      <x:c r="E470" s="16" t="n">
        <x:v>4</x:v>
      </x:c>
      <x:c r="F470" s="14" t="n">
        <x:v>10</x:v>
      </x:c>
      <x:c r="G470" s="26" t="n">
        <x:f>'成本明细'!U62+'成本明细'!G62*(E470-'参数'!$B$6)</x:f>
        <x:v>1846.2131281672223</x:v>
      </x:c>
      <x:c r="H470" s="26" t="n">
        <x:f>'成本明细'!U68</x:f>
        <x:v>2280.5780732538888</x:v>
      </x:c>
      <x:c r="I470" s="26" t="n">
        <x:f>'成本明细'!V68</x:f>
        <x:v>4781.5</x:v>
      </x:c>
      <x:c r="J470" s="22" t="n">
        <x:f>'参数'!$B$9</x:f>
        <x:v>300</x:v>
      </x:c>
      <x:c r="K470" s="26" t="n">
        <x:f>J470*(G470-H470)-I470*ROUNDUP(J470/F470,0)</x:f>
        <x:v>-273754.48352599994</x:v>
      </x:c>
      <x:c r="L470" s="10" t="str">
        <x:f>IF(G470-H470&lt;=0,"未回本",IF(ROUNDUP(I470/(G470-H470),0)&gt;MIN(F470,J470),"未回本",MAX(1,ROUNDUP(I470/(G470-H470),0))))</x:f>
        <x:v>未回本</x:v>
      </x:c>
    </x:row>
    <x:row r="471" ht="22" customHeight="1">
      <x:c r="A471" s="11" t="str">
        <x:v>lade_0824_10aoi</x:v>
      </x:c>
      <x:c r="B471" s="10" t="n">
        <x:v>10</x:v>
      </x:c>
      <x:c r="C471" s="10" t="n">
        <x:v>44</x:v>
      </x:c>
      <x:c r="D471" s="10" t="str">
        <x:v>M2 / M4</x:v>
      </x:c>
      <x:c r="E471" s="16" t="n">
        <x:v>4</x:v>
      </x:c>
      <x:c r="F471" s="14" t="n">
        <x:v>10</x:v>
      </x:c>
      <x:c r="G471" s="26" t="n">
        <x:f>'成本明细'!U65+'成本明细'!G65*(E471-'参数'!$B$6)</x:f>
        <x:v>1846.2131281672223</x:v>
      </x:c>
      <x:c r="H471" s="26" t="n">
        <x:f>'成本明细'!U71</x:f>
        <x:v>2263.6798181655554</x:v>
      </x:c>
      <x:c r="I471" s="26" t="n">
        <x:f>'成本明细'!V71</x:f>
        <x:v>4781.5</x:v>
      </x:c>
      <x:c r="J471" s="22" t="n">
        <x:f>'参数'!$B$9</x:f>
        <x:v>300</x:v>
      </x:c>
      <x:c r="K471" s="26" t="n">
        <x:f>J471*(G471-H471)-I471*ROUNDUP(J471/F471,0)</x:f>
        <x:v>-268685.0069994999</x:v>
      </x:c>
      <x:c r="L471" s="10" t="str">
        <x:f>IF(G471-H471&lt;=0,"未回本",IF(ROUNDUP(I471/(G471-H471),0)&gt;MIN(F471,J471),"未回本",MAX(1,ROUNDUP(I471/(G471-H471),0))))</x:f>
        <x:v>未回本</x:v>
      </x:c>
    </x:row>
    <x:row r="472" ht="22" customHeight="1">
      <x:c r="A472" s="11" t="str">
        <x:v>lade_0824_10aoi</x:v>
      </x:c>
      <x:c r="B472" s="10" t="n">
        <x:v>10</x:v>
      </x:c>
      <x:c r="C472" s="10" t="n">
        <x:v>44</x:v>
      </x:c>
      <x:c r="D472" s="10" t="str">
        <x:v>M1 / M3</x:v>
      </x:c>
      <x:c r="E472" s="16" t="n">
        <x:v>4</x:v>
      </x:c>
      <x:c r="F472" s="14" t="n">
        <x:v>20</x:v>
      </x:c>
      <x:c r="G472" s="26" t="n">
        <x:f>'成本明细'!U62+'成本明细'!G62*(E472-'参数'!$B$6)</x:f>
        <x:v>1846.2131281672223</x:v>
      </x:c>
      <x:c r="H472" s="26" t="n">
        <x:f>'成本明细'!U68</x:f>
        <x:v>2280.5780732538888</x:v>
      </x:c>
      <x:c r="I472" s="26" t="n">
        <x:f>'成本明细'!V68</x:f>
        <x:v>4781.5</x:v>
      </x:c>
      <x:c r="J472" s="22" t="n">
        <x:f>'参数'!$B$9</x:f>
        <x:v>300</x:v>
      </x:c>
      <x:c r="K472" s="26" t="n">
        <x:f>J472*(G472-H472)-I472*ROUNDUP(J472/F472,0)</x:f>
        <x:v>-202031.98352599994</x:v>
      </x:c>
      <x:c r="L472" s="10" t="str">
        <x:f>IF(G472-H472&lt;=0,"未回本",IF(ROUNDUP(I472/(G472-H472),0)&gt;MIN(F472,J472),"未回本",MAX(1,ROUNDUP(I472/(G472-H472),0))))</x:f>
        <x:v>未回本</x:v>
      </x:c>
    </x:row>
    <x:row r="473" ht="22" customHeight="1">
      <x:c r="A473" s="11" t="str">
        <x:v>lade_0824_10aoi</x:v>
      </x:c>
      <x:c r="B473" s="10" t="n">
        <x:v>10</x:v>
      </x:c>
      <x:c r="C473" s="10" t="n">
        <x:v>44</x:v>
      </x:c>
      <x:c r="D473" s="10" t="str">
        <x:v>M2 / M4</x:v>
      </x:c>
      <x:c r="E473" s="16" t="n">
        <x:v>4</x:v>
      </x:c>
      <x:c r="F473" s="14" t="n">
        <x:v>20</x:v>
      </x:c>
      <x:c r="G473" s="26" t="n">
        <x:f>'成本明细'!U65+'成本明细'!G65*(E473-'参数'!$B$6)</x:f>
        <x:v>1846.2131281672223</x:v>
      </x:c>
      <x:c r="H473" s="26" t="n">
        <x:f>'成本明细'!U71</x:f>
        <x:v>2263.6798181655554</x:v>
      </x:c>
      <x:c r="I473" s="26" t="n">
        <x:f>'成本明细'!V71</x:f>
        <x:v>4781.5</x:v>
      </x:c>
      <x:c r="J473" s="22" t="n">
        <x:f>'参数'!$B$9</x:f>
        <x:v>300</x:v>
      </x:c>
      <x:c r="K473" s="26" t="n">
        <x:f>J473*(G473-H473)-I473*ROUNDUP(J473/F473,0)</x:f>
        <x:v>-196962.50699949992</x:v>
      </x:c>
      <x:c r="L473" s="10" t="str">
        <x:f>IF(G473-H473&lt;=0,"未回本",IF(ROUNDUP(I473/(G473-H473),0)&gt;MIN(F473,J473),"未回本",MAX(1,ROUNDUP(I473/(G473-H473),0))))</x:f>
        <x:v>未回本</x:v>
      </x:c>
    </x:row>
    <x:row r="474" ht="22" customHeight="1">
      <x:c r="A474" s="11" t="str">
        <x:v>lade_0824_10aoi</x:v>
      </x:c>
      <x:c r="B474" s="10" t="n">
        <x:v>10</x:v>
      </x:c>
      <x:c r="C474" s="10" t="n">
        <x:v>44</x:v>
      </x:c>
      <x:c r="D474" s="10" t="str">
        <x:v>M1 / M3</x:v>
      </x:c>
      <x:c r="E474" s="16" t="n">
        <x:v>4</x:v>
      </x:c>
      <x:c r="F474" s="14" t="n">
        <x:v>30</x:v>
      </x:c>
      <x:c r="G474" s="26" t="n">
        <x:f>'成本明细'!U62+'成本明细'!G62*(E474-'参数'!$B$6)</x:f>
        <x:v>1846.2131281672223</x:v>
      </x:c>
      <x:c r="H474" s="26" t="n">
        <x:f>'成本明细'!U68</x:f>
        <x:v>2280.5780732538888</x:v>
      </x:c>
      <x:c r="I474" s="26" t="n">
        <x:f>'成本明细'!V68</x:f>
        <x:v>4781.5</x:v>
      </x:c>
      <x:c r="J474" s="22" t="n">
        <x:f>'参数'!$B$9</x:f>
        <x:v>300</x:v>
      </x:c>
      <x:c r="K474" s="26" t="n">
        <x:f>J474*(G474-H474)-I474*ROUNDUP(J474/F474,0)</x:f>
        <x:v>-178124.48352599994</x:v>
      </x:c>
      <x:c r="L474" s="10" t="str">
        <x:f>IF(G474-H474&lt;=0,"未回本",IF(ROUNDUP(I474/(G474-H474),0)&gt;MIN(F474,J474),"未回本",MAX(1,ROUNDUP(I474/(G474-H474),0))))</x:f>
        <x:v>未回本</x:v>
      </x:c>
    </x:row>
    <x:row r="475" ht="22" customHeight="1">
      <x:c r="A475" s="11" t="str">
        <x:v>lade_0824_10aoi</x:v>
      </x:c>
      <x:c r="B475" s="10" t="n">
        <x:v>10</x:v>
      </x:c>
      <x:c r="C475" s="10" t="n">
        <x:v>44</x:v>
      </x:c>
      <x:c r="D475" s="10" t="str">
        <x:v>M2 / M4</x:v>
      </x:c>
      <x:c r="E475" s="16" t="n">
        <x:v>4</x:v>
      </x:c>
      <x:c r="F475" s="14" t="n">
        <x:v>30</x:v>
      </x:c>
      <x:c r="G475" s="26" t="n">
        <x:f>'成本明细'!U65+'成本明细'!G65*(E475-'参数'!$B$6)</x:f>
        <x:v>1846.2131281672223</x:v>
      </x:c>
      <x:c r="H475" s="26" t="n">
        <x:f>'成本明细'!U71</x:f>
        <x:v>2263.6798181655554</x:v>
      </x:c>
      <x:c r="I475" s="26" t="n">
        <x:f>'成本明细'!V71</x:f>
        <x:v>4781.5</x:v>
      </x:c>
      <x:c r="J475" s="22" t="n">
        <x:f>'参数'!$B$9</x:f>
        <x:v>300</x:v>
      </x:c>
      <x:c r="K475" s="26" t="n">
        <x:f>J475*(G475-H475)-I475*ROUNDUP(J475/F475,0)</x:f>
        <x:v>-173055.00699949992</x:v>
      </x:c>
      <x:c r="L475" s="10" t="str">
        <x:f>IF(G475-H475&lt;=0,"未回本",IF(ROUNDUP(I475/(G475-H475),0)&gt;MIN(F475,J475),"未回本",MAX(1,ROUNDUP(I475/(G475-H475),0))))</x:f>
        <x:v>未回本</x:v>
      </x:c>
    </x:row>
    <x:row r="476" ht="22" customHeight="1">
      <x:c r="A476" s="11" t="str">
        <x:v>lade_0824_10aoi</x:v>
      </x:c>
      <x:c r="B476" s="10" t="n">
        <x:v>10</x:v>
      </x:c>
      <x:c r="C476" s="10" t="n">
        <x:v>44</x:v>
      </x:c>
      <x:c r="D476" s="10" t="str">
        <x:v>M1 / M3</x:v>
      </x:c>
      <x:c r="E476" s="16" t="n">
        <x:v>4</x:v>
      </x:c>
      <x:c r="F476" s="14" t="n">
        <x:v>50</x:v>
      </x:c>
      <x:c r="G476" s="26" t="n">
        <x:f>'成本明细'!U62+'成本明细'!G62*(E476-'参数'!$B$6)</x:f>
        <x:v>1846.2131281672223</x:v>
      </x:c>
      <x:c r="H476" s="26" t="n">
        <x:f>'成本明细'!U68</x:f>
        <x:v>2280.5780732538888</x:v>
      </x:c>
      <x:c r="I476" s="26" t="n">
        <x:f>'成本明细'!V68</x:f>
        <x:v>4781.5</x:v>
      </x:c>
      <x:c r="J476" s="22" t="n">
        <x:f>'参数'!$B$9</x:f>
        <x:v>300</x:v>
      </x:c>
      <x:c r="K476" s="26" t="n">
        <x:f>J476*(G476-H476)-I476*ROUNDUP(J476/F476,0)</x:f>
        <x:v>-158998.48352599994</x:v>
      </x:c>
      <x:c r="L476" s="10" t="str">
        <x:f>IF(G476-H476&lt;=0,"未回本",IF(ROUNDUP(I476/(G476-H476),0)&gt;MIN(F476,J476),"未回本",MAX(1,ROUNDUP(I476/(G476-H476),0))))</x:f>
        <x:v>未回本</x:v>
      </x:c>
    </x:row>
    <x:row r="477" ht="22" customHeight="1">
      <x:c r="A477" s="11" t="str">
        <x:v>lade_0824_10aoi</x:v>
      </x:c>
      <x:c r="B477" s="10" t="n">
        <x:v>10</x:v>
      </x:c>
      <x:c r="C477" s="10" t="n">
        <x:v>44</x:v>
      </x:c>
      <x:c r="D477" s="10" t="str">
        <x:v>M2 / M4</x:v>
      </x:c>
      <x:c r="E477" s="16" t="n">
        <x:v>4</x:v>
      </x:c>
      <x:c r="F477" s="14" t="n">
        <x:v>50</x:v>
      </x:c>
      <x:c r="G477" s="26" t="n">
        <x:f>'成本明细'!U65+'成本明细'!G65*(E477-'参数'!$B$6)</x:f>
        <x:v>1846.2131281672223</x:v>
      </x:c>
      <x:c r="H477" s="26" t="n">
        <x:f>'成本明细'!U71</x:f>
        <x:v>2263.6798181655554</x:v>
      </x:c>
      <x:c r="I477" s="26" t="n">
        <x:f>'成本明细'!V71</x:f>
        <x:v>4781.5</x:v>
      </x:c>
      <x:c r="J477" s="22" t="n">
        <x:f>'参数'!$B$9</x:f>
        <x:v>300</x:v>
      </x:c>
      <x:c r="K477" s="26" t="n">
        <x:f>J477*(G477-H477)-I477*ROUNDUP(J477/F477,0)</x:f>
        <x:v>-153929.00699949992</x:v>
      </x:c>
      <x:c r="L477" s="10" t="str">
        <x:f>IF(G477-H477&lt;=0,"未回本",IF(ROUNDUP(I477/(G477-H477),0)&gt;MIN(F477,J477),"未回本",MAX(1,ROUNDUP(I477/(G477-H477),0))))</x:f>
        <x:v>未回本</x:v>
      </x:c>
    </x:row>
    <x:row r="478" ht="22" customHeight="1">
      <x:c r="A478" s="11" t="str">
        <x:v>lade_0824_10aoi</x:v>
      </x:c>
      <x:c r="B478" s="10" t="n">
        <x:v>10</x:v>
      </x:c>
      <x:c r="C478" s="10" t="n">
        <x:v>44</x:v>
      </x:c>
      <x:c r="D478" s="10" t="str">
        <x:v>M1 / M3</x:v>
      </x:c>
      <x:c r="E478" s="16" t="n">
        <x:v>5</x:v>
      </x:c>
      <x:c r="F478" s="14" t="n">
        <x:v>10</x:v>
      </x:c>
      <x:c r="G478" s="26" t="n">
        <x:f>'成本明细'!U62+'成本明细'!G62*(E478-'参数'!$B$6)</x:f>
        <x:v>1977.2131281672223</x:v>
      </x:c>
      <x:c r="H478" s="26" t="n">
        <x:f>'成本明细'!U68</x:f>
        <x:v>2280.5780732538888</x:v>
      </x:c>
      <x:c r="I478" s="26" t="n">
        <x:f>'成本明细'!V68</x:f>
        <x:v>4781.5</x:v>
      </x:c>
      <x:c r="J478" s="22" t="n">
        <x:f>'参数'!$B$9</x:f>
        <x:v>300</x:v>
      </x:c>
      <x:c r="K478" s="26" t="n">
        <x:f>J478*(G478-H478)-I478*ROUNDUP(J478/F478,0)</x:f>
        <x:v>-234454.48352599994</x:v>
      </x:c>
      <x:c r="L478" s="10" t="str">
        <x:f>IF(G478-H478&lt;=0,"未回本",IF(ROUNDUP(I478/(G478-H478),0)&gt;MIN(F478,J478),"未回本",MAX(1,ROUNDUP(I478/(G478-H478),0))))</x:f>
        <x:v>未回本</x:v>
      </x:c>
    </x:row>
    <x:row r="479" ht="22" customHeight="1">
      <x:c r="A479" s="11" t="str">
        <x:v>lade_0824_10aoi</x:v>
      </x:c>
      <x:c r="B479" s="10" t="n">
        <x:v>10</x:v>
      </x:c>
      <x:c r="C479" s="10" t="n">
        <x:v>44</x:v>
      </x:c>
      <x:c r="D479" s="10" t="str">
        <x:v>M2 / M4</x:v>
      </x:c>
      <x:c r="E479" s="16" t="n">
        <x:v>5</x:v>
      </x:c>
      <x:c r="F479" s="14" t="n">
        <x:v>10</x:v>
      </x:c>
      <x:c r="G479" s="26" t="n">
        <x:f>'成本明细'!U65+'成本明细'!G65*(E479-'参数'!$B$6)</x:f>
        <x:v>1977.2131281672223</x:v>
      </x:c>
      <x:c r="H479" s="26" t="n">
        <x:f>'成本明细'!U71</x:f>
        <x:v>2263.6798181655554</x:v>
      </x:c>
      <x:c r="I479" s="26" t="n">
        <x:f>'成本明细'!V71</x:f>
        <x:v>4781.5</x:v>
      </x:c>
      <x:c r="J479" s="22" t="n">
        <x:f>'参数'!$B$9</x:f>
        <x:v>300</x:v>
      </x:c>
      <x:c r="K479" s="26" t="n">
        <x:f>J479*(G479-H479)-I479*ROUNDUP(J479/F479,0)</x:f>
        <x:v>-229385.00699949992</x:v>
      </x:c>
      <x:c r="L479" s="10" t="str">
        <x:f>IF(G479-H479&lt;=0,"未回本",IF(ROUNDUP(I479/(G479-H479),0)&gt;MIN(F479,J479),"未回本",MAX(1,ROUNDUP(I479/(G479-H479),0))))</x:f>
        <x:v>未回本</x:v>
      </x:c>
    </x:row>
    <x:row r="480" ht="22" customHeight="1">
      <x:c r="A480" s="11" t="str">
        <x:v>lade_0824_10aoi</x:v>
      </x:c>
      <x:c r="B480" s="10" t="n">
        <x:v>10</x:v>
      </x:c>
      <x:c r="C480" s="10" t="n">
        <x:v>44</x:v>
      </x:c>
      <x:c r="D480" s="10" t="str">
        <x:v>M1 / M3</x:v>
      </x:c>
      <x:c r="E480" s="16" t="n">
        <x:v>5</x:v>
      </x:c>
      <x:c r="F480" s="14" t="n">
        <x:v>20</x:v>
      </x:c>
      <x:c r="G480" s="26" t="n">
        <x:f>'成本明细'!U62+'成本明细'!G62*(E480-'参数'!$B$6)</x:f>
        <x:v>1977.2131281672223</x:v>
      </x:c>
      <x:c r="H480" s="26" t="n">
        <x:f>'成本明细'!U68</x:f>
        <x:v>2280.5780732538888</x:v>
      </x:c>
      <x:c r="I480" s="26" t="n">
        <x:f>'成本明细'!V68</x:f>
        <x:v>4781.5</x:v>
      </x:c>
      <x:c r="J480" s="22" t="n">
        <x:f>'参数'!$B$9</x:f>
        <x:v>300</x:v>
      </x:c>
      <x:c r="K480" s="26" t="n">
        <x:f>J480*(G480-H480)-I480*ROUNDUP(J480/F480,0)</x:f>
        <x:v>-162731.98352599994</x:v>
      </x:c>
      <x:c r="L480" s="10" t="str">
        <x:f>IF(G480-H480&lt;=0,"未回本",IF(ROUNDUP(I480/(G480-H480),0)&gt;MIN(F480,J480),"未回本",MAX(1,ROUNDUP(I480/(G480-H480),0))))</x:f>
        <x:v>未回本</x:v>
      </x:c>
    </x:row>
    <x:row r="481" ht="22" customHeight="1">
      <x:c r="A481" s="11" t="str">
        <x:v>lade_0824_10aoi</x:v>
      </x:c>
      <x:c r="B481" s="10" t="n">
        <x:v>10</x:v>
      </x:c>
      <x:c r="C481" s="10" t="n">
        <x:v>44</x:v>
      </x:c>
      <x:c r="D481" s="10" t="str">
        <x:v>M2 / M4</x:v>
      </x:c>
      <x:c r="E481" s="16" t="n">
        <x:v>5</x:v>
      </x:c>
      <x:c r="F481" s="14" t="n">
        <x:v>20</x:v>
      </x:c>
      <x:c r="G481" s="26" t="n">
        <x:f>'成本明细'!U65+'成本明细'!G65*(E481-'参数'!$B$6)</x:f>
        <x:v>1977.2131281672223</x:v>
      </x:c>
      <x:c r="H481" s="26" t="n">
        <x:f>'成本明细'!U71</x:f>
        <x:v>2263.6798181655554</x:v>
      </x:c>
      <x:c r="I481" s="26" t="n">
        <x:f>'成本明细'!V71</x:f>
        <x:v>4781.5</x:v>
      </x:c>
      <x:c r="J481" s="22" t="n">
        <x:f>'参数'!$B$9</x:f>
        <x:v>300</x:v>
      </x:c>
      <x:c r="K481" s="26" t="n">
        <x:f>J481*(G481-H481)-I481*ROUNDUP(J481/F481,0)</x:f>
        <x:v>-157662.50699949992</x:v>
      </x:c>
      <x:c r="L481" s="10" t="str">
        <x:f>IF(G481-H481&lt;=0,"未回本",IF(ROUNDUP(I481/(G481-H481),0)&gt;MIN(F481,J481),"未回本",MAX(1,ROUNDUP(I481/(G481-H481),0))))</x:f>
        <x:v>未回本</x:v>
      </x:c>
    </x:row>
    <x:row r="482" ht="22" customHeight="1">
      <x:c r="A482" s="11" t="str">
        <x:v>lade_0824_10aoi</x:v>
      </x:c>
      <x:c r="B482" s="10" t="n">
        <x:v>10</x:v>
      </x:c>
      <x:c r="C482" s="10" t="n">
        <x:v>44</x:v>
      </x:c>
      <x:c r="D482" s="10" t="str">
        <x:v>M1 / M3</x:v>
      </x:c>
      <x:c r="E482" s="16" t="n">
        <x:v>5</x:v>
      </x:c>
      <x:c r="F482" s="14" t="n">
        <x:v>30</x:v>
      </x:c>
      <x:c r="G482" s="26" t="n">
        <x:f>'成本明细'!U62+'成本明细'!G62*(E482-'参数'!$B$6)</x:f>
        <x:v>1977.2131281672223</x:v>
      </x:c>
      <x:c r="H482" s="26" t="n">
        <x:f>'成本明细'!U68</x:f>
        <x:v>2280.5780732538888</x:v>
      </x:c>
      <x:c r="I482" s="26" t="n">
        <x:f>'成本明细'!V68</x:f>
        <x:v>4781.5</x:v>
      </x:c>
      <x:c r="J482" s="22" t="n">
        <x:f>'参数'!$B$9</x:f>
        <x:v>300</x:v>
      </x:c>
      <x:c r="K482" s="26" t="n">
        <x:f>J482*(G482-H482)-I482*ROUNDUP(J482/F482,0)</x:f>
        <x:v>-138824.48352599994</x:v>
      </x:c>
      <x:c r="L482" s="10" t="str">
        <x:f>IF(G482-H482&lt;=0,"未回本",IF(ROUNDUP(I482/(G482-H482),0)&gt;MIN(F482,J482),"未回本",MAX(1,ROUNDUP(I482/(G482-H482),0))))</x:f>
        <x:v>未回本</x:v>
      </x:c>
    </x:row>
    <x:row r="483" ht="22" customHeight="1">
      <x:c r="A483" s="11" t="str">
        <x:v>lade_0824_10aoi</x:v>
      </x:c>
      <x:c r="B483" s="10" t="n">
        <x:v>10</x:v>
      </x:c>
      <x:c r="C483" s="10" t="n">
        <x:v>44</x:v>
      </x:c>
      <x:c r="D483" s="10" t="str">
        <x:v>M2 / M4</x:v>
      </x:c>
      <x:c r="E483" s="16" t="n">
        <x:v>5</x:v>
      </x:c>
      <x:c r="F483" s="14" t="n">
        <x:v>30</x:v>
      </x:c>
      <x:c r="G483" s="26" t="n">
        <x:f>'成本明细'!U65+'成本明细'!G65*(E483-'参数'!$B$6)</x:f>
        <x:v>1977.2131281672223</x:v>
      </x:c>
      <x:c r="H483" s="26" t="n">
        <x:f>'成本明细'!U71</x:f>
        <x:v>2263.6798181655554</x:v>
      </x:c>
      <x:c r="I483" s="26" t="n">
        <x:f>'成本明细'!V71</x:f>
        <x:v>4781.5</x:v>
      </x:c>
      <x:c r="J483" s="22" t="n">
        <x:f>'参数'!$B$9</x:f>
        <x:v>300</x:v>
      </x:c>
      <x:c r="K483" s="26" t="n">
        <x:f>J483*(G483-H483)-I483*ROUNDUP(J483/F483,0)</x:f>
        <x:v>-133755.00699949992</x:v>
      </x:c>
      <x:c r="L483" s="10" t="str">
        <x:f>IF(G483-H483&lt;=0,"未回本",IF(ROUNDUP(I483/(G483-H483),0)&gt;MIN(F483,J483),"未回本",MAX(1,ROUNDUP(I483/(G483-H483),0))))</x:f>
        <x:v>未回本</x:v>
      </x:c>
    </x:row>
    <x:row r="484" ht="22" customHeight="1">
      <x:c r="A484" s="11" t="str">
        <x:v>lade_0824_10aoi</x:v>
      </x:c>
      <x:c r="B484" s="10" t="n">
        <x:v>10</x:v>
      </x:c>
      <x:c r="C484" s="10" t="n">
        <x:v>44</x:v>
      </x:c>
      <x:c r="D484" s="10" t="str">
        <x:v>M1 / M3</x:v>
      </x:c>
      <x:c r="E484" s="16" t="n">
        <x:v>5</x:v>
      </x:c>
      <x:c r="F484" s="14" t="n">
        <x:v>50</x:v>
      </x:c>
      <x:c r="G484" s="26" t="n">
        <x:f>'成本明细'!U62+'成本明细'!G62*(E484-'参数'!$B$6)</x:f>
        <x:v>1977.2131281672223</x:v>
      </x:c>
      <x:c r="H484" s="26" t="n">
        <x:f>'成本明细'!U68</x:f>
        <x:v>2280.5780732538888</x:v>
      </x:c>
      <x:c r="I484" s="26" t="n">
        <x:f>'成本明细'!V68</x:f>
        <x:v>4781.5</x:v>
      </x:c>
      <x:c r="J484" s="22" t="n">
        <x:f>'参数'!$B$9</x:f>
        <x:v>300</x:v>
      </x:c>
      <x:c r="K484" s="26" t="n">
        <x:f>J484*(G484-H484)-I484*ROUNDUP(J484/F484,0)</x:f>
        <x:v>-119698.48352599994</x:v>
      </x:c>
      <x:c r="L484" s="10" t="str">
        <x:f>IF(G484-H484&lt;=0,"未回本",IF(ROUNDUP(I484/(G484-H484),0)&gt;MIN(F484,J484),"未回本",MAX(1,ROUNDUP(I484/(G484-H484),0))))</x:f>
        <x:v>未回本</x:v>
      </x:c>
    </x:row>
    <x:row r="485" ht="22" customHeight="1">
      <x:c r="A485" s="11" t="str">
        <x:v>lade_0824_10aoi</x:v>
      </x:c>
      <x:c r="B485" s="10" t="n">
        <x:v>10</x:v>
      </x:c>
      <x:c r="C485" s="10" t="n">
        <x:v>44</x:v>
      </x:c>
      <x:c r="D485" s="10" t="str">
        <x:v>M2 / M4</x:v>
      </x:c>
      <x:c r="E485" s="16" t="n">
        <x:v>5</x:v>
      </x:c>
      <x:c r="F485" s="14" t="n">
        <x:v>50</x:v>
      </x:c>
      <x:c r="G485" s="26" t="n">
        <x:f>'成本明细'!U65+'成本明细'!G65*(E485-'参数'!$B$6)</x:f>
        <x:v>1977.2131281672223</x:v>
      </x:c>
      <x:c r="H485" s="26" t="n">
        <x:f>'成本明细'!U71</x:f>
        <x:v>2263.6798181655554</x:v>
      </x:c>
      <x:c r="I485" s="26" t="n">
        <x:f>'成本明细'!V71</x:f>
        <x:v>4781.5</x:v>
      </x:c>
      <x:c r="J485" s="22" t="n">
        <x:f>'参数'!$B$9</x:f>
        <x:v>300</x:v>
      </x:c>
      <x:c r="K485" s="26" t="n">
        <x:f>J485*(G485-H485)-I485*ROUNDUP(J485/F485,0)</x:f>
        <x:v>-114629.00699949992</x:v>
      </x:c>
      <x:c r="L485" s="10" t="str">
        <x:f>IF(G485-H485&lt;=0,"未回本",IF(ROUNDUP(I485/(G485-H485),0)&gt;MIN(F485,J485),"未回本",MAX(1,ROUNDUP(I485/(G485-H485),0))))</x:f>
        <x:v>未回本</x:v>
      </x:c>
    </x:row>
    <x:row r="486" ht="22" customHeight="1">
      <x:c r="A486" s="11" t="str">
        <x:v>lade_0824_20aoi</x:v>
      </x:c>
      <x:c r="B486" s="10" t="n">
        <x:v>20</x:v>
      </x:c>
      <x:c r="C486" s="10" t="n">
        <x:v>42</x:v>
      </x:c>
      <x:c r="D486" s="10" t="str">
        <x:v>M1 / M3</x:v>
      </x:c>
      <x:c r="E486" s="16" t="n">
        <x:v>1</x:v>
      </x:c>
      <x:c r="F486" s="14" t="n">
        <x:v>10</x:v>
      </x:c>
      <x:c r="G486" s="26" t="n">
        <x:f>'成本明细'!U78+'成本明细'!G78*(E486-'参数'!$B$6)</x:f>
        <x:v>2196.658806945</x:v>
      </x:c>
      <x:c r="H486" s="26" t="n">
        <x:f>'成本明细'!U84</x:f>
        <x:v>3376.6157079116665</x:v>
      </x:c>
      <x:c r="I486" s="26" t="n">
        <x:f>'成本明细'!V84</x:f>
        <x:v>7081</x:v>
      </x:c>
      <x:c r="J486" s="22" t="n">
        <x:f>'参数'!$B$9</x:f>
        <x:v>300</x:v>
      </x:c>
      <x:c r="K486" s="26" t="n">
        <x:f>J486*(G486-H486)-I486*ROUNDUP(J486/F486,0)</x:f>
        <x:v>-566417.07029</x:v>
      </x:c>
      <x:c r="L486" s="10" t="str">
        <x:f>IF(G486-H486&lt;=0,"未回本",IF(ROUNDUP(I486/(G486-H486),0)&gt;MIN(F486,J486),"未回本",MAX(1,ROUNDUP(I486/(G486-H486),0))))</x:f>
        <x:v>未回本</x:v>
      </x:c>
    </x:row>
    <x:row r="487" ht="22" customHeight="1">
      <x:c r="A487" s="11" t="str">
        <x:v>lade_0824_20aoi</x:v>
      </x:c>
      <x:c r="B487" s="10" t="n">
        <x:v>20</x:v>
      </x:c>
      <x:c r="C487" s="10" t="n">
        <x:v>42</x:v>
      </x:c>
      <x:c r="D487" s="10" t="str">
        <x:v>M2 / M4</x:v>
      </x:c>
      <x:c r="E487" s="16" t="n">
        <x:v>1</x:v>
      </x:c>
      <x:c r="F487" s="14" t="n">
        <x:v>10</x:v>
      </x:c>
      <x:c r="G487" s="26" t="n">
        <x:f>'成本明细'!U81+'成本明细'!G81*(E487-'参数'!$B$6)</x:f>
        <x:v>1791.7874826466668</x:v>
      </x:c>
      <x:c r="H487" s="26" t="n">
        <x:f>'成本明细'!U87</x:f>
        <x:v>3089.3885283738887</x:v>
      </x:c>
      <x:c r="I487" s="26" t="n">
        <x:f>'成本明细'!V87</x:f>
        <x:v>7081</x:v>
      </x:c>
      <x:c r="J487" s="22" t="n">
        <x:f>'参数'!$B$9</x:f>
        <x:v>300</x:v>
      </x:c>
      <x:c r="K487" s="26" t="n">
        <x:f>J487*(G487-H487)-I487*ROUNDUP(J487/F487,0)</x:f>
        <x:v>-601710.3137181666</x:v>
      </x:c>
      <x:c r="L487" s="10" t="str">
        <x:f>IF(G487-H487&lt;=0,"未回本",IF(ROUNDUP(I487/(G487-H487),0)&gt;MIN(F487,J487),"未回本",MAX(1,ROUNDUP(I487/(G487-H487),0))))</x:f>
        <x:v>未回本</x:v>
      </x:c>
    </x:row>
    <x:row r="488" ht="22" customHeight="1">
      <x:c r="A488" s="11" t="str">
        <x:v>lade_0824_20aoi</x:v>
      </x:c>
      <x:c r="B488" s="10" t="n">
        <x:v>20</x:v>
      </x:c>
      <x:c r="C488" s="10" t="n">
        <x:v>42</x:v>
      </x:c>
      <x:c r="D488" s="10" t="str">
        <x:v>M1 / M3</x:v>
      </x:c>
      <x:c r="E488" s="16" t="n">
        <x:v>1</x:v>
      </x:c>
      <x:c r="F488" s="14" t="n">
        <x:v>20</x:v>
      </x:c>
      <x:c r="G488" s="26" t="n">
        <x:f>'成本明细'!U78+'成本明细'!G78*(E488-'参数'!$B$6)</x:f>
        <x:v>2196.658806945</x:v>
      </x:c>
      <x:c r="H488" s="26" t="n">
        <x:f>'成本明细'!U84</x:f>
        <x:v>3376.6157079116665</x:v>
      </x:c>
      <x:c r="I488" s="26" t="n">
        <x:f>'成本明细'!V84</x:f>
        <x:v>7081</x:v>
      </x:c>
      <x:c r="J488" s="22" t="n">
        <x:f>'参数'!$B$9</x:f>
        <x:v>300</x:v>
      </x:c>
      <x:c r="K488" s="26" t="n">
        <x:f>J488*(G488-H488)-I488*ROUNDUP(J488/F488,0)</x:f>
        <x:v>-460202.07028999995</x:v>
      </x:c>
      <x:c r="L488" s="10" t="str">
        <x:f>IF(G488-H488&lt;=0,"未回本",IF(ROUNDUP(I488/(G488-H488),0)&gt;MIN(F488,J488),"未回本",MAX(1,ROUNDUP(I488/(G488-H488),0))))</x:f>
        <x:v>未回本</x:v>
      </x:c>
    </x:row>
    <x:row r="489" ht="22" customHeight="1">
      <x:c r="A489" s="11" t="str">
        <x:v>lade_0824_20aoi</x:v>
      </x:c>
      <x:c r="B489" s="10" t="n">
        <x:v>20</x:v>
      </x:c>
      <x:c r="C489" s="10" t="n">
        <x:v>42</x:v>
      </x:c>
      <x:c r="D489" s="10" t="str">
        <x:v>M2 / M4</x:v>
      </x:c>
      <x:c r="E489" s="16" t="n">
        <x:v>1</x:v>
      </x:c>
      <x:c r="F489" s="14" t="n">
        <x:v>20</x:v>
      </x:c>
      <x:c r="G489" s="26" t="n">
        <x:f>'成本明细'!U81+'成本明细'!G81*(E489-'参数'!$B$6)</x:f>
        <x:v>1791.7874826466668</x:v>
      </x:c>
      <x:c r="H489" s="26" t="n">
        <x:f>'成本明细'!U87</x:f>
        <x:v>3089.3885283738887</x:v>
      </x:c>
      <x:c r="I489" s="26" t="n">
        <x:f>'成本明细'!V87</x:f>
        <x:v>7081</x:v>
      </x:c>
      <x:c r="J489" s="22" t="n">
        <x:f>'参数'!$B$9</x:f>
        <x:v>300</x:v>
      </x:c>
      <x:c r="K489" s="26" t="n">
        <x:f>J489*(G489-H489)-I489*ROUNDUP(J489/F489,0)</x:f>
        <x:v>-495495.31371816655</x:v>
      </x:c>
      <x:c r="L489" s="10" t="str">
        <x:f>IF(G489-H489&lt;=0,"未回本",IF(ROUNDUP(I489/(G489-H489),0)&gt;MIN(F489,J489),"未回本",MAX(1,ROUNDUP(I489/(G489-H489),0))))</x:f>
        <x:v>未回本</x:v>
      </x:c>
    </x:row>
    <x:row r="490" ht="22" customHeight="1">
      <x:c r="A490" s="11" t="str">
        <x:v>lade_0824_20aoi</x:v>
      </x:c>
      <x:c r="B490" s="10" t="n">
        <x:v>20</x:v>
      </x:c>
      <x:c r="C490" s="10" t="n">
        <x:v>42</x:v>
      </x:c>
      <x:c r="D490" s="10" t="str">
        <x:v>M1 / M3</x:v>
      </x:c>
      <x:c r="E490" s="16" t="n">
        <x:v>1</x:v>
      </x:c>
      <x:c r="F490" s="14" t="n">
        <x:v>30</x:v>
      </x:c>
      <x:c r="G490" s="26" t="n">
        <x:f>'成本明细'!U78+'成本明细'!G78*(E490-'参数'!$B$6)</x:f>
        <x:v>2196.658806945</x:v>
      </x:c>
      <x:c r="H490" s="26" t="n">
        <x:f>'成本明细'!U84</x:f>
        <x:v>3376.6157079116665</x:v>
      </x:c>
      <x:c r="I490" s="26" t="n">
        <x:f>'成本明细'!V84</x:f>
        <x:v>7081</x:v>
      </x:c>
      <x:c r="J490" s="22" t="n">
        <x:f>'参数'!$B$9</x:f>
        <x:v>300</x:v>
      </x:c>
      <x:c r="K490" s="26" t="n">
        <x:f>J490*(G490-H490)-I490*ROUNDUP(J490/F490,0)</x:f>
        <x:v>-424797.07028999995</x:v>
      </x:c>
      <x:c r="L490" s="10" t="str">
        <x:f>IF(G490-H490&lt;=0,"未回本",IF(ROUNDUP(I490/(G490-H490),0)&gt;MIN(F490,J490),"未回本",MAX(1,ROUNDUP(I490/(G490-H490),0))))</x:f>
        <x:v>未回本</x:v>
      </x:c>
    </x:row>
    <x:row r="491" ht="22" customHeight="1">
      <x:c r="A491" s="11" t="str">
        <x:v>lade_0824_20aoi</x:v>
      </x:c>
      <x:c r="B491" s="10" t="n">
        <x:v>20</x:v>
      </x:c>
      <x:c r="C491" s="10" t="n">
        <x:v>42</x:v>
      </x:c>
      <x:c r="D491" s="10" t="str">
        <x:v>M2 / M4</x:v>
      </x:c>
      <x:c r="E491" s="16" t="n">
        <x:v>1</x:v>
      </x:c>
      <x:c r="F491" s="14" t="n">
        <x:v>30</x:v>
      </x:c>
      <x:c r="G491" s="26" t="n">
        <x:f>'成本明细'!U81+'成本明细'!G81*(E491-'参数'!$B$6)</x:f>
        <x:v>1791.7874826466668</x:v>
      </x:c>
      <x:c r="H491" s="26" t="n">
        <x:f>'成本明细'!U87</x:f>
        <x:v>3089.3885283738887</x:v>
      </x:c>
      <x:c r="I491" s="26" t="n">
        <x:f>'成本明细'!V87</x:f>
        <x:v>7081</x:v>
      </x:c>
      <x:c r="J491" s="22" t="n">
        <x:f>'参数'!$B$9</x:f>
        <x:v>300</x:v>
      </x:c>
      <x:c r="K491" s="26" t="n">
        <x:f>J491*(G491-H491)-I491*ROUNDUP(J491/F491,0)</x:f>
        <x:v>-460090.31371816655</x:v>
      </x:c>
      <x:c r="L491" s="10" t="str">
        <x:f>IF(G491-H491&lt;=0,"未回本",IF(ROUNDUP(I491/(G491-H491),0)&gt;MIN(F491,J491),"未回本",MAX(1,ROUNDUP(I491/(G491-H491),0))))</x:f>
        <x:v>未回本</x:v>
      </x:c>
    </x:row>
    <x:row r="492" ht="22" customHeight="1">
      <x:c r="A492" s="11" t="str">
        <x:v>lade_0824_20aoi</x:v>
      </x:c>
      <x:c r="B492" s="10" t="n">
        <x:v>20</x:v>
      </x:c>
      <x:c r="C492" s="10" t="n">
        <x:v>42</x:v>
      </x:c>
      <x:c r="D492" s="10" t="str">
        <x:v>M1 / M3</x:v>
      </x:c>
      <x:c r="E492" s="16" t="n">
        <x:v>1</x:v>
      </x:c>
      <x:c r="F492" s="14" t="n">
        <x:v>50</x:v>
      </x:c>
      <x:c r="G492" s="26" t="n">
        <x:f>'成本明细'!U78+'成本明细'!G78*(E492-'参数'!$B$6)</x:f>
        <x:v>2196.658806945</x:v>
      </x:c>
      <x:c r="H492" s="26" t="n">
        <x:f>'成本明细'!U84</x:f>
        <x:v>3376.6157079116665</x:v>
      </x:c>
      <x:c r="I492" s="26" t="n">
        <x:f>'成本明细'!V84</x:f>
        <x:v>7081</x:v>
      </x:c>
      <x:c r="J492" s="22" t="n">
        <x:f>'参数'!$B$9</x:f>
        <x:v>300</x:v>
      </x:c>
      <x:c r="K492" s="26" t="n">
        <x:f>J492*(G492-H492)-I492*ROUNDUP(J492/F492,0)</x:f>
        <x:v>-396473.07028999995</x:v>
      </x:c>
      <x:c r="L492" s="10" t="str">
        <x:f>IF(G492-H492&lt;=0,"未回本",IF(ROUNDUP(I492/(G492-H492),0)&gt;MIN(F492,J492),"未回本",MAX(1,ROUNDUP(I492/(G492-H492),0))))</x:f>
        <x:v>未回本</x:v>
      </x:c>
    </x:row>
    <x:row r="493" ht="22" customHeight="1">
      <x:c r="A493" s="11" t="str">
        <x:v>lade_0824_20aoi</x:v>
      </x:c>
      <x:c r="B493" s="10" t="n">
        <x:v>20</x:v>
      </x:c>
      <x:c r="C493" s="10" t="n">
        <x:v>42</x:v>
      </x:c>
      <x:c r="D493" s="10" t="str">
        <x:v>M2 / M4</x:v>
      </x:c>
      <x:c r="E493" s="16" t="n">
        <x:v>1</x:v>
      </x:c>
      <x:c r="F493" s="14" t="n">
        <x:v>50</x:v>
      </x:c>
      <x:c r="G493" s="26" t="n">
        <x:f>'成本明细'!U81+'成本明细'!G81*(E493-'参数'!$B$6)</x:f>
        <x:v>1791.7874826466668</x:v>
      </x:c>
      <x:c r="H493" s="26" t="n">
        <x:f>'成本明细'!U87</x:f>
        <x:v>3089.3885283738887</x:v>
      </x:c>
      <x:c r="I493" s="26" t="n">
        <x:f>'成本明细'!V87</x:f>
        <x:v>7081</x:v>
      </x:c>
      <x:c r="J493" s="22" t="n">
        <x:f>'参数'!$B$9</x:f>
        <x:v>300</x:v>
      </x:c>
      <x:c r="K493" s="26" t="n">
        <x:f>J493*(G493-H493)-I493*ROUNDUP(J493/F493,0)</x:f>
        <x:v>-431766.31371816655</x:v>
      </x:c>
      <x:c r="L493" s="10" t="str">
        <x:f>IF(G493-H493&lt;=0,"未回本",IF(ROUNDUP(I493/(G493-H493),0)&gt;MIN(F493,J493),"未回本",MAX(1,ROUNDUP(I493/(G493-H493),0))))</x:f>
        <x:v>未回本</x:v>
      </x:c>
    </x:row>
    <x:row r="494" ht="22" customHeight="1">
      <x:c r="A494" s="11" t="str">
        <x:v>lade_0824_20aoi</x:v>
      </x:c>
      <x:c r="B494" s="10" t="n">
        <x:v>20</x:v>
      </x:c>
      <x:c r="C494" s="10" t="n">
        <x:v>42</x:v>
      </x:c>
      <x:c r="D494" s="10" t="str">
        <x:v>M1 / M3</x:v>
      </x:c>
      <x:c r="E494" s="16" t="n">
        <x:v>2</x:v>
      </x:c>
      <x:c r="F494" s="14" t="n">
        <x:v>10</x:v>
      </x:c>
      <x:c r="G494" s="26" t="n">
        <x:f>'成本明细'!U78+'成本明细'!G78*(E494-'参数'!$B$6)</x:f>
        <x:v>2390.658806945</x:v>
      </x:c>
      <x:c r="H494" s="26" t="n">
        <x:f>'成本明细'!U84</x:f>
        <x:v>3376.6157079116665</x:v>
      </x:c>
      <x:c r="I494" s="26" t="n">
        <x:f>'成本明细'!V84</x:f>
        <x:v>7081</x:v>
      </x:c>
      <x:c r="J494" s="22" t="n">
        <x:f>'参数'!$B$9</x:f>
        <x:v>300</x:v>
      </x:c>
      <x:c r="K494" s="26" t="n">
        <x:f>J494*(G494-H494)-I494*ROUNDUP(J494/F494,0)</x:f>
        <x:v>-508217.07028999995</x:v>
      </x:c>
      <x:c r="L494" s="10" t="str">
        <x:f>IF(G494-H494&lt;=0,"未回本",IF(ROUNDUP(I494/(G494-H494),0)&gt;MIN(F494,J494),"未回本",MAX(1,ROUNDUP(I494/(G494-H494),0))))</x:f>
        <x:v>未回本</x:v>
      </x:c>
    </x:row>
    <x:row r="495" ht="22" customHeight="1">
      <x:c r="A495" s="11" t="str">
        <x:v>lade_0824_20aoi</x:v>
      </x:c>
      <x:c r="B495" s="10" t="n">
        <x:v>20</x:v>
      </x:c>
      <x:c r="C495" s="10" t="n">
        <x:v>42</x:v>
      </x:c>
      <x:c r="D495" s="10" t="str">
        <x:v>M2 / M4</x:v>
      </x:c>
      <x:c r="E495" s="16" t="n">
        <x:v>2</x:v>
      </x:c>
      <x:c r="F495" s="14" t="n">
        <x:v>10</x:v>
      </x:c>
      <x:c r="G495" s="26" t="n">
        <x:f>'成本明细'!U81+'成本明细'!G81*(E495-'参数'!$B$6)</x:f>
        <x:v>1985.7874826466668</x:v>
      </x:c>
      <x:c r="H495" s="26" t="n">
        <x:f>'成本明细'!U87</x:f>
        <x:v>3089.3885283738887</x:v>
      </x:c>
      <x:c r="I495" s="26" t="n">
        <x:f>'成本明细'!V87</x:f>
        <x:v>7081</x:v>
      </x:c>
      <x:c r="J495" s="22" t="n">
        <x:f>'参数'!$B$9</x:f>
        <x:v>300</x:v>
      </x:c>
      <x:c r="K495" s="26" t="n">
        <x:f>J495*(G495-H495)-I495*ROUNDUP(J495/F495,0)</x:f>
        <x:v>-543510.3137181666</x:v>
      </x:c>
      <x:c r="L495" s="10" t="str">
        <x:f>IF(G495-H495&lt;=0,"未回本",IF(ROUNDUP(I495/(G495-H495),0)&gt;MIN(F495,J495),"未回本",MAX(1,ROUNDUP(I495/(G495-H495),0))))</x:f>
        <x:v>未回本</x:v>
      </x:c>
    </x:row>
    <x:row r="496" ht="22" customHeight="1">
      <x:c r="A496" s="11" t="str">
        <x:v>lade_0824_20aoi</x:v>
      </x:c>
      <x:c r="B496" s="10" t="n">
        <x:v>20</x:v>
      </x:c>
      <x:c r="C496" s="10" t="n">
        <x:v>42</x:v>
      </x:c>
      <x:c r="D496" s="10" t="str">
        <x:v>M1 / M3</x:v>
      </x:c>
      <x:c r="E496" s="16" t="n">
        <x:v>2</x:v>
      </x:c>
      <x:c r="F496" s="14" t="n">
        <x:v>20</x:v>
      </x:c>
      <x:c r="G496" s="26" t="n">
        <x:f>'成本明细'!U78+'成本明细'!G78*(E496-'参数'!$B$6)</x:f>
        <x:v>2390.658806945</x:v>
      </x:c>
      <x:c r="H496" s="26" t="n">
        <x:f>'成本明细'!U84</x:f>
        <x:v>3376.6157079116665</x:v>
      </x:c>
      <x:c r="I496" s="26" t="n">
        <x:f>'成本明细'!V84</x:f>
        <x:v>7081</x:v>
      </x:c>
      <x:c r="J496" s="22" t="n">
        <x:f>'参数'!$B$9</x:f>
        <x:v>300</x:v>
      </x:c>
      <x:c r="K496" s="26" t="n">
        <x:f>J496*(G496-H496)-I496*ROUNDUP(J496/F496,0)</x:f>
        <x:v>-402002.07028999995</x:v>
      </x:c>
      <x:c r="L496" s="10" t="str">
        <x:f>IF(G496-H496&lt;=0,"未回本",IF(ROUNDUP(I496/(G496-H496),0)&gt;MIN(F496,J496),"未回本",MAX(1,ROUNDUP(I496/(G496-H496),0))))</x:f>
        <x:v>未回本</x:v>
      </x:c>
    </x:row>
    <x:row r="497" ht="22" customHeight="1">
      <x:c r="A497" s="11" t="str">
        <x:v>lade_0824_20aoi</x:v>
      </x:c>
      <x:c r="B497" s="10" t="n">
        <x:v>20</x:v>
      </x:c>
      <x:c r="C497" s="10" t="n">
        <x:v>42</x:v>
      </x:c>
      <x:c r="D497" s="10" t="str">
        <x:v>M2 / M4</x:v>
      </x:c>
      <x:c r="E497" s="16" t="n">
        <x:v>2</x:v>
      </x:c>
      <x:c r="F497" s="14" t="n">
        <x:v>20</x:v>
      </x:c>
      <x:c r="G497" s="26" t="n">
        <x:f>'成本明细'!U81+'成本明细'!G81*(E497-'参数'!$B$6)</x:f>
        <x:v>1985.7874826466668</x:v>
      </x:c>
      <x:c r="H497" s="26" t="n">
        <x:f>'成本明细'!U87</x:f>
        <x:v>3089.3885283738887</x:v>
      </x:c>
      <x:c r="I497" s="26" t="n">
        <x:f>'成本明细'!V87</x:f>
        <x:v>7081</x:v>
      </x:c>
      <x:c r="J497" s="22" t="n">
        <x:f>'参数'!$B$9</x:f>
        <x:v>300</x:v>
      </x:c>
      <x:c r="K497" s="26" t="n">
        <x:f>J497*(G497-H497)-I497*ROUNDUP(J497/F497,0)</x:f>
        <x:v>-437295.31371816655</x:v>
      </x:c>
      <x:c r="L497" s="10" t="str">
        <x:f>IF(G497-H497&lt;=0,"未回本",IF(ROUNDUP(I497/(G497-H497),0)&gt;MIN(F497,J497),"未回本",MAX(1,ROUNDUP(I497/(G497-H497),0))))</x:f>
        <x:v>未回本</x:v>
      </x:c>
    </x:row>
    <x:row r="498" ht="22" customHeight="1">
      <x:c r="A498" s="11" t="str">
        <x:v>lade_0824_20aoi</x:v>
      </x:c>
      <x:c r="B498" s="10" t="n">
        <x:v>20</x:v>
      </x:c>
      <x:c r="C498" s="10" t="n">
        <x:v>42</x:v>
      </x:c>
      <x:c r="D498" s="10" t="str">
        <x:v>M1 / M3</x:v>
      </x:c>
      <x:c r="E498" s="16" t="n">
        <x:v>2</x:v>
      </x:c>
      <x:c r="F498" s="14" t="n">
        <x:v>30</x:v>
      </x:c>
      <x:c r="G498" s="26" t="n">
        <x:f>'成本明细'!U78+'成本明细'!G78*(E498-'参数'!$B$6)</x:f>
        <x:v>2390.658806945</x:v>
      </x:c>
      <x:c r="H498" s="26" t="n">
        <x:f>'成本明细'!U84</x:f>
        <x:v>3376.6157079116665</x:v>
      </x:c>
      <x:c r="I498" s="26" t="n">
        <x:f>'成本明细'!V84</x:f>
        <x:v>7081</x:v>
      </x:c>
      <x:c r="J498" s="22" t="n">
        <x:f>'参数'!$B$9</x:f>
        <x:v>300</x:v>
      </x:c>
      <x:c r="K498" s="26" t="n">
        <x:f>J498*(G498-H498)-I498*ROUNDUP(J498/F498,0)</x:f>
        <x:v>-366597.07028999995</x:v>
      </x:c>
      <x:c r="L498" s="10" t="str">
        <x:f>IF(G498-H498&lt;=0,"未回本",IF(ROUNDUP(I498/(G498-H498),0)&gt;MIN(F498,J498),"未回本",MAX(1,ROUNDUP(I498/(G498-H498),0))))</x:f>
        <x:v>未回本</x:v>
      </x:c>
    </x:row>
    <x:row r="499" ht="22" customHeight="1">
      <x:c r="A499" s="11" t="str">
        <x:v>lade_0824_20aoi</x:v>
      </x:c>
      <x:c r="B499" s="10" t="n">
        <x:v>20</x:v>
      </x:c>
      <x:c r="C499" s="10" t="n">
        <x:v>42</x:v>
      </x:c>
      <x:c r="D499" s="10" t="str">
        <x:v>M2 / M4</x:v>
      </x:c>
      <x:c r="E499" s="16" t="n">
        <x:v>2</x:v>
      </x:c>
      <x:c r="F499" s="14" t="n">
        <x:v>30</x:v>
      </x:c>
      <x:c r="G499" s="26" t="n">
        <x:f>'成本明细'!U81+'成本明细'!G81*(E499-'参数'!$B$6)</x:f>
        <x:v>1985.7874826466668</x:v>
      </x:c>
      <x:c r="H499" s="26" t="n">
        <x:f>'成本明细'!U87</x:f>
        <x:v>3089.3885283738887</x:v>
      </x:c>
      <x:c r="I499" s="26" t="n">
        <x:f>'成本明细'!V87</x:f>
        <x:v>7081</x:v>
      </x:c>
      <x:c r="J499" s="22" t="n">
        <x:f>'参数'!$B$9</x:f>
        <x:v>300</x:v>
      </x:c>
      <x:c r="K499" s="26" t="n">
        <x:f>J499*(G499-H499)-I499*ROUNDUP(J499/F499,0)</x:f>
        <x:v>-401890.31371816655</x:v>
      </x:c>
      <x:c r="L499" s="10" t="str">
        <x:f>IF(G499-H499&lt;=0,"未回本",IF(ROUNDUP(I499/(G499-H499),0)&gt;MIN(F499,J499),"未回本",MAX(1,ROUNDUP(I499/(G499-H499),0))))</x:f>
        <x:v>未回本</x:v>
      </x:c>
    </x:row>
    <x:row r="500" ht="22" customHeight="1">
      <x:c r="A500" s="11" t="str">
        <x:v>lade_0824_20aoi</x:v>
      </x:c>
      <x:c r="B500" s="10" t="n">
        <x:v>20</x:v>
      </x:c>
      <x:c r="C500" s="10" t="n">
        <x:v>42</x:v>
      </x:c>
      <x:c r="D500" s="10" t="str">
        <x:v>M1 / M3</x:v>
      </x:c>
      <x:c r="E500" s="16" t="n">
        <x:v>2</x:v>
      </x:c>
      <x:c r="F500" s="14" t="n">
        <x:v>50</x:v>
      </x:c>
      <x:c r="G500" s="26" t="n">
        <x:f>'成本明细'!U78+'成本明细'!G78*(E500-'参数'!$B$6)</x:f>
        <x:v>2390.658806945</x:v>
      </x:c>
      <x:c r="H500" s="26" t="n">
        <x:f>'成本明细'!U84</x:f>
        <x:v>3376.6157079116665</x:v>
      </x:c>
      <x:c r="I500" s="26" t="n">
        <x:f>'成本明细'!V84</x:f>
        <x:v>7081</x:v>
      </x:c>
      <x:c r="J500" s="22" t="n">
        <x:f>'参数'!$B$9</x:f>
        <x:v>300</x:v>
      </x:c>
      <x:c r="K500" s="26" t="n">
        <x:f>J500*(G500-H500)-I500*ROUNDUP(J500/F500,0)</x:f>
        <x:v>-338273.07028999995</x:v>
      </x:c>
      <x:c r="L500" s="10" t="str">
        <x:f>IF(G500-H500&lt;=0,"未回本",IF(ROUNDUP(I500/(G500-H500),0)&gt;MIN(F500,J500),"未回本",MAX(1,ROUNDUP(I500/(G500-H500),0))))</x:f>
        <x:v>未回本</x:v>
      </x:c>
    </x:row>
    <x:row r="501" ht="22" customHeight="1">
      <x:c r="A501" s="11" t="str">
        <x:v>lade_0824_20aoi</x:v>
      </x:c>
      <x:c r="B501" s="10" t="n">
        <x:v>20</x:v>
      </x:c>
      <x:c r="C501" s="10" t="n">
        <x:v>42</x:v>
      </x:c>
      <x:c r="D501" s="10" t="str">
        <x:v>M2 / M4</x:v>
      </x:c>
      <x:c r="E501" s="16" t="n">
        <x:v>2</x:v>
      </x:c>
      <x:c r="F501" s="14" t="n">
        <x:v>50</x:v>
      </x:c>
      <x:c r="G501" s="26" t="n">
        <x:f>'成本明细'!U81+'成本明细'!G81*(E501-'参数'!$B$6)</x:f>
        <x:v>1985.7874826466668</x:v>
      </x:c>
      <x:c r="H501" s="26" t="n">
        <x:f>'成本明细'!U87</x:f>
        <x:v>3089.3885283738887</x:v>
      </x:c>
      <x:c r="I501" s="26" t="n">
        <x:f>'成本明细'!V87</x:f>
        <x:v>7081</x:v>
      </x:c>
      <x:c r="J501" s="22" t="n">
        <x:f>'参数'!$B$9</x:f>
        <x:v>300</x:v>
      </x:c>
      <x:c r="K501" s="26" t="n">
        <x:f>J501*(G501-H501)-I501*ROUNDUP(J501/F501,0)</x:f>
        <x:v>-373566.31371816655</x:v>
      </x:c>
      <x:c r="L501" s="10" t="str">
        <x:f>IF(G501-H501&lt;=0,"未回本",IF(ROUNDUP(I501/(G501-H501),0)&gt;MIN(F501,J501),"未回本",MAX(1,ROUNDUP(I501/(G501-H501),0))))</x:f>
        <x:v>未回本</x:v>
      </x:c>
    </x:row>
    <x:row r="502" ht="22" customHeight="1">
      <x:c r="A502" s="11" t="str">
        <x:v>lade_0824_20aoi</x:v>
      </x:c>
      <x:c r="B502" s="10" t="n">
        <x:v>20</x:v>
      </x:c>
      <x:c r="C502" s="10" t="n">
        <x:v>42</x:v>
      </x:c>
      <x:c r="D502" s="10" t="str">
        <x:v>M1 / M3</x:v>
      </x:c>
      <x:c r="E502" s="16" t="n">
        <x:v>3</x:v>
      </x:c>
      <x:c r="F502" s="14" t="n">
        <x:v>10</x:v>
      </x:c>
      <x:c r="G502" s="26" t="n">
        <x:f>'成本明细'!U78+'成本明细'!G78*(E502-'参数'!$B$6)</x:f>
        <x:v>2584.658806945</x:v>
      </x:c>
      <x:c r="H502" s="26" t="n">
        <x:f>'成本明细'!U84</x:f>
        <x:v>3376.6157079116665</x:v>
      </x:c>
      <x:c r="I502" s="26" t="n">
        <x:f>'成本明细'!V84</x:f>
        <x:v>7081</x:v>
      </x:c>
      <x:c r="J502" s="22" t="n">
        <x:f>'参数'!$B$9</x:f>
        <x:v>300</x:v>
      </x:c>
      <x:c r="K502" s="26" t="n">
        <x:f>J502*(G502-H502)-I502*ROUNDUP(J502/F502,0)</x:f>
        <x:v>-450017.07028999995</x:v>
      </x:c>
      <x:c r="L502" s="10" t="str">
        <x:f>IF(G502-H502&lt;=0,"未回本",IF(ROUNDUP(I502/(G502-H502),0)&gt;MIN(F502,J502),"未回本",MAX(1,ROUNDUP(I502/(G502-H502),0))))</x:f>
        <x:v>未回本</x:v>
      </x:c>
    </x:row>
    <x:row r="503" ht="22" customHeight="1">
      <x:c r="A503" s="11" t="str">
        <x:v>lade_0824_20aoi</x:v>
      </x:c>
      <x:c r="B503" s="10" t="n">
        <x:v>20</x:v>
      </x:c>
      <x:c r="C503" s="10" t="n">
        <x:v>42</x:v>
      </x:c>
      <x:c r="D503" s="10" t="str">
        <x:v>M2 / M4</x:v>
      </x:c>
      <x:c r="E503" s="16" t="n">
        <x:v>3</x:v>
      </x:c>
      <x:c r="F503" s="14" t="n">
        <x:v>10</x:v>
      </x:c>
      <x:c r="G503" s="26" t="n">
        <x:f>'成本明细'!U81+'成本明细'!G81*(E503-'参数'!$B$6)</x:f>
        <x:v>2179.787482646667</x:v>
      </x:c>
      <x:c r="H503" s="26" t="n">
        <x:f>'成本明细'!U87</x:f>
        <x:v>3089.3885283738887</x:v>
      </x:c>
      <x:c r="I503" s="26" t="n">
        <x:f>'成本明细'!V87</x:f>
        <x:v>7081</x:v>
      </x:c>
      <x:c r="J503" s="22" t="n">
        <x:f>'参数'!$B$9</x:f>
        <x:v>300</x:v>
      </x:c>
      <x:c r="K503" s="26" t="n">
        <x:f>J503*(G503-H503)-I503*ROUNDUP(J503/F503,0)</x:f>
        <x:v>-485310.31371816655</x:v>
      </x:c>
      <x:c r="L503" s="10" t="str">
        <x:f>IF(G503-H503&lt;=0,"未回本",IF(ROUNDUP(I503/(G503-H503),0)&gt;MIN(F503,J503),"未回本",MAX(1,ROUNDUP(I503/(G503-H503),0))))</x:f>
        <x:v>未回本</x:v>
      </x:c>
    </x:row>
    <x:row r="504" ht="22" customHeight="1">
      <x:c r="A504" s="11" t="str">
        <x:v>lade_0824_20aoi</x:v>
      </x:c>
      <x:c r="B504" s="10" t="n">
        <x:v>20</x:v>
      </x:c>
      <x:c r="C504" s="10" t="n">
        <x:v>42</x:v>
      </x:c>
      <x:c r="D504" s="10" t="str">
        <x:v>M1 / M3</x:v>
      </x:c>
      <x:c r="E504" s="16" t="n">
        <x:v>3</x:v>
      </x:c>
      <x:c r="F504" s="14" t="n">
        <x:v>20</x:v>
      </x:c>
      <x:c r="G504" s="26" t="n">
        <x:f>'成本明细'!U78+'成本明细'!G78*(E504-'参数'!$B$6)</x:f>
        <x:v>2584.658806945</x:v>
      </x:c>
      <x:c r="H504" s="26" t="n">
        <x:f>'成本明细'!U84</x:f>
        <x:v>3376.6157079116665</x:v>
      </x:c>
      <x:c r="I504" s="26" t="n">
        <x:f>'成本明细'!V84</x:f>
        <x:v>7081</x:v>
      </x:c>
      <x:c r="J504" s="22" t="n">
        <x:f>'参数'!$B$9</x:f>
        <x:v>300</x:v>
      </x:c>
      <x:c r="K504" s="26" t="n">
        <x:f>J504*(G504-H504)-I504*ROUNDUP(J504/F504,0)</x:f>
        <x:v>-343802.07028999995</x:v>
      </x:c>
      <x:c r="L504" s="10" t="str">
        <x:f>IF(G504-H504&lt;=0,"未回本",IF(ROUNDUP(I504/(G504-H504),0)&gt;MIN(F504,J504),"未回本",MAX(1,ROUNDUP(I504/(G504-H504),0))))</x:f>
        <x:v>未回本</x:v>
      </x:c>
    </x:row>
    <x:row r="505" ht="22" customHeight="1">
      <x:c r="A505" s="11" t="str">
        <x:v>lade_0824_20aoi</x:v>
      </x:c>
      <x:c r="B505" s="10" t="n">
        <x:v>20</x:v>
      </x:c>
      <x:c r="C505" s="10" t="n">
        <x:v>42</x:v>
      </x:c>
      <x:c r="D505" s="10" t="str">
        <x:v>M2 / M4</x:v>
      </x:c>
      <x:c r="E505" s="16" t="n">
        <x:v>3</x:v>
      </x:c>
      <x:c r="F505" s="14" t="n">
        <x:v>20</x:v>
      </x:c>
      <x:c r="G505" s="26" t="n">
        <x:f>'成本明细'!U81+'成本明细'!G81*(E505-'参数'!$B$6)</x:f>
        <x:v>2179.787482646667</x:v>
      </x:c>
      <x:c r="H505" s="26" t="n">
        <x:f>'成本明细'!U87</x:f>
        <x:v>3089.3885283738887</x:v>
      </x:c>
      <x:c r="I505" s="26" t="n">
        <x:f>'成本明细'!V87</x:f>
        <x:v>7081</x:v>
      </x:c>
      <x:c r="J505" s="22" t="n">
        <x:f>'参数'!$B$9</x:f>
        <x:v>300</x:v>
      </x:c>
      <x:c r="K505" s="26" t="n">
        <x:f>J505*(G505-H505)-I505*ROUNDUP(J505/F505,0)</x:f>
        <x:v>-379095.31371816655</x:v>
      </x:c>
      <x:c r="L505" s="10" t="str">
        <x:f>IF(G505-H505&lt;=0,"未回本",IF(ROUNDUP(I505/(G505-H505),0)&gt;MIN(F505,J505),"未回本",MAX(1,ROUNDUP(I505/(G505-H505),0))))</x:f>
        <x:v>未回本</x:v>
      </x:c>
    </x:row>
    <x:row r="506" ht="22" customHeight="1">
      <x:c r="A506" s="11" t="str">
        <x:v>lade_0824_20aoi</x:v>
      </x:c>
      <x:c r="B506" s="10" t="n">
        <x:v>20</x:v>
      </x:c>
      <x:c r="C506" s="10" t="n">
        <x:v>42</x:v>
      </x:c>
      <x:c r="D506" s="10" t="str">
        <x:v>M1 / M3</x:v>
      </x:c>
      <x:c r="E506" s="16" t="n">
        <x:v>3</x:v>
      </x:c>
      <x:c r="F506" s="14" t="n">
        <x:v>30</x:v>
      </x:c>
      <x:c r="G506" s="26" t="n">
        <x:f>'成本明细'!U78+'成本明细'!G78*(E506-'参数'!$B$6)</x:f>
        <x:v>2584.658806945</x:v>
      </x:c>
      <x:c r="H506" s="26" t="n">
        <x:f>'成本明细'!U84</x:f>
        <x:v>3376.6157079116665</x:v>
      </x:c>
      <x:c r="I506" s="26" t="n">
        <x:f>'成本明细'!V84</x:f>
        <x:v>7081</x:v>
      </x:c>
      <x:c r="J506" s="22" t="n">
        <x:f>'参数'!$B$9</x:f>
        <x:v>300</x:v>
      </x:c>
      <x:c r="K506" s="26" t="n">
        <x:f>J506*(G506-H506)-I506*ROUNDUP(J506/F506,0)</x:f>
        <x:v>-308397.07028999995</x:v>
      </x:c>
      <x:c r="L506" s="10" t="str">
        <x:f>IF(G506-H506&lt;=0,"未回本",IF(ROUNDUP(I506/(G506-H506),0)&gt;MIN(F506,J506),"未回本",MAX(1,ROUNDUP(I506/(G506-H506),0))))</x:f>
        <x:v>未回本</x:v>
      </x:c>
    </x:row>
    <x:row r="507" ht="22" customHeight="1">
      <x:c r="A507" s="11" t="str">
        <x:v>lade_0824_20aoi</x:v>
      </x:c>
      <x:c r="B507" s="10" t="n">
        <x:v>20</x:v>
      </x:c>
      <x:c r="C507" s="10" t="n">
        <x:v>42</x:v>
      </x:c>
      <x:c r="D507" s="10" t="str">
        <x:v>M2 / M4</x:v>
      </x:c>
      <x:c r="E507" s="16" t="n">
        <x:v>3</x:v>
      </x:c>
      <x:c r="F507" s="14" t="n">
        <x:v>30</x:v>
      </x:c>
      <x:c r="G507" s="26" t="n">
        <x:f>'成本明细'!U81+'成本明细'!G81*(E507-'参数'!$B$6)</x:f>
        <x:v>2179.787482646667</x:v>
      </x:c>
      <x:c r="H507" s="26" t="n">
        <x:f>'成本明细'!U87</x:f>
        <x:v>3089.3885283738887</x:v>
      </x:c>
      <x:c r="I507" s="26" t="n">
        <x:f>'成本明细'!V87</x:f>
        <x:v>7081</x:v>
      </x:c>
      <x:c r="J507" s="22" t="n">
        <x:f>'参数'!$B$9</x:f>
        <x:v>300</x:v>
      </x:c>
      <x:c r="K507" s="26" t="n">
        <x:f>J507*(G507-H507)-I507*ROUNDUP(J507/F507,0)</x:f>
        <x:v>-343690.31371816655</x:v>
      </x:c>
      <x:c r="L507" s="10" t="str">
        <x:f>IF(G507-H507&lt;=0,"未回本",IF(ROUNDUP(I507/(G507-H507),0)&gt;MIN(F507,J507),"未回本",MAX(1,ROUNDUP(I507/(G507-H507),0))))</x:f>
        <x:v>未回本</x:v>
      </x:c>
    </x:row>
    <x:row r="508" ht="22" customHeight="1">
      <x:c r="A508" s="11" t="str">
        <x:v>lade_0824_20aoi</x:v>
      </x:c>
      <x:c r="B508" s="10" t="n">
        <x:v>20</x:v>
      </x:c>
      <x:c r="C508" s="10" t="n">
        <x:v>42</x:v>
      </x:c>
      <x:c r="D508" s="10" t="str">
        <x:v>M1 / M3</x:v>
      </x:c>
      <x:c r="E508" s="16" t="n">
        <x:v>3</x:v>
      </x:c>
      <x:c r="F508" s="14" t="n">
        <x:v>50</x:v>
      </x:c>
      <x:c r="G508" s="26" t="n">
        <x:f>'成本明细'!U78+'成本明细'!G78*(E508-'参数'!$B$6)</x:f>
        <x:v>2584.658806945</x:v>
      </x:c>
      <x:c r="H508" s="26" t="n">
        <x:f>'成本明细'!U84</x:f>
        <x:v>3376.6157079116665</x:v>
      </x:c>
      <x:c r="I508" s="26" t="n">
        <x:f>'成本明细'!V84</x:f>
        <x:v>7081</x:v>
      </x:c>
      <x:c r="J508" s="22" t="n">
        <x:f>'参数'!$B$9</x:f>
        <x:v>300</x:v>
      </x:c>
      <x:c r="K508" s="26" t="n">
        <x:f>J508*(G508-H508)-I508*ROUNDUP(J508/F508,0)</x:f>
        <x:v>-280073.07028999995</x:v>
      </x:c>
      <x:c r="L508" s="10" t="str">
        <x:f>IF(G508-H508&lt;=0,"未回本",IF(ROUNDUP(I508/(G508-H508),0)&gt;MIN(F508,J508),"未回本",MAX(1,ROUNDUP(I508/(G508-H508),0))))</x:f>
        <x:v>未回本</x:v>
      </x:c>
    </x:row>
    <x:row r="509" ht="22" customHeight="1">
      <x:c r="A509" s="11" t="str">
        <x:v>lade_0824_20aoi</x:v>
      </x:c>
      <x:c r="B509" s="10" t="n">
        <x:v>20</x:v>
      </x:c>
      <x:c r="C509" s="10" t="n">
        <x:v>42</x:v>
      </x:c>
      <x:c r="D509" s="10" t="str">
        <x:v>M2 / M4</x:v>
      </x:c>
      <x:c r="E509" s="16" t="n">
        <x:v>3</x:v>
      </x:c>
      <x:c r="F509" s="14" t="n">
        <x:v>50</x:v>
      </x:c>
      <x:c r="G509" s="26" t="n">
        <x:f>'成本明细'!U81+'成本明细'!G81*(E509-'参数'!$B$6)</x:f>
        <x:v>2179.787482646667</x:v>
      </x:c>
      <x:c r="H509" s="26" t="n">
        <x:f>'成本明细'!U87</x:f>
        <x:v>3089.3885283738887</x:v>
      </x:c>
      <x:c r="I509" s="26" t="n">
        <x:f>'成本明细'!V87</x:f>
        <x:v>7081</x:v>
      </x:c>
      <x:c r="J509" s="22" t="n">
        <x:f>'参数'!$B$9</x:f>
        <x:v>300</x:v>
      </x:c>
      <x:c r="K509" s="26" t="n">
        <x:f>J509*(G509-H509)-I509*ROUNDUP(J509/F509,0)</x:f>
        <x:v>-315366.31371816655</x:v>
      </x:c>
      <x:c r="L509" s="10" t="str">
        <x:f>IF(G509-H509&lt;=0,"未回本",IF(ROUNDUP(I509/(G509-H509),0)&gt;MIN(F509,J509),"未回本",MAX(1,ROUNDUP(I509/(G509-H509),0))))</x:f>
        <x:v>未回本</x:v>
      </x:c>
    </x:row>
    <x:row r="510" ht="22" customHeight="1">
      <x:c r="A510" s="11" t="str">
        <x:v>lade_0824_20aoi</x:v>
      </x:c>
      <x:c r="B510" s="10" t="n">
        <x:v>20</x:v>
      </x:c>
      <x:c r="C510" s="10" t="n">
        <x:v>42</x:v>
      </x:c>
      <x:c r="D510" s="10" t="str">
        <x:v>M1 / M3</x:v>
      </x:c>
      <x:c r="E510" s="16" t="n">
        <x:v>4</x:v>
      </x:c>
      <x:c r="F510" s="14" t="n">
        <x:v>10</x:v>
      </x:c>
      <x:c r="G510" s="26" t="n">
        <x:f>'成本明细'!U78+'成本明细'!G78*(E510-'参数'!$B$6)</x:f>
        <x:v>2778.658806945</x:v>
      </x:c>
      <x:c r="H510" s="26" t="n">
        <x:f>'成本明细'!U84</x:f>
        <x:v>3376.6157079116665</x:v>
      </x:c>
      <x:c r="I510" s="26" t="n">
        <x:f>'成本明细'!V84</x:f>
        <x:v>7081</x:v>
      </x:c>
      <x:c r="J510" s="22" t="n">
        <x:f>'参数'!$B$9</x:f>
        <x:v>300</x:v>
      </x:c>
      <x:c r="K510" s="26" t="n">
        <x:f>J510*(G510-H510)-I510*ROUNDUP(J510/F510,0)</x:f>
        <x:v>-391817.07028999995</x:v>
      </x:c>
      <x:c r="L510" s="10" t="str">
        <x:f>IF(G510-H510&lt;=0,"未回本",IF(ROUNDUP(I510/(G510-H510),0)&gt;MIN(F510,J510),"未回本",MAX(1,ROUNDUP(I510/(G510-H510),0))))</x:f>
        <x:v>未回本</x:v>
      </x:c>
    </x:row>
    <x:row r="511" ht="22" customHeight="1">
      <x:c r="A511" s="11" t="str">
        <x:v>lade_0824_20aoi</x:v>
      </x:c>
      <x:c r="B511" s="10" t="n">
        <x:v>20</x:v>
      </x:c>
      <x:c r="C511" s="10" t="n">
        <x:v>42</x:v>
      </x:c>
      <x:c r="D511" s="10" t="str">
        <x:v>M2 / M4</x:v>
      </x:c>
      <x:c r="E511" s="16" t="n">
        <x:v>4</x:v>
      </x:c>
      <x:c r="F511" s="14" t="n">
        <x:v>10</x:v>
      </x:c>
      <x:c r="G511" s="26" t="n">
        <x:f>'成本明细'!U81+'成本明细'!G81*(E511-'参数'!$B$6)</x:f>
        <x:v>2373.787482646667</x:v>
      </x:c>
      <x:c r="H511" s="26" t="n">
        <x:f>'成本明细'!U87</x:f>
        <x:v>3089.3885283738887</x:v>
      </x:c>
      <x:c r="I511" s="26" t="n">
        <x:f>'成本明细'!V87</x:f>
        <x:v>7081</x:v>
      </x:c>
      <x:c r="J511" s="22" t="n">
        <x:f>'参数'!$B$9</x:f>
        <x:v>300</x:v>
      </x:c>
      <x:c r="K511" s="26" t="n">
        <x:f>J511*(G511-H511)-I511*ROUNDUP(J511/F511,0)</x:f>
        <x:v>-427110.31371816655</x:v>
      </x:c>
      <x:c r="L511" s="10" t="str">
        <x:f>IF(G511-H511&lt;=0,"未回本",IF(ROUNDUP(I511/(G511-H511),0)&gt;MIN(F511,J511),"未回本",MAX(1,ROUNDUP(I511/(G511-H511),0))))</x:f>
        <x:v>未回本</x:v>
      </x:c>
    </x:row>
    <x:row r="512" ht="22" customHeight="1">
      <x:c r="A512" s="11" t="str">
        <x:v>lade_0824_20aoi</x:v>
      </x:c>
      <x:c r="B512" s="10" t="n">
        <x:v>20</x:v>
      </x:c>
      <x:c r="C512" s="10" t="n">
        <x:v>42</x:v>
      </x:c>
      <x:c r="D512" s="10" t="str">
        <x:v>M1 / M3</x:v>
      </x:c>
      <x:c r="E512" s="16" t="n">
        <x:v>4</x:v>
      </x:c>
      <x:c r="F512" s="14" t="n">
        <x:v>20</x:v>
      </x:c>
      <x:c r="G512" s="26" t="n">
        <x:f>'成本明细'!U78+'成本明细'!G78*(E512-'参数'!$B$6)</x:f>
        <x:v>2778.658806945</x:v>
      </x:c>
      <x:c r="H512" s="26" t="n">
        <x:f>'成本明细'!U84</x:f>
        <x:v>3376.6157079116665</x:v>
      </x:c>
      <x:c r="I512" s="26" t="n">
        <x:f>'成本明细'!V84</x:f>
        <x:v>7081</x:v>
      </x:c>
      <x:c r="J512" s="22" t="n">
        <x:f>'参数'!$B$9</x:f>
        <x:v>300</x:v>
      </x:c>
      <x:c r="K512" s="26" t="n">
        <x:f>J512*(G512-H512)-I512*ROUNDUP(J512/F512,0)</x:f>
        <x:v>-285602.07028999995</x:v>
      </x:c>
      <x:c r="L512" s="10" t="str">
        <x:f>IF(G512-H512&lt;=0,"未回本",IF(ROUNDUP(I512/(G512-H512),0)&gt;MIN(F512,J512),"未回本",MAX(1,ROUNDUP(I512/(G512-H512),0))))</x:f>
        <x:v>未回本</x:v>
      </x:c>
    </x:row>
    <x:row r="513" ht="22" customHeight="1">
      <x:c r="A513" s="11" t="str">
        <x:v>lade_0824_20aoi</x:v>
      </x:c>
      <x:c r="B513" s="10" t="n">
        <x:v>20</x:v>
      </x:c>
      <x:c r="C513" s="10" t="n">
        <x:v>42</x:v>
      </x:c>
      <x:c r="D513" s="10" t="str">
        <x:v>M2 / M4</x:v>
      </x:c>
      <x:c r="E513" s="16" t="n">
        <x:v>4</x:v>
      </x:c>
      <x:c r="F513" s="14" t="n">
        <x:v>20</x:v>
      </x:c>
      <x:c r="G513" s="26" t="n">
        <x:f>'成本明细'!U81+'成本明细'!G81*(E513-'参数'!$B$6)</x:f>
        <x:v>2373.787482646667</x:v>
      </x:c>
      <x:c r="H513" s="26" t="n">
        <x:f>'成本明细'!U87</x:f>
        <x:v>3089.3885283738887</x:v>
      </x:c>
      <x:c r="I513" s="26" t="n">
        <x:f>'成本明细'!V87</x:f>
        <x:v>7081</x:v>
      </x:c>
      <x:c r="J513" s="22" t="n">
        <x:f>'参数'!$B$9</x:f>
        <x:v>300</x:v>
      </x:c>
      <x:c r="K513" s="26" t="n">
        <x:f>J513*(G513-H513)-I513*ROUNDUP(J513/F513,0)</x:f>
        <x:v>-320895.31371816655</x:v>
      </x:c>
      <x:c r="L513" s="10" t="str">
        <x:f>IF(G513-H513&lt;=0,"未回本",IF(ROUNDUP(I513/(G513-H513),0)&gt;MIN(F513,J513),"未回本",MAX(1,ROUNDUP(I513/(G513-H513),0))))</x:f>
        <x:v>未回本</x:v>
      </x:c>
    </x:row>
    <x:row r="514" ht="22" customHeight="1">
      <x:c r="A514" s="11" t="str">
        <x:v>lade_0824_20aoi</x:v>
      </x:c>
      <x:c r="B514" s="10" t="n">
        <x:v>20</x:v>
      </x:c>
      <x:c r="C514" s="10" t="n">
        <x:v>42</x:v>
      </x:c>
      <x:c r="D514" s="10" t="str">
        <x:v>M1 / M3</x:v>
      </x:c>
      <x:c r="E514" s="16" t="n">
        <x:v>4</x:v>
      </x:c>
      <x:c r="F514" s="14" t="n">
        <x:v>30</x:v>
      </x:c>
      <x:c r="G514" s="26" t="n">
        <x:f>'成本明细'!U78+'成本明细'!G78*(E514-'参数'!$B$6)</x:f>
        <x:v>2778.658806945</x:v>
      </x:c>
      <x:c r="H514" s="26" t="n">
        <x:f>'成本明细'!U84</x:f>
        <x:v>3376.6157079116665</x:v>
      </x:c>
      <x:c r="I514" s="26" t="n">
        <x:f>'成本明细'!V84</x:f>
        <x:v>7081</x:v>
      </x:c>
      <x:c r="J514" s="22" t="n">
        <x:f>'参数'!$B$9</x:f>
        <x:v>300</x:v>
      </x:c>
      <x:c r="K514" s="26" t="n">
        <x:f>J514*(G514-H514)-I514*ROUNDUP(J514/F514,0)</x:f>
        <x:v>-250197.07028999997</x:v>
      </x:c>
      <x:c r="L514" s="10" t="str">
        <x:f>IF(G514-H514&lt;=0,"未回本",IF(ROUNDUP(I514/(G514-H514),0)&gt;MIN(F514,J514),"未回本",MAX(1,ROUNDUP(I514/(G514-H514),0))))</x:f>
        <x:v>未回本</x:v>
      </x:c>
    </x:row>
    <x:row r="515" ht="22" customHeight="1">
      <x:c r="A515" s="11" t="str">
        <x:v>lade_0824_20aoi</x:v>
      </x:c>
      <x:c r="B515" s="10" t="n">
        <x:v>20</x:v>
      </x:c>
      <x:c r="C515" s="10" t="n">
        <x:v>42</x:v>
      </x:c>
      <x:c r="D515" s="10" t="str">
        <x:v>M2 / M4</x:v>
      </x:c>
      <x:c r="E515" s="16" t="n">
        <x:v>4</x:v>
      </x:c>
      <x:c r="F515" s="14" t="n">
        <x:v>30</x:v>
      </x:c>
      <x:c r="G515" s="26" t="n">
        <x:f>'成本明细'!U81+'成本明细'!G81*(E515-'参数'!$B$6)</x:f>
        <x:v>2373.787482646667</x:v>
      </x:c>
      <x:c r="H515" s="26" t="n">
        <x:f>'成本明细'!U87</x:f>
        <x:v>3089.3885283738887</x:v>
      </x:c>
      <x:c r="I515" s="26" t="n">
        <x:f>'成本明细'!V87</x:f>
        <x:v>7081</x:v>
      </x:c>
      <x:c r="J515" s="22" t="n">
        <x:f>'参数'!$B$9</x:f>
        <x:v>300</x:v>
      </x:c>
      <x:c r="K515" s="26" t="n">
        <x:f>J515*(G515-H515)-I515*ROUNDUP(J515/F515,0)</x:f>
        <x:v>-285490.31371816655</x:v>
      </x:c>
      <x:c r="L515" s="10" t="str">
        <x:f>IF(G515-H515&lt;=0,"未回本",IF(ROUNDUP(I515/(G515-H515),0)&gt;MIN(F515,J515),"未回本",MAX(1,ROUNDUP(I515/(G515-H515),0))))</x:f>
        <x:v>未回本</x:v>
      </x:c>
    </x:row>
    <x:row r="516" ht="22" customHeight="1">
      <x:c r="A516" s="11" t="str">
        <x:v>lade_0824_20aoi</x:v>
      </x:c>
      <x:c r="B516" s="10" t="n">
        <x:v>20</x:v>
      </x:c>
      <x:c r="C516" s="10" t="n">
        <x:v>42</x:v>
      </x:c>
      <x:c r="D516" s="10" t="str">
        <x:v>M1 / M3</x:v>
      </x:c>
      <x:c r="E516" s="16" t="n">
        <x:v>4</x:v>
      </x:c>
      <x:c r="F516" s="14" t="n">
        <x:v>50</x:v>
      </x:c>
      <x:c r="G516" s="26" t="n">
        <x:f>'成本明细'!U78+'成本明细'!G78*(E516-'参数'!$B$6)</x:f>
        <x:v>2778.658806945</x:v>
      </x:c>
      <x:c r="H516" s="26" t="n">
        <x:f>'成本明细'!U84</x:f>
        <x:v>3376.6157079116665</x:v>
      </x:c>
      <x:c r="I516" s="26" t="n">
        <x:f>'成本明细'!V84</x:f>
        <x:v>7081</x:v>
      </x:c>
      <x:c r="J516" s="22" t="n">
        <x:f>'参数'!$B$9</x:f>
        <x:v>300</x:v>
      </x:c>
      <x:c r="K516" s="26" t="n">
        <x:f>J516*(G516-H516)-I516*ROUNDUP(J516/F516,0)</x:f>
        <x:v>-221873.07028999997</x:v>
      </x:c>
      <x:c r="L516" s="10" t="str">
        <x:f>IF(G516-H516&lt;=0,"未回本",IF(ROUNDUP(I516/(G516-H516),0)&gt;MIN(F516,J516),"未回本",MAX(1,ROUNDUP(I516/(G516-H516),0))))</x:f>
        <x:v>未回本</x:v>
      </x:c>
    </x:row>
    <x:row r="517" ht="22" customHeight="1">
      <x:c r="A517" s="11" t="str">
        <x:v>lade_0824_20aoi</x:v>
      </x:c>
      <x:c r="B517" s="10" t="n">
        <x:v>20</x:v>
      </x:c>
      <x:c r="C517" s="10" t="n">
        <x:v>42</x:v>
      </x:c>
      <x:c r="D517" s="10" t="str">
        <x:v>M2 / M4</x:v>
      </x:c>
      <x:c r="E517" s="16" t="n">
        <x:v>4</x:v>
      </x:c>
      <x:c r="F517" s="14" t="n">
        <x:v>50</x:v>
      </x:c>
      <x:c r="G517" s="26" t="n">
        <x:f>'成本明细'!U81+'成本明细'!G81*(E517-'参数'!$B$6)</x:f>
        <x:v>2373.787482646667</x:v>
      </x:c>
      <x:c r="H517" s="26" t="n">
        <x:f>'成本明细'!U87</x:f>
        <x:v>3089.3885283738887</x:v>
      </x:c>
      <x:c r="I517" s="26" t="n">
        <x:f>'成本明细'!V87</x:f>
        <x:v>7081</x:v>
      </x:c>
      <x:c r="J517" s="22" t="n">
        <x:f>'参数'!$B$9</x:f>
        <x:v>300</x:v>
      </x:c>
      <x:c r="K517" s="26" t="n">
        <x:f>J517*(G517-H517)-I517*ROUNDUP(J517/F517,0)</x:f>
        <x:v>-257166.31371816655</x:v>
      </x:c>
      <x:c r="L517" s="10" t="str">
        <x:f>IF(G517-H517&lt;=0,"未回本",IF(ROUNDUP(I517/(G517-H517),0)&gt;MIN(F517,J517),"未回本",MAX(1,ROUNDUP(I517/(G517-H517),0))))</x:f>
        <x:v>未回本</x:v>
      </x:c>
    </x:row>
    <x:row r="518" ht="22" customHeight="1">
      <x:c r="A518" s="11" t="str">
        <x:v>lade_0824_20aoi</x:v>
      </x:c>
      <x:c r="B518" s="10" t="n">
        <x:v>20</x:v>
      </x:c>
      <x:c r="C518" s="10" t="n">
        <x:v>42</x:v>
      </x:c>
      <x:c r="D518" s="10" t="str">
        <x:v>M1 / M3</x:v>
      </x:c>
      <x:c r="E518" s="16" t="n">
        <x:v>5</x:v>
      </x:c>
      <x:c r="F518" s="14" t="n">
        <x:v>10</x:v>
      </x:c>
      <x:c r="G518" s="26" t="n">
        <x:f>'成本明细'!U78+'成本明细'!G78*(E518-'参数'!$B$6)</x:f>
        <x:v>2972.658806945</x:v>
      </x:c>
      <x:c r="H518" s="26" t="n">
        <x:f>'成本明细'!U84</x:f>
        <x:v>3376.6157079116665</x:v>
      </x:c>
      <x:c r="I518" s="26" t="n">
        <x:f>'成本明细'!V84</x:f>
        <x:v>7081</x:v>
      </x:c>
      <x:c r="J518" s="22" t="n">
        <x:f>'参数'!$B$9</x:f>
        <x:v>300</x:v>
      </x:c>
      <x:c r="K518" s="26" t="n">
        <x:f>J518*(G518-H518)-I518*ROUNDUP(J518/F518,0)</x:f>
        <x:v>-333617.07028999995</x:v>
      </x:c>
      <x:c r="L518" s="10" t="str">
        <x:f>IF(G518-H518&lt;=0,"未回本",IF(ROUNDUP(I518/(G518-H518),0)&gt;MIN(F518,J518),"未回本",MAX(1,ROUNDUP(I518/(G518-H518),0))))</x:f>
        <x:v>未回本</x:v>
      </x:c>
    </x:row>
    <x:row r="519" ht="22" customHeight="1">
      <x:c r="A519" s="11" t="str">
        <x:v>lade_0824_20aoi</x:v>
      </x:c>
      <x:c r="B519" s="10" t="n">
        <x:v>20</x:v>
      </x:c>
      <x:c r="C519" s="10" t="n">
        <x:v>42</x:v>
      </x:c>
      <x:c r="D519" s="10" t="str">
        <x:v>M2 / M4</x:v>
      </x:c>
      <x:c r="E519" s="16" t="n">
        <x:v>5</x:v>
      </x:c>
      <x:c r="F519" s="14" t="n">
        <x:v>10</x:v>
      </x:c>
      <x:c r="G519" s="26" t="n">
        <x:f>'成本明细'!U81+'成本明细'!G81*(E519-'参数'!$B$6)</x:f>
        <x:v>2567.787482646667</x:v>
      </x:c>
      <x:c r="H519" s="26" t="n">
        <x:f>'成本明细'!U87</x:f>
        <x:v>3089.3885283738887</x:v>
      </x:c>
      <x:c r="I519" s="26" t="n">
        <x:f>'成本明细'!V87</x:f>
        <x:v>7081</x:v>
      </x:c>
      <x:c r="J519" s="22" t="n">
        <x:f>'参数'!$B$9</x:f>
        <x:v>300</x:v>
      </x:c>
      <x:c r="K519" s="26" t="n">
        <x:f>J519*(G519-H519)-I519*ROUNDUP(J519/F519,0)</x:f>
        <x:v>-368910.31371816655</x:v>
      </x:c>
      <x:c r="L519" s="10" t="str">
        <x:f>IF(G519-H519&lt;=0,"未回本",IF(ROUNDUP(I519/(G519-H519),0)&gt;MIN(F519,J519),"未回本",MAX(1,ROUNDUP(I519/(G519-H519),0))))</x:f>
        <x:v>未回本</x:v>
      </x:c>
    </x:row>
    <x:row r="520" ht="22" customHeight="1">
      <x:c r="A520" s="11" t="str">
        <x:v>lade_0824_20aoi</x:v>
      </x:c>
      <x:c r="B520" s="10" t="n">
        <x:v>20</x:v>
      </x:c>
      <x:c r="C520" s="10" t="n">
        <x:v>42</x:v>
      </x:c>
      <x:c r="D520" s="10" t="str">
        <x:v>M1 / M3</x:v>
      </x:c>
      <x:c r="E520" s="16" t="n">
        <x:v>5</x:v>
      </x:c>
      <x:c r="F520" s="14" t="n">
        <x:v>20</x:v>
      </x:c>
      <x:c r="G520" s="26" t="n">
        <x:f>'成本明细'!U78+'成本明细'!G78*(E520-'参数'!$B$6)</x:f>
        <x:v>2972.658806945</x:v>
      </x:c>
      <x:c r="H520" s="26" t="n">
        <x:f>'成本明细'!U84</x:f>
        <x:v>3376.6157079116665</x:v>
      </x:c>
      <x:c r="I520" s="26" t="n">
        <x:f>'成本明细'!V84</x:f>
        <x:v>7081</x:v>
      </x:c>
      <x:c r="J520" s="22" t="n">
        <x:f>'参数'!$B$9</x:f>
        <x:v>300</x:v>
      </x:c>
      <x:c r="K520" s="26" t="n">
        <x:f>J520*(G520-H520)-I520*ROUNDUP(J520/F520,0)</x:f>
        <x:v>-227402.07028999997</x:v>
      </x:c>
      <x:c r="L520" s="10" t="str">
        <x:f>IF(G520-H520&lt;=0,"未回本",IF(ROUNDUP(I520/(G520-H520),0)&gt;MIN(F520,J520),"未回本",MAX(1,ROUNDUP(I520/(G520-H520),0))))</x:f>
        <x:v>未回本</x:v>
      </x:c>
    </x:row>
    <x:row r="521" ht="22" customHeight="1">
      <x:c r="A521" s="11" t="str">
        <x:v>lade_0824_20aoi</x:v>
      </x:c>
      <x:c r="B521" s="10" t="n">
        <x:v>20</x:v>
      </x:c>
      <x:c r="C521" s="10" t="n">
        <x:v>42</x:v>
      </x:c>
      <x:c r="D521" s="10" t="str">
        <x:v>M2 / M4</x:v>
      </x:c>
      <x:c r="E521" s="16" t="n">
        <x:v>5</x:v>
      </x:c>
      <x:c r="F521" s="14" t="n">
        <x:v>20</x:v>
      </x:c>
      <x:c r="G521" s="26" t="n">
        <x:f>'成本明细'!U81+'成本明细'!G81*(E521-'参数'!$B$6)</x:f>
        <x:v>2567.787482646667</x:v>
      </x:c>
      <x:c r="H521" s="26" t="n">
        <x:f>'成本明细'!U87</x:f>
        <x:v>3089.3885283738887</x:v>
      </x:c>
      <x:c r="I521" s="26" t="n">
        <x:f>'成本明细'!V87</x:f>
        <x:v>7081</x:v>
      </x:c>
      <x:c r="J521" s="22" t="n">
        <x:f>'参数'!$B$9</x:f>
        <x:v>300</x:v>
      </x:c>
      <x:c r="K521" s="26" t="n">
        <x:f>J521*(G521-H521)-I521*ROUNDUP(J521/F521,0)</x:f>
        <x:v>-262695.31371816655</x:v>
      </x:c>
      <x:c r="L521" s="10" t="str">
        <x:f>IF(G521-H521&lt;=0,"未回本",IF(ROUNDUP(I521/(G521-H521),0)&gt;MIN(F521,J521),"未回本",MAX(1,ROUNDUP(I521/(G521-H521),0))))</x:f>
        <x:v>未回本</x:v>
      </x:c>
    </x:row>
    <x:row r="522" ht="22" customHeight="1">
      <x:c r="A522" s="11" t="str">
        <x:v>lade_0824_20aoi</x:v>
      </x:c>
      <x:c r="B522" s="10" t="n">
        <x:v>20</x:v>
      </x:c>
      <x:c r="C522" s="10" t="n">
        <x:v>42</x:v>
      </x:c>
      <x:c r="D522" s="10" t="str">
        <x:v>M1 / M3</x:v>
      </x:c>
      <x:c r="E522" s="16" t="n">
        <x:v>5</x:v>
      </x:c>
      <x:c r="F522" s="14" t="n">
        <x:v>30</x:v>
      </x:c>
      <x:c r="G522" s="26" t="n">
        <x:f>'成本明细'!U78+'成本明细'!G78*(E522-'参数'!$B$6)</x:f>
        <x:v>2972.658806945</x:v>
      </x:c>
      <x:c r="H522" s="26" t="n">
        <x:f>'成本明细'!U84</x:f>
        <x:v>3376.6157079116665</x:v>
      </x:c>
      <x:c r="I522" s="26" t="n">
        <x:f>'成本明细'!V84</x:f>
        <x:v>7081</x:v>
      </x:c>
      <x:c r="J522" s="22" t="n">
        <x:f>'参数'!$B$9</x:f>
        <x:v>300</x:v>
      </x:c>
      <x:c r="K522" s="26" t="n">
        <x:f>J522*(G522-H522)-I522*ROUNDUP(J522/F522,0)</x:f>
        <x:v>-191997.07028999997</x:v>
      </x:c>
      <x:c r="L522" s="10" t="str">
        <x:f>IF(G522-H522&lt;=0,"未回本",IF(ROUNDUP(I522/(G522-H522),0)&gt;MIN(F522,J522),"未回本",MAX(1,ROUNDUP(I522/(G522-H522),0))))</x:f>
        <x:v>未回本</x:v>
      </x:c>
    </x:row>
    <x:row r="523" ht="22" customHeight="1">
      <x:c r="A523" s="11" t="str">
        <x:v>lade_0824_20aoi</x:v>
      </x:c>
      <x:c r="B523" s="10" t="n">
        <x:v>20</x:v>
      </x:c>
      <x:c r="C523" s="10" t="n">
        <x:v>42</x:v>
      </x:c>
      <x:c r="D523" s="10" t="str">
        <x:v>M2 / M4</x:v>
      </x:c>
      <x:c r="E523" s="16" t="n">
        <x:v>5</x:v>
      </x:c>
      <x:c r="F523" s="14" t="n">
        <x:v>30</x:v>
      </x:c>
      <x:c r="G523" s="26" t="n">
        <x:f>'成本明细'!U81+'成本明细'!G81*(E523-'参数'!$B$6)</x:f>
        <x:v>2567.787482646667</x:v>
      </x:c>
      <x:c r="H523" s="26" t="n">
        <x:f>'成本明细'!U87</x:f>
        <x:v>3089.3885283738887</x:v>
      </x:c>
      <x:c r="I523" s="26" t="n">
        <x:f>'成本明细'!V87</x:f>
        <x:v>7081</x:v>
      </x:c>
      <x:c r="J523" s="22" t="n">
        <x:f>'参数'!$B$9</x:f>
        <x:v>300</x:v>
      </x:c>
      <x:c r="K523" s="26" t="n">
        <x:f>J523*(G523-H523)-I523*ROUNDUP(J523/F523,0)</x:f>
        <x:v>-227290.31371816655</x:v>
      </x:c>
      <x:c r="L523" s="10" t="str">
        <x:f>IF(G523-H523&lt;=0,"未回本",IF(ROUNDUP(I523/(G523-H523),0)&gt;MIN(F523,J523),"未回本",MAX(1,ROUNDUP(I523/(G523-H523),0))))</x:f>
        <x:v>未回本</x:v>
      </x:c>
    </x:row>
    <x:row r="524" ht="22" customHeight="1">
      <x:c r="A524" s="11" t="str">
        <x:v>lade_0824_20aoi</x:v>
      </x:c>
      <x:c r="B524" s="10" t="n">
        <x:v>20</x:v>
      </x:c>
      <x:c r="C524" s="10" t="n">
        <x:v>42</x:v>
      </x:c>
      <x:c r="D524" s="10" t="str">
        <x:v>M1 / M3</x:v>
      </x:c>
      <x:c r="E524" s="16" t="n">
        <x:v>5</x:v>
      </x:c>
      <x:c r="F524" s="14" t="n">
        <x:v>50</x:v>
      </x:c>
      <x:c r="G524" s="26" t="n">
        <x:f>'成本明细'!U78+'成本明细'!G78*(E524-'参数'!$B$6)</x:f>
        <x:v>2972.658806945</x:v>
      </x:c>
      <x:c r="H524" s="26" t="n">
        <x:f>'成本明细'!U84</x:f>
        <x:v>3376.6157079116665</x:v>
      </x:c>
      <x:c r="I524" s="26" t="n">
        <x:f>'成本明细'!V84</x:f>
        <x:v>7081</x:v>
      </x:c>
      <x:c r="J524" s="22" t="n">
        <x:f>'参数'!$B$9</x:f>
        <x:v>300</x:v>
      </x:c>
      <x:c r="K524" s="26" t="n">
        <x:f>J524*(G524-H524)-I524*ROUNDUP(J524/F524,0)</x:f>
        <x:v>-163673.07028999997</x:v>
      </x:c>
      <x:c r="L524" s="10" t="str">
        <x:f>IF(G524-H524&lt;=0,"未回本",IF(ROUNDUP(I524/(G524-H524),0)&gt;MIN(F524,J524),"未回本",MAX(1,ROUNDUP(I524/(G524-H524),0))))</x:f>
        <x:v>未回本</x:v>
      </x:c>
    </x:row>
    <x:row r="525" ht="22" customHeight="1">
      <x:c r="A525" s="11" t="str">
        <x:v>lade_0824_20aoi</x:v>
      </x:c>
      <x:c r="B525" s="10" t="n">
        <x:v>20</x:v>
      </x:c>
      <x:c r="C525" s="10" t="n">
        <x:v>42</x:v>
      </x:c>
      <x:c r="D525" s="10" t="str">
        <x:v>M2 / M4</x:v>
      </x:c>
      <x:c r="E525" s="16" t="n">
        <x:v>5</x:v>
      </x:c>
      <x:c r="F525" s="14" t="n">
        <x:v>50</x:v>
      </x:c>
      <x:c r="G525" s="26" t="n">
        <x:f>'成本明细'!U81+'成本明细'!G81*(E525-'参数'!$B$6)</x:f>
        <x:v>2567.787482646667</x:v>
      </x:c>
      <x:c r="H525" s="26" t="n">
        <x:f>'成本明细'!U87</x:f>
        <x:v>3089.3885283738887</x:v>
      </x:c>
      <x:c r="I525" s="26" t="n">
        <x:f>'成本明细'!V87</x:f>
        <x:v>7081</x:v>
      </x:c>
      <x:c r="J525" s="22" t="n">
        <x:f>'参数'!$B$9</x:f>
        <x:v>300</x:v>
      </x:c>
      <x:c r="K525" s="26" t="n">
        <x:f>J525*(G525-H525)-I525*ROUNDUP(J525/F525,0)</x:f>
        <x:v>-198966.31371816655</x:v>
      </x:c>
      <x:c r="L525" s="10" t="str">
        <x:f>IF(G525-H525&lt;=0,"未回本",IF(ROUNDUP(I525/(G525-H525),0)&gt;MIN(F525,J525),"未回本",MAX(1,ROUNDUP(I525/(G525-H525),0))))</x:f>
        <x:v>未回本</x:v>
      </x:c>
    </x:row>
    <x:row r="526" ht="22" customHeight="1">
      <x:c r="A526" s="11" t="str">
        <x:v>lade_0824_20aoi</x:v>
      </x:c>
      <x:c r="B526" s="10" t="n">
        <x:v>20</x:v>
      </x:c>
      <x:c r="C526" s="10" t="n">
        <x:v>43</x:v>
      </x:c>
      <x:c r="D526" s="10" t="str">
        <x:v>M1 / M3</x:v>
      </x:c>
      <x:c r="E526" s="16" t="n">
        <x:v>1</x:v>
      </x:c>
      <x:c r="F526" s="14" t="n">
        <x:v>10</x:v>
      </x:c>
      <x:c r="G526" s="26" t="n">
        <x:f>'成本明细'!U79+'成本明细'!G79*(E526-'参数'!$B$6)</x:f>
        <x:v>2435.7847579866666</x:v>
      </x:c>
      <x:c r="H526" s="26" t="n">
        <x:f>'成本明细'!U85</x:f>
        <x:v>3562.3886911361105</x:v>
      </x:c>
      <x:c r="I526" s="26" t="n">
        <x:f>'成本明细'!V85</x:f>
        <x:v>7081</x:v>
      </x:c>
      <x:c r="J526" s="22" t="n">
        <x:f>'参数'!$B$9</x:f>
        <x:v>300</x:v>
      </x:c>
      <x:c r="K526" s="26" t="n">
        <x:f>J526*(G526-H526)-I526*ROUNDUP(J526/F526,0)</x:f>
        <x:v>-550411.1799448332</x:v>
      </x:c>
      <x:c r="L526" s="10" t="str">
        <x:f>IF(G526-H526&lt;=0,"未回本",IF(ROUNDUP(I526/(G526-H526),0)&gt;MIN(F526,J526),"未回本",MAX(1,ROUNDUP(I526/(G526-H526),0))))</x:f>
        <x:v>未回本</x:v>
      </x:c>
    </x:row>
    <x:row r="527" ht="22" customHeight="1">
      <x:c r="A527" s="11" t="str">
        <x:v>lade_0824_20aoi</x:v>
      </x:c>
      <x:c r="B527" s="10" t="n">
        <x:v>20</x:v>
      </x:c>
      <x:c r="C527" s="10" t="n">
        <x:v>43</x:v>
      </x:c>
      <x:c r="D527" s="10" t="str">
        <x:v>M2 / M4</x:v>
      </x:c>
      <x:c r="E527" s="16" t="n">
        <x:v>1</x:v>
      </x:c>
      <x:c r="F527" s="14" t="n">
        <x:v>10</x:v>
      </x:c>
      <x:c r="G527" s="26" t="n">
        <x:f>'成本明细'!U82+'成本明细'!G82*(E527-'参数'!$B$6)</x:f>
        <x:v>2014.9855119433332</x:v>
      </x:c>
      <x:c r="H527" s="26" t="n">
        <x:f>'成本明细'!U88</x:f>
        <x:v>3370.3195701094446</x:v>
      </x:c>
      <x:c r="I527" s="26" t="n">
        <x:f>'成本明细'!V88</x:f>
        <x:v>7081</x:v>
      </x:c>
      <x:c r="J527" s="22" t="n">
        <x:f>'参数'!$B$9</x:f>
        <x:v>300</x:v>
      </x:c>
      <x:c r="K527" s="26" t="n">
        <x:f>J527*(G527-H527)-I527*ROUNDUP(J527/F527,0)</x:f>
        <x:v>-619030.2174498334</x:v>
      </x:c>
      <x:c r="L527" s="10" t="str">
        <x:f>IF(G527-H527&lt;=0,"未回本",IF(ROUNDUP(I527/(G527-H527),0)&gt;MIN(F527,J527),"未回本",MAX(1,ROUNDUP(I527/(G527-H527),0))))</x:f>
        <x:v>未回本</x:v>
      </x:c>
    </x:row>
    <x:row r="528" ht="22" customHeight="1">
      <x:c r="A528" s="11" t="str">
        <x:v>lade_0824_20aoi</x:v>
      </x:c>
      <x:c r="B528" s="10" t="n">
        <x:v>20</x:v>
      </x:c>
      <x:c r="C528" s="10" t="n">
        <x:v>43</x:v>
      </x:c>
      <x:c r="D528" s="10" t="str">
        <x:v>M1 / M3</x:v>
      </x:c>
      <x:c r="E528" s="16" t="n">
        <x:v>1</x:v>
      </x:c>
      <x:c r="F528" s="14" t="n">
        <x:v>20</x:v>
      </x:c>
      <x:c r="G528" s="26" t="n">
        <x:f>'成本明细'!U79+'成本明细'!G79*(E528-'参数'!$B$6)</x:f>
        <x:v>2435.7847579866666</x:v>
      </x:c>
      <x:c r="H528" s="26" t="n">
        <x:f>'成本明细'!U85</x:f>
        <x:v>3562.3886911361105</x:v>
      </x:c>
      <x:c r="I528" s="26" t="n">
        <x:f>'成本明细'!V85</x:f>
        <x:v>7081</x:v>
      </x:c>
      <x:c r="J528" s="22" t="n">
        <x:f>'参数'!$B$9</x:f>
        <x:v>300</x:v>
      </x:c>
      <x:c r="K528" s="26" t="n">
        <x:f>J528*(G528-H528)-I528*ROUNDUP(J528/F528,0)</x:f>
        <x:v>-444196.17994483316</x:v>
      </x:c>
      <x:c r="L528" s="10" t="str">
        <x:f>IF(G528-H528&lt;=0,"未回本",IF(ROUNDUP(I528/(G528-H528),0)&gt;MIN(F528,J528),"未回本",MAX(1,ROUNDUP(I528/(G528-H528),0))))</x:f>
        <x:v>未回本</x:v>
      </x:c>
    </x:row>
    <x:row r="529" ht="22" customHeight="1">
      <x:c r="A529" s="11" t="str">
        <x:v>lade_0824_20aoi</x:v>
      </x:c>
      <x:c r="B529" s="10" t="n">
        <x:v>20</x:v>
      </x:c>
      <x:c r="C529" s="10" t="n">
        <x:v>43</x:v>
      </x:c>
      <x:c r="D529" s="10" t="str">
        <x:v>M2 / M4</x:v>
      </x:c>
      <x:c r="E529" s="16" t="n">
        <x:v>1</x:v>
      </x:c>
      <x:c r="F529" s="14" t="n">
        <x:v>20</x:v>
      </x:c>
      <x:c r="G529" s="26" t="n">
        <x:f>'成本明细'!U82+'成本明细'!G82*(E529-'参数'!$B$6)</x:f>
        <x:v>2014.9855119433332</x:v>
      </x:c>
      <x:c r="H529" s="26" t="n">
        <x:f>'成本明细'!U88</x:f>
        <x:v>3370.3195701094446</x:v>
      </x:c>
      <x:c r="I529" s="26" t="n">
        <x:f>'成本明细'!V88</x:f>
        <x:v>7081</x:v>
      </x:c>
      <x:c r="J529" s="22" t="n">
        <x:f>'参数'!$B$9</x:f>
        <x:v>300</x:v>
      </x:c>
      <x:c r="K529" s="26" t="n">
        <x:f>J529*(G529-H529)-I529*ROUNDUP(J529/F529,0)</x:f>
        <x:v>-512815.2174498334</x:v>
      </x:c>
      <x:c r="L529" s="10" t="str">
        <x:f>IF(G529-H529&lt;=0,"未回本",IF(ROUNDUP(I529/(G529-H529),0)&gt;MIN(F529,J529),"未回本",MAX(1,ROUNDUP(I529/(G529-H529),0))))</x:f>
        <x:v>未回本</x:v>
      </x:c>
    </x:row>
    <x:row r="530" ht="22" customHeight="1">
      <x:c r="A530" s="11" t="str">
        <x:v>lade_0824_20aoi</x:v>
      </x:c>
      <x:c r="B530" s="10" t="n">
        <x:v>20</x:v>
      </x:c>
      <x:c r="C530" s="10" t="n">
        <x:v>43</x:v>
      </x:c>
      <x:c r="D530" s="10" t="str">
        <x:v>M1 / M3</x:v>
      </x:c>
      <x:c r="E530" s="16" t="n">
        <x:v>1</x:v>
      </x:c>
      <x:c r="F530" s="14" t="n">
        <x:v>30</x:v>
      </x:c>
      <x:c r="G530" s="26" t="n">
        <x:f>'成本明细'!U79+'成本明细'!G79*(E530-'参数'!$B$6)</x:f>
        <x:v>2435.7847579866666</x:v>
      </x:c>
      <x:c r="H530" s="26" t="n">
        <x:f>'成本明细'!U85</x:f>
        <x:v>3562.3886911361105</x:v>
      </x:c>
      <x:c r="I530" s="26" t="n">
        <x:f>'成本明细'!V85</x:f>
        <x:v>7081</x:v>
      </x:c>
      <x:c r="J530" s="22" t="n">
        <x:f>'参数'!$B$9</x:f>
        <x:v>300</x:v>
      </x:c>
      <x:c r="K530" s="26" t="n">
        <x:f>J530*(G530-H530)-I530*ROUNDUP(J530/F530,0)</x:f>
        <x:v>-408791.17994483316</x:v>
      </x:c>
      <x:c r="L530" s="10" t="str">
        <x:f>IF(G530-H530&lt;=0,"未回本",IF(ROUNDUP(I530/(G530-H530),0)&gt;MIN(F530,J530),"未回本",MAX(1,ROUNDUP(I530/(G530-H530),0))))</x:f>
        <x:v>未回本</x:v>
      </x:c>
    </x:row>
    <x:row r="531" ht="22" customHeight="1">
      <x:c r="A531" s="11" t="str">
        <x:v>lade_0824_20aoi</x:v>
      </x:c>
      <x:c r="B531" s="10" t="n">
        <x:v>20</x:v>
      </x:c>
      <x:c r="C531" s="10" t="n">
        <x:v>43</x:v>
      </x:c>
      <x:c r="D531" s="10" t="str">
        <x:v>M2 / M4</x:v>
      </x:c>
      <x:c r="E531" s="16" t="n">
        <x:v>1</x:v>
      </x:c>
      <x:c r="F531" s="14" t="n">
        <x:v>30</x:v>
      </x:c>
      <x:c r="G531" s="26" t="n">
        <x:f>'成本明细'!U82+'成本明细'!G82*(E531-'参数'!$B$6)</x:f>
        <x:v>2014.9855119433332</x:v>
      </x:c>
      <x:c r="H531" s="26" t="n">
        <x:f>'成本明细'!U88</x:f>
        <x:v>3370.3195701094446</x:v>
      </x:c>
      <x:c r="I531" s="26" t="n">
        <x:f>'成本明细'!V88</x:f>
        <x:v>7081</x:v>
      </x:c>
      <x:c r="J531" s="22" t="n">
        <x:f>'参数'!$B$9</x:f>
        <x:v>300</x:v>
      </x:c>
      <x:c r="K531" s="26" t="n">
        <x:f>J531*(G531-H531)-I531*ROUNDUP(J531/F531,0)</x:f>
        <x:v>-477410.2174498334</x:v>
      </x:c>
      <x:c r="L531" s="10" t="str">
        <x:f>IF(G531-H531&lt;=0,"未回本",IF(ROUNDUP(I531/(G531-H531),0)&gt;MIN(F531,J531),"未回本",MAX(1,ROUNDUP(I531/(G531-H531),0))))</x:f>
        <x:v>未回本</x:v>
      </x:c>
    </x:row>
    <x:row r="532" ht="22" customHeight="1">
      <x:c r="A532" s="11" t="str">
        <x:v>lade_0824_20aoi</x:v>
      </x:c>
      <x:c r="B532" s="10" t="n">
        <x:v>20</x:v>
      </x:c>
      <x:c r="C532" s="10" t="n">
        <x:v>43</x:v>
      </x:c>
      <x:c r="D532" s="10" t="str">
        <x:v>M1 / M3</x:v>
      </x:c>
      <x:c r="E532" s="16" t="n">
        <x:v>1</x:v>
      </x:c>
      <x:c r="F532" s="14" t="n">
        <x:v>50</x:v>
      </x:c>
      <x:c r="G532" s="26" t="n">
        <x:f>'成本明细'!U79+'成本明细'!G79*(E532-'参数'!$B$6)</x:f>
        <x:v>2435.7847579866666</x:v>
      </x:c>
      <x:c r="H532" s="26" t="n">
        <x:f>'成本明细'!U85</x:f>
        <x:v>3562.3886911361105</x:v>
      </x:c>
      <x:c r="I532" s="26" t="n">
        <x:f>'成本明细'!V85</x:f>
        <x:v>7081</x:v>
      </x:c>
      <x:c r="J532" s="22" t="n">
        <x:f>'参数'!$B$9</x:f>
        <x:v>300</x:v>
      </x:c>
      <x:c r="K532" s="26" t="n">
        <x:f>J532*(G532-H532)-I532*ROUNDUP(J532/F532,0)</x:f>
        <x:v>-380467.17994483316</x:v>
      </x:c>
      <x:c r="L532" s="10" t="str">
        <x:f>IF(G532-H532&lt;=0,"未回本",IF(ROUNDUP(I532/(G532-H532),0)&gt;MIN(F532,J532),"未回本",MAX(1,ROUNDUP(I532/(G532-H532),0))))</x:f>
        <x:v>未回本</x:v>
      </x:c>
    </x:row>
    <x:row r="533" ht="22" customHeight="1">
      <x:c r="A533" s="11" t="str">
        <x:v>lade_0824_20aoi</x:v>
      </x:c>
      <x:c r="B533" s="10" t="n">
        <x:v>20</x:v>
      </x:c>
      <x:c r="C533" s="10" t="n">
        <x:v>43</x:v>
      </x:c>
      <x:c r="D533" s="10" t="str">
        <x:v>M2 / M4</x:v>
      </x:c>
      <x:c r="E533" s="16" t="n">
        <x:v>1</x:v>
      </x:c>
      <x:c r="F533" s="14" t="n">
        <x:v>50</x:v>
      </x:c>
      <x:c r="G533" s="26" t="n">
        <x:f>'成本明细'!U82+'成本明细'!G82*(E533-'参数'!$B$6)</x:f>
        <x:v>2014.9855119433332</x:v>
      </x:c>
      <x:c r="H533" s="26" t="n">
        <x:f>'成本明细'!U88</x:f>
        <x:v>3370.3195701094446</x:v>
      </x:c>
      <x:c r="I533" s="26" t="n">
        <x:f>'成本明细'!V88</x:f>
        <x:v>7081</x:v>
      </x:c>
      <x:c r="J533" s="22" t="n">
        <x:f>'参数'!$B$9</x:f>
        <x:v>300</x:v>
      </x:c>
      <x:c r="K533" s="26" t="n">
        <x:f>J533*(G533-H533)-I533*ROUNDUP(J533/F533,0)</x:f>
        <x:v>-449086.2174498334</x:v>
      </x:c>
      <x:c r="L533" s="10" t="str">
        <x:f>IF(G533-H533&lt;=0,"未回本",IF(ROUNDUP(I533/(G533-H533),0)&gt;MIN(F533,J533),"未回本",MAX(1,ROUNDUP(I533/(G533-H533),0))))</x:f>
        <x:v>未回本</x:v>
      </x:c>
    </x:row>
    <x:row r="534" ht="22" customHeight="1">
      <x:c r="A534" s="11" t="str">
        <x:v>lade_0824_20aoi</x:v>
      </x:c>
      <x:c r="B534" s="10" t="n">
        <x:v>20</x:v>
      </x:c>
      <x:c r="C534" s="10" t="n">
        <x:v>43</x:v>
      </x:c>
      <x:c r="D534" s="10" t="str">
        <x:v>M1 / M3</x:v>
      </x:c>
      <x:c r="E534" s="16" t="n">
        <x:v>2</x:v>
      </x:c>
      <x:c r="F534" s="14" t="n">
        <x:v>10</x:v>
      </x:c>
      <x:c r="G534" s="26" t="n">
        <x:f>'成本明细'!U79+'成本明细'!G79*(E534-'参数'!$B$6)</x:f>
        <x:v>2629.7847579866666</x:v>
      </x:c>
      <x:c r="H534" s="26" t="n">
        <x:f>'成本明细'!U85</x:f>
        <x:v>3562.3886911361105</x:v>
      </x:c>
      <x:c r="I534" s="26" t="n">
        <x:f>'成本明细'!V85</x:f>
        <x:v>7081</x:v>
      </x:c>
      <x:c r="J534" s="22" t="n">
        <x:f>'参数'!$B$9</x:f>
        <x:v>300</x:v>
      </x:c>
      <x:c r="K534" s="26" t="n">
        <x:f>J534*(G534-H534)-I534*ROUNDUP(J534/F534,0)</x:f>
        <x:v>-492211.17994483316</x:v>
      </x:c>
      <x:c r="L534" s="10" t="str">
        <x:f>IF(G534-H534&lt;=0,"未回本",IF(ROUNDUP(I534/(G534-H534),0)&gt;MIN(F534,J534),"未回本",MAX(1,ROUNDUP(I534/(G534-H534),0))))</x:f>
        <x:v>未回本</x:v>
      </x:c>
    </x:row>
    <x:row r="535" ht="22" customHeight="1">
      <x:c r="A535" s="11" t="str">
        <x:v>lade_0824_20aoi</x:v>
      </x:c>
      <x:c r="B535" s="10" t="n">
        <x:v>20</x:v>
      </x:c>
      <x:c r="C535" s="10" t="n">
        <x:v>43</x:v>
      </x:c>
      <x:c r="D535" s="10" t="str">
        <x:v>M2 / M4</x:v>
      </x:c>
      <x:c r="E535" s="16" t="n">
        <x:v>2</x:v>
      </x:c>
      <x:c r="F535" s="14" t="n">
        <x:v>10</x:v>
      </x:c>
      <x:c r="G535" s="26" t="n">
        <x:f>'成本明细'!U82+'成本明细'!G82*(E535-'参数'!$B$6)</x:f>
        <x:v>2208.985511943333</x:v>
      </x:c>
      <x:c r="H535" s="26" t="n">
        <x:f>'成本明细'!U88</x:f>
        <x:v>3370.3195701094446</x:v>
      </x:c>
      <x:c r="I535" s="26" t="n">
        <x:f>'成本明细'!V88</x:f>
        <x:v>7081</x:v>
      </x:c>
      <x:c r="J535" s="22" t="n">
        <x:f>'参数'!$B$9</x:f>
        <x:v>300</x:v>
      </x:c>
      <x:c r="K535" s="26" t="n">
        <x:f>J535*(G535-H535)-I535*ROUNDUP(J535/F535,0)</x:f>
        <x:v>-560830.2174498334</x:v>
      </x:c>
      <x:c r="L535" s="10" t="str">
        <x:f>IF(G535-H535&lt;=0,"未回本",IF(ROUNDUP(I535/(G535-H535),0)&gt;MIN(F535,J535),"未回本",MAX(1,ROUNDUP(I535/(G535-H535),0))))</x:f>
        <x:v>未回本</x:v>
      </x:c>
    </x:row>
    <x:row r="536" ht="22" customHeight="1">
      <x:c r="A536" s="11" t="str">
        <x:v>lade_0824_20aoi</x:v>
      </x:c>
      <x:c r="B536" s="10" t="n">
        <x:v>20</x:v>
      </x:c>
      <x:c r="C536" s="10" t="n">
        <x:v>43</x:v>
      </x:c>
      <x:c r="D536" s="10" t="str">
        <x:v>M1 / M3</x:v>
      </x:c>
      <x:c r="E536" s="16" t="n">
        <x:v>2</x:v>
      </x:c>
      <x:c r="F536" s="14" t="n">
        <x:v>20</x:v>
      </x:c>
      <x:c r="G536" s="26" t="n">
        <x:f>'成本明细'!U79+'成本明细'!G79*(E536-'参数'!$B$6)</x:f>
        <x:v>2629.7847579866666</x:v>
      </x:c>
      <x:c r="H536" s="26" t="n">
        <x:f>'成本明细'!U85</x:f>
        <x:v>3562.3886911361105</x:v>
      </x:c>
      <x:c r="I536" s="26" t="n">
        <x:f>'成本明细'!V85</x:f>
        <x:v>7081</x:v>
      </x:c>
      <x:c r="J536" s="22" t="n">
        <x:f>'参数'!$B$9</x:f>
        <x:v>300</x:v>
      </x:c>
      <x:c r="K536" s="26" t="n">
        <x:f>J536*(G536-H536)-I536*ROUNDUP(J536/F536,0)</x:f>
        <x:v>-385996.17994483316</x:v>
      </x:c>
      <x:c r="L536" s="10" t="str">
        <x:f>IF(G536-H536&lt;=0,"未回本",IF(ROUNDUP(I536/(G536-H536),0)&gt;MIN(F536,J536),"未回本",MAX(1,ROUNDUP(I536/(G536-H536),0))))</x:f>
        <x:v>未回本</x:v>
      </x:c>
    </x:row>
    <x:row r="537" ht="22" customHeight="1">
      <x:c r="A537" s="11" t="str">
        <x:v>lade_0824_20aoi</x:v>
      </x:c>
      <x:c r="B537" s="10" t="n">
        <x:v>20</x:v>
      </x:c>
      <x:c r="C537" s="10" t="n">
        <x:v>43</x:v>
      </x:c>
      <x:c r="D537" s="10" t="str">
        <x:v>M2 / M4</x:v>
      </x:c>
      <x:c r="E537" s="16" t="n">
        <x:v>2</x:v>
      </x:c>
      <x:c r="F537" s="14" t="n">
        <x:v>20</x:v>
      </x:c>
      <x:c r="G537" s="26" t="n">
        <x:f>'成本明细'!U82+'成本明细'!G82*(E537-'参数'!$B$6)</x:f>
        <x:v>2208.985511943333</x:v>
      </x:c>
      <x:c r="H537" s="26" t="n">
        <x:f>'成本明细'!U88</x:f>
        <x:v>3370.3195701094446</x:v>
      </x:c>
      <x:c r="I537" s="26" t="n">
        <x:f>'成本明细'!V88</x:f>
        <x:v>7081</x:v>
      </x:c>
      <x:c r="J537" s="22" t="n">
        <x:f>'参数'!$B$9</x:f>
        <x:v>300</x:v>
      </x:c>
      <x:c r="K537" s="26" t="n">
        <x:f>J537*(G537-H537)-I537*ROUNDUP(J537/F537,0)</x:f>
        <x:v>-454615.2174498334</x:v>
      </x:c>
      <x:c r="L537" s="10" t="str">
        <x:f>IF(G537-H537&lt;=0,"未回本",IF(ROUNDUP(I537/(G537-H537),0)&gt;MIN(F537,J537),"未回本",MAX(1,ROUNDUP(I537/(G537-H537),0))))</x:f>
        <x:v>未回本</x:v>
      </x:c>
    </x:row>
    <x:row r="538" ht="22" customHeight="1">
      <x:c r="A538" s="11" t="str">
        <x:v>lade_0824_20aoi</x:v>
      </x:c>
      <x:c r="B538" s="10" t="n">
        <x:v>20</x:v>
      </x:c>
      <x:c r="C538" s="10" t="n">
        <x:v>43</x:v>
      </x:c>
      <x:c r="D538" s="10" t="str">
        <x:v>M1 / M3</x:v>
      </x:c>
      <x:c r="E538" s="16" t="n">
        <x:v>2</x:v>
      </x:c>
      <x:c r="F538" s="14" t="n">
        <x:v>30</x:v>
      </x:c>
      <x:c r="G538" s="26" t="n">
        <x:f>'成本明细'!U79+'成本明细'!G79*(E538-'参数'!$B$6)</x:f>
        <x:v>2629.7847579866666</x:v>
      </x:c>
      <x:c r="H538" s="26" t="n">
        <x:f>'成本明细'!U85</x:f>
        <x:v>3562.3886911361105</x:v>
      </x:c>
      <x:c r="I538" s="26" t="n">
        <x:f>'成本明细'!V85</x:f>
        <x:v>7081</x:v>
      </x:c>
      <x:c r="J538" s="22" t="n">
        <x:f>'参数'!$B$9</x:f>
        <x:v>300</x:v>
      </x:c>
      <x:c r="K538" s="26" t="n">
        <x:f>J538*(G538-H538)-I538*ROUNDUP(J538/F538,0)</x:f>
        <x:v>-350591.17994483316</x:v>
      </x:c>
      <x:c r="L538" s="10" t="str">
        <x:f>IF(G538-H538&lt;=0,"未回本",IF(ROUNDUP(I538/(G538-H538),0)&gt;MIN(F538,J538),"未回本",MAX(1,ROUNDUP(I538/(G538-H538),0))))</x:f>
        <x:v>未回本</x:v>
      </x:c>
    </x:row>
    <x:row r="539" ht="22" customHeight="1">
      <x:c r="A539" s="11" t="str">
        <x:v>lade_0824_20aoi</x:v>
      </x:c>
      <x:c r="B539" s="10" t="n">
        <x:v>20</x:v>
      </x:c>
      <x:c r="C539" s="10" t="n">
        <x:v>43</x:v>
      </x:c>
      <x:c r="D539" s="10" t="str">
        <x:v>M2 / M4</x:v>
      </x:c>
      <x:c r="E539" s="16" t="n">
        <x:v>2</x:v>
      </x:c>
      <x:c r="F539" s="14" t="n">
        <x:v>30</x:v>
      </x:c>
      <x:c r="G539" s="26" t="n">
        <x:f>'成本明细'!U82+'成本明细'!G82*(E539-'参数'!$B$6)</x:f>
        <x:v>2208.985511943333</x:v>
      </x:c>
      <x:c r="H539" s="26" t="n">
        <x:f>'成本明细'!U88</x:f>
        <x:v>3370.3195701094446</x:v>
      </x:c>
      <x:c r="I539" s="26" t="n">
        <x:f>'成本明细'!V88</x:f>
        <x:v>7081</x:v>
      </x:c>
      <x:c r="J539" s="22" t="n">
        <x:f>'参数'!$B$9</x:f>
        <x:v>300</x:v>
      </x:c>
      <x:c r="K539" s="26" t="n">
        <x:f>J539*(G539-H539)-I539*ROUNDUP(J539/F539,0)</x:f>
        <x:v>-419210.2174498334</x:v>
      </x:c>
      <x:c r="L539" s="10" t="str">
        <x:f>IF(G539-H539&lt;=0,"未回本",IF(ROUNDUP(I539/(G539-H539),0)&gt;MIN(F539,J539),"未回本",MAX(1,ROUNDUP(I539/(G539-H539),0))))</x:f>
        <x:v>未回本</x:v>
      </x:c>
    </x:row>
    <x:row r="540" ht="22" customHeight="1">
      <x:c r="A540" s="11" t="str">
        <x:v>lade_0824_20aoi</x:v>
      </x:c>
      <x:c r="B540" s="10" t="n">
        <x:v>20</x:v>
      </x:c>
      <x:c r="C540" s="10" t="n">
        <x:v>43</x:v>
      </x:c>
      <x:c r="D540" s="10" t="str">
        <x:v>M1 / M3</x:v>
      </x:c>
      <x:c r="E540" s="16" t="n">
        <x:v>2</x:v>
      </x:c>
      <x:c r="F540" s="14" t="n">
        <x:v>50</x:v>
      </x:c>
      <x:c r="G540" s="26" t="n">
        <x:f>'成本明细'!U79+'成本明细'!G79*(E540-'参数'!$B$6)</x:f>
        <x:v>2629.7847579866666</x:v>
      </x:c>
      <x:c r="H540" s="26" t="n">
        <x:f>'成本明细'!U85</x:f>
        <x:v>3562.3886911361105</x:v>
      </x:c>
      <x:c r="I540" s="26" t="n">
        <x:f>'成本明细'!V85</x:f>
        <x:v>7081</x:v>
      </x:c>
      <x:c r="J540" s="22" t="n">
        <x:f>'参数'!$B$9</x:f>
        <x:v>300</x:v>
      </x:c>
      <x:c r="K540" s="26" t="n">
        <x:f>J540*(G540-H540)-I540*ROUNDUP(J540/F540,0)</x:f>
        <x:v>-322267.17994483316</x:v>
      </x:c>
      <x:c r="L540" s="10" t="str">
        <x:f>IF(G540-H540&lt;=0,"未回本",IF(ROUNDUP(I540/(G540-H540),0)&gt;MIN(F540,J540),"未回本",MAX(1,ROUNDUP(I540/(G540-H540),0))))</x:f>
        <x:v>未回本</x:v>
      </x:c>
    </x:row>
    <x:row r="541" ht="22" customHeight="1">
      <x:c r="A541" s="11" t="str">
        <x:v>lade_0824_20aoi</x:v>
      </x:c>
      <x:c r="B541" s="10" t="n">
        <x:v>20</x:v>
      </x:c>
      <x:c r="C541" s="10" t="n">
        <x:v>43</x:v>
      </x:c>
      <x:c r="D541" s="10" t="str">
        <x:v>M2 / M4</x:v>
      </x:c>
      <x:c r="E541" s="16" t="n">
        <x:v>2</x:v>
      </x:c>
      <x:c r="F541" s="14" t="n">
        <x:v>50</x:v>
      </x:c>
      <x:c r="G541" s="26" t="n">
        <x:f>'成本明细'!U82+'成本明细'!G82*(E541-'参数'!$B$6)</x:f>
        <x:v>2208.985511943333</x:v>
      </x:c>
      <x:c r="H541" s="26" t="n">
        <x:f>'成本明细'!U88</x:f>
        <x:v>3370.3195701094446</x:v>
      </x:c>
      <x:c r="I541" s="26" t="n">
        <x:f>'成本明细'!V88</x:f>
        <x:v>7081</x:v>
      </x:c>
      <x:c r="J541" s="22" t="n">
        <x:f>'参数'!$B$9</x:f>
        <x:v>300</x:v>
      </x:c>
      <x:c r="K541" s="26" t="n">
        <x:f>J541*(G541-H541)-I541*ROUNDUP(J541/F541,0)</x:f>
        <x:v>-390886.2174498334</x:v>
      </x:c>
      <x:c r="L541" s="10" t="str">
        <x:f>IF(G541-H541&lt;=0,"未回本",IF(ROUNDUP(I541/(G541-H541),0)&gt;MIN(F541,J541),"未回本",MAX(1,ROUNDUP(I541/(G541-H541),0))))</x:f>
        <x:v>未回本</x:v>
      </x:c>
    </x:row>
    <x:row r="542" ht="22" customHeight="1">
      <x:c r="A542" s="11" t="str">
        <x:v>lade_0824_20aoi</x:v>
      </x:c>
      <x:c r="B542" s="10" t="n">
        <x:v>20</x:v>
      </x:c>
      <x:c r="C542" s="10" t="n">
        <x:v>43</x:v>
      </x:c>
      <x:c r="D542" s="10" t="str">
        <x:v>M1 / M3</x:v>
      </x:c>
      <x:c r="E542" s="16" t="n">
        <x:v>3</x:v>
      </x:c>
      <x:c r="F542" s="14" t="n">
        <x:v>10</x:v>
      </x:c>
      <x:c r="G542" s="26" t="n">
        <x:f>'成本明细'!U79+'成本明细'!G79*(E542-'参数'!$B$6)</x:f>
        <x:v>2823.7847579866666</x:v>
      </x:c>
      <x:c r="H542" s="26" t="n">
        <x:f>'成本明细'!U85</x:f>
        <x:v>3562.3886911361105</x:v>
      </x:c>
      <x:c r="I542" s="26" t="n">
        <x:f>'成本明细'!V85</x:f>
        <x:v>7081</x:v>
      </x:c>
      <x:c r="J542" s="22" t="n">
        <x:f>'参数'!$B$9</x:f>
        <x:v>300</x:v>
      </x:c>
      <x:c r="K542" s="26" t="n">
        <x:f>J542*(G542-H542)-I542*ROUNDUP(J542/F542,0)</x:f>
        <x:v>-434011.17994483316</x:v>
      </x:c>
      <x:c r="L542" s="10" t="str">
        <x:f>IF(G542-H542&lt;=0,"未回本",IF(ROUNDUP(I542/(G542-H542),0)&gt;MIN(F542,J542),"未回本",MAX(1,ROUNDUP(I542/(G542-H542),0))))</x:f>
        <x:v>未回本</x:v>
      </x:c>
    </x:row>
    <x:row r="543" ht="22" customHeight="1">
      <x:c r="A543" s="11" t="str">
        <x:v>lade_0824_20aoi</x:v>
      </x:c>
      <x:c r="B543" s="10" t="n">
        <x:v>20</x:v>
      </x:c>
      <x:c r="C543" s="10" t="n">
        <x:v>43</x:v>
      </x:c>
      <x:c r="D543" s="10" t="str">
        <x:v>M2 / M4</x:v>
      </x:c>
      <x:c r="E543" s="16" t="n">
        <x:v>3</x:v>
      </x:c>
      <x:c r="F543" s="14" t="n">
        <x:v>10</x:v>
      </x:c>
      <x:c r="G543" s="26" t="n">
        <x:f>'成本明细'!U82+'成本明细'!G82*(E543-'参数'!$B$6)</x:f>
        <x:v>2402.985511943333</x:v>
      </x:c>
      <x:c r="H543" s="26" t="n">
        <x:f>'成本明细'!U88</x:f>
        <x:v>3370.3195701094446</x:v>
      </x:c>
      <x:c r="I543" s="26" t="n">
        <x:f>'成本明细'!V88</x:f>
        <x:v>7081</x:v>
      </x:c>
      <x:c r="J543" s="22" t="n">
        <x:f>'参数'!$B$9</x:f>
        <x:v>300</x:v>
      </x:c>
      <x:c r="K543" s="26" t="n">
        <x:f>J543*(G543-H543)-I543*ROUNDUP(J543/F543,0)</x:f>
        <x:v>-502630.2174498334</x:v>
      </x:c>
      <x:c r="L543" s="10" t="str">
        <x:f>IF(G543-H543&lt;=0,"未回本",IF(ROUNDUP(I543/(G543-H543),0)&gt;MIN(F543,J543),"未回本",MAX(1,ROUNDUP(I543/(G543-H543),0))))</x:f>
        <x:v>未回本</x:v>
      </x:c>
    </x:row>
    <x:row r="544" ht="22" customHeight="1">
      <x:c r="A544" s="11" t="str">
        <x:v>lade_0824_20aoi</x:v>
      </x:c>
      <x:c r="B544" s="10" t="n">
        <x:v>20</x:v>
      </x:c>
      <x:c r="C544" s="10" t="n">
        <x:v>43</x:v>
      </x:c>
      <x:c r="D544" s="10" t="str">
        <x:v>M1 / M3</x:v>
      </x:c>
      <x:c r="E544" s="16" t="n">
        <x:v>3</x:v>
      </x:c>
      <x:c r="F544" s="14" t="n">
        <x:v>20</x:v>
      </x:c>
      <x:c r="G544" s="26" t="n">
        <x:f>'成本明细'!U79+'成本明细'!G79*(E544-'参数'!$B$6)</x:f>
        <x:v>2823.7847579866666</x:v>
      </x:c>
      <x:c r="H544" s="26" t="n">
        <x:f>'成本明细'!U85</x:f>
        <x:v>3562.3886911361105</x:v>
      </x:c>
      <x:c r="I544" s="26" t="n">
        <x:f>'成本明细'!V85</x:f>
        <x:v>7081</x:v>
      </x:c>
      <x:c r="J544" s="22" t="n">
        <x:f>'参数'!$B$9</x:f>
        <x:v>300</x:v>
      </x:c>
      <x:c r="K544" s="26" t="n">
        <x:f>J544*(G544-H544)-I544*ROUNDUP(J544/F544,0)</x:f>
        <x:v>-327796.17994483316</x:v>
      </x:c>
      <x:c r="L544" s="10" t="str">
        <x:f>IF(G544-H544&lt;=0,"未回本",IF(ROUNDUP(I544/(G544-H544),0)&gt;MIN(F544,J544),"未回本",MAX(1,ROUNDUP(I544/(G544-H544),0))))</x:f>
        <x:v>未回本</x:v>
      </x:c>
    </x:row>
    <x:row r="545" ht="22" customHeight="1">
      <x:c r="A545" s="11" t="str">
        <x:v>lade_0824_20aoi</x:v>
      </x:c>
      <x:c r="B545" s="10" t="n">
        <x:v>20</x:v>
      </x:c>
      <x:c r="C545" s="10" t="n">
        <x:v>43</x:v>
      </x:c>
      <x:c r="D545" s="10" t="str">
        <x:v>M2 / M4</x:v>
      </x:c>
      <x:c r="E545" s="16" t="n">
        <x:v>3</x:v>
      </x:c>
      <x:c r="F545" s="14" t="n">
        <x:v>20</x:v>
      </x:c>
      <x:c r="G545" s="26" t="n">
        <x:f>'成本明细'!U82+'成本明细'!G82*(E545-'参数'!$B$6)</x:f>
        <x:v>2402.985511943333</x:v>
      </x:c>
      <x:c r="H545" s="26" t="n">
        <x:f>'成本明细'!U88</x:f>
        <x:v>3370.3195701094446</x:v>
      </x:c>
      <x:c r="I545" s="26" t="n">
        <x:f>'成本明细'!V88</x:f>
        <x:v>7081</x:v>
      </x:c>
      <x:c r="J545" s="22" t="n">
        <x:f>'参数'!$B$9</x:f>
        <x:v>300</x:v>
      </x:c>
      <x:c r="K545" s="26" t="n">
        <x:f>J545*(G545-H545)-I545*ROUNDUP(J545/F545,0)</x:f>
        <x:v>-396415.2174498334</x:v>
      </x:c>
      <x:c r="L545" s="10" t="str">
        <x:f>IF(G545-H545&lt;=0,"未回本",IF(ROUNDUP(I545/(G545-H545),0)&gt;MIN(F545,J545),"未回本",MAX(1,ROUNDUP(I545/(G545-H545),0))))</x:f>
        <x:v>未回本</x:v>
      </x:c>
    </x:row>
    <x:row r="546" ht="22" customHeight="1">
      <x:c r="A546" s="11" t="str">
        <x:v>lade_0824_20aoi</x:v>
      </x:c>
      <x:c r="B546" s="10" t="n">
        <x:v>20</x:v>
      </x:c>
      <x:c r="C546" s="10" t="n">
        <x:v>43</x:v>
      </x:c>
      <x:c r="D546" s="10" t="str">
        <x:v>M1 / M3</x:v>
      </x:c>
      <x:c r="E546" s="16" t="n">
        <x:v>3</x:v>
      </x:c>
      <x:c r="F546" s="14" t="n">
        <x:v>30</x:v>
      </x:c>
      <x:c r="G546" s="26" t="n">
        <x:f>'成本明细'!U79+'成本明细'!G79*(E546-'参数'!$B$6)</x:f>
        <x:v>2823.7847579866666</x:v>
      </x:c>
      <x:c r="H546" s="26" t="n">
        <x:f>'成本明细'!U85</x:f>
        <x:v>3562.3886911361105</x:v>
      </x:c>
      <x:c r="I546" s="26" t="n">
        <x:f>'成本明细'!V85</x:f>
        <x:v>7081</x:v>
      </x:c>
      <x:c r="J546" s="22" t="n">
        <x:f>'参数'!$B$9</x:f>
        <x:v>300</x:v>
      </x:c>
      <x:c r="K546" s="26" t="n">
        <x:f>J546*(G546-H546)-I546*ROUNDUP(J546/F546,0)</x:f>
        <x:v>-292391.17994483316</x:v>
      </x:c>
      <x:c r="L546" s="10" t="str">
        <x:f>IF(G546-H546&lt;=0,"未回本",IF(ROUNDUP(I546/(G546-H546),0)&gt;MIN(F546,J546),"未回本",MAX(1,ROUNDUP(I546/(G546-H546),0))))</x:f>
        <x:v>未回本</x:v>
      </x:c>
    </x:row>
    <x:row r="547" ht="22" customHeight="1">
      <x:c r="A547" s="11" t="str">
        <x:v>lade_0824_20aoi</x:v>
      </x:c>
      <x:c r="B547" s="10" t="n">
        <x:v>20</x:v>
      </x:c>
      <x:c r="C547" s="10" t="n">
        <x:v>43</x:v>
      </x:c>
      <x:c r="D547" s="10" t="str">
        <x:v>M2 / M4</x:v>
      </x:c>
      <x:c r="E547" s="16" t="n">
        <x:v>3</x:v>
      </x:c>
      <x:c r="F547" s="14" t="n">
        <x:v>30</x:v>
      </x:c>
      <x:c r="G547" s="26" t="n">
        <x:f>'成本明细'!U82+'成本明细'!G82*(E547-'参数'!$B$6)</x:f>
        <x:v>2402.985511943333</x:v>
      </x:c>
      <x:c r="H547" s="26" t="n">
        <x:f>'成本明细'!U88</x:f>
        <x:v>3370.3195701094446</x:v>
      </x:c>
      <x:c r="I547" s="26" t="n">
        <x:f>'成本明细'!V88</x:f>
        <x:v>7081</x:v>
      </x:c>
      <x:c r="J547" s="22" t="n">
        <x:f>'参数'!$B$9</x:f>
        <x:v>300</x:v>
      </x:c>
      <x:c r="K547" s="26" t="n">
        <x:f>J547*(G547-H547)-I547*ROUNDUP(J547/F547,0)</x:f>
        <x:v>-361010.2174498334</x:v>
      </x:c>
      <x:c r="L547" s="10" t="str">
        <x:f>IF(G547-H547&lt;=0,"未回本",IF(ROUNDUP(I547/(G547-H547),0)&gt;MIN(F547,J547),"未回本",MAX(1,ROUNDUP(I547/(G547-H547),0))))</x:f>
        <x:v>未回本</x:v>
      </x:c>
    </x:row>
    <x:row r="548" ht="22" customHeight="1">
      <x:c r="A548" s="11" t="str">
        <x:v>lade_0824_20aoi</x:v>
      </x:c>
      <x:c r="B548" s="10" t="n">
        <x:v>20</x:v>
      </x:c>
      <x:c r="C548" s="10" t="n">
        <x:v>43</x:v>
      </x:c>
      <x:c r="D548" s="10" t="str">
        <x:v>M1 / M3</x:v>
      </x:c>
      <x:c r="E548" s="16" t="n">
        <x:v>3</x:v>
      </x:c>
      <x:c r="F548" s="14" t="n">
        <x:v>50</x:v>
      </x:c>
      <x:c r="G548" s="26" t="n">
        <x:f>'成本明细'!U79+'成本明细'!G79*(E548-'参数'!$B$6)</x:f>
        <x:v>2823.7847579866666</x:v>
      </x:c>
      <x:c r="H548" s="26" t="n">
        <x:f>'成本明细'!U85</x:f>
        <x:v>3562.3886911361105</x:v>
      </x:c>
      <x:c r="I548" s="26" t="n">
        <x:f>'成本明细'!V85</x:f>
        <x:v>7081</x:v>
      </x:c>
      <x:c r="J548" s="22" t="n">
        <x:f>'参数'!$B$9</x:f>
        <x:v>300</x:v>
      </x:c>
      <x:c r="K548" s="26" t="n">
        <x:f>J548*(G548-H548)-I548*ROUNDUP(J548/F548,0)</x:f>
        <x:v>-264067.17994483316</x:v>
      </x:c>
      <x:c r="L548" s="10" t="str">
        <x:f>IF(G548-H548&lt;=0,"未回本",IF(ROUNDUP(I548/(G548-H548),0)&gt;MIN(F548,J548),"未回本",MAX(1,ROUNDUP(I548/(G548-H548),0))))</x:f>
        <x:v>未回本</x:v>
      </x:c>
    </x:row>
    <x:row r="549" ht="22" customHeight="1">
      <x:c r="A549" s="11" t="str">
        <x:v>lade_0824_20aoi</x:v>
      </x:c>
      <x:c r="B549" s="10" t="n">
        <x:v>20</x:v>
      </x:c>
      <x:c r="C549" s="10" t="n">
        <x:v>43</x:v>
      </x:c>
      <x:c r="D549" s="10" t="str">
        <x:v>M2 / M4</x:v>
      </x:c>
      <x:c r="E549" s="16" t="n">
        <x:v>3</x:v>
      </x:c>
      <x:c r="F549" s="14" t="n">
        <x:v>50</x:v>
      </x:c>
      <x:c r="G549" s="26" t="n">
        <x:f>'成本明细'!U82+'成本明细'!G82*(E549-'参数'!$B$6)</x:f>
        <x:v>2402.985511943333</x:v>
      </x:c>
      <x:c r="H549" s="26" t="n">
        <x:f>'成本明细'!U88</x:f>
        <x:v>3370.3195701094446</x:v>
      </x:c>
      <x:c r="I549" s="26" t="n">
        <x:f>'成本明细'!V88</x:f>
        <x:v>7081</x:v>
      </x:c>
      <x:c r="J549" s="22" t="n">
        <x:f>'参数'!$B$9</x:f>
        <x:v>300</x:v>
      </x:c>
      <x:c r="K549" s="26" t="n">
        <x:f>J549*(G549-H549)-I549*ROUNDUP(J549/F549,0)</x:f>
        <x:v>-332686.2174498334</x:v>
      </x:c>
      <x:c r="L549" s="10" t="str">
        <x:f>IF(G549-H549&lt;=0,"未回本",IF(ROUNDUP(I549/(G549-H549),0)&gt;MIN(F549,J549),"未回本",MAX(1,ROUNDUP(I549/(G549-H549),0))))</x:f>
        <x:v>未回本</x:v>
      </x:c>
    </x:row>
    <x:row r="550" ht="22" customHeight="1">
      <x:c r="A550" s="11" t="str">
        <x:v>lade_0824_20aoi</x:v>
      </x:c>
      <x:c r="B550" s="10" t="n">
        <x:v>20</x:v>
      </x:c>
      <x:c r="C550" s="10" t="n">
        <x:v>43</x:v>
      </x:c>
      <x:c r="D550" s="10" t="str">
        <x:v>M1 / M3</x:v>
      </x:c>
      <x:c r="E550" s="16" t="n">
        <x:v>4</x:v>
      </x:c>
      <x:c r="F550" s="14" t="n">
        <x:v>10</x:v>
      </x:c>
      <x:c r="G550" s="26" t="n">
        <x:f>'成本明细'!U79+'成本明细'!G79*(E550-'参数'!$B$6)</x:f>
        <x:v>3017.7847579866666</x:v>
      </x:c>
      <x:c r="H550" s="26" t="n">
        <x:f>'成本明细'!U85</x:f>
        <x:v>3562.3886911361105</x:v>
      </x:c>
      <x:c r="I550" s="26" t="n">
        <x:f>'成本明细'!V85</x:f>
        <x:v>7081</x:v>
      </x:c>
      <x:c r="J550" s="22" t="n">
        <x:f>'参数'!$B$9</x:f>
        <x:v>300</x:v>
      </x:c>
      <x:c r="K550" s="26" t="n">
        <x:f>J550*(G550-H550)-I550*ROUNDUP(J550/F550,0)</x:f>
        <x:v>-375811.17994483316</x:v>
      </x:c>
      <x:c r="L550" s="10" t="str">
        <x:f>IF(G550-H550&lt;=0,"未回本",IF(ROUNDUP(I550/(G550-H550),0)&gt;MIN(F550,J550),"未回本",MAX(1,ROUNDUP(I550/(G550-H550),0))))</x:f>
        <x:v>未回本</x:v>
      </x:c>
    </x:row>
    <x:row r="551" ht="22" customHeight="1">
      <x:c r="A551" s="11" t="str">
        <x:v>lade_0824_20aoi</x:v>
      </x:c>
      <x:c r="B551" s="10" t="n">
        <x:v>20</x:v>
      </x:c>
      <x:c r="C551" s="10" t="n">
        <x:v>43</x:v>
      </x:c>
      <x:c r="D551" s="10" t="str">
        <x:v>M2 / M4</x:v>
      </x:c>
      <x:c r="E551" s="16" t="n">
        <x:v>4</x:v>
      </x:c>
      <x:c r="F551" s="14" t="n">
        <x:v>10</x:v>
      </x:c>
      <x:c r="G551" s="26" t="n">
        <x:f>'成本明细'!U82+'成本明细'!G82*(E551-'参数'!$B$6)</x:f>
        <x:v>2596.985511943333</x:v>
      </x:c>
      <x:c r="H551" s="26" t="n">
        <x:f>'成本明细'!U88</x:f>
        <x:v>3370.3195701094446</x:v>
      </x:c>
      <x:c r="I551" s="26" t="n">
        <x:f>'成本明细'!V88</x:f>
        <x:v>7081</x:v>
      </x:c>
      <x:c r="J551" s="22" t="n">
        <x:f>'参数'!$B$9</x:f>
        <x:v>300</x:v>
      </x:c>
      <x:c r="K551" s="26" t="n">
        <x:f>J551*(G551-H551)-I551*ROUNDUP(J551/F551,0)</x:f>
        <x:v>-444430.2174498334</x:v>
      </x:c>
      <x:c r="L551" s="10" t="str">
        <x:f>IF(G551-H551&lt;=0,"未回本",IF(ROUNDUP(I551/(G551-H551),0)&gt;MIN(F551,J551),"未回本",MAX(1,ROUNDUP(I551/(G551-H551),0))))</x:f>
        <x:v>未回本</x:v>
      </x:c>
    </x:row>
    <x:row r="552" ht="22" customHeight="1">
      <x:c r="A552" s="11" t="str">
        <x:v>lade_0824_20aoi</x:v>
      </x:c>
      <x:c r="B552" s="10" t="n">
        <x:v>20</x:v>
      </x:c>
      <x:c r="C552" s="10" t="n">
        <x:v>43</x:v>
      </x:c>
      <x:c r="D552" s="10" t="str">
        <x:v>M1 / M3</x:v>
      </x:c>
      <x:c r="E552" s="16" t="n">
        <x:v>4</x:v>
      </x:c>
      <x:c r="F552" s="14" t="n">
        <x:v>20</x:v>
      </x:c>
      <x:c r="G552" s="26" t="n">
        <x:f>'成本明细'!U79+'成本明细'!G79*(E552-'参数'!$B$6)</x:f>
        <x:v>3017.7847579866666</x:v>
      </x:c>
      <x:c r="H552" s="26" t="n">
        <x:f>'成本明细'!U85</x:f>
        <x:v>3562.3886911361105</x:v>
      </x:c>
      <x:c r="I552" s="26" t="n">
        <x:f>'成本明细'!V85</x:f>
        <x:v>7081</x:v>
      </x:c>
      <x:c r="J552" s="22" t="n">
        <x:f>'参数'!$B$9</x:f>
        <x:v>300</x:v>
      </x:c>
      <x:c r="K552" s="26" t="n">
        <x:f>J552*(G552-H552)-I552*ROUNDUP(J552/F552,0)</x:f>
        <x:v>-269596.17994483316</x:v>
      </x:c>
      <x:c r="L552" s="10" t="str">
        <x:f>IF(G552-H552&lt;=0,"未回本",IF(ROUNDUP(I552/(G552-H552),0)&gt;MIN(F552,J552),"未回本",MAX(1,ROUNDUP(I552/(G552-H552),0))))</x:f>
        <x:v>未回本</x:v>
      </x:c>
    </x:row>
    <x:row r="553" ht="22" customHeight="1">
      <x:c r="A553" s="11" t="str">
        <x:v>lade_0824_20aoi</x:v>
      </x:c>
      <x:c r="B553" s="10" t="n">
        <x:v>20</x:v>
      </x:c>
      <x:c r="C553" s="10" t="n">
        <x:v>43</x:v>
      </x:c>
      <x:c r="D553" s="10" t="str">
        <x:v>M2 / M4</x:v>
      </x:c>
      <x:c r="E553" s="16" t="n">
        <x:v>4</x:v>
      </x:c>
      <x:c r="F553" s="14" t="n">
        <x:v>20</x:v>
      </x:c>
      <x:c r="G553" s="26" t="n">
        <x:f>'成本明细'!U82+'成本明细'!G82*(E553-'参数'!$B$6)</x:f>
        <x:v>2596.985511943333</x:v>
      </x:c>
      <x:c r="H553" s="26" t="n">
        <x:f>'成本明细'!U88</x:f>
        <x:v>3370.3195701094446</x:v>
      </x:c>
      <x:c r="I553" s="26" t="n">
        <x:f>'成本明细'!V88</x:f>
        <x:v>7081</x:v>
      </x:c>
      <x:c r="J553" s="22" t="n">
        <x:f>'参数'!$B$9</x:f>
        <x:v>300</x:v>
      </x:c>
      <x:c r="K553" s="26" t="n">
        <x:f>J553*(G553-H553)-I553*ROUNDUP(J553/F553,0)</x:f>
        <x:v>-338215.2174498334</x:v>
      </x:c>
      <x:c r="L553" s="10" t="str">
        <x:f>IF(G553-H553&lt;=0,"未回本",IF(ROUNDUP(I553/(G553-H553),0)&gt;MIN(F553,J553),"未回本",MAX(1,ROUNDUP(I553/(G553-H553),0))))</x:f>
        <x:v>未回本</x:v>
      </x:c>
    </x:row>
    <x:row r="554" ht="22" customHeight="1">
      <x:c r="A554" s="11" t="str">
        <x:v>lade_0824_20aoi</x:v>
      </x:c>
      <x:c r="B554" s="10" t="n">
        <x:v>20</x:v>
      </x:c>
      <x:c r="C554" s="10" t="n">
        <x:v>43</x:v>
      </x:c>
      <x:c r="D554" s="10" t="str">
        <x:v>M1 / M3</x:v>
      </x:c>
      <x:c r="E554" s="16" t="n">
        <x:v>4</x:v>
      </x:c>
      <x:c r="F554" s="14" t="n">
        <x:v>30</x:v>
      </x:c>
      <x:c r="G554" s="26" t="n">
        <x:f>'成本明细'!U79+'成本明细'!G79*(E554-'参数'!$B$6)</x:f>
        <x:v>3017.7847579866666</x:v>
      </x:c>
      <x:c r="H554" s="26" t="n">
        <x:f>'成本明细'!U85</x:f>
        <x:v>3562.3886911361105</x:v>
      </x:c>
      <x:c r="I554" s="26" t="n">
        <x:f>'成本明细'!V85</x:f>
        <x:v>7081</x:v>
      </x:c>
      <x:c r="J554" s="22" t="n">
        <x:f>'参数'!$B$9</x:f>
        <x:v>300</x:v>
      </x:c>
      <x:c r="K554" s="26" t="n">
        <x:f>J554*(G554-H554)-I554*ROUNDUP(J554/F554,0)</x:f>
        <x:v>-234191.1799448332</x:v>
      </x:c>
      <x:c r="L554" s="10" t="str">
        <x:f>IF(G554-H554&lt;=0,"未回本",IF(ROUNDUP(I554/(G554-H554),0)&gt;MIN(F554,J554),"未回本",MAX(1,ROUNDUP(I554/(G554-H554),0))))</x:f>
        <x:v>未回本</x:v>
      </x:c>
    </x:row>
    <x:row r="555" ht="22" customHeight="1">
      <x:c r="A555" s="11" t="str">
        <x:v>lade_0824_20aoi</x:v>
      </x:c>
      <x:c r="B555" s="10" t="n">
        <x:v>20</x:v>
      </x:c>
      <x:c r="C555" s="10" t="n">
        <x:v>43</x:v>
      </x:c>
      <x:c r="D555" s="10" t="str">
        <x:v>M2 / M4</x:v>
      </x:c>
      <x:c r="E555" s="16" t="n">
        <x:v>4</x:v>
      </x:c>
      <x:c r="F555" s="14" t="n">
        <x:v>30</x:v>
      </x:c>
      <x:c r="G555" s="26" t="n">
        <x:f>'成本明细'!U82+'成本明细'!G82*(E555-'参数'!$B$6)</x:f>
        <x:v>2596.985511943333</x:v>
      </x:c>
      <x:c r="H555" s="26" t="n">
        <x:f>'成本明细'!U88</x:f>
        <x:v>3370.3195701094446</x:v>
      </x:c>
      <x:c r="I555" s="26" t="n">
        <x:f>'成本明细'!V88</x:f>
        <x:v>7081</x:v>
      </x:c>
      <x:c r="J555" s="22" t="n">
        <x:f>'参数'!$B$9</x:f>
        <x:v>300</x:v>
      </x:c>
      <x:c r="K555" s="26" t="n">
        <x:f>J555*(G555-H555)-I555*ROUNDUP(J555/F555,0)</x:f>
        <x:v>-302810.2174498334</x:v>
      </x:c>
      <x:c r="L555" s="10" t="str">
        <x:f>IF(G555-H555&lt;=0,"未回本",IF(ROUNDUP(I555/(G555-H555),0)&gt;MIN(F555,J555),"未回本",MAX(1,ROUNDUP(I555/(G555-H555),0))))</x:f>
        <x:v>未回本</x:v>
      </x:c>
    </x:row>
    <x:row r="556" ht="22" customHeight="1">
      <x:c r="A556" s="11" t="str">
        <x:v>lade_0824_20aoi</x:v>
      </x:c>
      <x:c r="B556" s="10" t="n">
        <x:v>20</x:v>
      </x:c>
      <x:c r="C556" s="10" t="n">
        <x:v>43</x:v>
      </x:c>
      <x:c r="D556" s="10" t="str">
        <x:v>M1 / M3</x:v>
      </x:c>
      <x:c r="E556" s="16" t="n">
        <x:v>4</x:v>
      </x:c>
      <x:c r="F556" s="14" t="n">
        <x:v>50</x:v>
      </x:c>
      <x:c r="G556" s="26" t="n">
        <x:f>'成本明细'!U79+'成本明细'!G79*(E556-'参数'!$B$6)</x:f>
        <x:v>3017.7847579866666</x:v>
      </x:c>
      <x:c r="H556" s="26" t="n">
        <x:f>'成本明细'!U85</x:f>
        <x:v>3562.3886911361105</x:v>
      </x:c>
      <x:c r="I556" s="26" t="n">
        <x:f>'成本明细'!V85</x:f>
        <x:v>7081</x:v>
      </x:c>
      <x:c r="J556" s="22" t="n">
        <x:f>'参数'!$B$9</x:f>
        <x:v>300</x:v>
      </x:c>
      <x:c r="K556" s="26" t="n">
        <x:f>J556*(G556-H556)-I556*ROUNDUP(J556/F556,0)</x:f>
        <x:v>-205867.1799448332</x:v>
      </x:c>
      <x:c r="L556" s="10" t="str">
        <x:f>IF(G556-H556&lt;=0,"未回本",IF(ROUNDUP(I556/(G556-H556),0)&gt;MIN(F556,J556),"未回本",MAX(1,ROUNDUP(I556/(G556-H556),0))))</x:f>
        <x:v>未回本</x:v>
      </x:c>
    </x:row>
    <x:row r="557" ht="22" customHeight="1">
      <x:c r="A557" s="11" t="str">
        <x:v>lade_0824_20aoi</x:v>
      </x:c>
      <x:c r="B557" s="10" t="n">
        <x:v>20</x:v>
      </x:c>
      <x:c r="C557" s="10" t="n">
        <x:v>43</x:v>
      </x:c>
      <x:c r="D557" s="10" t="str">
        <x:v>M2 / M4</x:v>
      </x:c>
      <x:c r="E557" s="16" t="n">
        <x:v>4</x:v>
      </x:c>
      <x:c r="F557" s="14" t="n">
        <x:v>50</x:v>
      </x:c>
      <x:c r="G557" s="26" t="n">
        <x:f>'成本明细'!U82+'成本明细'!G82*(E557-'参数'!$B$6)</x:f>
        <x:v>2596.985511943333</x:v>
      </x:c>
      <x:c r="H557" s="26" t="n">
        <x:f>'成本明细'!U88</x:f>
        <x:v>3370.3195701094446</x:v>
      </x:c>
      <x:c r="I557" s="26" t="n">
        <x:f>'成本明细'!V88</x:f>
        <x:v>7081</x:v>
      </x:c>
      <x:c r="J557" s="22" t="n">
        <x:f>'参数'!$B$9</x:f>
        <x:v>300</x:v>
      </x:c>
      <x:c r="K557" s="26" t="n">
        <x:f>J557*(G557-H557)-I557*ROUNDUP(J557/F557,0)</x:f>
        <x:v>-274486.2174498334</x:v>
      </x:c>
      <x:c r="L557" s="10" t="str">
        <x:f>IF(G557-H557&lt;=0,"未回本",IF(ROUNDUP(I557/(G557-H557),0)&gt;MIN(F557,J557),"未回本",MAX(1,ROUNDUP(I557/(G557-H557),0))))</x:f>
        <x:v>未回本</x:v>
      </x:c>
    </x:row>
    <x:row r="558" ht="22" customHeight="1">
      <x:c r="A558" s="11" t="str">
        <x:v>lade_0824_20aoi</x:v>
      </x:c>
      <x:c r="B558" s="10" t="n">
        <x:v>20</x:v>
      </x:c>
      <x:c r="C558" s="10" t="n">
        <x:v>43</x:v>
      </x:c>
      <x:c r="D558" s="10" t="str">
        <x:v>M1 / M3</x:v>
      </x:c>
      <x:c r="E558" s="16" t="n">
        <x:v>5</x:v>
      </x:c>
      <x:c r="F558" s="14" t="n">
        <x:v>10</x:v>
      </x:c>
      <x:c r="G558" s="26" t="n">
        <x:f>'成本明细'!U79+'成本明细'!G79*(E558-'参数'!$B$6)</x:f>
        <x:v>3211.7847579866666</x:v>
      </x:c>
      <x:c r="H558" s="26" t="n">
        <x:f>'成本明细'!U85</x:f>
        <x:v>3562.3886911361105</x:v>
      </x:c>
      <x:c r="I558" s="26" t="n">
        <x:f>'成本明细'!V85</x:f>
        <x:v>7081</x:v>
      </x:c>
      <x:c r="J558" s="22" t="n">
        <x:f>'参数'!$B$9</x:f>
        <x:v>300</x:v>
      </x:c>
      <x:c r="K558" s="26" t="n">
        <x:f>J558*(G558-H558)-I558*ROUNDUP(J558/F558,0)</x:f>
        <x:v>-317611.17994483316</x:v>
      </x:c>
      <x:c r="L558" s="10" t="str">
        <x:f>IF(G558-H558&lt;=0,"未回本",IF(ROUNDUP(I558/(G558-H558),0)&gt;MIN(F558,J558),"未回本",MAX(1,ROUNDUP(I558/(G558-H558),0))))</x:f>
        <x:v>未回本</x:v>
      </x:c>
    </x:row>
    <x:row r="559" ht="22" customHeight="1">
      <x:c r="A559" s="11" t="str">
        <x:v>lade_0824_20aoi</x:v>
      </x:c>
      <x:c r="B559" s="10" t="n">
        <x:v>20</x:v>
      </x:c>
      <x:c r="C559" s="10" t="n">
        <x:v>43</x:v>
      </x:c>
      <x:c r="D559" s="10" t="str">
        <x:v>M2 / M4</x:v>
      </x:c>
      <x:c r="E559" s="16" t="n">
        <x:v>5</x:v>
      </x:c>
      <x:c r="F559" s="14" t="n">
        <x:v>10</x:v>
      </x:c>
      <x:c r="G559" s="26" t="n">
        <x:f>'成本明细'!U82+'成本明细'!G82*(E559-'参数'!$B$6)</x:f>
        <x:v>2790.985511943333</x:v>
      </x:c>
      <x:c r="H559" s="26" t="n">
        <x:f>'成本明细'!U88</x:f>
        <x:v>3370.3195701094446</x:v>
      </x:c>
      <x:c r="I559" s="26" t="n">
        <x:f>'成本明细'!V88</x:f>
        <x:v>7081</x:v>
      </x:c>
      <x:c r="J559" s="22" t="n">
        <x:f>'参数'!$B$9</x:f>
        <x:v>300</x:v>
      </x:c>
      <x:c r="K559" s="26" t="n">
        <x:f>J559*(G559-H559)-I559*ROUNDUP(J559/F559,0)</x:f>
        <x:v>-386230.2174498334</x:v>
      </x:c>
      <x:c r="L559" s="10" t="str">
        <x:f>IF(G559-H559&lt;=0,"未回本",IF(ROUNDUP(I559/(G559-H559),0)&gt;MIN(F559,J559),"未回本",MAX(1,ROUNDUP(I559/(G559-H559),0))))</x:f>
        <x:v>未回本</x:v>
      </x:c>
    </x:row>
    <x:row r="560" ht="22" customHeight="1">
      <x:c r="A560" s="11" t="str">
        <x:v>lade_0824_20aoi</x:v>
      </x:c>
      <x:c r="B560" s="10" t="n">
        <x:v>20</x:v>
      </x:c>
      <x:c r="C560" s="10" t="n">
        <x:v>43</x:v>
      </x:c>
      <x:c r="D560" s="10" t="str">
        <x:v>M1 / M3</x:v>
      </x:c>
      <x:c r="E560" s="16" t="n">
        <x:v>5</x:v>
      </x:c>
      <x:c r="F560" s="14" t="n">
        <x:v>20</x:v>
      </x:c>
      <x:c r="G560" s="26" t="n">
        <x:f>'成本明细'!U79+'成本明细'!G79*(E560-'参数'!$B$6)</x:f>
        <x:v>3211.7847579866666</x:v>
      </x:c>
      <x:c r="H560" s="26" t="n">
        <x:f>'成本明细'!U85</x:f>
        <x:v>3562.3886911361105</x:v>
      </x:c>
      <x:c r="I560" s="26" t="n">
        <x:f>'成本明细'!V85</x:f>
        <x:v>7081</x:v>
      </x:c>
      <x:c r="J560" s="22" t="n">
        <x:f>'参数'!$B$9</x:f>
        <x:v>300</x:v>
      </x:c>
      <x:c r="K560" s="26" t="n">
        <x:f>J560*(G560-H560)-I560*ROUNDUP(J560/F560,0)</x:f>
        <x:v>-211396.1799448332</x:v>
      </x:c>
      <x:c r="L560" s="10" t="str">
        <x:f>IF(G560-H560&lt;=0,"未回本",IF(ROUNDUP(I560/(G560-H560),0)&gt;MIN(F560,J560),"未回本",MAX(1,ROUNDUP(I560/(G560-H560),0))))</x:f>
        <x:v>未回本</x:v>
      </x:c>
    </x:row>
    <x:row r="561" ht="22" customHeight="1">
      <x:c r="A561" s="11" t="str">
        <x:v>lade_0824_20aoi</x:v>
      </x:c>
      <x:c r="B561" s="10" t="n">
        <x:v>20</x:v>
      </x:c>
      <x:c r="C561" s="10" t="n">
        <x:v>43</x:v>
      </x:c>
      <x:c r="D561" s="10" t="str">
        <x:v>M2 / M4</x:v>
      </x:c>
      <x:c r="E561" s="16" t="n">
        <x:v>5</x:v>
      </x:c>
      <x:c r="F561" s="14" t="n">
        <x:v>20</x:v>
      </x:c>
      <x:c r="G561" s="26" t="n">
        <x:f>'成本明细'!U82+'成本明细'!G82*(E561-'参数'!$B$6)</x:f>
        <x:v>2790.985511943333</x:v>
      </x:c>
      <x:c r="H561" s="26" t="n">
        <x:f>'成本明细'!U88</x:f>
        <x:v>3370.3195701094446</x:v>
      </x:c>
      <x:c r="I561" s="26" t="n">
        <x:f>'成本明细'!V88</x:f>
        <x:v>7081</x:v>
      </x:c>
      <x:c r="J561" s="22" t="n">
        <x:f>'参数'!$B$9</x:f>
        <x:v>300</x:v>
      </x:c>
      <x:c r="K561" s="26" t="n">
        <x:f>J561*(G561-H561)-I561*ROUNDUP(J561/F561,0)</x:f>
        <x:v>-280015.2174498334</x:v>
      </x:c>
      <x:c r="L561" s="10" t="str">
        <x:f>IF(G561-H561&lt;=0,"未回本",IF(ROUNDUP(I561/(G561-H561),0)&gt;MIN(F561,J561),"未回本",MAX(1,ROUNDUP(I561/(G561-H561),0))))</x:f>
        <x:v>未回本</x:v>
      </x:c>
    </x:row>
    <x:row r="562" ht="22" customHeight="1">
      <x:c r="A562" s="11" t="str">
        <x:v>lade_0824_20aoi</x:v>
      </x:c>
      <x:c r="B562" s="10" t="n">
        <x:v>20</x:v>
      </x:c>
      <x:c r="C562" s="10" t="n">
        <x:v>43</x:v>
      </x:c>
      <x:c r="D562" s="10" t="str">
        <x:v>M1 / M3</x:v>
      </x:c>
      <x:c r="E562" s="16" t="n">
        <x:v>5</x:v>
      </x:c>
      <x:c r="F562" s="14" t="n">
        <x:v>30</x:v>
      </x:c>
      <x:c r="G562" s="26" t="n">
        <x:f>'成本明细'!U79+'成本明细'!G79*(E562-'参数'!$B$6)</x:f>
        <x:v>3211.7847579866666</x:v>
      </x:c>
      <x:c r="H562" s="26" t="n">
        <x:f>'成本明细'!U85</x:f>
        <x:v>3562.3886911361105</x:v>
      </x:c>
      <x:c r="I562" s="26" t="n">
        <x:f>'成本明细'!V85</x:f>
        <x:v>7081</x:v>
      </x:c>
      <x:c r="J562" s="22" t="n">
        <x:f>'参数'!$B$9</x:f>
        <x:v>300</x:v>
      </x:c>
      <x:c r="K562" s="26" t="n">
        <x:f>J562*(G562-H562)-I562*ROUNDUP(J562/F562,0)</x:f>
        <x:v>-175991.1799448332</x:v>
      </x:c>
      <x:c r="L562" s="10" t="str">
        <x:f>IF(G562-H562&lt;=0,"未回本",IF(ROUNDUP(I562/(G562-H562),0)&gt;MIN(F562,J562),"未回本",MAX(1,ROUNDUP(I562/(G562-H562),0))))</x:f>
        <x:v>未回本</x:v>
      </x:c>
    </x:row>
    <x:row r="563" ht="22" customHeight="1">
      <x:c r="A563" s="11" t="str">
        <x:v>lade_0824_20aoi</x:v>
      </x:c>
      <x:c r="B563" s="10" t="n">
        <x:v>20</x:v>
      </x:c>
      <x:c r="C563" s="10" t="n">
        <x:v>43</x:v>
      </x:c>
      <x:c r="D563" s="10" t="str">
        <x:v>M2 / M4</x:v>
      </x:c>
      <x:c r="E563" s="16" t="n">
        <x:v>5</x:v>
      </x:c>
      <x:c r="F563" s="14" t="n">
        <x:v>30</x:v>
      </x:c>
      <x:c r="G563" s="26" t="n">
        <x:f>'成本明细'!U82+'成本明细'!G82*(E563-'参数'!$B$6)</x:f>
        <x:v>2790.985511943333</x:v>
      </x:c>
      <x:c r="H563" s="26" t="n">
        <x:f>'成本明细'!U88</x:f>
        <x:v>3370.3195701094446</x:v>
      </x:c>
      <x:c r="I563" s="26" t="n">
        <x:f>'成本明细'!V88</x:f>
        <x:v>7081</x:v>
      </x:c>
      <x:c r="J563" s="22" t="n">
        <x:f>'参数'!$B$9</x:f>
        <x:v>300</x:v>
      </x:c>
      <x:c r="K563" s="26" t="n">
        <x:f>J563*(G563-H563)-I563*ROUNDUP(J563/F563,0)</x:f>
        <x:v>-244610.2174498334</x:v>
      </x:c>
      <x:c r="L563" s="10" t="str">
        <x:f>IF(G563-H563&lt;=0,"未回本",IF(ROUNDUP(I563/(G563-H563),0)&gt;MIN(F563,J563),"未回本",MAX(1,ROUNDUP(I563/(G563-H563),0))))</x:f>
        <x:v>未回本</x:v>
      </x:c>
    </x:row>
    <x:row r="564" ht="22" customHeight="1">
      <x:c r="A564" s="11" t="str">
        <x:v>lade_0824_20aoi</x:v>
      </x:c>
      <x:c r="B564" s="10" t="n">
        <x:v>20</x:v>
      </x:c>
      <x:c r="C564" s="10" t="n">
        <x:v>43</x:v>
      </x:c>
      <x:c r="D564" s="10" t="str">
        <x:v>M1 / M3</x:v>
      </x:c>
      <x:c r="E564" s="16" t="n">
        <x:v>5</x:v>
      </x:c>
      <x:c r="F564" s="14" t="n">
        <x:v>50</x:v>
      </x:c>
      <x:c r="G564" s="26" t="n">
        <x:f>'成本明细'!U79+'成本明细'!G79*(E564-'参数'!$B$6)</x:f>
        <x:v>3211.7847579866666</x:v>
      </x:c>
      <x:c r="H564" s="26" t="n">
        <x:f>'成本明细'!U85</x:f>
        <x:v>3562.3886911361105</x:v>
      </x:c>
      <x:c r="I564" s="26" t="n">
        <x:f>'成本明细'!V85</x:f>
        <x:v>7081</x:v>
      </x:c>
      <x:c r="J564" s="22" t="n">
        <x:f>'参数'!$B$9</x:f>
        <x:v>300</x:v>
      </x:c>
      <x:c r="K564" s="26" t="n">
        <x:f>J564*(G564-H564)-I564*ROUNDUP(J564/F564,0)</x:f>
        <x:v>-147667.1799448332</x:v>
      </x:c>
      <x:c r="L564" s="10" t="str">
        <x:f>IF(G564-H564&lt;=0,"未回本",IF(ROUNDUP(I564/(G564-H564),0)&gt;MIN(F564,J564),"未回本",MAX(1,ROUNDUP(I564/(G564-H564),0))))</x:f>
        <x:v>未回本</x:v>
      </x:c>
    </x:row>
    <x:row r="565" ht="22" customHeight="1">
      <x:c r="A565" s="11" t="str">
        <x:v>lade_0824_20aoi</x:v>
      </x:c>
      <x:c r="B565" s="10" t="n">
        <x:v>20</x:v>
      </x:c>
      <x:c r="C565" s="10" t="n">
        <x:v>43</x:v>
      </x:c>
      <x:c r="D565" s="10" t="str">
        <x:v>M2 / M4</x:v>
      </x:c>
      <x:c r="E565" s="16" t="n">
        <x:v>5</x:v>
      </x:c>
      <x:c r="F565" s="14" t="n">
        <x:v>50</x:v>
      </x:c>
      <x:c r="G565" s="26" t="n">
        <x:f>'成本明细'!U82+'成本明细'!G82*(E565-'参数'!$B$6)</x:f>
        <x:v>2790.985511943333</x:v>
      </x:c>
      <x:c r="H565" s="26" t="n">
        <x:f>'成本明细'!U88</x:f>
        <x:v>3370.3195701094446</x:v>
      </x:c>
      <x:c r="I565" s="26" t="n">
        <x:f>'成本明细'!V88</x:f>
        <x:v>7081</x:v>
      </x:c>
      <x:c r="J565" s="22" t="n">
        <x:f>'参数'!$B$9</x:f>
        <x:v>300</x:v>
      </x:c>
      <x:c r="K565" s="26" t="n">
        <x:f>J565*(G565-H565)-I565*ROUNDUP(J565/F565,0)</x:f>
        <x:v>-216286.2174498334</x:v>
      </x:c>
      <x:c r="L565" s="10" t="str">
        <x:f>IF(G565-H565&lt;=0,"未回本",IF(ROUNDUP(I565/(G565-H565),0)&gt;MIN(F565,J565),"未回本",MAX(1,ROUNDUP(I565/(G565-H565),0))))</x:f>
        <x:v>未回本</x:v>
      </x:c>
    </x:row>
    <x:row r="566" ht="22" customHeight="1">
      <x:c r="A566" s="11" t="str">
        <x:v>lade_0824_20aoi</x:v>
      </x:c>
      <x:c r="B566" s="10" t="n">
        <x:v>20</x:v>
      </x:c>
      <x:c r="C566" s="10" t="n">
        <x:v>44</x:v>
      </x:c>
      <x:c r="D566" s="10" t="str">
        <x:v>M1 / M3</x:v>
      </x:c>
      <x:c r="E566" s="16" t="n">
        <x:v>1</x:v>
      </x:c>
      <x:c r="F566" s="14" t="n">
        <x:v>10</x:v>
      </x:c>
      <x:c r="G566" s="26" t="n">
        <x:f>'成本明细'!U80+'成本明细'!G80*(E566-'参数'!$B$6)</x:f>
        <x:v>2435.04927882</x:v>
      </x:c>
      <x:c r="H566" s="26" t="n">
        <x:f>'成本明细'!U86</x:f>
        <x:v>3511.4175516711107</x:v>
      </x:c>
      <x:c r="I566" s="26" t="n">
        <x:f>'成本明细'!V86</x:f>
        <x:v>7081</x:v>
      </x:c>
      <x:c r="J566" s="22" t="n">
        <x:f>'参数'!$B$9</x:f>
        <x:v>300</x:v>
      </x:c>
      <x:c r="K566" s="26" t="n">
        <x:f>J566*(G566-H566)-I566*ROUNDUP(J566/F566,0)</x:f>
        <x:v>-535340.4818553332</x:v>
      </x:c>
      <x:c r="L566" s="10" t="str">
        <x:f>IF(G566-H566&lt;=0,"未回本",IF(ROUNDUP(I566/(G566-H566),0)&gt;MIN(F566,J566),"未回本",MAX(1,ROUNDUP(I566/(G566-H566),0))))</x:f>
        <x:v>未回本</x:v>
      </x:c>
    </x:row>
    <x:row r="567" ht="22" customHeight="1">
      <x:c r="A567" s="11" t="str">
        <x:v>lade_0824_20aoi</x:v>
      </x:c>
      <x:c r="B567" s="10" t="n">
        <x:v>20</x:v>
      </x:c>
      <x:c r="C567" s="10" t="n">
        <x:v>44</x:v>
      </x:c>
      <x:c r="D567" s="10" t="str">
        <x:v>M2 / M4</x:v>
      </x:c>
      <x:c r="E567" s="16" t="n">
        <x:v>1</x:v>
      </x:c>
      <x:c r="F567" s="14" t="n">
        <x:v>10</x:v>
      </x:c>
      <x:c r="G567" s="26" t="n">
        <x:f>'成本明细'!U83+'成本明细'!G83*(E567-'参数'!$B$6)</x:f>
        <x:v>1622.8275758811114</x:v>
      </x:c>
      <x:c r="H567" s="26" t="n">
        <x:f>'成本明细'!U89</x:f>
        <x:v>4150.464199676666</x:v>
      </x:c>
      <x:c r="I567" s="26" t="n">
        <x:f>'成本明细'!V89</x:f>
        <x:v>7081</x:v>
      </x:c>
      <x:c r="J567" s="22" t="n">
        <x:f>'参数'!$B$9</x:f>
        <x:v>300</x:v>
      </x:c>
      <x:c r="K567" s="26" t="n">
        <x:f>J567*(G567-H567)-I567*ROUNDUP(J567/F567,0)</x:f>
        <x:v>-970720.9871386663</x:v>
      </x:c>
      <x:c r="L567" s="10" t="str">
        <x:f>IF(G567-H567&lt;=0,"未回本",IF(ROUNDUP(I567/(G567-H567),0)&gt;MIN(F567,J567),"未回本",MAX(1,ROUNDUP(I567/(G567-H567),0))))</x:f>
        <x:v>未回本</x:v>
      </x:c>
    </x:row>
    <x:row r="568" ht="22" customHeight="1">
      <x:c r="A568" s="11" t="str">
        <x:v>lade_0824_20aoi</x:v>
      </x:c>
      <x:c r="B568" s="10" t="n">
        <x:v>20</x:v>
      </x:c>
      <x:c r="C568" s="10" t="n">
        <x:v>44</x:v>
      </x:c>
      <x:c r="D568" s="10" t="str">
        <x:v>M1 / M3</x:v>
      </x:c>
      <x:c r="E568" s="16" t="n">
        <x:v>1</x:v>
      </x:c>
      <x:c r="F568" s="14" t="n">
        <x:v>20</x:v>
      </x:c>
      <x:c r="G568" s="26" t="n">
        <x:f>'成本明细'!U80+'成本明细'!G80*(E568-'参数'!$B$6)</x:f>
        <x:v>2435.04927882</x:v>
      </x:c>
      <x:c r="H568" s="26" t="n">
        <x:f>'成本明细'!U86</x:f>
        <x:v>3511.4175516711107</x:v>
      </x:c>
      <x:c r="I568" s="26" t="n">
        <x:f>'成本明细'!V86</x:f>
        <x:v>7081</x:v>
      </x:c>
      <x:c r="J568" s="22" t="n">
        <x:f>'参数'!$B$9</x:f>
        <x:v>300</x:v>
      </x:c>
      <x:c r="K568" s="26" t="n">
        <x:f>J568*(G568-H568)-I568*ROUNDUP(J568/F568,0)</x:f>
        <x:v>-429125.4818553332</x:v>
      </x:c>
      <x:c r="L568" s="10" t="str">
        <x:f>IF(G568-H568&lt;=0,"未回本",IF(ROUNDUP(I568/(G568-H568),0)&gt;MIN(F568,J568),"未回本",MAX(1,ROUNDUP(I568/(G568-H568),0))))</x:f>
        <x:v>未回本</x:v>
      </x:c>
    </x:row>
    <x:row r="569" ht="22" customHeight="1">
      <x:c r="A569" s="11" t="str">
        <x:v>lade_0824_20aoi</x:v>
      </x:c>
      <x:c r="B569" s="10" t="n">
        <x:v>20</x:v>
      </x:c>
      <x:c r="C569" s="10" t="n">
        <x:v>44</x:v>
      </x:c>
      <x:c r="D569" s="10" t="str">
        <x:v>M2 / M4</x:v>
      </x:c>
      <x:c r="E569" s="16" t="n">
        <x:v>1</x:v>
      </x:c>
      <x:c r="F569" s="14" t="n">
        <x:v>20</x:v>
      </x:c>
      <x:c r="G569" s="26" t="n">
        <x:f>'成本明细'!U83+'成本明细'!G83*(E569-'参数'!$B$6)</x:f>
        <x:v>1622.8275758811114</x:v>
      </x:c>
      <x:c r="H569" s="26" t="n">
        <x:f>'成本明细'!U89</x:f>
        <x:v>4150.464199676666</x:v>
      </x:c>
      <x:c r="I569" s="26" t="n">
        <x:f>'成本明细'!V89</x:f>
        <x:v>7081</x:v>
      </x:c>
      <x:c r="J569" s="22" t="n">
        <x:f>'参数'!$B$9</x:f>
        <x:v>300</x:v>
      </x:c>
      <x:c r="K569" s="26" t="n">
        <x:f>J569*(G569-H569)-I569*ROUNDUP(J569/F569,0)</x:f>
        <x:v>-864505.9871386663</x:v>
      </x:c>
      <x:c r="L569" s="10" t="str">
        <x:f>IF(G569-H569&lt;=0,"未回本",IF(ROUNDUP(I569/(G569-H569),0)&gt;MIN(F569,J569),"未回本",MAX(1,ROUNDUP(I569/(G569-H569),0))))</x:f>
        <x:v>未回本</x:v>
      </x:c>
    </x:row>
    <x:row r="570" ht="22" customHeight="1">
      <x:c r="A570" s="11" t="str">
        <x:v>lade_0824_20aoi</x:v>
      </x:c>
      <x:c r="B570" s="10" t="n">
        <x:v>20</x:v>
      </x:c>
      <x:c r="C570" s="10" t="n">
        <x:v>44</x:v>
      </x:c>
      <x:c r="D570" s="10" t="str">
        <x:v>M1 / M3</x:v>
      </x:c>
      <x:c r="E570" s="16" t="n">
        <x:v>1</x:v>
      </x:c>
      <x:c r="F570" s="14" t="n">
        <x:v>30</x:v>
      </x:c>
      <x:c r="G570" s="26" t="n">
        <x:f>'成本明细'!U80+'成本明细'!G80*(E570-'参数'!$B$6)</x:f>
        <x:v>2435.04927882</x:v>
      </x:c>
      <x:c r="H570" s="26" t="n">
        <x:f>'成本明细'!U86</x:f>
        <x:v>3511.4175516711107</x:v>
      </x:c>
      <x:c r="I570" s="26" t="n">
        <x:f>'成本明细'!V86</x:f>
        <x:v>7081</x:v>
      </x:c>
      <x:c r="J570" s="22" t="n">
        <x:f>'参数'!$B$9</x:f>
        <x:v>300</x:v>
      </x:c>
      <x:c r="K570" s="26" t="n">
        <x:f>J570*(G570-H570)-I570*ROUNDUP(J570/F570,0)</x:f>
        <x:v>-393720.4818553332</x:v>
      </x:c>
      <x:c r="L570" s="10" t="str">
        <x:f>IF(G570-H570&lt;=0,"未回本",IF(ROUNDUP(I570/(G570-H570),0)&gt;MIN(F570,J570),"未回本",MAX(1,ROUNDUP(I570/(G570-H570),0))))</x:f>
        <x:v>未回本</x:v>
      </x:c>
    </x:row>
    <x:row r="571" ht="22" customHeight="1">
      <x:c r="A571" s="11" t="str">
        <x:v>lade_0824_20aoi</x:v>
      </x:c>
      <x:c r="B571" s="10" t="n">
        <x:v>20</x:v>
      </x:c>
      <x:c r="C571" s="10" t="n">
        <x:v>44</x:v>
      </x:c>
      <x:c r="D571" s="10" t="str">
        <x:v>M2 / M4</x:v>
      </x:c>
      <x:c r="E571" s="16" t="n">
        <x:v>1</x:v>
      </x:c>
      <x:c r="F571" s="14" t="n">
        <x:v>30</x:v>
      </x:c>
      <x:c r="G571" s="26" t="n">
        <x:f>'成本明细'!U83+'成本明细'!G83*(E571-'参数'!$B$6)</x:f>
        <x:v>1622.8275758811114</x:v>
      </x:c>
      <x:c r="H571" s="26" t="n">
        <x:f>'成本明细'!U89</x:f>
        <x:v>4150.464199676666</x:v>
      </x:c>
      <x:c r="I571" s="26" t="n">
        <x:f>'成本明细'!V89</x:f>
        <x:v>7081</x:v>
      </x:c>
      <x:c r="J571" s="22" t="n">
        <x:f>'参数'!$B$9</x:f>
        <x:v>300</x:v>
      </x:c>
      <x:c r="K571" s="26" t="n">
        <x:f>J571*(G571-H571)-I571*ROUNDUP(J571/F571,0)</x:f>
        <x:v>-829100.9871386663</x:v>
      </x:c>
      <x:c r="L571" s="10" t="str">
        <x:f>IF(G571-H571&lt;=0,"未回本",IF(ROUNDUP(I571/(G571-H571),0)&gt;MIN(F571,J571),"未回本",MAX(1,ROUNDUP(I571/(G571-H571),0))))</x:f>
        <x:v>未回本</x:v>
      </x:c>
    </x:row>
    <x:row r="572" ht="22" customHeight="1">
      <x:c r="A572" s="11" t="str">
        <x:v>lade_0824_20aoi</x:v>
      </x:c>
      <x:c r="B572" s="10" t="n">
        <x:v>20</x:v>
      </x:c>
      <x:c r="C572" s="10" t="n">
        <x:v>44</x:v>
      </x:c>
      <x:c r="D572" s="10" t="str">
        <x:v>M1 / M3</x:v>
      </x:c>
      <x:c r="E572" s="16" t="n">
        <x:v>1</x:v>
      </x:c>
      <x:c r="F572" s="14" t="n">
        <x:v>50</x:v>
      </x:c>
      <x:c r="G572" s="26" t="n">
        <x:f>'成本明细'!U80+'成本明细'!G80*(E572-'参数'!$B$6)</x:f>
        <x:v>2435.04927882</x:v>
      </x:c>
      <x:c r="H572" s="26" t="n">
        <x:f>'成本明细'!U86</x:f>
        <x:v>3511.4175516711107</x:v>
      </x:c>
      <x:c r="I572" s="26" t="n">
        <x:f>'成本明细'!V86</x:f>
        <x:v>7081</x:v>
      </x:c>
      <x:c r="J572" s="22" t="n">
        <x:f>'参数'!$B$9</x:f>
        <x:v>300</x:v>
      </x:c>
      <x:c r="K572" s="26" t="n">
        <x:f>J572*(G572-H572)-I572*ROUNDUP(J572/F572,0)</x:f>
        <x:v>-365396.4818553332</x:v>
      </x:c>
      <x:c r="L572" s="10" t="str">
        <x:f>IF(G572-H572&lt;=0,"未回本",IF(ROUNDUP(I572/(G572-H572),0)&gt;MIN(F572,J572),"未回本",MAX(1,ROUNDUP(I572/(G572-H572),0))))</x:f>
        <x:v>未回本</x:v>
      </x:c>
    </x:row>
    <x:row r="573" ht="22" customHeight="1">
      <x:c r="A573" s="11" t="str">
        <x:v>lade_0824_20aoi</x:v>
      </x:c>
      <x:c r="B573" s="10" t="n">
        <x:v>20</x:v>
      </x:c>
      <x:c r="C573" s="10" t="n">
        <x:v>44</x:v>
      </x:c>
      <x:c r="D573" s="10" t="str">
        <x:v>M2 / M4</x:v>
      </x:c>
      <x:c r="E573" s="16" t="n">
        <x:v>1</x:v>
      </x:c>
      <x:c r="F573" s="14" t="n">
        <x:v>50</x:v>
      </x:c>
      <x:c r="G573" s="26" t="n">
        <x:f>'成本明细'!U83+'成本明细'!G83*(E573-'参数'!$B$6)</x:f>
        <x:v>1622.8275758811114</x:v>
      </x:c>
      <x:c r="H573" s="26" t="n">
        <x:f>'成本明细'!U89</x:f>
        <x:v>4150.464199676666</x:v>
      </x:c>
      <x:c r="I573" s="26" t="n">
        <x:f>'成本明细'!V89</x:f>
        <x:v>7081</x:v>
      </x:c>
      <x:c r="J573" s="22" t="n">
        <x:f>'参数'!$B$9</x:f>
        <x:v>300</x:v>
      </x:c>
      <x:c r="K573" s="26" t="n">
        <x:f>J573*(G573-H573)-I573*ROUNDUP(J573/F573,0)</x:f>
        <x:v>-800776.9871386663</x:v>
      </x:c>
      <x:c r="L573" s="10" t="str">
        <x:f>IF(G573-H573&lt;=0,"未回本",IF(ROUNDUP(I573/(G573-H573),0)&gt;MIN(F573,J573),"未回本",MAX(1,ROUNDUP(I573/(G573-H573),0))))</x:f>
        <x:v>未回本</x:v>
      </x:c>
    </x:row>
    <x:row r="574" ht="22" customHeight="1">
      <x:c r="A574" s="11" t="str">
        <x:v>lade_0824_20aoi</x:v>
      </x:c>
      <x:c r="B574" s="10" t="n">
        <x:v>20</x:v>
      </x:c>
      <x:c r="C574" s="10" t="n">
        <x:v>44</x:v>
      </x:c>
      <x:c r="D574" s="10" t="str">
        <x:v>M1 / M3</x:v>
      </x:c>
      <x:c r="E574" s="16" t="n">
        <x:v>2</x:v>
      </x:c>
      <x:c r="F574" s="14" t="n">
        <x:v>10</x:v>
      </x:c>
      <x:c r="G574" s="26" t="n">
        <x:f>'成本明细'!U80+'成本明细'!G80*(E574-'参数'!$B$6)</x:f>
        <x:v>2629.04927882</x:v>
      </x:c>
      <x:c r="H574" s="26" t="n">
        <x:f>'成本明细'!U86</x:f>
        <x:v>3511.4175516711107</x:v>
      </x:c>
      <x:c r="I574" s="26" t="n">
        <x:f>'成本明细'!V86</x:f>
        <x:v>7081</x:v>
      </x:c>
      <x:c r="J574" s="22" t="n">
        <x:f>'参数'!$B$9</x:f>
        <x:v>300</x:v>
      </x:c>
      <x:c r="K574" s="26" t="n">
        <x:f>J574*(G574-H574)-I574*ROUNDUP(J574/F574,0)</x:f>
        <x:v>-477140.4818553332</x:v>
      </x:c>
      <x:c r="L574" s="10" t="str">
        <x:f>IF(G574-H574&lt;=0,"未回本",IF(ROUNDUP(I574/(G574-H574),0)&gt;MIN(F574,J574),"未回本",MAX(1,ROUNDUP(I574/(G574-H574),0))))</x:f>
        <x:v>未回本</x:v>
      </x:c>
    </x:row>
    <x:row r="575" ht="22" customHeight="1">
      <x:c r="A575" s="11" t="str">
        <x:v>lade_0824_20aoi</x:v>
      </x:c>
      <x:c r="B575" s="10" t="n">
        <x:v>20</x:v>
      </x:c>
      <x:c r="C575" s="10" t="n">
        <x:v>44</x:v>
      </x:c>
      <x:c r="D575" s="10" t="str">
        <x:v>M2 / M4</x:v>
      </x:c>
      <x:c r="E575" s="16" t="n">
        <x:v>2</x:v>
      </x:c>
      <x:c r="F575" s="14" t="n">
        <x:v>10</x:v>
      </x:c>
      <x:c r="G575" s="26" t="n">
        <x:f>'成本明细'!U83+'成本明细'!G83*(E575-'参数'!$B$6)</x:f>
        <x:v>1816.8275758811114</x:v>
      </x:c>
      <x:c r="H575" s="26" t="n">
        <x:f>'成本明细'!U89</x:f>
        <x:v>4150.464199676666</x:v>
      </x:c>
      <x:c r="I575" s="26" t="n">
        <x:f>'成本明细'!V89</x:f>
        <x:v>7081</x:v>
      </x:c>
      <x:c r="J575" s="22" t="n">
        <x:f>'参数'!$B$9</x:f>
        <x:v>300</x:v>
      </x:c>
      <x:c r="K575" s="26" t="n">
        <x:f>J575*(G575-H575)-I575*ROUNDUP(J575/F575,0)</x:f>
        <x:v>-912520.9871386663</x:v>
      </x:c>
      <x:c r="L575" s="10" t="str">
        <x:f>IF(G575-H575&lt;=0,"未回本",IF(ROUNDUP(I575/(G575-H575),0)&gt;MIN(F575,J575),"未回本",MAX(1,ROUNDUP(I575/(G575-H575),0))))</x:f>
        <x:v>未回本</x:v>
      </x:c>
    </x:row>
    <x:row r="576" ht="22" customHeight="1">
      <x:c r="A576" s="11" t="str">
        <x:v>lade_0824_20aoi</x:v>
      </x:c>
      <x:c r="B576" s="10" t="n">
        <x:v>20</x:v>
      </x:c>
      <x:c r="C576" s="10" t="n">
        <x:v>44</x:v>
      </x:c>
      <x:c r="D576" s="10" t="str">
        <x:v>M1 / M3</x:v>
      </x:c>
      <x:c r="E576" s="16" t="n">
        <x:v>2</x:v>
      </x:c>
      <x:c r="F576" s="14" t="n">
        <x:v>20</x:v>
      </x:c>
      <x:c r="G576" s="26" t="n">
        <x:f>'成本明细'!U80+'成本明细'!G80*(E576-'参数'!$B$6)</x:f>
        <x:v>2629.04927882</x:v>
      </x:c>
      <x:c r="H576" s="26" t="n">
        <x:f>'成本明细'!U86</x:f>
        <x:v>3511.4175516711107</x:v>
      </x:c>
      <x:c r="I576" s="26" t="n">
        <x:f>'成本明细'!V86</x:f>
        <x:v>7081</x:v>
      </x:c>
      <x:c r="J576" s="22" t="n">
        <x:f>'参数'!$B$9</x:f>
        <x:v>300</x:v>
      </x:c>
      <x:c r="K576" s="26" t="n">
        <x:f>J576*(G576-H576)-I576*ROUNDUP(J576/F576,0)</x:f>
        <x:v>-370925.4818553332</x:v>
      </x:c>
      <x:c r="L576" s="10" t="str">
        <x:f>IF(G576-H576&lt;=0,"未回本",IF(ROUNDUP(I576/(G576-H576),0)&gt;MIN(F576,J576),"未回本",MAX(1,ROUNDUP(I576/(G576-H576),0))))</x:f>
        <x:v>未回本</x:v>
      </x:c>
    </x:row>
    <x:row r="577" ht="22" customHeight="1">
      <x:c r="A577" s="11" t="str">
        <x:v>lade_0824_20aoi</x:v>
      </x:c>
      <x:c r="B577" s="10" t="n">
        <x:v>20</x:v>
      </x:c>
      <x:c r="C577" s="10" t="n">
        <x:v>44</x:v>
      </x:c>
      <x:c r="D577" s="10" t="str">
        <x:v>M2 / M4</x:v>
      </x:c>
      <x:c r="E577" s="16" t="n">
        <x:v>2</x:v>
      </x:c>
      <x:c r="F577" s="14" t="n">
        <x:v>20</x:v>
      </x:c>
      <x:c r="G577" s="26" t="n">
        <x:f>'成本明细'!U83+'成本明细'!G83*(E577-'参数'!$B$6)</x:f>
        <x:v>1816.8275758811114</x:v>
      </x:c>
      <x:c r="H577" s="26" t="n">
        <x:f>'成本明细'!U89</x:f>
        <x:v>4150.464199676666</x:v>
      </x:c>
      <x:c r="I577" s="26" t="n">
        <x:f>'成本明细'!V89</x:f>
        <x:v>7081</x:v>
      </x:c>
      <x:c r="J577" s="22" t="n">
        <x:f>'参数'!$B$9</x:f>
        <x:v>300</x:v>
      </x:c>
      <x:c r="K577" s="26" t="n">
        <x:f>J577*(G577-H577)-I577*ROUNDUP(J577/F577,0)</x:f>
        <x:v>-806305.9871386663</x:v>
      </x:c>
      <x:c r="L577" s="10" t="str">
        <x:f>IF(G577-H577&lt;=0,"未回本",IF(ROUNDUP(I577/(G577-H577),0)&gt;MIN(F577,J577),"未回本",MAX(1,ROUNDUP(I577/(G577-H577),0))))</x:f>
        <x:v>未回本</x:v>
      </x:c>
    </x:row>
    <x:row r="578" ht="22" customHeight="1">
      <x:c r="A578" s="11" t="str">
        <x:v>lade_0824_20aoi</x:v>
      </x:c>
      <x:c r="B578" s="10" t="n">
        <x:v>20</x:v>
      </x:c>
      <x:c r="C578" s="10" t="n">
        <x:v>44</x:v>
      </x:c>
      <x:c r="D578" s="10" t="str">
        <x:v>M1 / M3</x:v>
      </x:c>
      <x:c r="E578" s="16" t="n">
        <x:v>2</x:v>
      </x:c>
      <x:c r="F578" s="14" t="n">
        <x:v>30</x:v>
      </x:c>
      <x:c r="G578" s="26" t="n">
        <x:f>'成本明细'!U80+'成本明细'!G80*(E578-'参数'!$B$6)</x:f>
        <x:v>2629.04927882</x:v>
      </x:c>
      <x:c r="H578" s="26" t="n">
        <x:f>'成本明细'!U86</x:f>
        <x:v>3511.4175516711107</x:v>
      </x:c>
      <x:c r="I578" s="26" t="n">
        <x:f>'成本明细'!V86</x:f>
        <x:v>7081</x:v>
      </x:c>
      <x:c r="J578" s="22" t="n">
        <x:f>'参数'!$B$9</x:f>
        <x:v>300</x:v>
      </x:c>
      <x:c r="K578" s="26" t="n">
        <x:f>J578*(G578-H578)-I578*ROUNDUP(J578/F578,0)</x:f>
        <x:v>-335520.4818553332</x:v>
      </x:c>
      <x:c r="L578" s="10" t="str">
        <x:f>IF(G578-H578&lt;=0,"未回本",IF(ROUNDUP(I578/(G578-H578),0)&gt;MIN(F578,J578),"未回本",MAX(1,ROUNDUP(I578/(G578-H578),0))))</x:f>
        <x:v>未回本</x:v>
      </x:c>
    </x:row>
    <x:row r="579" ht="22" customHeight="1">
      <x:c r="A579" s="11" t="str">
        <x:v>lade_0824_20aoi</x:v>
      </x:c>
      <x:c r="B579" s="10" t="n">
        <x:v>20</x:v>
      </x:c>
      <x:c r="C579" s="10" t="n">
        <x:v>44</x:v>
      </x:c>
      <x:c r="D579" s="10" t="str">
        <x:v>M2 / M4</x:v>
      </x:c>
      <x:c r="E579" s="16" t="n">
        <x:v>2</x:v>
      </x:c>
      <x:c r="F579" s="14" t="n">
        <x:v>30</x:v>
      </x:c>
      <x:c r="G579" s="26" t="n">
        <x:f>'成本明细'!U83+'成本明细'!G83*(E579-'参数'!$B$6)</x:f>
        <x:v>1816.8275758811114</x:v>
      </x:c>
      <x:c r="H579" s="26" t="n">
        <x:f>'成本明细'!U89</x:f>
        <x:v>4150.464199676666</x:v>
      </x:c>
      <x:c r="I579" s="26" t="n">
        <x:f>'成本明细'!V89</x:f>
        <x:v>7081</x:v>
      </x:c>
      <x:c r="J579" s="22" t="n">
        <x:f>'参数'!$B$9</x:f>
        <x:v>300</x:v>
      </x:c>
      <x:c r="K579" s="26" t="n">
        <x:f>J579*(G579-H579)-I579*ROUNDUP(J579/F579,0)</x:f>
        <x:v>-770900.9871386663</x:v>
      </x:c>
      <x:c r="L579" s="10" t="str">
        <x:f>IF(G579-H579&lt;=0,"未回本",IF(ROUNDUP(I579/(G579-H579),0)&gt;MIN(F579,J579),"未回本",MAX(1,ROUNDUP(I579/(G579-H579),0))))</x:f>
        <x:v>未回本</x:v>
      </x:c>
    </x:row>
    <x:row r="580" ht="22" customHeight="1">
      <x:c r="A580" s="11" t="str">
        <x:v>lade_0824_20aoi</x:v>
      </x:c>
      <x:c r="B580" s="10" t="n">
        <x:v>20</x:v>
      </x:c>
      <x:c r="C580" s="10" t="n">
        <x:v>44</x:v>
      </x:c>
      <x:c r="D580" s="10" t="str">
        <x:v>M1 / M3</x:v>
      </x:c>
      <x:c r="E580" s="16" t="n">
        <x:v>2</x:v>
      </x:c>
      <x:c r="F580" s="14" t="n">
        <x:v>50</x:v>
      </x:c>
      <x:c r="G580" s="26" t="n">
        <x:f>'成本明细'!U80+'成本明细'!G80*(E580-'参数'!$B$6)</x:f>
        <x:v>2629.04927882</x:v>
      </x:c>
      <x:c r="H580" s="26" t="n">
        <x:f>'成本明细'!U86</x:f>
        <x:v>3511.4175516711107</x:v>
      </x:c>
      <x:c r="I580" s="26" t="n">
        <x:f>'成本明细'!V86</x:f>
        <x:v>7081</x:v>
      </x:c>
      <x:c r="J580" s="22" t="n">
        <x:f>'参数'!$B$9</x:f>
        <x:v>300</x:v>
      </x:c>
      <x:c r="K580" s="26" t="n">
        <x:f>J580*(G580-H580)-I580*ROUNDUP(J580/F580,0)</x:f>
        <x:v>-307196.4818553332</x:v>
      </x:c>
      <x:c r="L580" s="10" t="str">
        <x:f>IF(G580-H580&lt;=0,"未回本",IF(ROUNDUP(I580/(G580-H580),0)&gt;MIN(F580,J580),"未回本",MAX(1,ROUNDUP(I580/(G580-H580),0))))</x:f>
        <x:v>未回本</x:v>
      </x:c>
    </x:row>
    <x:row r="581" ht="22" customHeight="1">
      <x:c r="A581" s="11" t="str">
        <x:v>lade_0824_20aoi</x:v>
      </x:c>
      <x:c r="B581" s="10" t="n">
        <x:v>20</x:v>
      </x:c>
      <x:c r="C581" s="10" t="n">
        <x:v>44</x:v>
      </x:c>
      <x:c r="D581" s="10" t="str">
        <x:v>M2 / M4</x:v>
      </x:c>
      <x:c r="E581" s="16" t="n">
        <x:v>2</x:v>
      </x:c>
      <x:c r="F581" s="14" t="n">
        <x:v>50</x:v>
      </x:c>
      <x:c r="G581" s="26" t="n">
        <x:f>'成本明细'!U83+'成本明细'!G83*(E581-'参数'!$B$6)</x:f>
        <x:v>1816.8275758811114</x:v>
      </x:c>
      <x:c r="H581" s="26" t="n">
        <x:f>'成本明细'!U89</x:f>
        <x:v>4150.464199676666</x:v>
      </x:c>
      <x:c r="I581" s="26" t="n">
        <x:f>'成本明细'!V89</x:f>
        <x:v>7081</x:v>
      </x:c>
      <x:c r="J581" s="22" t="n">
        <x:f>'参数'!$B$9</x:f>
        <x:v>300</x:v>
      </x:c>
      <x:c r="K581" s="26" t="n">
        <x:f>J581*(G581-H581)-I581*ROUNDUP(J581/F581,0)</x:f>
        <x:v>-742576.9871386663</x:v>
      </x:c>
      <x:c r="L581" s="10" t="str">
        <x:f>IF(G581-H581&lt;=0,"未回本",IF(ROUNDUP(I581/(G581-H581),0)&gt;MIN(F581,J581),"未回本",MAX(1,ROUNDUP(I581/(G581-H581),0))))</x:f>
        <x:v>未回本</x:v>
      </x:c>
    </x:row>
    <x:row r="582" ht="22" customHeight="1">
      <x:c r="A582" s="11" t="str">
        <x:v>lade_0824_20aoi</x:v>
      </x:c>
      <x:c r="B582" s="10" t="n">
        <x:v>20</x:v>
      </x:c>
      <x:c r="C582" s="10" t="n">
        <x:v>44</x:v>
      </x:c>
      <x:c r="D582" s="10" t="str">
        <x:v>M1 / M3</x:v>
      </x:c>
      <x:c r="E582" s="16" t="n">
        <x:v>3</x:v>
      </x:c>
      <x:c r="F582" s="14" t="n">
        <x:v>10</x:v>
      </x:c>
      <x:c r="G582" s="26" t="n">
        <x:f>'成本明细'!U80+'成本明细'!G80*(E582-'参数'!$B$6)</x:f>
        <x:v>2823.04927882</x:v>
      </x:c>
      <x:c r="H582" s="26" t="n">
        <x:f>'成本明细'!U86</x:f>
        <x:v>3511.4175516711107</x:v>
      </x:c>
      <x:c r="I582" s="26" t="n">
        <x:f>'成本明细'!V86</x:f>
        <x:v>7081</x:v>
      </x:c>
      <x:c r="J582" s="22" t="n">
        <x:f>'参数'!$B$9</x:f>
        <x:v>300</x:v>
      </x:c>
      <x:c r="K582" s="26" t="n">
        <x:f>J582*(G582-H582)-I582*ROUNDUP(J582/F582,0)</x:f>
        <x:v>-418940.4818553332</x:v>
      </x:c>
      <x:c r="L582" s="10" t="str">
        <x:f>IF(G582-H582&lt;=0,"未回本",IF(ROUNDUP(I582/(G582-H582),0)&gt;MIN(F582,J582),"未回本",MAX(1,ROUNDUP(I582/(G582-H582),0))))</x:f>
        <x:v>未回本</x:v>
      </x:c>
    </x:row>
    <x:row r="583" ht="22" customHeight="1">
      <x:c r="A583" s="11" t="str">
        <x:v>lade_0824_20aoi</x:v>
      </x:c>
      <x:c r="B583" s="10" t="n">
        <x:v>20</x:v>
      </x:c>
      <x:c r="C583" s="10" t="n">
        <x:v>44</x:v>
      </x:c>
      <x:c r="D583" s="10" t="str">
        <x:v>M2 / M4</x:v>
      </x:c>
      <x:c r="E583" s="16" t="n">
        <x:v>3</x:v>
      </x:c>
      <x:c r="F583" s="14" t="n">
        <x:v>10</x:v>
      </x:c>
      <x:c r="G583" s="26" t="n">
        <x:f>'成本明细'!U83+'成本明细'!G83*(E583-'参数'!$B$6)</x:f>
        <x:v>2010.8275758811114</x:v>
      </x:c>
      <x:c r="H583" s="26" t="n">
        <x:f>'成本明细'!U89</x:f>
        <x:v>4150.464199676666</x:v>
      </x:c>
      <x:c r="I583" s="26" t="n">
        <x:f>'成本明细'!V89</x:f>
        <x:v>7081</x:v>
      </x:c>
      <x:c r="J583" s="22" t="n">
        <x:f>'参数'!$B$9</x:f>
        <x:v>300</x:v>
      </x:c>
      <x:c r="K583" s="26" t="n">
        <x:f>J583*(G583-H583)-I583*ROUNDUP(J583/F583,0)</x:f>
        <x:v>-854320.9871386663</x:v>
      </x:c>
      <x:c r="L583" s="10" t="str">
        <x:f>IF(G583-H583&lt;=0,"未回本",IF(ROUNDUP(I583/(G583-H583),0)&gt;MIN(F583,J583),"未回本",MAX(1,ROUNDUP(I583/(G583-H583),0))))</x:f>
        <x:v>未回本</x:v>
      </x:c>
    </x:row>
    <x:row r="584" ht="22" customHeight="1">
      <x:c r="A584" s="11" t="str">
        <x:v>lade_0824_20aoi</x:v>
      </x:c>
      <x:c r="B584" s="10" t="n">
        <x:v>20</x:v>
      </x:c>
      <x:c r="C584" s="10" t="n">
        <x:v>44</x:v>
      </x:c>
      <x:c r="D584" s="10" t="str">
        <x:v>M1 / M3</x:v>
      </x:c>
      <x:c r="E584" s="16" t="n">
        <x:v>3</x:v>
      </x:c>
      <x:c r="F584" s="14" t="n">
        <x:v>20</x:v>
      </x:c>
      <x:c r="G584" s="26" t="n">
        <x:f>'成本明细'!U80+'成本明细'!G80*(E584-'参数'!$B$6)</x:f>
        <x:v>2823.04927882</x:v>
      </x:c>
      <x:c r="H584" s="26" t="n">
        <x:f>'成本明细'!U86</x:f>
        <x:v>3511.4175516711107</x:v>
      </x:c>
      <x:c r="I584" s="26" t="n">
        <x:f>'成本明细'!V86</x:f>
        <x:v>7081</x:v>
      </x:c>
      <x:c r="J584" s="22" t="n">
        <x:f>'参数'!$B$9</x:f>
        <x:v>300</x:v>
      </x:c>
      <x:c r="K584" s="26" t="n">
        <x:f>J584*(G584-H584)-I584*ROUNDUP(J584/F584,0)</x:f>
        <x:v>-312725.4818553332</x:v>
      </x:c>
      <x:c r="L584" s="10" t="str">
        <x:f>IF(G584-H584&lt;=0,"未回本",IF(ROUNDUP(I584/(G584-H584),0)&gt;MIN(F584,J584),"未回本",MAX(1,ROUNDUP(I584/(G584-H584),0))))</x:f>
        <x:v>未回本</x:v>
      </x:c>
    </x:row>
    <x:row r="585" ht="22" customHeight="1">
      <x:c r="A585" s="11" t="str">
        <x:v>lade_0824_20aoi</x:v>
      </x:c>
      <x:c r="B585" s="10" t="n">
        <x:v>20</x:v>
      </x:c>
      <x:c r="C585" s="10" t="n">
        <x:v>44</x:v>
      </x:c>
      <x:c r="D585" s="10" t="str">
        <x:v>M2 / M4</x:v>
      </x:c>
      <x:c r="E585" s="16" t="n">
        <x:v>3</x:v>
      </x:c>
      <x:c r="F585" s="14" t="n">
        <x:v>20</x:v>
      </x:c>
      <x:c r="G585" s="26" t="n">
        <x:f>'成本明细'!U83+'成本明细'!G83*(E585-'参数'!$B$6)</x:f>
        <x:v>2010.8275758811114</x:v>
      </x:c>
      <x:c r="H585" s="26" t="n">
        <x:f>'成本明细'!U89</x:f>
        <x:v>4150.464199676666</x:v>
      </x:c>
      <x:c r="I585" s="26" t="n">
        <x:f>'成本明细'!V89</x:f>
        <x:v>7081</x:v>
      </x:c>
      <x:c r="J585" s="22" t="n">
        <x:f>'参数'!$B$9</x:f>
        <x:v>300</x:v>
      </x:c>
      <x:c r="K585" s="26" t="n">
        <x:f>J585*(G585-H585)-I585*ROUNDUP(J585/F585,0)</x:f>
        <x:v>-748105.9871386663</x:v>
      </x:c>
      <x:c r="L585" s="10" t="str">
        <x:f>IF(G585-H585&lt;=0,"未回本",IF(ROUNDUP(I585/(G585-H585),0)&gt;MIN(F585,J585),"未回本",MAX(1,ROUNDUP(I585/(G585-H585),0))))</x:f>
        <x:v>未回本</x:v>
      </x:c>
    </x:row>
    <x:row r="586" ht="22" customHeight="1">
      <x:c r="A586" s="11" t="str">
        <x:v>lade_0824_20aoi</x:v>
      </x:c>
      <x:c r="B586" s="10" t="n">
        <x:v>20</x:v>
      </x:c>
      <x:c r="C586" s="10" t="n">
        <x:v>44</x:v>
      </x:c>
      <x:c r="D586" s="10" t="str">
        <x:v>M1 / M3</x:v>
      </x:c>
      <x:c r="E586" s="16" t="n">
        <x:v>3</x:v>
      </x:c>
      <x:c r="F586" s="14" t="n">
        <x:v>30</x:v>
      </x:c>
      <x:c r="G586" s="26" t="n">
        <x:f>'成本明细'!U80+'成本明细'!G80*(E586-'参数'!$B$6)</x:f>
        <x:v>2823.04927882</x:v>
      </x:c>
      <x:c r="H586" s="26" t="n">
        <x:f>'成本明细'!U86</x:f>
        <x:v>3511.4175516711107</x:v>
      </x:c>
      <x:c r="I586" s="26" t="n">
        <x:f>'成本明细'!V86</x:f>
        <x:v>7081</x:v>
      </x:c>
      <x:c r="J586" s="22" t="n">
        <x:f>'参数'!$B$9</x:f>
        <x:v>300</x:v>
      </x:c>
      <x:c r="K586" s="26" t="n">
        <x:f>J586*(G586-H586)-I586*ROUNDUP(J586/F586,0)</x:f>
        <x:v>-277320.4818553332</x:v>
      </x:c>
      <x:c r="L586" s="10" t="str">
        <x:f>IF(G586-H586&lt;=0,"未回本",IF(ROUNDUP(I586/(G586-H586),0)&gt;MIN(F586,J586),"未回本",MAX(1,ROUNDUP(I586/(G586-H586),0))))</x:f>
        <x:v>未回本</x:v>
      </x:c>
    </x:row>
    <x:row r="587" ht="22" customHeight="1">
      <x:c r="A587" s="11" t="str">
        <x:v>lade_0824_20aoi</x:v>
      </x:c>
      <x:c r="B587" s="10" t="n">
        <x:v>20</x:v>
      </x:c>
      <x:c r="C587" s="10" t="n">
        <x:v>44</x:v>
      </x:c>
      <x:c r="D587" s="10" t="str">
        <x:v>M2 / M4</x:v>
      </x:c>
      <x:c r="E587" s="16" t="n">
        <x:v>3</x:v>
      </x:c>
      <x:c r="F587" s="14" t="n">
        <x:v>30</x:v>
      </x:c>
      <x:c r="G587" s="26" t="n">
        <x:f>'成本明细'!U83+'成本明细'!G83*(E587-'参数'!$B$6)</x:f>
        <x:v>2010.8275758811114</x:v>
      </x:c>
      <x:c r="H587" s="26" t="n">
        <x:f>'成本明细'!U89</x:f>
        <x:v>4150.464199676666</x:v>
      </x:c>
      <x:c r="I587" s="26" t="n">
        <x:f>'成本明细'!V89</x:f>
        <x:v>7081</x:v>
      </x:c>
      <x:c r="J587" s="22" t="n">
        <x:f>'参数'!$B$9</x:f>
        <x:v>300</x:v>
      </x:c>
      <x:c r="K587" s="26" t="n">
        <x:f>J587*(G587-H587)-I587*ROUNDUP(J587/F587,0)</x:f>
        <x:v>-712700.9871386663</x:v>
      </x:c>
      <x:c r="L587" s="10" t="str">
        <x:f>IF(G587-H587&lt;=0,"未回本",IF(ROUNDUP(I587/(G587-H587),0)&gt;MIN(F587,J587),"未回本",MAX(1,ROUNDUP(I587/(G587-H587),0))))</x:f>
        <x:v>未回本</x:v>
      </x:c>
    </x:row>
    <x:row r="588" ht="22" customHeight="1">
      <x:c r="A588" s="11" t="str">
        <x:v>lade_0824_20aoi</x:v>
      </x:c>
      <x:c r="B588" s="10" t="n">
        <x:v>20</x:v>
      </x:c>
      <x:c r="C588" s="10" t="n">
        <x:v>44</x:v>
      </x:c>
      <x:c r="D588" s="10" t="str">
        <x:v>M1 / M3</x:v>
      </x:c>
      <x:c r="E588" s="16" t="n">
        <x:v>3</x:v>
      </x:c>
      <x:c r="F588" s="14" t="n">
        <x:v>50</x:v>
      </x:c>
      <x:c r="G588" s="26" t="n">
        <x:f>'成本明细'!U80+'成本明细'!G80*(E588-'参数'!$B$6)</x:f>
        <x:v>2823.04927882</x:v>
      </x:c>
      <x:c r="H588" s="26" t="n">
        <x:f>'成本明细'!U86</x:f>
        <x:v>3511.4175516711107</x:v>
      </x:c>
      <x:c r="I588" s="26" t="n">
        <x:f>'成本明细'!V86</x:f>
        <x:v>7081</x:v>
      </x:c>
      <x:c r="J588" s="22" t="n">
        <x:f>'参数'!$B$9</x:f>
        <x:v>300</x:v>
      </x:c>
      <x:c r="K588" s="26" t="n">
        <x:f>J588*(G588-H588)-I588*ROUNDUP(J588/F588,0)</x:f>
        <x:v>-248996.48185533323</x:v>
      </x:c>
      <x:c r="L588" s="10" t="str">
        <x:f>IF(G588-H588&lt;=0,"未回本",IF(ROUNDUP(I588/(G588-H588),0)&gt;MIN(F588,J588),"未回本",MAX(1,ROUNDUP(I588/(G588-H588),0))))</x:f>
        <x:v>未回本</x:v>
      </x:c>
    </x:row>
    <x:row r="589" ht="22" customHeight="1">
      <x:c r="A589" s="11" t="str">
        <x:v>lade_0824_20aoi</x:v>
      </x:c>
      <x:c r="B589" s="10" t="n">
        <x:v>20</x:v>
      </x:c>
      <x:c r="C589" s="10" t="n">
        <x:v>44</x:v>
      </x:c>
      <x:c r="D589" s="10" t="str">
        <x:v>M2 / M4</x:v>
      </x:c>
      <x:c r="E589" s="16" t="n">
        <x:v>3</x:v>
      </x:c>
      <x:c r="F589" s="14" t="n">
        <x:v>50</x:v>
      </x:c>
      <x:c r="G589" s="26" t="n">
        <x:f>'成本明细'!U83+'成本明细'!G83*(E589-'参数'!$B$6)</x:f>
        <x:v>2010.8275758811114</x:v>
      </x:c>
      <x:c r="H589" s="26" t="n">
        <x:f>'成本明细'!U89</x:f>
        <x:v>4150.464199676666</x:v>
      </x:c>
      <x:c r="I589" s="26" t="n">
        <x:f>'成本明细'!V89</x:f>
        <x:v>7081</x:v>
      </x:c>
      <x:c r="J589" s="22" t="n">
        <x:f>'参数'!$B$9</x:f>
        <x:v>300</x:v>
      </x:c>
      <x:c r="K589" s="26" t="n">
        <x:f>J589*(G589-H589)-I589*ROUNDUP(J589/F589,0)</x:f>
        <x:v>-684376.9871386663</x:v>
      </x:c>
      <x:c r="L589" s="10" t="str">
        <x:f>IF(G589-H589&lt;=0,"未回本",IF(ROUNDUP(I589/(G589-H589),0)&gt;MIN(F589,J589),"未回本",MAX(1,ROUNDUP(I589/(G589-H589),0))))</x:f>
        <x:v>未回本</x:v>
      </x:c>
    </x:row>
    <x:row r="590" ht="22" customHeight="1">
      <x:c r="A590" s="11" t="str">
        <x:v>lade_0824_20aoi</x:v>
      </x:c>
      <x:c r="B590" s="10" t="n">
        <x:v>20</x:v>
      </x:c>
      <x:c r="C590" s="10" t="n">
        <x:v>44</x:v>
      </x:c>
      <x:c r="D590" s="10" t="str">
        <x:v>M1 / M3</x:v>
      </x:c>
      <x:c r="E590" s="16" t="n">
        <x:v>4</x:v>
      </x:c>
      <x:c r="F590" s="14" t="n">
        <x:v>10</x:v>
      </x:c>
      <x:c r="G590" s="26" t="n">
        <x:f>'成本明细'!U80+'成本明细'!G80*(E590-'参数'!$B$6)</x:f>
        <x:v>3017.04927882</x:v>
      </x:c>
      <x:c r="H590" s="26" t="n">
        <x:f>'成本明细'!U86</x:f>
        <x:v>3511.4175516711107</x:v>
      </x:c>
      <x:c r="I590" s="26" t="n">
        <x:f>'成本明细'!V86</x:f>
        <x:v>7081</x:v>
      </x:c>
      <x:c r="J590" s="22" t="n">
        <x:f>'参数'!$B$9</x:f>
        <x:v>300</x:v>
      </x:c>
      <x:c r="K590" s="26" t="n">
        <x:f>J590*(G590-H590)-I590*ROUNDUP(J590/F590,0)</x:f>
        <x:v>-360740.4818553332</x:v>
      </x:c>
      <x:c r="L590" s="10" t="str">
        <x:f>IF(G590-H590&lt;=0,"未回本",IF(ROUNDUP(I590/(G590-H590),0)&gt;MIN(F590,J590),"未回本",MAX(1,ROUNDUP(I590/(G590-H590),0))))</x:f>
        <x:v>未回本</x:v>
      </x:c>
    </x:row>
    <x:row r="591" ht="22" customHeight="1">
      <x:c r="A591" s="11" t="str">
        <x:v>lade_0824_20aoi</x:v>
      </x:c>
      <x:c r="B591" s="10" t="n">
        <x:v>20</x:v>
      </x:c>
      <x:c r="C591" s="10" t="n">
        <x:v>44</x:v>
      </x:c>
      <x:c r="D591" s="10" t="str">
        <x:v>M2 / M4</x:v>
      </x:c>
      <x:c r="E591" s="16" t="n">
        <x:v>4</x:v>
      </x:c>
      <x:c r="F591" s="14" t="n">
        <x:v>10</x:v>
      </x:c>
      <x:c r="G591" s="26" t="n">
        <x:f>'成本明细'!U83+'成本明细'!G83*(E591-'参数'!$B$6)</x:f>
        <x:v>2204.8275758811114</x:v>
      </x:c>
      <x:c r="H591" s="26" t="n">
        <x:f>'成本明细'!U89</x:f>
        <x:v>4150.464199676666</x:v>
      </x:c>
      <x:c r="I591" s="26" t="n">
        <x:f>'成本明细'!V89</x:f>
        <x:v>7081</x:v>
      </x:c>
      <x:c r="J591" s="22" t="n">
        <x:f>'参数'!$B$9</x:f>
        <x:v>300</x:v>
      </x:c>
      <x:c r="K591" s="26" t="n">
        <x:f>J591*(G591-H591)-I591*ROUNDUP(J591/F591,0)</x:f>
        <x:v>-796120.9871386663</x:v>
      </x:c>
      <x:c r="L591" s="10" t="str">
        <x:f>IF(G591-H591&lt;=0,"未回本",IF(ROUNDUP(I591/(G591-H591),0)&gt;MIN(F591,J591),"未回本",MAX(1,ROUNDUP(I591/(G591-H591),0))))</x:f>
        <x:v>未回本</x:v>
      </x:c>
    </x:row>
    <x:row r="592" ht="22" customHeight="1">
      <x:c r="A592" s="11" t="str">
        <x:v>lade_0824_20aoi</x:v>
      </x:c>
      <x:c r="B592" s="10" t="n">
        <x:v>20</x:v>
      </x:c>
      <x:c r="C592" s="10" t="n">
        <x:v>44</x:v>
      </x:c>
      <x:c r="D592" s="10" t="str">
        <x:v>M1 / M3</x:v>
      </x:c>
      <x:c r="E592" s="16" t="n">
        <x:v>4</x:v>
      </x:c>
      <x:c r="F592" s="14" t="n">
        <x:v>20</x:v>
      </x:c>
      <x:c r="G592" s="26" t="n">
        <x:f>'成本明细'!U80+'成本明细'!G80*(E592-'参数'!$B$6)</x:f>
        <x:v>3017.04927882</x:v>
      </x:c>
      <x:c r="H592" s="26" t="n">
        <x:f>'成本明细'!U86</x:f>
        <x:v>3511.4175516711107</x:v>
      </x:c>
      <x:c r="I592" s="26" t="n">
        <x:f>'成本明细'!V86</x:f>
        <x:v>7081</x:v>
      </x:c>
      <x:c r="J592" s="22" t="n">
        <x:f>'参数'!$B$9</x:f>
        <x:v>300</x:v>
      </x:c>
      <x:c r="K592" s="26" t="n">
        <x:f>J592*(G592-H592)-I592*ROUNDUP(J592/F592,0)</x:f>
        <x:v>-254525.48185533323</x:v>
      </x:c>
      <x:c r="L592" s="10" t="str">
        <x:f>IF(G592-H592&lt;=0,"未回本",IF(ROUNDUP(I592/(G592-H592),0)&gt;MIN(F592,J592),"未回本",MAX(1,ROUNDUP(I592/(G592-H592),0))))</x:f>
        <x:v>未回本</x:v>
      </x:c>
    </x:row>
    <x:row r="593" ht="22" customHeight="1">
      <x:c r="A593" s="11" t="str">
        <x:v>lade_0824_20aoi</x:v>
      </x:c>
      <x:c r="B593" s="10" t="n">
        <x:v>20</x:v>
      </x:c>
      <x:c r="C593" s="10" t="n">
        <x:v>44</x:v>
      </x:c>
      <x:c r="D593" s="10" t="str">
        <x:v>M2 / M4</x:v>
      </x:c>
      <x:c r="E593" s="16" t="n">
        <x:v>4</x:v>
      </x:c>
      <x:c r="F593" s="14" t="n">
        <x:v>20</x:v>
      </x:c>
      <x:c r="G593" s="26" t="n">
        <x:f>'成本明细'!U83+'成本明细'!G83*(E593-'参数'!$B$6)</x:f>
        <x:v>2204.8275758811114</x:v>
      </x:c>
      <x:c r="H593" s="26" t="n">
        <x:f>'成本明细'!U89</x:f>
        <x:v>4150.464199676666</x:v>
      </x:c>
      <x:c r="I593" s="26" t="n">
        <x:f>'成本明细'!V89</x:f>
        <x:v>7081</x:v>
      </x:c>
      <x:c r="J593" s="22" t="n">
        <x:f>'参数'!$B$9</x:f>
        <x:v>300</x:v>
      </x:c>
      <x:c r="K593" s="26" t="n">
        <x:f>J593*(G593-H593)-I593*ROUNDUP(J593/F593,0)</x:f>
        <x:v>-689905.9871386663</x:v>
      </x:c>
      <x:c r="L593" s="10" t="str">
        <x:f>IF(G593-H593&lt;=0,"未回本",IF(ROUNDUP(I593/(G593-H593),0)&gt;MIN(F593,J593),"未回本",MAX(1,ROUNDUP(I593/(G593-H593),0))))</x:f>
        <x:v>未回本</x:v>
      </x:c>
    </x:row>
    <x:row r="594" ht="22" customHeight="1">
      <x:c r="A594" s="11" t="str">
        <x:v>lade_0824_20aoi</x:v>
      </x:c>
      <x:c r="B594" s="10" t="n">
        <x:v>20</x:v>
      </x:c>
      <x:c r="C594" s="10" t="n">
        <x:v>44</x:v>
      </x:c>
      <x:c r="D594" s="10" t="str">
        <x:v>M1 / M3</x:v>
      </x:c>
      <x:c r="E594" s="16" t="n">
        <x:v>4</x:v>
      </x:c>
      <x:c r="F594" s="14" t="n">
        <x:v>30</x:v>
      </x:c>
      <x:c r="G594" s="26" t="n">
        <x:f>'成本明细'!U80+'成本明细'!G80*(E594-'参数'!$B$6)</x:f>
        <x:v>3017.04927882</x:v>
      </x:c>
      <x:c r="H594" s="26" t="n">
        <x:f>'成本明细'!U86</x:f>
        <x:v>3511.4175516711107</x:v>
      </x:c>
      <x:c r="I594" s="26" t="n">
        <x:f>'成本明细'!V86</x:f>
        <x:v>7081</x:v>
      </x:c>
      <x:c r="J594" s="22" t="n">
        <x:f>'参数'!$B$9</x:f>
        <x:v>300</x:v>
      </x:c>
      <x:c r="K594" s="26" t="n">
        <x:f>J594*(G594-H594)-I594*ROUNDUP(J594/F594,0)</x:f>
        <x:v>-219120.48185533323</x:v>
      </x:c>
      <x:c r="L594" s="10" t="str">
        <x:f>IF(G594-H594&lt;=0,"未回本",IF(ROUNDUP(I594/(G594-H594),0)&gt;MIN(F594,J594),"未回本",MAX(1,ROUNDUP(I594/(G594-H594),0))))</x:f>
        <x:v>未回本</x:v>
      </x:c>
    </x:row>
    <x:row r="595" ht="22" customHeight="1">
      <x:c r="A595" s="11" t="str">
        <x:v>lade_0824_20aoi</x:v>
      </x:c>
      <x:c r="B595" s="10" t="n">
        <x:v>20</x:v>
      </x:c>
      <x:c r="C595" s="10" t="n">
        <x:v>44</x:v>
      </x:c>
      <x:c r="D595" s="10" t="str">
        <x:v>M2 / M4</x:v>
      </x:c>
      <x:c r="E595" s="16" t="n">
        <x:v>4</x:v>
      </x:c>
      <x:c r="F595" s="14" t="n">
        <x:v>30</x:v>
      </x:c>
      <x:c r="G595" s="26" t="n">
        <x:f>'成本明细'!U83+'成本明细'!G83*(E595-'参数'!$B$6)</x:f>
        <x:v>2204.8275758811114</x:v>
      </x:c>
      <x:c r="H595" s="26" t="n">
        <x:f>'成本明细'!U89</x:f>
        <x:v>4150.464199676666</x:v>
      </x:c>
      <x:c r="I595" s="26" t="n">
        <x:f>'成本明细'!V89</x:f>
        <x:v>7081</x:v>
      </x:c>
      <x:c r="J595" s="22" t="n">
        <x:f>'参数'!$B$9</x:f>
        <x:v>300</x:v>
      </x:c>
      <x:c r="K595" s="26" t="n">
        <x:f>J595*(G595-H595)-I595*ROUNDUP(J595/F595,0)</x:f>
        <x:v>-654500.9871386663</x:v>
      </x:c>
      <x:c r="L595" s="10" t="str">
        <x:f>IF(G595-H595&lt;=0,"未回本",IF(ROUNDUP(I595/(G595-H595),0)&gt;MIN(F595,J595),"未回本",MAX(1,ROUNDUP(I595/(G595-H595),0))))</x:f>
        <x:v>未回本</x:v>
      </x:c>
    </x:row>
    <x:row r="596" ht="22" customHeight="1">
      <x:c r="A596" s="11" t="str">
        <x:v>lade_0824_20aoi</x:v>
      </x:c>
      <x:c r="B596" s="10" t="n">
        <x:v>20</x:v>
      </x:c>
      <x:c r="C596" s="10" t="n">
        <x:v>44</x:v>
      </x:c>
      <x:c r="D596" s="10" t="str">
        <x:v>M1 / M3</x:v>
      </x:c>
      <x:c r="E596" s="16" t="n">
        <x:v>4</x:v>
      </x:c>
      <x:c r="F596" s="14" t="n">
        <x:v>50</x:v>
      </x:c>
      <x:c r="G596" s="26" t="n">
        <x:f>'成本明细'!U80+'成本明细'!G80*(E596-'参数'!$B$6)</x:f>
        <x:v>3017.04927882</x:v>
      </x:c>
      <x:c r="H596" s="26" t="n">
        <x:f>'成本明细'!U86</x:f>
        <x:v>3511.4175516711107</x:v>
      </x:c>
      <x:c r="I596" s="26" t="n">
        <x:f>'成本明细'!V86</x:f>
        <x:v>7081</x:v>
      </x:c>
      <x:c r="J596" s="22" t="n">
        <x:f>'参数'!$B$9</x:f>
        <x:v>300</x:v>
      </x:c>
      <x:c r="K596" s="26" t="n">
        <x:f>J596*(G596-H596)-I596*ROUNDUP(J596/F596,0)</x:f>
        <x:v>-190796.48185533323</x:v>
      </x:c>
      <x:c r="L596" s="10" t="str">
        <x:f>IF(G596-H596&lt;=0,"未回本",IF(ROUNDUP(I596/(G596-H596),0)&gt;MIN(F596,J596),"未回本",MAX(1,ROUNDUP(I596/(G596-H596),0))))</x:f>
        <x:v>未回本</x:v>
      </x:c>
    </x:row>
    <x:row r="597" ht="22" customHeight="1">
      <x:c r="A597" s="11" t="str">
        <x:v>lade_0824_20aoi</x:v>
      </x:c>
      <x:c r="B597" s="10" t="n">
        <x:v>20</x:v>
      </x:c>
      <x:c r="C597" s="10" t="n">
        <x:v>44</x:v>
      </x:c>
      <x:c r="D597" s="10" t="str">
        <x:v>M2 / M4</x:v>
      </x:c>
      <x:c r="E597" s="16" t="n">
        <x:v>4</x:v>
      </x:c>
      <x:c r="F597" s="14" t="n">
        <x:v>50</x:v>
      </x:c>
      <x:c r="G597" s="26" t="n">
        <x:f>'成本明细'!U83+'成本明细'!G83*(E597-'参数'!$B$6)</x:f>
        <x:v>2204.8275758811114</x:v>
      </x:c>
      <x:c r="H597" s="26" t="n">
        <x:f>'成本明细'!U89</x:f>
        <x:v>4150.464199676666</x:v>
      </x:c>
      <x:c r="I597" s="26" t="n">
        <x:f>'成本明细'!V89</x:f>
        <x:v>7081</x:v>
      </x:c>
      <x:c r="J597" s="22" t="n">
        <x:f>'参数'!$B$9</x:f>
        <x:v>300</x:v>
      </x:c>
      <x:c r="K597" s="26" t="n">
        <x:f>J597*(G597-H597)-I597*ROUNDUP(J597/F597,0)</x:f>
        <x:v>-626176.9871386663</x:v>
      </x:c>
      <x:c r="L597" s="10" t="str">
        <x:f>IF(G597-H597&lt;=0,"未回本",IF(ROUNDUP(I597/(G597-H597),0)&gt;MIN(F597,J597),"未回本",MAX(1,ROUNDUP(I597/(G597-H597),0))))</x:f>
        <x:v>未回本</x:v>
      </x:c>
    </x:row>
    <x:row r="598" ht="22" customHeight="1">
      <x:c r="A598" s="11" t="str">
        <x:v>lade_0824_20aoi</x:v>
      </x:c>
      <x:c r="B598" s="10" t="n">
        <x:v>20</x:v>
      </x:c>
      <x:c r="C598" s="10" t="n">
        <x:v>44</x:v>
      </x:c>
      <x:c r="D598" s="10" t="str">
        <x:v>M1 / M3</x:v>
      </x:c>
      <x:c r="E598" s="16" t="n">
        <x:v>5</x:v>
      </x:c>
      <x:c r="F598" s="14" t="n">
        <x:v>10</x:v>
      </x:c>
      <x:c r="G598" s="26" t="n">
        <x:f>'成本明细'!U80+'成本明细'!G80*(E598-'参数'!$B$6)</x:f>
        <x:v>3211.04927882</x:v>
      </x:c>
      <x:c r="H598" s="26" t="n">
        <x:f>'成本明细'!U86</x:f>
        <x:v>3511.4175516711107</x:v>
      </x:c>
      <x:c r="I598" s="26" t="n">
        <x:f>'成本明细'!V86</x:f>
        <x:v>7081</x:v>
      </x:c>
      <x:c r="J598" s="22" t="n">
        <x:f>'参数'!$B$9</x:f>
        <x:v>300</x:v>
      </x:c>
      <x:c r="K598" s="26" t="n">
        <x:f>J598*(G598-H598)-I598*ROUNDUP(J598/F598,0)</x:f>
        <x:v>-302540.4818553332</x:v>
      </x:c>
      <x:c r="L598" s="10" t="str">
        <x:f>IF(G598-H598&lt;=0,"未回本",IF(ROUNDUP(I598/(G598-H598),0)&gt;MIN(F598,J598),"未回本",MAX(1,ROUNDUP(I598/(G598-H598),0))))</x:f>
        <x:v>未回本</x:v>
      </x:c>
    </x:row>
    <x:row r="599" ht="22" customHeight="1">
      <x:c r="A599" s="11" t="str">
        <x:v>lade_0824_20aoi</x:v>
      </x:c>
      <x:c r="B599" s="10" t="n">
        <x:v>20</x:v>
      </x:c>
      <x:c r="C599" s="10" t="n">
        <x:v>44</x:v>
      </x:c>
      <x:c r="D599" s="10" t="str">
        <x:v>M2 / M4</x:v>
      </x:c>
      <x:c r="E599" s="16" t="n">
        <x:v>5</x:v>
      </x:c>
      <x:c r="F599" s="14" t="n">
        <x:v>10</x:v>
      </x:c>
      <x:c r="G599" s="26" t="n">
        <x:f>'成本明细'!U83+'成本明细'!G83*(E599-'参数'!$B$6)</x:f>
        <x:v>2398.8275758811114</x:v>
      </x:c>
      <x:c r="H599" s="26" t="n">
        <x:f>'成本明细'!U89</x:f>
        <x:v>4150.464199676666</x:v>
      </x:c>
      <x:c r="I599" s="26" t="n">
        <x:f>'成本明细'!V89</x:f>
        <x:v>7081</x:v>
      </x:c>
      <x:c r="J599" s="22" t="n">
        <x:f>'参数'!$B$9</x:f>
        <x:v>300</x:v>
      </x:c>
      <x:c r="K599" s="26" t="n">
        <x:f>J599*(G599-H599)-I599*ROUNDUP(J599/F599,0)</x:f>
        <x:v>-737920.9871386663</x:v>
      </x:c>
      <x:c r="L599" s="10" t="str">
        <x:f>IF(G599-H599&lt;=0,"未回本",IF(ROUNDUP(I599/(G599-H599),0)&gt;MIN(F599,J599),"未回本",MAX(1,ROUNDUP(I599/(G599-H599),0))))</x:f>
        <x:v>未回本</x:v>
      </x:c>
    </x:row>
    <x:row r="600" ht="22" customHeight="1">
      <x:c r="A600" s="11" t="str">
        <x:v>lade_0824_20aoi</x:v>
      </x:c>
      <x:c r="B600" s="10" t="n">
        <x:v>20</x:v>
      </x:c>
      <x:c r="C600" s="10" t="n">
        <x:v>44</x:v>
      </x:c>
      <x:c r="D600" s="10" t="str">
        <x:v>M1 / M3</x:v>
      </x:c>
      <x:c r="E600" s="16" t="n">
        <x:v>5</x:v>
      </x:c>
      <x:c r="F600" s="14" t="n">
        <x:v>20</x:v>
      </x:c>
      <x:c r="G600" s="26" t="n">
        <x:f>'成本明细'!U80+'成本明细'!G80*(E600-'参数'!$B$6)</x:f>
        <x:v>3211.04927882</x:v>
      </x:c>
      <x:c r="H600" s="26" t="n">
        <x:f>'成本明细'!U86</x:f>
        <x:v>3511.4175516711107</x:v>
      </x:c>
      <x:c r="I600" s="26" t="n">
        <x:f>'成本明细'!V86</x:f>
        <x:v>7081</x:v>
      </x:c>
      <x:c r="J600" s="22" t="n">
        <x:f>'参数'!$B$9</x:f>
        <x:v>300</x:v>
      </x:c>
      <x:c r="K600" s="26" t="n">
        <x:f>J600*(G600-H600)-I600*ROUNDUP(J600/F600,0)</x:f>
        <x:v>-196325.48185533323</x:v>
      </x:c>
      <x:c r="L600" s="10" t="str">
        <x:f>IF(G600-H600&lt;=0,"未回本",IF(ROUNDUP(I600/(G600-H600),0)&gt;MIN(F600,J600),"未回本",MAX(1,ROUNDUP(I600/(G600-H600),0))))</x:f>
        <x:v>未回本</x:v>
      </x:c>
    </x:row>
    <x:row r="601" ht="22" customHeight="1">
      <x:c r="A601" s="11" t="str">
        <x:v>lade_0824_20aoi</x:v>
      </x:c>
      <x:c r="B601" s="10" t="n">
        <x:v>20</x:v>
      </x:c>
      <x:c r="C601" s="10" t="n">
        <x:v>44</x:v>
      </x:c>
      <x:c r="D601" s="10" t="str">
        <x:v>M2 / M4</x:v>
      </x:c>
      <x:c r="E601" s="16" t="n">
        <x:v>5</x:v>
      </x:c>
      <x:c r="F601" s="14" t="n">
        <x:v>20</x:v>
      </x:c>
      <x:c r="G601" s="26" t="n">
        <x:f>'成本明细'!U83+'成本明细'!G83*(E601-'参数'!$B$6)</x:f>
        <x:v>2398.8275758811114</x:v>
      </x:c>
      <x:c r="H601" s="26" t="n">
        <x:f>'成本明细'!U89</x:f>
        <x:v>4150.464199676666</x:v>
      </x:c>
      <x:c r="I601" s="26" t="n">
        <x:f>'成本明细'!V89</x:f>
        <x:v>7081</x:v>
      </x:c>
      <x:c r="J601" s="22" t="n">
        <x:f>'参数'!$B$9</x:f>
        <x:v>300</x:v>
      </x:c>
      <x:c r="K601" s="26" t="n">
        <x:f>J601*(G601-H601)-I601*ROUNDUP(J601/F601,0)</x:f>
        <x:v>-631705.9871386663</x:v>
      </x:c>
      <x:c r="L601" s="10" t="str">
        <x:f>IF(G601-H601&lt;=0,"未回本",IF(ROUNDUP(I601/(G601-H601),0)&gt;MIN(F601,J601),"未回本",MAX(1,ROUNDUP(I601/(G601-H601),0))))</x:f>
        <x:v>未回本</x:v>
      </x:c>
    </x:row>
    <x:row r="602" ht="22" customHeight="1">
      <x:c r="A602" s="11" t="str">
        <x:v>lade_0824_20aoi</x:v>
      </x:c>
      <x:c r="B602" s="10" t="n">
        <x:v>20</x:v>
      </x:c>
      <x:c r="C602" s="10" t="n">
        <x:v>44</x:v>
      </x:c>
      <x:c r="D602" s="10" t="str">
        <x:v>M1 / M3</x:v>
      </x:c>
      <x:c r="E602" s="16" t="n">
        <x:v>5</x:v>
      </x:c>
      <x:c r="F602" s="14" t="n">
        <x:v>30</x:v>
      </x:c>
      <x:c r="G602" s="26" t="n">
        <x:f>'成本明细'!U80+'成本明细'!G80*(E602-'参数'!$B$6)</x:f>
        <x:v>3211.04927882</x:v>
      </x:c>
      <x:c r="H602" s="26" t="n">
        <x:f>'成本明细'!U86</x:f>
        <x:v>3511.4175516711107</x:v>
      </x:c>
      <x:c r="I602" s="26" t="n">
        <x:f>'成本明细'!V86</x:f>
        <x:v>7081</x:v>
      </x:c>
      <x:c r="J602" s="22" t="n">
        <x:f>'参数'!$B$9</x:f>
        <x:v>300</x:v>
      </x:c>
      <x:c r="K602" s="26" t="n">
        <x:f>J602*(G602-H602)-I602*ROUNDUP(J602/F602,0)</x:f>
        <x:v>-160920.48185533323</x:v>
      </x:c>
      <x:c r="L602" s="10" t="str">
        <x:f>IF(G602-H602&lt;=0,"未回本",IF(ROUNDUP(I602/(G602-H602),0)&gt;MIN(F602,J602),"未回本",MAX(1,ROUNDUP(I602/(G602-H602),0))))</x:f>
        <x:v>未回本</x:v>
      </x:c>
    </x:row>
    <x:row r="603" ht="22" customHeight="1">
      <x:c r="A603" s="11" t="str">
        <x:v>lade_0824_20aoi</x:v>
      </x:c>
      <x:c r="B603" s="10" t="n">
        <x:v>20</x:v>
      </x:c>
      <x:c r="C603" s="10" t="n">
        <x:v>44</x:v>
      </x:c>
      <x:c r="D603" s="10" t="str">
        <x:v>M2 / M4</x:v>
      </x:c>
      <x:c r="E603" s="16" t="n">
        <x:v>5</x:v>
      </x:c>
      <x:c r="F603" s="14" t="n">
        <x:v>30</x:v>
      </x:c>
      <x:c r="G603" s="26" t="n">
        <x:f>'成本明细'!U83+'成本明细'!G83*(E603-'参数'!$B$6)</x:f>
        <x:v>2398.8275758811114</x:v>
      </x:c>
      <x:c r="H603" s="26" t="n">
        <x:f>'成本明细'!U89</x:f>
        <x:v>4150.464199676666</x:v>
      </x:c>
      <x:c r="I603" s="26" t="n">
        <x:f>'成本明细'!V89</x:f>
        <x:v>7081</x:v>
      </x:c>
      <x:c r="J603" s="22" t="n">
        <x:f>'参数'!$B$9</x:f>
        <x:v>300</x:v>
      </x:c>
      <x:c r="K603" s="26" t="n">
        <x:f>J603*(G603-H603)-I603*ROUNDUP(J603/F603,0)</x:f>
        <x:v>-596300.9871386663</x:v>
      </x:c>
      <x:c r="L603" s="10" t="str">
        <x:f>IF(G603-H603&lt;=0,"未回本",IF(ROUNDUP(I603/(G603-H603),0)&gt;MIN(F603,J603),"未回本",MAX(1,ROUNDUP(I603/(G603-H603),0))))</x:f>
        <x:v>未回本</x:v>
      </x:c>
    </x:row>
    <x:row r="604" ht="22" customHeight="1">
      <x:c r="A604" s="11" t="str">
        <x:v>lade_0824_20aoi</x:v>
      </x:c>
      <x:c r="B604" s="10" t="n">
        <x:v>20</x:v>
      </x:c>
      <x:c r="C604" s="10" t="n">
        <x:v>44</x:v>
      </x:c>
      <x:c r="D604" s="10" t="str">
        <x:v>M1 / M3</x:v>
      </x:c>
      <x:c r="E604" s="16" t="n">
        <x:v>5</x:v>
      </x:c>
      <x:c r="F604" s="14" t="n">
        <x:v>50</x:v>
      </x:c>
      <x:c r="G604" s="26" t="n">
        <x:f>'成本明细'!U80+'成本明细'!G80*(E604-'参数'!$B$6)</x:f>
        <x:v>3211.04927882</x:v>
      </x:c>
      <x:c r="H604" s="26" t="n">
        <x:f>'成本明细'!U86</x:f>
        <x:v>3511.4175516711107</x:v>
      </x:c>
      <x:c r="I604" s="26" t="n">
        <x:f>'成本明细'!V86</x:f>
        <x:v>7081</x:v>
      </x:c>
      <x:c r="J604" s="22" t="n">
        <x:f>'参数'!$B$9</x:f>
        <x:v>300</x:v>
      </x:c>
      <x:c r="K604" s="26" t="n">
        <x:f>J604*(G604-H604)-I604*ROUNDUP(J604/F604,0)</x:f>
        <x:v>-132596.48185533323</x:v>
      </x:c>
      <x:c r="L604" s="10" t="str">
        <x:f>IF(G604-H604&lt;=0,"未回本",IF(ROUNDUP(I604/(G604-H604),0)&gt;MIN(F604,J604),"未回本",MAX(1,ROUNDUP(I604/(G604-H604),0))))</x:f>
        <x:v>未回本</x:v>
      </x:c>
    </x:row>
    <x:row r="605" ht="22" customHeight="1">
      <x:c r="A605" s="11" t="str">
        <x:v>lade_0824_20aoi</x:v>
      </x:c>
      <x:c r="B605" s="10" t="n">
        <x:v>20</x:v>
      </x:c>
      <x:c r="C605" s="10" t="n">
        <x:v>44</x:v>
      </x:c>
      <x:c r="D605" s="10" t="str">
        <x:v>M2 / M4</x:v>
      </x:c>
      <x:c r="E605" s="16" t="n">
        <x:v>5</x:v>
      </x:c>
      <x:c r="F605" s="14" t="n">
        <x:v>50</x:v>
      </x:c>
      <x:c r="G605" s="26" t="n">
        <x:f>'成本明细'!U83+'成本明细'!G83*(E605-'参数'!$B$6)</x:f>
        <x:v>2398.8275758811114</x:v>
      </x:c>
      <x:c r="H605" s="26" t="n">
        <x:f>'成本明细'!U89</x:f>
        <x:v>4150.464199676666</x:v>
      </x:c>
      <x:c r="I605" s="26" t="n">
        <x:f>'成本明细'!V89</x:f>
        <x:v>7081</x:v>
      </x:c>
      <x:c r="J605" s="22" t="n">
        <x:f>'参数'!$B$9</x:f>
        <x:v>300</x:v>
      </x:c>
      <x:c r="K605" s="26" t="n">
        <x:f>J605*(G605-H605)-I605*ROUNDUP(J605/F605,0)</x:f>
        <x:v>-567976.9871386663</x:v>
      </x:c>
      <x:c r="L605" s="10" t="str">
        <x:f>IF(G605-H605&lt;=0,"未回本",IF(ROUNDUP(I605/(G605-H605),0)&gt;MIN(F605,J605),"未回本",MAX(1,ROUNDUP(I605/(G605-H605),0))))</x:f>
        <x:v>未回本</x:v>
      </x:c>
    </x:row>
    <x:row r="606" ht="22" customHeight="1">
      <x:c r="A606" s="11" t="str">
        <x:v>lade_0824_30aoi</x:v>
      </x:c>
      <x:c r="B606" s="10" t="n">
        <x:v>30</x:v>
      </x:c>
      <x:c r="C606" s="10" t="n">
        <x:v>42</x:v>
      </x:c>
      <x:c r="D606" s="10" t="str">
        <x:v>M1 / M3</x:v>
      </x:c>
      <x:c r="E606" s="16" t="n">
        <x:v>1</x:v>
      </x:c>
      <x:c r="F606" s="14" t="n">
        <x:v>10</x:v>
      </x:c>
      <x:c r="G606" s="26" t="n">
        <x:f>'成本明细'!U96+'成本明细'!G96*(E606-'参数'!$B$6)</x:f>
        <x:v>2360.849954911111</x:v>
      </x:c>
      <x:c r="H606" s="26" t="n">
        <x:f>'成本明细'!U102</x:f>
        <x:v>4752.448218817222</x:v>
      </x:c>
      <x:c r="I606" s="26" t="n">
        <x:f>'成本明细'!V102</x:f>
        <x:v>8614</x:v>
      </x:c>
      <x:c r="J606" s="22" t="n">
        <x:f>'参数'!$B$9</x:f>
        <x:v>300</x:v>
      </x:c>
      <x:c r="K606" s="26" t="n">
        <x:f>J606*(G606-H606)-I606*ROUNDUP(J606/F606,0)</x:f>
        <x:v>-975899.4791718334</x:v>
      </x:c>
      <x:c r="L606" s="10" t="str">
        <x:f>IF(G606-H606&lt;=0,"未回本",IF(ROUNDUP(I606/(G606-H606),0)&gt;MIN(F606,J606),"未回本",MAX(1,ROUNDUP(I606/(G606-H606),0))))</x:f>
        <x:v>未回本</x:v>
      </x:c>
    </x:row>
    <x:row r="607" ht="22" customHeight="1">
      <x:c r="A607" s="11" t="str">
        <x:v>lade_0824_30aoi</x:v>
      </x:c>
      <x:c r="B607" s="10" t="n">
        <x:v>30</x:v>
      </x:c>
      <x:c r="C607" s="10" t="n">
        <x:v>42</x:v>
      </x:c>
      <x:c r="D607" s="10" t="str">
        <x:v>M2 / M4</x:v>
      </x:c>
      <x:c r="E607" s="16" t="n">
        <x:v>1</x:v>
      </x:c>
      <x:c r="F607" s="14" t="n">
        <x:v>10</x:v>
      </x:c>
      <x:c r="G607" s="26" t="n">
        <x:f>'成本明细'!U99+'成本明细'!G99*(E607-'参数'!$B$6)</x:f>
        <x:v>2507.708802566111</x:v>
      </x:c>
      <x:c r="H607" s="26" t="n">
        <x:f>'成本明细'!U105</x:f>
        <x:v>3624.8483329644446</x:v>
      </x:c>
      <x:c r="I607" s="26" t="n">
        <x:f>'成本明细'!V105</x:f>
        <x:v>8614</x:v>
      </x:c>
      <x:c r="J607" s="22" t="n">
        <x:f>'参数'!$B$9</x:f>
        <x:v>300</x:v>
      </x:c>
      <x:c r="K607" s="26" t="n">
        <x:f>J607*(G607-H607)-I607*ROUNDUP(J607/F607,0)</x:f>
        <x:v>-593561.8591195</x:v>
      </x:c>
      <x:c r="L607" s="10" t="str">
        <x:f>IF(G607-H607&lt;=0,"未回本",IF(ROUNDUP(I607/(G607-H607),0)&gt;MIN(F607,J607),"未回本",MAX(1,ROUNDUP(I607/(G607-H607),0))))</x:f>
        <x:v>未回本</x:v>
      </x:c>
    </x:row>
    <x:row r="608" ht="22" customHeight="1">
      <x:c r="A608" s="11" t="str">
        <x:v>lade_0824_30aoi</x:v>
      </x:c>
      <x:c r="B608" s="10" t="n">
        <x:v>30</x:v>
      </x:c>
      <x:c r="C608" s="10" t="n">
        <x:v>42</x:v>
      </x:c>
      <x:c r="D608" s="10" t="str">
        <x:v>M1 / M3</x:v>
      </x:c>
      <x:c r="E608" s="16" t="n">
        <x:v>1</x:v>
      </x:c>
      <x:c r="F608" s="14" t="n">
        <x:v>20</x:v>
      </x:c>
      <x:c r="G608" s="26" t="n">
        <x:f>'成本明细'!U96+'成本明细'!G96*(E608-'参数'!$B$6)</x:f>
        <x:v>2360.849954911111</x:v>
      </x:c>
      <x:c r="H608" s="26" t="n">
        <x:f>'成本明细'!U102</x:f>
        <x:v>4752.448218817222</x:v>
      </x:c>
      <x:c r="I608" s="26" t="n">
        <x:f>'成本明细'!V102</x:f>
        <x:v>8614</x:v>
      </x:c>
      <x:c r="J608" s="22" t="n">
        <x:f>'参数'!$B$9</x:f>
        <x:v>300</x:v>
      </x:c>
      <x:c r="K608" s="26" t="n">
        <x:f>J608*(G608-H608)-I608*ROUNDUP(J608/F608,0)</x:f>
        <x:v>-846689.4791718334</x:v>
      </x:c>
      <x:c r="L608" s="10" t="str">
        <x:f>IF(G608-H608&lt;=0,"未回本",IF(ROUNDUP(I608/(G608-H608),0)&gt;MIN(F608,J608),"未回本",MAX(1,ROUNDUP(I608/(G608-H608),0))))</x:f>
        <x:v>未回本</x:v>
      </x:c>
    </x:row>
    <x:row r="609" ht="22" customHeight="1">
      <x:c r="A609" s="11" t="str">
        <x:v>lade_0824_30aoi</x:v>
      </x:c>
      <x:c r="B609" s="10" t="n">
        <x:v>30</x:v>
      </x:c>
      <x:c r="C609" s="10" t="n">
        <x:v>42</x:v>
      </x:c>
      <x:c r="D609" s="10" t="str">
        <x:v>M2 / M4</x:v>
      </x:c>
      <x:c r="E609" s="16" t="n">
        <x:v>1</x:v>
      </x:c>
      <x:c r="F609" s="14" t="n">
        <x:v>20</x:v>
      </x:c>
      <x:c r="G609" s="26" t="n">
        <x:f>'成本明细'!U99+'成本明细'!G99*(E609-'参数'!$B$6)</x:f>
        <x:v>2507.708802566111</x:v>
      </x:c>
      <x:c r="H609" s="26" t="n">
        <x:f>'成本明细'!U105</x:f>
        <x:v>3624.8483329644446</x:v>
      </x:c>
      <x:c r="I609" s="26" t="n">
        <x:f>'成本明细'!V105</x:f>
        <x:v>8614</x:v>
      </x:c>
      <x:c r="J609" s="22" t="n">
        <x:f>'参数'!$B$9</x:f>
        <x:v>300</x:v>
      </x:c>
      <x:c r="K609" s="26" t="n">
        <x:f>J609*(G609-H609)-I609*ROUNDUP(J609/F609,0)</x:f>
        <x:v>-464351.8591195001</x:v>
      </x:c>
      <x:c r="L609" s="10" t="str">
        <x:f>IF(G609-H609&lt;=0,"未回本",IF(ROUNDUP(I609/(G609-H609),0)&gt;MIN(F609,J609),"未回本",MAX(1,ROUNDUP(I609/(G609-H609),0))))</x:f>
        <x:v>未回本</x:v>
      </x:c>
    </x:row>
    <x:row r="610" ht="22" customHeight="1">
      <x:c r="A610" s="11" t="str">
        <x:v>lade_0824_30aoi</x:v>
      </x:c>
      <x:c r="B610" s="10" t="n">
        <x:v>30</x:v>
      </x:c>
      <x:c r="C610" s="10" t="n">
        <x:v>42</x:v>
      </x:c>
      <x:c r="D610" s="10" t="str">
        <x:v>M1 / M3</x:v>
      </x:c>
      <x:c r="E610" s="16" t="n">
        <x:v>1</x:v>
      </x:c>
      <x:c r="F610" s="14" t="n">
        <x:v>30</x:v>
      </x:c>
      <x:c r="G610" s="26" t="n">
        <x:f>'成本明细'!U96+'成本明细'!G96*(E610-'参数'!$B$6)</x:f>
        <x:v>2360.849954911111</x:v>
      </x:c>
      <x:c r="H610" s="26" t="n">
        <x:f>'成本明细'!U102</x:f>
        <x:v>4752.448218817222</x:v>
      </x:c>
      <x:c r="I610" s="26" t="n">
        <x:f>'成本明细'!V102</x:f>
        <x:v>8614</x:v>
      </x:c>
      <x:c r="J610" s="22" t="n">
        <x:f>'参数'!$B$9</x:f>
        <x:v>300</x:v>
      </x:c>
      <x:c r="K610" s="26" t="n">
        <x:f>J610*(G610-H610)-I610*ROUNDUP(J610/F610,0)</x:f>
        <x:v>-803619.4791718334</x:v>
      </x:c>
      <x:c r="L610" s="10" t="str">
        <x:f>IF(G610-H610&lt;=0,"未回本",IF(ROUNDUP(I610/(G610-H610),0)&gt;MIN(F610,J610),"未回本",MAX(1,ROUNDUP(I610/(G610-H610),0))))</x:f>
        <x:v>未回本</x:v>
      </x:c>
    </x:row>
    <x:row r="611" ht="22" customHeight="1">
      <x:c r="A611" s="11" t="str">
        <x:v>lade_0824_30aoi</x:v>
      </x:c>
      <x:c r="B611" s="10" t="n">
        <x:v>30</x:v>
      </x:c>
      <x:c r="C611" s="10" t="n">
        <x:v>42</x:v>
      </x:c>
      <x:c r="D611" s="10" t="str">
        <x:v>M2 / M4</x:v>
      </x:c>
      <x:c r="E611" s="16" t="n">
        <x:v>1</x:v>
      </x:c>
      <x:c r="F611" s="14" t="n">
        <x:v>30</x:v>
      </x:c>
      <x:c r="G611" s="26" t="n">
        <x:f>'成本明细'!U99+'成本明细'!G99*(E611-'参数'!$B$6)</x:f>
        <x:v>2507.708802566111</x:v>
      </x:c>
      <x:c r="H611" s="26" t="n">
        <x:f>'成本明细'!U105</x:f>
        <x:v>3624.8483329644446</x:v>
      </x:c>
      <x:c r="I611" s="26" t="n">
        <x:f>'成本明细'!V105</x:f>
        <x:v>8614</x:v>
      </x:c>
      <x:c r="J611" s="22" t="n">
        <x:f>'参数'!$B$9</x:f>
        <x:v>300</x:v>
      </x:c>
      <x:c r="K611" s="26" t="n">
        <x:f>J611*(G611-H611)-I611*ROUNDUP(J611/F611,0)</x:f>
        <x:v>-421281.8591195001</x:v>
      </x:c>
      <x:c r="L611" s="10" t="str">
        <x:f>IF(G611-H611&lt;=0,"未回本",IF(ROUNDUP(I611/(G611-H611),0)&gt;MIN(F611,J611),"未回本",MAX(1,ROUNDUP(I611/(G611-H611),0))))</x:f>
        <x:v>未回本</x:v>
      </x:c>
    </x:row>
    <x:row r="612" ht="22" customHeight="1">
      <x:c r="A612" s="11" t="str">
        <x:v>lade_0824_30aoi</x:v>
      </x:c>
      <x:c r="B612" s="10" t="n">
        <x:v>30</x:v>
      </x:c>
      <x:c r="C612" s="10" t="n">
        <x:v>42</x:v>
      </x:c>
      <x:c r="D612" s="10" t="str">
        <x:v>M1 / M3</x:v>
      </x:c>
      <x:c r="E612" s="16" t="n">
        <x:v>1</x:v>
      </x:c>
      <x:c r="F612" s="14" t="n">
        <x:v>50</x:v>
      </x:c>
      <x:c r="G612" s="26" t="n">
        <x:f>'成本明细'!U96+'成本明细'!G96*(E612-'参数'!$B$6)</x:f>
        <x:v>2360.849954911111</x:v>
      </x:c>
      <x:c r="H612" s="26" t="n">
        <x:f>'成本明细'!U102</x:f>
        <x:v>4752.448218817222</x:v>
      </x:c>
      <x:c r="I612" s="26" t="n">
        <x:f>'成本明细'!V102</x:f>
        <x:v>8614</x:v>
      </x:c>
      <x:c r="J612" s="22" t="n">
        <x:f>'参数'!$B$9</x:f>
        <x:v>300</x:v>
      </x:c>
      <x:c r="K612" s="26" t="n">
        <x:f>J612*(G612-H612)-I612*ROUNDUP(J612/F612,0)</x:f>
        <x:v>-769163.4791718334</x:v>
      </x:c>
      <x:c r="L612" s="10" t="str">
        <x:f>IF(G612-H612&lt;=0,"未回本",IF(ROUNDUP(I612/(G612-H612),0)&gt;MIN(F612,J612),"未回本",MAX(1,ROUNDUP(I612/(G612-H612),0))))</x:f>
        <x:v>未回本</x:v>
      </x:c>
    </x:row>
    <x:row r="613" ht="22" customHeight="1">
      <x:c r="A613" s="11" t="str">
        <x:v>lade_0824_30aoi</x:v>
      </x:c>
      <x:c r="B613" s="10" t="n">
        <x:v>30</x:v>
      </x:c>
      <x:c r="C613" s="10" t="n">
        <x:v>42</x:v>
      </x:c>
      <x:c r="D613" s="10" t="str">
        <x:v>M2 / M4</x:v>
      </x:c>
      <x:c r="E613" s="16" t="n">
        <x:v>1</x:v>
      </x:c>
      <x:c r="F613" s="14" t="n">
        <x:v>50</x:v>
      </x:c>
      <x:c r="G613" s="26" t="n">
        <x:f>'成本明细'!U99+'成本明细'!G99*(E613-'参数'!$B$6)</x:f>
        <x:v>2507.708802566111</x:v>
      </x:c>
      <x:c r="H613" s="26" t="n">
        <x:f>'成本明细'!U105</x:f>
        <x:v>3624.8483329644446</x:v>
      </x:c>
      <x:c r="I613" s="26" t="n">
        <x:f>'成本明细'!V105</x:f>
        <x:v>8614</x:v>
      </x:c>
      <x:c r="J613" s="22" t="n">
        <x:f>'参数'!$B$9</x:f>
        <x:v>300</x:v>
      </x:c>
      <x:c r="K613" s="26" t="n">
        <x:f>J613*(G613-H613)-I613*ROUNDUP(J613/F613,0)</x:f>
        <x:v>-386825.8591195001</x:v>
      </x:c>
      <x:c r="L613" s="10" t="str">
        <x:f>IF(G613-H613&lt;=0,"未回本",IF(ROUNDUP(I613/(G613-H613),0)&gt;MIN(F613,J613),"未回本",MAX(1,ROUNDUP(I613/(G613-H613),0))))</x:f>
        <x:v>未回本</x:v>
      </x:c>
    </x:row>
    <x:row r="614" ht="22" customHeight="1">
      <x:c r="A614" s="11" t="str">
        <x:v>lade_0824_30aoi</x:v>
      </x:c>
      <x:c r="B614" s="10" t="n">
        <x:v>30</x:v>
      </x:c>
      <x:c r="C614" s="10" t="n">
        <x:v>42</x:v>
      </x:c>
      <x:c r="D614" s="10" t="str">
        <x:v>M1 / M3</x:v>
      </x:c>
      <x:c r="E614" s="16" t="n">
        <x:v>2</x:v>
      </x:c>
      <x:c r="F614" s="14" t="n">
        <x:v>10</x:v>
      </x:c>
      <x:c r="G614" s="26" t="n">
        <x:f>'成本明细'!U96+'成本明细'!G96*(E614-'参数'!$B$6)</x:f>
        <x:v>2596.849954911111</x:v>
      </x:c>
      <x:c r="H614" s="26" t="n">
        <x:f>'成本明细'!U102</x:f>
        <x:v>4752.448218817222</x:v>
      </x:c>
      <x:c r="I614" s="26" t="n">
        <x:f>'成本明细'!V102</x:f>
        <x:v>8614</x:v>
      </x:c>
      <x:c r="J614" s="22" t="n">
        <x:f>'参数'!$B$9</x:f>
        <x:v>300</x:v>
      </x:c>
      <x:c r="K614" s="26" t="n">
        <x:f>J614*(G614-H614)-I614*ROUNDUP(J614/F614,0)</x:f>
        <x:v>-905099.4791718334</x:v>
      </x:c>
      <x:c r="L614" s="10" t="str">
        <x:f>IF(G614-H614&lt;=0,"未回本",IF(ROUNDUP(I614/(G614-H614),0)&gt;MIN(F614,J614),"未回本",MAX(1,ROUNDUP(I614/(G614-H614),0))))</x:f>
        <x:v>未回本</x:v>
      </x:c>
    </x:row>
    <x:row r="615" ht="22" customHeight="1">
      <x:c r="A615" s="11" t="str">
        <x:v>lade_0824_30aoi</x:v>
      </x:c>
      <x:c r="B615" s="10" t="n">
        <x:v>30</x:v>
      </x:c>
      <x:c r="C615" s="10" t="n">
        <x:v>42</x:v>
      </x:c>
      <x:c r="D615" s="10" t="str">
        <x:v>M2 / M4</x:v>
      </x:c>
      <x:c r="E615" s="16" t="n">
        <x:v>2</x:v>
      </x:c>
      <x:c r="F615" s="14" t="n">
        <x:v>10</x:v>
      </x:c>
      <x:c r="G615" s="26" t="n">
        <x:f>'成本明细'!U99+'成本明细'!G99*(E615-'参数'!$B$6)</x:f>
        <x:v>2743.708802566111</x:v>
      </x:c>
      <x:c r="H615" s="26" t="n">
        <x:f>'成本明细'!U105</x:f>
        <x:v>3624.8483329644446</x:v>
      </x:c>
      <x:c r="I615" s="26" t="n">
        <x:f>'成本明细'!V105</x:f>
        <x:v>8614</x:v>
      </x:c>
      <x:c r="J615" s="22" t="n">
        <x:f>'参数'!$B$9</x:f>
        <x:v>300</x:v>
      </x:c>
      <x:c r="K615" s="26" t="n">
        <x:f>J615*(G615-H615)-I615*ROUNDUP(J615/F615,0)</x:f>
        <x:v>-522761.8591195001</x:v>
      </x:c>
      <x:c r="L615" s="10" t="str">
        <x:f>IF(G615-H615&lt;=0,"未回本",IF(ROUNDUP(I615/(G615-H615),0)&gt;MIN(F615,J615),"未回本",MAX(1,ROUNDUP(I615/(G615-H615),0))))</x:f>
        <x:v>未回本</x:v>
      </x:c>
    </x:row>
    <x:row r="616" ht="22" customHeight="1">
      <x:c r="A616" s="11" t="str">
        <x:v>lade_0824_30aoi</x:v>
      </x:c>
      <x:c r="B616" s="10" t="n">
        <x:v>30</x:v>
      </x:c>
      <x:c r="C616" s="10" t="n">
        <x:v>42</x:v>
      </x:c>
      <x:c r="D616" s="10" t="str">
        <x:v>M1 / M3</x:v>
      </x:c>
      <x:c r="E616" s="16" t="n">
        <x:v>2</x:v>
      </x:c>
      <x:c r="F616" s="14" t="n">
        <x:v>20</x:v>
      </x:c>
      <x:c r="G616" s="26" t="n">
        <x:f>'成本明细'!U96+'成本明细'!G96*(E616-'参数'!$B$6)</x:f>
        <x:v>2596.849954911111</x:v>
      </x:c>
      <x:c r="H616" s="26" t="n">
        <x:f>'成本明细'!U102</x:f>
        <x:v>4752.448218817222</x:v>
      </x:c>
      <x:c r="I616" s="26" t="n">
        <x:f>'成本明细'!V102</x:f>
        <x:v>8614</x:v>
      </x:c>
      <x:c r="J616" s="22" t="n">
        <x:f>'参数'!$B$9</x:f>
        <x:v>300</x:v>
      </x:c>
      <x:c r="K616" s="26" t="n">
        <x:f>J616*(G616-H616)-I616*ROUNDUP(J616/F616,0)</x:f>
        <x:v>-775889.4791718334</x:v>
      </x:c>
      <x:c r="L616" s="10" t="str">
        <x:f>IF(G616-H616&lt;=0,"未回本",IF(ROUNDUP(I616/(G616-H616),0)&gt;MIN(F616,J616),"未回本",MAX(1,ROUNDUP(I616/(G616-H616),0))))</x:f>
        <x:v>未回本</x:v>
      </x:c>
    </x:row>
    <x:row r="617" ht="22" customHeight="1">
      <x:c r="A617" s="11" t="str">
        <x:v>lade_0824_30aoi</x:v>
      </x:c>
      <x:c r="B617" s="10" t="n">
        <x:v>30</x:v>
      </x:c>
      <x:c r="C617" s="10" t="n">
        <x:v>42</x:v>
      </x:c>
      <x:c r="D617" s="10" t="str">
        <x:v>M2 / M4</x:v>
      </x:c>
      <x:c r="E617" s="16" t="n">
        <x:v>2</x:v>
      </x:c>
      <x:c r="F617" s="14" t="n">
        <x:v>20</x:v>
      </x:c>
      <x:c r="G617" s="26" t="n">
        <x:f>'成本明细'!U99+'成本明细'!G99*(E617-'参数'!$B$6)</x:f>
        <x:v>2743.708802566111</x:v>
      </x:c>
      <x:c r="H617" s="26" t="n">
        <x:f>'成本明细'!U105</x:f>
        <x:v>3624.8483329644446</x:v>
      </x:c>
      <x:c r="I617" s="26" t="n">
        <x:f>'成本明细'!V105</x:f>
        <x:v>8614</x:v>
      </x:c>
      <x:c r="J617" s="22" t="n">
        <x:f>'参数'!$B$9</x:f>
        <x:v>300</x:v>
      </x:c>
      <x:c r="K617" s="26" t="n">
        <x:f>J617*(G617-H617)-I617*ROUNDUP(J617/F617,0)</x:f>
        <x:v>-393551.8591195001</x:v>
      </x:c>
      <x:c r="L617" s="10" t="str">
        <x:f>IF(G617-H617&lt;=0,"未回本",IF(ROUNDUP(I617/(G617-H617),0)&gt;MIN(F617,J617),"未回本",MAX(1,ROUNDUP(I617/(G617-H617),0))))</x:f>
        <x:v>未回本</x:v>
      </x:c>
    </x:row>
    <x:row r="618" ht="22" customHeight="1">
      <x:c r="A618" s="11" t="str">
        <x:v>lade_0824_30aoi</x:v>
      </x:c>
      <x:c r="B618" s="10" t="n">
        <x:v>30</x:v>
      </x:c>
      <x:c r="C618" s="10" t="n">
        <x:v>42</x:v>
      </x:c>
      <x:c r="D618" s="10" t="str">
        <x:v>M1 / M3</x:v>
      </x:c>
      <x:c r="E618" s="16" t="n">
        <x:v>2</x:v>
      </x:c>
      <x:c r="F618" s="14" t="n">
        <x:v>30</x:v>
      </x:c>
      <x:c r="G618" s="26" t="n">
        <x:f>'成本明细'!U96+'成本明细'!G96*(E618-'参数'!$B$6)</x:f>
        <x:v>2596.849954911111</x:v>
      </x:c>
      <x:c r="H618" s="26" t="n">
        <x:f>'成本明细'!U102</x:f>
        <x:v>4752.448218817222</x:v>
      </x:c>
      <x:c r="I618" s="26" t="n">
        <x:f>'成本明细'!V102</x:f>
        <x:v>8614</x:v>
      </x:c>
      <x:c r="J618" s="22" t="n">
        <x:f>'参数'!$B$9</x:f>
        <x:v>300</x:v>
      </x:c>
      <x:c r="K618" s="26" t="n">
        <x:f>J618*(G618-H618)-I618*ROUNDUP(J618/F618,0)</x:f>
        <x:v>-732819.4791718334</x:v>
      </x:c>
      <x:c r="L618" s="10" t="str">
        <x:f>IF(G618-H618&lt;=0,"未回本",IF(ROUNDUP(I618/(G618-H618),0)&gt;MIN(F618,J618),"未回本",MAX(1,ROUNDUP(I618/(G618-H618),0))))</x:f>
        <x:v>未回本</x:v>
      </x:c>
    </x:row>
    <x:row r="619" ht="22" customHeight="1">
      <x:c r="A619" s="11" t="str">
        <x:v>lade_0824_30aoi</x:v>
      </x:c>
      <x:c r="B619" s="10" t="n">
        <x:v>30</x:v>
      </x:c>
      <x:c r="C619" s="10" t="n">
        <x:v>42</x:v>
      </x:c>
      <x:c r="D619" s="10" t="str">
        <x:v>M2 / M4</x:v>
      </x:c>
      <x:c r="E619" s="16" t="n">
        <x:v>2</x:v>
      </x:c>
      <x:c r="F619" s="14" t="n">
        <x:v>30</x:v>
      </x:c>
      <x:c r="G619" s="26" t="n">
        <x:f>'成本明细'!U99+'成本明细'!G99*(E619-'参数'!$B$6)</x:f>
        <x:v>2743.708802566111</x:v>
      </x:c>
      <x:c r="H619" s="26" t="n">
        <x:f>'成本明细'!U105</x:f>
        <x:v>3624.8483329644446</x:v>
      </x:c>
      <x:c r="I619" s="26" t="n">
        <x:f>'成本明细'!V105</x:f>
        <x:v>8614</x:v>
      </x:c>
      <x:c r="J619" s="22" t="n">
        <x:f>'参数'!$B$9</x:f>
        <x:v>300</x:v>
      </x:c>
      <x:c r="K619" s="26" t="n">
        <x:f>J619*(G619-H619)-I619*ROUNDUP(J619/F619,0)</x:f>
        <x:v>-350481.8591195001</x:v>
      </x:c>
      <x:c r="L619" s="10" t="str">
        <x:f>IF(G619-H619&lt;=0,"未回本",IF(ROUNDUP(I619/(G619-H619),0)&gt;MIN(F619,J619),"未回本",MAX(1,ROUNDUP(I619/(G619-H619),0))))</x:f>
        <x:v>未回本</x:v>
      </x:c>
    </x:row>
    <x:row r="620" ht="22" customHeight="1">
      <x:c r="A620" s="11" t="str">
        <x:v>lade_0824_30aoi</x:v>
      </x:c>
      <x:c r="B620" s="10" t="n">
        <x:v>30</x:v>
      </x:c>
      <x:c r="C620" s="10" t="n">
        <x:v>42</x:v>
      </x:c>
      <x:c r="D620" s="10" t="str">
        <x:v>M1 / M3</x:v>
      </x:c>
      <x:c r="E620" s="16" t="n">
        <x:v>2</x:v>
      </x:c>
      <x:c r="F620" s="14" t="n">
        <x:v>50</x:v>
      </x:c>
      <x:c r="G620" s="26" t="n">
        <x:f>'成本明细'!U96+'成本明细'!G96*(E620-'参数'!$B$6)</x:f>
        <x:v>2596.849954911111</x:v>
      </x:c>
      <x:c r="H620" s="26" t="n">
        <x:f>'成本明细'!U102</x:f>
        <x:v>4752.448218817222</x:v>
      </x:c>
      <x:c r="I620" s="26" t="n">
        <x:f>'成本明细'!V102</x:f>
        <x:v>8614</x:v>
      </x:c>
      <x:c r="J620" s="22" t="n">
        <x:f>'参数'!$B$9</x:f>
        <x:v>300</x:v>
      </x:c>
      <x:c r="K620" s="26" t="n">
        <x:f>J620*(G620-H620)-I620*ROUNDUP(J620/F620,0)</x:f>
        <x:v>-698363.4791718334</x:v>
      </x:c>
      <x:c r="L620" s="10" t="str">
        <x:f>IF(G620-H620&lt;=0,"未回本",IF(ROUNDUP(I620/(G620-H620),0)&gt;MIN(F620,J620),"未回本",MAX(1,ROUNDUP(I620/(G620-H620),0))))</x:f>
        <x:v>未回本</x:v>
      </x:c>
    </x:row>
    <x:row r="621" ht="22" customHeight="1">
      <x:c r="A621" s="11" t="str">
        <x:v>lade_0824_30aoi</x:v>
      </x:c>
      <x:c r="B621" s="10" t="n">
        <x:v>30</x:v>
      </x:c>
      <x:c r="C621" s="10" t="n">
        <x:v>42</x:v>
      </x:c>
      <x:c r="D621" s="10" t="str">
        <x:v>M2 / M4</x:v>
      </x:c>
      <x:c r="E621" s="16" t="n">
        <x:v>2</x:v>
      </x:c>
      <x:c r="F621" s="14" t="n">
        <x:v>50</x:v>
      </x:c>
      <x:c r="G621" s="26" t="n">
        <x:f>'成本明细'!U99+'成本明细'!G99*(E621-'参数'!$B$6)</x:f>
        <x:v>2743.708802566111</x:v>
      </x:c>
      <x:c r="H621" s="26" t="n">
        <x:f>'成本明细'!U105</x:f>
        <x:v>3624.8483329644446</x:v>
      </x:c>
      <x:c r="I621" s="26" t="n">
        <x:f>'成本明细'!V105</x:f>
        <x:v>8614</x:v>
      </x:c>
      <x:c r="J621" s="22" t="n">
        <x:f>'参数'!$B$9</x:f>
        <x:v>300</x:v>
      </x:c>
      <x:c r="K621" s="26" t="n">
        <x:f>J621*(G621-H621)-I621*ROUNDUP(J621/F621,0)</x:f>
        <x:v>-316025.8591195001</x:v>
      </x:c>
      <x:c r="L621" s="10" t="str">
        <x:f>IF(G621-H621&lt;=0,"未回本",IF(ROUNDUP(I621/(G621-H621),0)&gt;MIN(F621,J621),"未回本",MAX(1,ROUNDUP(I621/(G621-H621),0))))</x:f>
        <x:v>未回本</x:v>
      </x:c>
    </x:row>
    <x:row r="622" ht="22" customHeight="1">
      <x:c r="A622" s="11" t="str">
        <x:v>lade_0824_30aoi</x:v>
      </x:c>
      <x:c r="B622" s="10" t="n">
        <x:v>30</x:v>
      </x:c>
      <x:c r="C622" s="10" t="n">
        <x:v>42</x:v>
      </x:c>
      <x:c r="D622" s="10" t="str">
        <x:v>M1 / M3</x:v>
      </x:c>
      <x:c r="E622" s="16" t="n">
        <x:v>3</x:v>
      </x:c>
      <x:c r="F622" s="14" t="n">
        <x:v>10</x:v>
      </x:c>
      <x:c r="G622" s="26" t="n">
        <x:f>'成本明细'!U96+'成本明细'!G96*(E622-'参数'!$B$6)</x:f>
        <x:v>2832.849954911111</x:v>
      </x:c>
      <x:c r="H622" s="26" t="n">
        <x:f>'成本明细'!U102</x:f>
        <x:v>4752.448218817222</x:v>
      </x:c>
      <x:c r="I622" s="26" t="n">
        <x:f>'成本明细'!V102</x:f>
        <x:v>8614</x:v>
      </x:c>
      <x:c r="J622" s="22" t="n">
        <x:f>'参数'!$B$9</x:f>
        <x:v>300</x:v>
      </x:c>
      <x:c r="K622" s="26" t="n">
        <x:f>J622*(G622-H622)-I622*ROUNDUP(J622/F622,0)</x:f>
        <x:v>-834299.4791718334</x:v>
      </x:c>
      <x:c r="L622" s="10" t="str">
        <x:f>IF(G622-H622&lt;=0,"未回本",IF(ROUNDUP(I622/(G622-H622),0)&gt;MIN(F622,J622),"未回本",MAX(1,ROUNDUP(I622/(G622-H622),0))))</x:f>
        <x:v>未回本</x:v>
      </x:c>
    </x:row>
    <x:row r="623" ht="22" customHeight="1">
      <x:c r="A623" s="11" t="str">
        <x:v>lade_0824_30aoi</x:v>
      </x:c>
      <x:c r="B623" s="10" t="n">
        <x:v>30</x:v>
      </x:c>
      <x:c r="C623" s="10" t="n">
        <x:v>42</x:v>
      </x:c>
      <x:c r="D623" s="10" t="str">
        <x:v>M2 / M4</x:v>
      </x:c>
      <x:c r="E623" s="16" t="n">
        <x:v>3</x:v>
      </x:c>
      <x:c r="F623" s="14" t="n">
        <x:v>10</x:v>
      </x:c>
      <x:c r="G623" s="26" t="n">
        <x:f>'成本明细'!U99+'成本明细'!G99*(E623-'参数'!$B$6)</x:f>
        <x:v>2979.708802566111</x:v>
      </x:c>
      <x:c r="H623" s="26" t="n">
        <x:f>'成本明细'!U105</x:f>
        <x:v>3624.8483329644446</x:v>
      </x:c>
      <x:c r="I623" s="26" t="n">
        <x:f>'成本明细'!V105</x:f>
        <x:v>8614</x:v>
      </x:c>
      <x:c r="J623" s="22" t="n">
        <x:f>'参数'!$B$9</x:f>
        <x:v>300</x:v>
      </x:c>
      <x:c r="K623" s="26" t="n">
        <x:f>J623*(G623-H623)-I623*ROUNDUP(J623/F623,0)</x:f>
        <x:v>-451961.8591195001</x:v>
      </x:c>
      <x:c r="L623" s="10" t="str">
        <x:f>IF(G623-H623&lt;=0,"未回本",IF(ROUNDUP(I623/(G623-H623),0)&gt;MIN(F623,J623),"未回本",MAX(1,ROUNDUP(I623/(G623-H623),0))))</x:f>
        <x:v>未回本</x:v>
      </x:c>
    </x:row>
    <x:row r="624" ht="22" customHeight="1">
      <x:c r="A624" s="11" t="str">
        <x:v>lade_0824_30aoi</x:v>
      </x:c>
      <x:c r="B624" s="10" t="n">
        <x:v>30</x:v>
      </x:c>
      <x:c r="C624" s="10" t="n">
        <x:v>42</x:v>
      </x:c>
      <x:c r="D624" s="10" t="str">
        <x:v>M1 / M3</x:v>
      </x:c>
      <x:c r="E624" s="16" t="n">
        <x:v>3</x:v>
      </x:c>
      <x:c r="F624" s="14" t="n">
        <x:v>20</x:v>
      </x:c>
      <x:c r="G624" s="26" t="n">
        <x:f>'成本明细'!U96+'成本明细'!G96*(E624-'参数'!$B$6)</x:f>
        <x:v>2832.849954911111</x:v>
      </x:c>
      <x:c r="H624" s="26" t="n">
        <x:f>'成本明细'!U102</x:f>
        <x:v>4752.448218817222</x:v>
      </x:c>
      <x:c r="I624" s="26" t="n">
        <x:f>'成本明细'!V102</x:f>
        <x:v>8614</x:v>
      </x:c>
      <x:c r="J624" s="22" t="n">
        <x:f>'参数'!$B$9</x:f>
        <x:v>300</x:v>
      </x:c>
      <x:c r="K624" s="26" t="n">
        <x:f>J624*(G624-H624)-I624*ROUNDUP(J624/F624,0)</x:f>
        <x:v>-705089.4791718334</x:v>
      </x:c>
      <x:c r="L624" s="10" t="str">
        <x:f>IF(G624-H624&lt;=0,"未回本",IF(ROUNDUP(I624/(G624-H624),0)&gt;MIN(F624,J624),"未回本",MAX(1,ROUNDUP(I624/(G624-H624),0))))</x:f>
        <x:v>未回本</x:v>
      </x:c>
    </x:row>
    <x:row r="625" ht="22" customHeight="1">
      <x:c r="A625" s="11" t="str">
        <x:v>lade_0824_30aoi</x:v>
      </x:c>
      <x:c r="B625" s="10" t="n">
        <x:v>30</x:v>
      </x:c>
      <x:c r="C625" s="10" t="n">
        <x:v>42</x:v>
      </x:c>
      <x:c r="D625" s="10" t="str">
        <x:v>M2 / M4</x:v>
      </x:c>
      <x:c r="E625" s="16" t="n">
        <x:v>3</x:v>
      </x:c>
      <x:c r="F625" s="14" t="n">
        <x:v>20</x:v>
      </x:c>
      <x:c r="G625" s="26" t="n">
        <x:f>'成本明细'!U99+'成本明细'!G99*(E625-'参数'!$B$6)</x:f>
        <x:v>2979.708802566111</x:v>
      </x:c>
      <x:c r="H625" s="26" t="n">
        <x:f>'成本明细'!U105</x:f>
        <x:v>3624.8483329644446</x:v>
      </x:c>
      <x:c r="I625" s="26" t="n">
        <x:f>'成本明细'!V105</x:f>
        <x:v>8614</x:v>
      </x:c>
      <x:c r="J625" s="22" t="n">
        <x:f>'参数'!$B$9</x:f>
        <x:v>300</x:v>
      </x:c>
      <x:c r="K625" s="26" t="n">
        <x:f>J625*(G625-H625)-I625*ROUNDUP(J625/F625,0)</x:f>
        <x:v>-322751.8591195001</x:v>
      </x:c>
      <x:c r="L625" s="10" t="str">
        <x:f>IF(G625-H625&lt;=0,"未回本",IF(ROUNDUP(I625/(G625-H625),0)&gt;MIN(F625,J625),"未回本",MAX(1,ROUNDUP(I625/(G625-H625),0))))</x:f>
        <x:v>未回本</x:v>
      </x:c>
    </x:row>
    <x:row r="626" ht="22" customHeight="1">
      <x:c r="A626" s="11" t="str">
        <x:v>lade_0824_30aoi</x:v>
      </x:c>
      <x:c r="B626" s="10" t="n">
        <x:v>30</x:v>
      </x:c>
      <x:c r="C626" s="10" t="n">
        <x:v>42</x:v>
      </x:c>
      <x:c r="D626" s="10" t="str">
        <x:v>M1 / M3</x:v>
      </x:c>
      <x:c r="E626" s="16" t="n">
        <x:v>3</x:v>
      </x:c>
      <x:c r="F626" s="14" t="n">
        <x:v>30</x:v>
      </x:c>
      <x:c r="G626" s="26" t="n">
        <x:f>'成本明细'!U96+'成本明细'!G96*(E626-'参数'!$B$6)</x:f>
        <x:v>2832.849954911111</x:v>
      </x:c>
      <x:c r="H626" s="26" t="n">
        <x:f>'成本明细'!U102</x:f>
        <x:v>4752.448218817222</x:v>
      </x:c>
      <x:c r="I626" s="26" t="n">
        <x:f>'成本明细'!V102</x:f>
        <x:v>8614</x:v>
      </x:c>
      <x:c r="J626" s="22" t="n">
        <x:f>'参数'!$B$9</x:f>
        <x:v>300</x:v>
      </x:c>
      <x:c r="K626" s="26" t="n">
        <x:f>J626*(G626-H626)-I626*ROUNDUP(J626/F626,0)</x:f>
        <x:v>-662019.4791718334</x:v>
      </x:c>
      <x:c r="L626" s="10" t="str">
        <x:f>IF(G626-H626&lt;=0,"未回本",IF(ROUNDUP(I626/(G626-H626),0)&gt;MIN(F626,J626),"未回本",MAX(1,ROUNDUP(I626/(G626-H626),0))))</x:f>
        <x:v>未回本</x:v>
      </x:c>
    </x:row>
    <x:row r="627" ht="22" customHeight="1">
      <x:c r="A627" s="11" t="str">
        <x:v>lade_0824_30aoi</x:v>
      </x:c>
      <x:c r="B627" s="10" t="n">
        <x:v>30</x:v>
      </x:c>
      <x:c r="C627" s="10" t="n">
        <x:v>42</x:v>
      </x:c>
      <x:c r="D627" s="10" t="str">
        <x:v>M2 / M4</x:v>
      </x:c>
      <x:c r="E627" s="16" t="n">
        <x:v>3</x:v>
      </x:c>
      <x:c r="F627" s="14" t="n">
        <x:v>30</x:v>
      </x:c>
      <x:c r="G627" s="26" t="n">
        <x:f>'成本明细'!U99+'成本明细'!G99*(E627-'参数'!$B$6)</x:f>
        <x:v>2979.708802566111</x:v>
      </x:c>
      <x:c r="H627" s="26" t="n">
        <x:f>'成本明细'!U105</x:f>
        <x:v>3624.8483329644446</x:v>
      </x:c>
      <x:c r="I627" s="26" t="n">
        <x:f>'成本明细'!V105</x:f>
        <x:v>8614</x:v>
      </x:c>
      <x:c r="J627" s="22" t="n">
        <x:f>'参数'!$B$9</x:f>
        <x:v>300</x:v>
      </x:c>
      <x:c r="K627" s="26" t="n">
        <x:f>J627*(G627-H627)-I627*ROUNDUP(J627/F627,0)</x:f>
        <x:v>-279681.8591195001</x:v>
      </x:c>
      <x:c r="L627" s="10" t="str">
        <x:f>IF(G627-H627&lt;=0,"未回本",IF(ROUNDUP(I627/(G627-H627),0)&gt;MIN(F627,J627),"未回本",MAX(1,ROUNDUP(I627/(G627-H627),0))))</x:f>
        <x:v>未回本</x:v>
      </x:c>
    </x:row>
    <x:row r="628" ht="22" customHeight="1">
      <x:c r="A628" s="11" t="str">
        <x:v>lade_0824_30aoi</x:v>
      </x:c>
      <x:c r="B628" s="10" t="n">
        <x:v>30</x:v>
      </x:c>
      <x:c r="C628" s="10" t="n">
        <x:v>42</x:v>
      </x:c>
      <x:c r="D628" s="10" t="str">
        <x:v>M1 / M3</x:v>
      </x:c>
      <x:c r="E628" s="16" t="n">
        <x:v>3</x:v>
      </x:c>
      <x:c r="F628" s="14" t="n">
        <x:v>50</x:v>
      </x:c>
      <x:c r="G628" s="26" t="n">
        <x:f>'成本明细'!U96+'成本明细'!G96*(E628-'参数'!$B$6)</x:f>
        <x:v>2832.849954911111</x:v>
      </x:c>
      <x:c r="H628" s="26" t="n">
        <x:f>'成本明细'!U102</x:f>
        <x:v>4752.448218817222</x:v>
      </x:c>
      <x:c r="I628" s="26" t="n">
        <x:f>'成本明细'!V102</x:f>
        <x:v>8614</x:v>
      </x:c>
      <x:c r="J628" s="22" t="n">
        <x:f>'参数'!$B$9</x:f>
        <x:v>300</x:v>
      </x:c>
      <x:c r="K628" s="26" t="n">
        <x:f>J628*(G628-H628)-I628*ROUNDUP(J628/F628,0)</x:f>
        <x:v>-627563.4791718334</x:v>
      </x:c>
      <x:c r="L628" s="10" t="str">
        <x:f>IF(G628-H628&lt;=0,"未回本",IF(ROUNDUP(I628/(G628-H628),0)&gt;MIN(F628,J628),"未回本",MAX(1,ROUNDUP(I628/(G628-H628),0))))</x:f>
        <x:v>未回本</x:v>
      </x:c>
    </x:row>
    <x:row r="629" ht="22" customHeight="1">
      <x:c r="A629" s="11" t="str">
        <x:v>lade_0824_30aoi</x:v>
      </x:c>
      <x:c r="B629" s="10" t="n">
        <x:v>30</x:v>
      </x:c>
      <x:c r="C629" s="10" t="n">
        <x:v>42</x:v>
      </x:c>
      <x:c r="D629" s="10" t="str">
        <x:v>M2 / M4</x:v>
      </x:c>
      <x:c r="E629" s="16" t="n">
        <x:v>3</x:v>
      </x:c>
      <x:c r="F629" s="14" t="n">
        <x:v>50</x:v>
      </x:c>
      <x:c r="G629" s="26" t="n">
        <x:f>'成本明细'!U99+'成本明细'!G99*(E629-'参数'!$B$6)</x:f>
        <x:v>2979.708802566111</x:v>
      </x:c>
      <x:c r="H629" s="26" t="n">
        <x:f>'成本明细'!U105</x:f>
        <x:v>3624.8483329644446</x:v>
      </x:c>
      <x:c r="I629" s="26" t="n">
        <x:f>'成本明细'!V105</x:f>
        <x:v>8614</x:v>
      </x:c>
      <x:c r="J629" s="22" t="n">
        <x:f>'参数'!$B$9</x:f>
        <x:v>300</x:v>
      </x:c>
      <x:c r="K629" s="26" t="n">
        <x:f>J629*(G629-H629)-I629*ROUNDUP(J629/F629,0)</x:f>
        <x:v>-245225.8591195001</x:v>
      </x:c>
      <x:c r="L629" s="10" t="str">
        <x:f>IF(G629-H629&lt;=0,"未回本",IF(ROUNDUP(I629/(G629-H629),0)&gt;MIN(F629,J629),"未回本",MAX(1,ROUNDUP(I629/(G629-H629),0))))</x:f>
        <x:v>未回本</x:v>
      </x:c>
    </x:row>
    <x:row r="630" ht="22" customHeight="1">
      <x:c r="A630" s="11" t="str">
        <x:v>lade_0824_30aoi</x:v>
      </x:c>
      <x:c r="B630" s="10" t="n">
        <x:v>30</x:v>
      </x:c>
      <x:c r="C630" s="10" t="n">
        <x:v>42</x:v>
      </x:c>
      <x:c r="D630" s="10" t="str">
        <x:v>M1 / M3</x:v>
      </x:c>
      <x:c r="E630" s="16" t="n">
        <x:v>4</x:v>
      </x:c>
      <x:c r="F630" s="14" t="n">
        <x:v>10</x:v>
      </x:c>
      <x:c r="G630" s="26" t="n">
        <x:f>'成本明细'!U96+'成本明细'!G96*(E630-'参数'!$B$6)</x:f>
        <x:v>3068.849954911111</x:v>
      </x:c>
      <x:c r="H630" s="26" t="n">
        <x:f>'成本明细'!U102</x:f>
        <x:v>4752.448218817222</x:v>
      </x:c>
      <x:c r="I630" s="26" t="n">
        <x:f>'成本明细'!V102</x:f>
        <x:v>8614</x:v>
      </x:c>
      <x:c r="J630" s="22" t="n">
        <x:f>'参数'!$B$9</x:f>
        <x:v>300</x:v>
      </x:c>
      <x:c r="K630" s="26" t="n">
        <x:f>J630*(G630-H630)-I630*ROUNDUP(J630/F630,0)</x:f>
        <x:v>-763499.4791718334</x:v>
      </x:c>
      <x:c r="L630" s="10" t="str">
        <x:f>IF(G630-H630&lt;=0,"未回本",IF(ROUNDUP(I630/(G630-H630),0)&gt;MIN(F630,J630),"未回本",MAX(1,ROUNDUP(I630/(G630-H630),0))))</x:f>
        <x:v>未回本</x:v>
      </x:c>
    </x:row>
    <x:row r="631" ht="22" customHeight="1">
      <x:c r="A631" s="11" t="str">
        <x:v>lade_0824_30aoi</x:v>
      </x:c>
      <x:c r="B631" s="10" t="n">
        <x:v>30</x:v>
      </x:c>
      <x:c r="C631" s="10" t="n">
        <x:v>42</x:v>
      </x:c>
      <x:c r="D631" s="10" t="str">
        <x:v>M2 / M4</x:v>
      </x:c>
      <x:c r="E631" s="16" t="n">
        <x:v>4</x:v>
      </x:c>
      <x:c r="F631" s="14" t="n">
        <x:v>10</x:v>
      </x:c>
      <x:c r="G631" s="26" t="n">
        <x:f>'成本明细'!U99+'成本明细'!G99*(E631-'参数'!$B$6)</x:f>
        <x:v>3215.708802566111</x:v>
      </x:c>
      <x:c r="H631" s="26" t="n">
        <x:f>'成本明细'!U105</x:f>
        <x:v>3624.8483329644446</x:v>
      </x:c>
      <x:c r="I631" s="26" t="n">
        <x:f>'成本明细'!V105</x:f>
        <x:v>8614</x:v>
      </x:c>
      <x:c r="J631" s="22" t="n">
        <x:f>'参数'!$B$9</x:f>
        <x:v>300</x:v>
      </x:c>
      <x:c r="K631" s="26" t="n">
        <x:f>J631*(G631-H631)-I631*ROUNDUP(J631/F631,0)</x:f>
        <x:v>-381161.8591195001</x:v>
      </x:c>
      <x:c r="L631" s="10" t="str">
        <x:f>IF(G631-H631&lt;=0,"未回本",IF(ROUNDUP(I631/(G631-H631),0)&gt;MIN(F631,J631),"未回本",MAX(1,ROUNDUP(I631/(G631-H631),0))))</x:f>
        <x:v>未回本</x:v>
      </x:c>
    </x:row>
    <x:row r="632" ht="22" customHeight="1">
      <x:c r="A632" s="11" t="str">
        <x:v>lade_0824_30aoi</x:v>
      </x:c>
      <x:c r="B632" s="10" t="n">
        <x:v>30</x:v>
      </x:c>
      <x:c r="C632" s="10" t="n">
        <x:v>42</x:v>
      </x:c>
      <x:c r="D632" s="10" t="str">
        <x:v>M1 / M3</x:v>
      </x:c>
      <x:c r="E632" s="16" t="n">
        <x:v>4</x:v>
      </x:c>
      <x:c r="F632" s="14" t="n">
        <x:v>20</x:v>
      </x:c>
      <x:c r="G632" s="26" t="n">
        <x:f>'成本明细'!U96+'成本明细'!G96*(E632-'参数'!$B$6)</x:f>
        <x:v>3068.849954911111</x:v>
      </x:c>
      <x:c r="H632" s="26" t="n">
        <x:f>'成本明细'!U102</x:f>
        <x:v>4752.448218817222</x:v>
      </x:c>
      <x:c r="I632" s="26" t="n">
        <x:f>'成本明细'!V102</x:f>
        <x:v>8614</x:v>
      </x:c>
      <x:c r="J632" s="22" t="n">
        <x:f>'参数'!$B$9</x:f>
        <x:v>300</x:v>
      </x:c>
      <x:c r="K632" s="26" t="n">
        <x:f>J632*(G632-H632)-I632*ROUNDUP(J632/F632,0)</x:f>
        <x:v>-634289.4791718334</x:v>
      </x:c>
      <x:c r="L632" s="10" t="str">
        <x:f>IF(G632-H632&lt;=0,"未回本",IF(ROUNDUP(I632/(G632-H632),0)&gt;MIN(F632,J632),"未回本",MAX(1,ROUNDUP(I632/(G632-H632),0))))</x:f>
        <x:v>未回本</x:v>
      </x:c>
    </x:row>
    <x:row r="633" ht="22" customHeight="1">
      <x:c r="A633" s="11" t="str">
        <x:v>lade_0824_30aoi</x:v>
      </x:c>
      <x:c r="B633" s="10" t="n">
        <x:v>30</x:v>
      </x:c>
      <x:c r="C633" s="10" t="n">
        <x:v>42</x:v>
      </x:c>
      <x:c r="D633" s="10" t="str">
        <x:v>M2 / M4</x:v>
      </x:c>
      <x:c r="E633" s="16" t="n">
        <x:v>4</x:v>
      </x:c>
      <x:c r="F633" s="14" t="n">
        <x:v>20</x:v>
      </x:c>
      <x:c r="G633" s="26" t="n">
        <x:f>'成本明细'!U99+'成本明细'!G99*(E633-'参数'!$B$6)</x:f>
        <x:v>3215.708802566111</x:v>
      </x:c>
      <x:c r="H633" s="26" t="n">
        <x:f>'成本明细'!U105</x:f>
        <x:v>3624.8483329644446</x:v>
      </x:c>
      <x:c r="I633" s="26" t="n">
        <x:f>'成本明细'!V105</x:f>
        <x:v>8614</x:v>
      </x:c>
      <x:c r="J633" s="22" t="n">
        <x:f>'参数'!$B$9</x:f>
        <x:v>300</x:v>
      </x:c>
      <x:c r="K633" s="26" t="n">
        <x:f>J633*(G633-H633)-I633*ROUNDUP(J633/F633,0)</x:f>
        <x:v>-251951.8591195001</x:v>
      </x:c>
      <x:c r="L633" s="10" t="str">
        <x:f>IF(G633-H633&lt;=0,"未回本",IF(ROUNDUP(I633/(G633-H633),0)&gt;MIN(F633,J633),"未回本",MAX(1,ROUNDUP(I633/(G633-H633),0))))</x:f>
        <x:v>未回本</x:v>
      </x:c>
    </x:row>
    <x:row r="634" ht="22" customHeight="1">
      <x:c r="A634" s="11" t="str">
        <x:v>lade_0824_30aoi</x:v>
      </x:c>
      <x:c r="B634" s="10" t="n">
        <x:v>30</x:v>
      </x:c>
      <x:c r="C634" s="10" t="n">
        <x:v>42</x:v>
      </x:c>
      <x:c r="D634" s="10" t="str">
        <x:v>M1 / M3</x:v>
      </x:c>
      <x:c r="E634" s="16" t="n">
        <x:v>4</x:v>
      </x:c>
      <x:c r="F634" s="14" t="n">
        <x:v>30</x:v>
      </x:c>
      <x:c r="G634" s="26" t="n">
        <x:f>'成本明细'!U96+'成本明细'!G96*(E634-'参数'!$B$6)</x:f>
        <x:v>3068.849954911111</x:v>
      </x:c>
      <x:c r="H634" s="26" t="n">
        <x:f>'成本明细'!U102</x:f>
        <x:v>4752.448218817222</x:v>
      </x:c>
      <x:c r="I634" s="26" t="n">
        <x:f>'成本明细'!V102</x:f>
        <x:v>8614</x:v>
      </x:c>
      <x:c r="J634" s="22" t="n">
        <x:f>'参数'!$B$9</x:f>
        <x:v>300</x:v>
      </x:c>
      <x:c r="K634" s="26" t="n">
        <x:f>J634*(G634-H634)-I634*ROUNDUP(J634/F634,0)</x:f>
        <x:v>-591219.4791718334</x:v>
      </x:c>
      <x:c r="L634" s="10" t="str">
        <x:f>IF(G634-H634&lt;=0,"未回本",IF(ROUNDUP(I634/(G634-H634),0)&gt;MIN(F634,J634),"未回本",MAX(1,ROUNDUP(I634/(G634-H634),0))))</x:f>
        <x:v>未回本</x:v>
      </x:c>
    </x:row>
    <x:row r="635" ht="22" customHeight="1">
      <x:c r="A635" s="11" t="str">
        <x:v>lade_0824_30aoi</x:v>
      </x:c>
      <x:c r="B635" s="10" t="n">
        <x:v>30</x:v>
      </x:c>
      <x:c r="C635" s="10" t="n">
        <x:v>42</x:v>
      </x:c>
      <x:c r="D635" s="10" t="str">
        <x:v>M2 / M4</x:v>
      </x:c>
      <x:c r="E635" s="16" t="n">
        <x:v>4</x:v>
      </x:c>
      <x:c r="F635" s="14" t="n">
        <x:v>30</x:v>
      </x:c>
      <x:c r="G635" s="26" t="n">
        <x:f>'成本明细'!U99+'成本明细'!G99*(E635-'参数'!$B$6)</x:f>
        <x:v>3215.708802566111</x:v>
      </x:c>
      <x:c r="H635" s="26" t="n">
        <x:f>'成本明细'!U105</x:f>
        <x:v>3624.8483329644446</x:v>
      </x:c>
      <x:c r="I635" s="26" t="n">
        <x:f>'成本明细'!V105</x:f>
        <x:v>8614</x:v>
      </x:c>
      <x:c r="J635" s="22" t="n">
        <x:f>'参数'!$B$9</x:f>
        <x:v>300</x:v>
      </x:c>
      <x:c r="K635" s="26" t="n">
        <x:f>J635*(G635-H635)-I635*ROUNDUP(J635/F635,0)</x:f>
        <x:v>-208881.8591195001</x:v>
      </x:c>
      <x:c r="L635" s="10" t="str">
        <x:f>IF(G635-H635&lt;=0,"未回本",IF(ROUNDUP(I635/(G635-H635),0)&gt;MIN(F635,J635),"未回本",MAX(1,ROUNDUP(I635/(G635-H635),0))))</x:f>
        <x:v>未回本</x:v>
      </x:c>
    </x:row>
    <x:row r="636" ht="22" customHeight="1">
      <x:c r="A636" s="11" t="str">
        <x:v>lade_0824_30aoi</x:v>
      </x:c>
      <x:c r="B636" s="10" t="n">
        <x:v>30</x:v>
      </x:c>
      <x:c r="C636" s="10" t="n">
        <x:v>42</x:v>
      </x:c>
      <x:c r="D636" s="10" t="str">
        <x:v>M1 / M3</x:v>
      </x:c>
      <x:c r="E636" s="16" t="n">
        <x:v>4</x:v>
      </x:c>
      <x:c r="F636" s="14" t="n">
        <x:v>50</x:v>
      </x:c>
      <x:c r="G636" s="26" t="n">
        <x:f>'成本明细'!U96+'成本明细'!G96*(E636-'参数'!$B$6)</x:f>
        <x:v>3068.849954911111</x:v>
      </x:c>
      <x:c r="H636" s="26" t="n">
        <x:f>'成本明细'!U102</x:f>
        <x:v>4752.448218817222</x:v>
      </x:c>
      <x:c r="I636" s="26" t="n">
        <x:f>'成本明细'!V102</x:f>
        <x:v>8614</x:v>
      </x:c>
      <x:c r="J636" s="22" t="n">
        <x:f>'参数'!$B$9</x:f>
        <x:v>300</x:v>
      </x:c>
      <x:c r="K636" s="26" t="n">
        <x:f>J636*(G636-H636)-I636*ROUNDUP(J636/F636,0)</x:f>
        <x:v>-556763.4791718334</x:v>
      </x:c>
      <x:c r="L636" s="10" t="str">
        <x:f>IF(G636-H636&lt;=0,"未回本",IF(ROUNDUP(I636/(G636-H636),0)&gt;MIN(F636,J636),"未回本",MAX(1,ROUNDUP(I636/(G636-H636),0))))</x:f>
        <x:v>未回本</x:v>
      </x:c>
    </x:row>
    <x:row r="637" ht="22" customHeight="1">
      <x:c r="A637" s="11" t="str">
        <x:v>lade_0824_30aoi</x:v>
      </x:c>
      <x:c r="B637" s="10" t="n">
        <x:v>30</x:v>
      </x:c>
      <x:c r="C637" s="10" t="n">
        <x:v>42</x:v>
      </x:c>
      <x:c r="D637" s="10" t="str">
        <x:v>M2 / M4</x:v>
      </x:c>
      <x:c r="E637" s="16" t="n">
        <x:v>4</x:v>
      </x:c>
      <x:c r="F637" s="14" t="n">
        <x:v>50</x:v>
      </x:c>
      <x:c r="G637" s="26" t="n">
        <x:f>'成本明细'!U99+'成本明细'!G99*(E637-'参数'!$B$6)</x:f>
        <x:v>3215.708802566111</x:v>
      </x:c>
      <x:c r="H637" s="26" t="n">
        <x:f>'成本明细'!U105</x:f>
        <x:v>3624.8483329644446</x:v>
      </x:c>
      <x:c r="I637" s="26" t="n">
        <x:f>'成本明细'!V105</x:f>
        <x:v>8614</x:v>
      </x:c>
      <x:c r="J637" s="22" t="n">
        <x:f>'参数'!$B$9</x:f>
        <x:v>300</x:v>
      </x:c>
      <x:c r="K637" s="26" t="n">
        <x:f>J637*(G637-H637)-I637*ROUNDUP(J637/F637,0)</x:f>
        <x:v>-174425.8591195001</x:v>
      </x:c>
      <x:c r="L637" s="10" t="str">
        <x:f>IF(G637-H637&lt;=0,"未回本",IF(ROUNDUP(I637/(G637-H637),0)&gt;MIN(F637,J637),"未回本",MAX(1,ROUNDUP(I637/(G637-H637),0))))</x:f>
        <x:v>未回本</x:v>
      </x:c>
    </x:row>
    <x:row r="638" ht="22" customHeight="1">
      <x:c r="A638" s="11" t="str">
        <x:v>lade_0824_30aoi</x:v>
      </x:c>
      <x:c r="B638" s="10" t="n">
        <x:v>30</x:v>
      </x:c>
      <x:c r="C638" s="10" t="n">
        <x:v>42</x:v>
      </x:c>
      <x:c r="D638" s="10" t="str">
        <x:v>M1 / M3</x:v>
      </x:c>
      <x:c r="E638" s="16" t="n">
        <x:v>5</x:v>
      </x:c>
      <x:c r="F638" s="14" t="n">
        <x:v>10</x:v>
      </x:c>
      <x:c r="G638" s="26" t="n">
        <x:f>'成本明细'!U96+'成本明细'!G96*(E638-'参数'!$B$6)</x:f>
        <x:v>3304.849954911111</x:v>
      </x:c>
      <x:c r="H638" s="26" t="n">
        <x:f>'成本明细'!U102</x:f>
        <x:v>4752.448218817222</x:v>
      </x:c>
      <x:c r="I638" s="26" t="n">
        <x:f>'成本明细'!V102</x:f>
        <x:v>8614</x:v>
      </x:c>
      <x:c r="J638" s="22" t="n">
        <x:f>'参数'!$B$9</x:f>
        <x:v>300</x:v>
      </x:c>
      <x:c r="K638" s="26" t="n">
        <x:f>J638*(G638-H638)-I638*ROUNDUP(J638/F638,0)</x:f>
        <x:v>-692699.4791718334</x:v>
      </x:c>
      <x:c r="L638" s="10" t="str">
        <x:f>IF(G638-H638&lt;=0,"未回本",IF(ROUNDUP(I638/(G638-H638),0)&gt;MIN(F638,J638),"未回本",MAX(1,ROUNDUP(I638/(G638-H638),0))))</x:f>
        <x:v>未回本</x:v>
      </x:c>
    </x:row>
    <x:row r="639" ht="22" customHeight="1">
      <x:c r="A639" s="11" t="str">
        <x:v>lade_0824_30aoi</x:v>
      </x:c>
      <x:c r="B639" s="10" t="n">
        <x:v>30</x:v>
      </x:c>
      <x:c r="C639" s="10" t="n">
        <x:v>42</x:v>
      </x:c>
      <x:c r="D639" s="10" t="str">
        <x:v>M2 / M4</x:v>
      </x:c>
      <x:c r="E639" s="16" t="n">
        <x:v>5</x:v>
      </x:c>
      <x:c r="F639" s="14" t="n">
        <x:v>10</x:v>
      </x:c>
      <x:c r="G639" s="26" t="n">
        <x:f>'成本明细'!U99+'成本明细'!G99*(E639-'参数'!$B$6)</x:f>
        <x:v>3451.708802566111</x:v>
      </x:c>
      <x:c r="H639" s="26" t="n">
        <x:f>'成本明细'!U105</x:f>
        <x:v>3624.8483329644446</x:v>
      </x:c>
      <x:c r="I639" s="26" t="n">
        <x:f>'成本明细'!V105</x:f>
        <x:v>8614</x:v>
      </x:c>
      <x:c r="J639" s="22" t="n">
        <x:f>'参数'!$B$9</x:f>
        <x:v>300</x:v>
      </x:c>
      <x:c r="K639" s="26" t="n">
        <x:f>J639*(G639-H639)-I639*ROUNDUP(J639/F639,0)</x:f>
        <x:v>-310361.8591195001</x:v>
      </x:c>
      <x:c r="L639" s="10" t="str">
        <x:f>IF(G639-H639&lt;=0,"未回本",IF(ROUNDUP(I639/(G639-H639),0)&gt;MIN(F639,J639),"未回本",MAX(1,ROUNDUP(I639/(G639-H639),0))))</x:f>
        <x:v>未回本</x:v>
      </x:c>
    </x:row>
    <x:row r="640" ht="22" customHeight="1">
      <x:c r="A640" s="11" t="str">
        <x:v>lade_0824_30aoi</x:v>
      </x:c>
      <x:c r="B640" s="10" t="n">
        <x:v>30</x:v>
      </x:c>
      <x:c r="C640" s="10" t="n">
        <x:v>42</x:v>
      </x:c>
      <x:c r="D640" s="10" t="str">
        <x:v>M1 / M3</x:v>
      </x:c>
      <x:c r="E640" s="16" t="n">
        <x:v>5</x:v>
      </x:c>
      <x:c r="F640" s="14" t="n">
        <x:v>20</x:v>
      </x:c>
      <x:c r="G640" s="26" t="n">
        <x:f>'成本明细'!U96+'成本明细'!G96*(E640-'参数'!$B$6)</x:f>
        <x:v>3304.849954911111</x:v>
      </x:c>
      <x:c r="H640" s="26" t="n">
        <x:f>'成本明细'!U102</x:f>
        <x:v>4752.448218817222</x:v>
      </x:c>
      <x:c r="I640" s="26" t="n">
        <x:f>'成本明细'!V102</x:f>
        <x:v>8614</x:v>
      </x:c>
      <x:c r="J640" s="22" t="n">
        <x:f>'参数'!$B$9</x:f>
        <x:v>300</x:v>
      </x:c>
      <x:c r="K640" s="26" t="n">
        <x:f>J640*(G640-H640)-I640*ROUNDUP(J640/F640,0)</x:f>
        <x:v>-563489.4791718334</x:v>
      </x:c>
      <x:c r="L640" s="10" t="str">
        <x:f>IF(G640-H640&lt;=0,"未回本",IF(ROUNDUP(I640/(G640-H640),0)&gt;MIN(F640,J640),"未回本",MAX(1,ROUNDUP(I640/(G640-H640),0))))</x:f>
        <x:v>未回本</x:v>
      </x:c>
    </x:row>
    <x:row r="641" ht="22" customHeight="1">
      <x:c r="A641" s="11" t="str">
        <x:v>lade_0824_30aoi</x:v>
      </x:c>
      <x:c r="B641" s="10" t="n">
        <x:v>30</x:v>
      </x:c>
      <x:c r="C641" s="10" t="n">
        <x:v>42</x:v>
      </x:c>
      <x:c r="D641" s="10" t="str">
        <x:v>M2 / M4</x:v>
      </x:c>
      <x:c r="E641" s="16" t="n">
        <x:v>5</x:v>
      </x:c>
      <x:c r="F641" s="14" t="n">
        <x:v>20</x:v>
      </x:c>
      <x:c r="G641" s="26" t="n">
        <x:f>'成本明细'!U99+'成本明细'!G99*(E641-'参数'!$B$6)</x:f>
        <x:v>3451.708802566111</x:v>
      </x:c>
      <x:c r="H641" s="26" t="n">
        <x:f>'成本明细'!U105</x:f>
        <x:v>3624.8483329644446</x:v>
      </x:c>
      <x:c r="I641" s="26" t="n">
        <x:f>'成本明细'!V105</x:f>
        <x:v>8614</x:v>
      </x:c>
      <x:c r="J641" s="22" t="n">
        <x:f>'参数'!$B$9</x:f>
        <x:v>300</x:v>
      </x:c>
      <x:c r="K641" s="26" t="n">
        <x:f>J641*(G641-H641)-I641*ROUNDUP(J641/F641,0)</x:f>
        <x:v>-181151.8591195001</x:v>
      </x:c>
      <x:c r="L641" s="10" t="str">
        <x:f>IF(G641-H641&lt;=0,"未回本",IF(ROUNDUP(I641/(G641-H641),0)&gt;MIN(F641,J641),"未回本",MAX(1,ROUNDUP(I641/(G641-H641),0))))</x:f>
        <x:v>未回本</x:v>
      </x:c>
    </x:row>
    <x:row r="642" ht="22" customHeight="1">
      <x:c r="A642" s="11" t="str">
        <x:v>lade_0824_30aoi</x:v>
      </x:c>
      <x:c r="B642" s="10" t="n">
        <x:v>30</x:v>
      </x:c>
      <x:c r="C642" s="10" t="n">
        <x:v>42</x:v>
      </x:c>
      <x:c r="D642" s="10" t="str">
        <x:v>M1 / M3</x:v>
      </x:c>
      <x:c r="E642" s="16" t="n">
        <x:v>5</x:v>
      </x:c>
      <x:c r="F642" s="14" t="n">
        <x:v>30</x:v>
      </x:c>
      <x:c r="G642" s="26" t="n">
        <x:f>'成本明细'!U96+'成本明细'!G96*(E642-'参数'!$B$6)</x:f>
        <x:v>3304.849954911111</x:v>
      </x:c>
      <x:c r="H642" s="26" t="n">
        <x:f>'成本明细'!U102</x:f>
        <x:v>4752.448218817222</x:v>
      </x:c>
      <x:c r="I642" s="26" t="n">
        <x:f>'成本明细'!V102</x:f>
        <x:v>8614</x:v>
      </x:c>
      <x:c r="J642" s="22" t="n">
        <x:f>'参数'!$B$9</x:f>
        <x:v>300</x:v>
      </x:c>
      <x:c r="K642" s="26" t="n">
        <x:f>J642*(G642-H642)-I642*ROUNDUP(J642/F642,0)</x:f>
        <x:v>-520419.4791718334</x:v>
      </x:c>
      <x:c r="L642" s="10" t="str">
        <x:f>IF(G642-H642&lt;=0,"未回本",IF(ROUNDUP(I642/(G642-H642),0)&gt;MIN(F642,J642),"未回本",MAX(1,ROUNDUP(I642/(G642-H642),0))))</x:f>
        <x:v>未回本</x:v>
      </x:c>
    </x:row>
    <x:row r="643" ht="22" customHeight="1">
      <x:c r="A643" s="11" t="str">
        <x:v>lade_0824_30aoi</x:v>
      </x:c>
      <x:c r="B643" s="10" t="n">
        <x:v>30</x:v>
      </x:c>
      <x:c r="C643" s="10" t="n">
        <x:v>42</x:v>
      </x:c>
      <x:c r="D643" s="10" t="str">
        <x:v>M2 / M4</x:v>
      </x:c>
      <x:c r="E643" s="16" t="n">
        <x:v>5</x:v>
      </x:c>
      <x:c r="F643" s="14" t="n">
        <x:v>30</x:v>
      </x:c>
      <x:c r="G643" s="26" t="n">
        <x:f>'成本明细'!U99+'成本明细'!G99*(E643-'参数'!$B$6)</x:f>
        <x:v>3451.708802566111</x:v>
      </x:c>
      <x:c r="H643" s="26" t="n">
        <x:f>'成本明细'!U105</x:f>
        <x:v>3624.8483329644446</x:v>
      </x:c>
      <x:c r="I643" s="26" t="n">
        <x:f>'成本明细'!V105</x:f>
        <x:v>8614</x:v>
      </x:c>
      <x:c r="J643" s="22" t="n">
        <x:f>'参数'!$B$9</x:f>
        <x:v>300</x:v>
      </x:c>
      <x:c r="K643" s="26" t="n">
        <x:f>J643*(G643-H643)-I643*ROUNDUP(J643/F643,0)</x:f>
        <x:v>-138081.8591195001</x:v>
      </x:c>
      <x:c r="L643" s="10" t="str">
        <x:f>IF(G643-H643&lt;=0,"未回本",IF(ROUNDUP(I643/(G643-H643),0)&gt;MIN(F643,J643),"未回本",MAX(1,ROUNDUP(I643/(G643-H643),0))))</x:f>
        <x:v>未回本</x:v>
      </x:c>
    </x:row>
    <x:row r="644" ht="22" customHeight="1">
      <x:c r="A644" s="11" t="str">
        <x:v>lade_0824_30aoi</x:v>
      </x:c>
      <x:c r="B644" s="10" t="n">
        <x:v>30</x:v>
      </x:c>
      <x:c r="C644" s="10" t="n">
        <x:v>42</x:v>
      </x:c>
      <x:c r="D644" s="10" t="str">
        <x:v>M1 / M3</x:v>
      </x:c>
      <x:c r="E644" s="16" t="n">
        <x:v>5</x:v>
      </x:c>
      <x:c r="F644" s="14" t="n">
        <x:v>50</x:v>
      </x:c>
      <x:c r="G644" s="26" t="n">
        <x:f>'成本明细'!U96+'成本明细'!G96*(E644-'参数'!$B$6)</x:f>
        <x:v>3304.849954911111</x:v>
      </x:c>
      <x:c r="H644" s="26" t="n">
        <x:f>'成本明细'!U102</x:f>
        <x:v>4752.448218817222</x:v>
      </x:c>
      <x:c r="I644" s="26" t="n">
        <x:f>'成本明细'!V102</x:f>
        <x:v>8614</x:v>
      </x:c>
      <x:c r="J644" s="22" t="n">
        <x:f>'参数'!$B$9</x:f>
        <x:v>300</x:v>
      </x:c>
      <x:c r="K644" s="26" t="n">
        <x:f>J644*(G644-H644)-I644*ROUNDUP(J644/F644,0)</x:f>
        <x:v>-485963.4791718334</x:v>
      </x:c>
      <x:c r="L644" s="10" t="str">
        <x:f>IF(G644-H644&lt;=0,"未回本",IF(ROUNDUP(I644/(G644-H644),0)&gt;MIN(F644,J644),"未回本",MAX(1,ROUNDUP(I644/(G644-H644),0))))</x:f>
        <x:v>未回本</x:v>
      </x:c>
    </x:row>
    <x:row r="645" ht="22" customHeight="1">
      <x:c r="A645" s="11" t="str">
        <x:v>lade_0824_30aoi</x:v>
      </x:c>
      <x:c r="B645" s="10" t="n">
        <x:v>30</x:v>
      </x:c>
      <x:c r="C645" s="10" t="n">
        <x:v>42</x:v>
      </x:c>
      <x:c r="D645" s="10" t="str">
        <x:v>M2 / M4</x:v>
      </x:c>
      <x:c r="E645" s="16" t="n">
        <x:v>5</x:v>
      </x:c>
      <x:c r="F645" s="14" t="n">
        <x:v>50</x:v>
      </x:c>
      <x:c r="G645" s="26" t="n">
        <x:f>'成本明细'!U99+'成本明细'!G99*(E645-'参数'!$B$6)</x:f>
        <x:v>3451.708802566111</x:v>
      </x:c>
      <x:c r="H645" s="26" t="n">
        <x:f>'成本明细'!U105</x:f>
        <x:v>3624.8483329644446</x:v>
      </x:c>
      <x:c r="I645" s="26" t="n">
        <x:f>'成本明细'!V105</x:f>
        <x:v>8614</x:v>
      </x:c>
      <x:c r="J645" s="22" t="n">
        <x:f>'参数'!$B$9</x:f>
        <x:v>300</x:v>
      </x:c>
      <x:c r="K645" s="26" t="n">
        <x:f>J645*(G645-H645)-I645*ROUNDUP(J645/F645,0)</x:f>
        <x:v>-103625.85911950008</x:v>
      </x:c>
      <x:c r="L645" s="10" t="str">
        <x:f>IF(G645-H645&lt;=0,"未回本",IF(ROUNDUP(I645/(G645-H645),0)&gt;MIN(F645,J645),"未回本",MAX(1,ROUNDUP(I645/(G645-H645),0))))</x:f>
        <x:v>未回本</x:v>
      </x:c>
    </x:row>
    <x:row r="646" ht="22" customHeight="1">
      <x:c r="A646" s="11" t="str">
        <x:v>lade_0824_30aoi</x:v>
      </x:c>
      <x:c r="B646" s="10" t="n">
        <x:v>30</x:v>
      </x:c>
      <x:c r="C646" s="10" t="n">
        <x:v>43</x:v>
      </x:c>
      <x:c r="D646" s="10" t="str">
        <x:v>M1 / M3</x:v>
      </x:c>
      <x:c r="E646" s="16" t="n">
        <x:v>1</x:v>
      </x:c>
      <x:c r="F646" s="14" t="n">
        <x:v>10</x:v>
      </x:c>
      <x:c r="G646" s="26" t="n">
        <x:f>'成本明细'!U97+'成本明细'!G97*(E646-'参数'!$B$6)</x:f>
        <x:v>2360.849954911111</x:v>
      </x:c>
      <x:c r="H646" s="26" t="n">
        <x:f>'成本明细'!U103</x:f>
        <x:v>4752.791591450556</x:v>
      </x:c>
      <x:c r="I646" s="26" t="n">
        <x:f>'成本明细'!V103</x:f>
        <x:v>8614</x:v>
      </x:c>
      <x:c r="J646" s="22" t="n">
        <x:f>'参数'!$B$9</x:f>
        <x:v>300</x:v>
      </x:c>
      <x:c r="K646" s="26" t="n">
        <x:f>J646*(G646-H646)-I646*ROUNDUP(J646/F646,0)</x:f>
        <x:v>-976002.4909618334</x:v>
      </x:c>
      <x:c r="L646" s="10" t="str">
        <x:f>IF(G646-H646&lt;=0,"未回本",IF(ROUNDUP(I646/(G646-H646),0)&gt;MIN(F646,J646),"未回本",MAX(1,ROUNDUP(I646/(G646-H646),0))))</x:f>
        <x:v>未回本</x:v>
      </x:c>
    </x:row>
    <x:row r="647" ht="22" customHeight="1">
      <x:c r="A647" s="11" t="str">
        <x:v>lade_0824_30aoi</x:v>
      </x:c>
      <x:c r="B647" s="10" t="n">
        <x:v>30</x:v>
      </x:c>
      <x:c r="C647" s="10" t="n">
        <x:v>43</x:v>
      </x:c>
      <x:c r="D647" s="10" t="str">
        <x:v>M2 / M4</x:v>
      </x:c>
      <x:c r="E647" s="16" t="n">
        <x:v>1</x:v>
      </x:c>
      <x:c r="F647" s="14" t="n">
        <x:v>10</x:v>
      </x:c>
      <x:c r="G647" s="26" t="n">
        <x:f>'成本明细'!U100+'成本明细'!G100*(E647-'参数'!$B$6)</x:f>
        <x:v>2360.849954911111</x:v>
      </x:c>
      <x:c r="H647" s="26" t="n">
        <x:f>'成本明细'!U106</x:f>
        <x:v>4905.970424478889</x:v>
      </x:c>
      <x:c r="I647" s="26" t="n">
        <x:f>'成本明细'!V106</x:f>
        <x:v>8614</x:v>
      </x:c>
      <x:c r="J647" s="22" t="n">
        <x:f>'参数'!$B$9</x:f>
        <x:v>300</x:v>
      </x:c>
      <x:c r="K647" s="26" t="n">
        <x:f>J647*(G647-H647)-I647*ROUNDUP(J647/F647,0)</x:f>
        <x:v>-1021956.1408703334</x:v>
      </x:c>
      <x:c r="L647" s="10" t="str">
        <x:f>IF(G647-H647&lt;=0,"未回本",IF(ROUNDUP(I647/(G647-H647),0)&gt;MIN(F647,J647),"未回本",MAX(1,ROUNDUP(I647/(G647-H647),0))))</x:f>
        <x:v>未回本</x:v>
      </x:c>
    </x:row>
    <x:row r="648" ht="22" customHeight="1">
      <x:c r="A648" s="11" t="str">
        <x:v>lade_0824_30aoi</x:v>
      </x:c>
      <x:c r="B648" s="10" t="n">
        <x:v>30</x:v>
      </x:c>
      <x:c r="C648" s="10" t="n">
        <x:v>43</x:v>
      </x:c>
      <x:c r="D648" s="10" t="str">
        <x:v>M1 / M3</x:v>
      </x:c>
      <x:c r="E648" s="16" t="n">
        <x:v>1</x:v>
      </x:c>
      <x:c r="F648" s="14" t="n">
        <x:v>20</x:v>
      </x:c>
      <x:c r="G648" s="26" t="n">
        <x:f>'成本明细'!U97+'成本明细'!G97*(E648-'参数'!$B$6)</x:f>
        <x:v>2360.849954911111</x:v>
      </x:c>
      <x:c r="H648" s="26" t="n">
        <x:f>'成本明细'!U103</x:f>
        <x:v>4752.791591450556</x:v>
      </x:c>
      <x:c r="I648" s="26" t="n">
        <x:f>'成本明细'!V103</x:f>
        <x:v>8614</x:v>
      </x:c>
      <x:c r="J648" s="22" t="n">
        <x:f>'参数'!$B$9</x:f>
        <x:v>300</x:v>
      </x:c>
      <x:c r="K648" s="26" t="n">
        <x:f>J648*(G648-H648)-I648*ROUNDUP(J648/F648,0)</x:f>
        <x:v>-846792.4909618334</x:v>
      </x:c>
      <x:c r="L648" s="10" t="str">
        <x:f>IF(G648-H648&lt;=0,"未回本",IF(ROUNDUP(I648/(G648-H648),0)&gt;MIN(F648,J648),"未回本",MAX(1,ROUNDUP(I648/(G648-H648),0))))</x:f>
        <x:v>未回本</x:v>
      </x:c>
    </x:row>
    <x:row r="649" ht="22" customHeight="1">
      <x:c r="A649" s="11" t="str">
        <x:v>lade_0824_30aoi</x:v>
      </x:c>
      <x:c r="B649" s="10" t="n">
        <x:v>30</x:v>
      </x:c>
      <x:c r="C649" s="10" t="n">
        <x:v>43</x:v>
      </x:c>
      <x:c r="D649" s="10" t="str">
        <x:v>M2 / M4</x:v>
      </x:c>
      <x:c r="E649" s="16" t="n">
        <x:v>1</x:v>
      </x:c>
      <x:c r="F649" s="14" t="n">
        <x:v>20</x:v>
      </x:c>
      <x:c r="G649" s="26" t="n">
        <x:f>'成本明细'!U100+'成本明细'!G100*(E649-'参数'!$B$6)</x:f>
        <x:v>2360.849954911111</x:v>
      </x:c>
      <x:c r="H649" s="26" t="n">
        <x:f>'成本明细'!U106</x:f>
        <x:v>4905.970424478889</x:v>
      </x:c>
      <x:c r="I649" s="26" t="n">
        <x:f>'成本明细'!V106</x:f>
        <x:v>8614</x:v>
      </x:c>
      <x:c r="J649" s="22" t="n">
        <x:f>'参数'!$B$9</x:f>
        <x:v>300</x:v>
      </x:c>
      <x:c r="K649" s="26" t="n">
        <x:f>J649*(G649-H649)-I649*ROUNDUP(J649/F649,0)</x:f>
        <x:v>-892746.1408703334</x:v>
      </x:c>
      <x:c r="L649" s="10" t="str">
        <x:f>IF(G649-H649&lt;=0,"未回本",IF(ROUNDUP(I649/(G649-H649),0)&gt;MIN(F649,J649),"未回本",MAX(1,ROUNDUP(I649/(G649-H649),0))))</x:f>
        <x:v>未回本</x:v>
      </x:c>
    </x:row>
    <x:row r="650" ht="22" customHeight="1">
      <x:c r="A650" s="11" t="str">
        <x:v>lade_0824_30aoi</x:v>
      </x:c>
      <x:c r="B650" s="10" t="n">
        <x:v>30</x:v>
      </x:c>
      <x:c r="C650" s="10" t="n">
        <x:v>43</x:v>
      </x:c>
      <x:c r="D650" s="10" t="str">
        <x:v>M1 / M3</x:v>
      </x:c>
      <x:c r="E650" s="16" t="n">
        <x:v>1</x:v>
      </x:c>
      <x:c r="F650" s="14" t="n">
        <x:v>30</x:v>
      </x:c>
      <x:c r="G650" s="26" t="n">
        <x:f>'成本明细'!U97+'成本明细'!G97*(E650-'参数'!$B$6)</x:f>
        <x:v>2360.849954911111</x:v>
      </x:c>
      <x:c r="H650" s="26" t="n">
        <x:f>'成本明细'!U103</x:f>
        <x:v>4752.791591450556</x:v>
      </x:c>
      <x:c r="I650" s="26" t="n">
        <x:f>'成本明细'!V103</x:f>
        <x:v>8614</x:v>
      </x:c>
      <x:c r="J650" s="22" t="n">
        <x:f>'参数'!$B$9</x:f>
        <x:v>300</x:v>
      </x:c>
      <x:c r="K650" s="26" t="n">
        <x:f>J650*(G650-H650)-I650*ROUNDUP(J650/F650,0)</x:f>
        <x:v>-803722.4909618334</x:v>
      </x:c>
      <x:c r="L650" s="10" t="str">
        <x:f>IF(G650-H650&lt;=0,"未回本",IF(ROUNDUP(I650/(G650-H650),0)&gt;MIN(F650,J650),"未回本",MAX(1,ROUNDUP(I650/(G650-H650),0))))</x:f>
        <x:v>未回本</x:v>
      </x:c>
    </x:row>
    <x:row r="651" ht="22" customHeight="1">
      <x:c r="A651" s="11" t="str">
        <x:v>lade_0824_30aoi</x:v>
      </x:c>
      <x:c r="B651" s="10" t="n">
        <x:v>30</x:v>
      </x:c>
      <x:c r="C651" s="10" t="n">
        <x:v>43</x:v>
      </x:c>
      <x:c r="D651" s="10" t="str">
        <x:v>M2 / M4</x:v>
      </x:c>
      <x:c r="E651" s="16" t="n">
        <x:v>1</x:v>
      </x:c>
      <x:c r="F651" s="14" t="n">
        <x:v>30</x:v>
      </x:c>
      <x:c r="G651" s="26" t="n">
        <x:f>'成本明细'!U100+'成本明细'!G100*(E651-'参数'!$B$6)</x:f>
        <x:v>2360.849954911111</x:v>
      </x:c>
      <x:c r="H651" s="26" t="n">
        <x:f>'成本明细'!U106</x:f>
        <x:v>4905.970424478889</x:v>
      </x:c>
      <x:c r="I651" s="26" t="n">
        <x:f>'成本明细'!V106</x:f>
        <x:v>8614</x:v>
      </x:c>
      <x:c r="J651" s="22" t="n">
        <x:f>'参数'!$B$9</x:f>
        <x:v>300</x:v>
      </x:c>
      <x:c r="K651" s="26" t="n">
        <x:f>J651*(G651-H651)-I651*ROUNDUP(J651/F651,0)</x:f>
        <x:v>-849676.1408703334</x:v>
      </x:c>
      <x:c r="L651" s="10" t="str">
        <x:f>IF(G651-H651&lt;=0,"未回本",IF(ROUNDUP(I651/(G651-H651),0)&gt;MIN(F651,J651),"未回本",MAX(1,ROUNDUP(I651/(G651-H651),0))))</x:f>
        <x:v>未回本</x:v>
      </x:c>
    </x:row>
    <x:row r="652" ht="22" customHeight="1">
      <x:c r="A652" s="11" t="str">
        <x:v>lade_0824_30aoi</x:v>
      </x:c>
      <x:c r="B652" s="10" t="n">
        <x:v>30</x:v>
      </x:c>
      <x:c r="C652" s="10" t="n">
        <x:v>43</x:v>
      </x:c>
      <x:c r="D652" s="10" t="str">
        <x:v>M1 / M3</x:v>
      </x:c>
      <x:c r="E652" s="16" t="n">
        <x:v>1</x:v>
      </x:c>
      <x:c r="F652" s="14" t="n">
        <x:v>50</x:v>
      </x:c>
      <x:c r="G652" s="26" t="n">
        <x:f>'成本明细'!U97+'成本明细'!G97*(E652-'参数'!$B$6)</x:f>
        <x:v>2360.849954911111</x:v>
      </x:c>
      <x:c r="H652" s="26" t="n">
        <x:f>'成本明细'!U103</x:f>
        <x:v>4752.791591450556</x:v>
      </x:c>
      <x:c r="I652" s="26" t="n">
        <x:f>'成本明细'!V103</x:f>
        <x:v>8614</x:v>
      </x:c>
      <x:c r="J652" s="22" t="n">
        <x:f>'参数'!$B$9</x:f>
        <x:v>300</x:v>
      </x:c>
      <x:c r="K652" s="26" t="n">
        <x:f>J652*(G652-H652)-I652*ROUNDUP(J652/F652,0)</x:f>
        <x:v>-769266.4909618334</x:v>
      </x:c>
      <x:c r="L652" s="10" t="str">
        <x:f>IF(G652-H652&lt;=0,"未回本",IF(ROUNDUP(I652/(G652-H652),0)&gt;MIN(F652,J652),"未回本",MAX(1,ROUNDUP(I652/(G652-H652),0))))</x:f>
        <x:v>未回本</x:v>
      </x:c>
    </x:row>
    <x:row r="653" ht="22" customHeight="1">
      <x:c r="A653" s="11" t="str">
        <x:v>lade_0824_30aoi</x:v>
      </x:c>
      <x:c r="B653" s="10" t="n">
        <x:v>30</x:v>
      </x:c>
      <x:c r="C653" s="10" t="n">
        <x:v>43</x:v>
      </x:c>
      <x:c r="D653" s="10" t="str">
        <x:v>M2 / M4</x:v>
      </x:c>
      <x:c r="E653" s="16" t="n">
        <x:v>1</x:v>
      </x:c>
      <x:c r="F653" s="14" t="n">
        <x:v>50</x:v>
      </x:c>
      <x:c r="G653" s="26" t="n">
        <x:f>'成本明细'!U100+'成本明细'!G100*(E653-'参数'!$B$6)</x:f>
        <x:v>2360.849954911111</x:v>
      </x:c>
      <x:c r="H653" s="26" t="n">
        <x:f>'成本明细'!U106</x:f>
        <x:v>4905.970424478889</x:v>
      </x:c>
      <x:c r="I653" s="26" t="n">
        <x:f>'成本明细'!V106</x:f>
        <x:v>8614</x:v>
      </x:c>
      <x:c r="J653" s="22" t="n">
        <x:f>'参数'!$B$9</x:f>
        <x:v>300</x:v>
      </x:c>
      <x:c r="K653" s="26" t="n">
        <x:f>J653*(G653-H653)-I653*ROUNDUP(J653/F653,0)</x:f>
        <x:v>-815220.1408703334</x:v>
      </x:c>
      <x:c r="L653" s="10" t="str">
        <x:f>IF(G653-H653&lt;=0,"未回本",IF(ROUNDUP(I653/(G653-H653),0)&gt;MIN(F653,J653),"未回本",MAX(1,ROUNDUP(I653/(G653-H653),0))))</x:f>
        <x:v>未回本</x:v>
      </x:c>
    </x:row>
    <x:row r="654" ht="22" customHeight="1">
      <x:c r="A654" s="11" t="str">
        <x:v>lade_0824_30aoi</x:v>
      </x:c>
      <x:c r="B654" s="10" t="n">
        <x:v>30</x:v>
      </x:c>
      <x:c r="C654" s="10" t="n">
        <x:v>43</x:v>
      </x:c>
      <x:c r="D654" s="10" t="str">
        <x:v>M1 / M3</x:v>
      </x:c>
      <x:c r="E654" s="16" t="n">
        <x:v>2</x:v>
      </x:c>
      <x:c r="F654" s="14" t="n">
        <x:v>10</x:v>
      </x:c>
      <x:c r="G654" s="26" t="n">
        <x:f>'成本明细'!U97+'成本明细'!G97*(E654-'参数'!$B$6)</x:f>
        <x:v>2596.849954911111</x:v>
      </x:c>
      <x:c r="H654" s="26" t="n">
        <x:f>'成本明细'!U103</x:f>
        <x:v>4752.791591450556</x:v>
      </x:c>
      <x:c r="I654" s="26" t="n">
        <x:f>'成本明细'!V103</x:f>
        <x:v>8614</x:v>
      </x:c>
      <x:c r="J654" s="22" t="n">
        <x:f>'参数'!$B$9</x:f>
        <x:v>300</x:v>
      </x:c>
      <x:c r="K654" s="26" t="n">
        <x:f>J654*(G654-H654)-I654*ROUNDUP(J654/F654,0)</x:f>
        <x:v>-905202.4909618334</x:v>
      </x:c>
      <x:c r="L654" s="10" t="str">
        <x:f>IF(G654-H654&lt;=0,"未回本",IF(ROUNDUP(I654/(G654-H654),0)&gt;MIN(F654,J654),"未回本",MAX(1,ROUNDUP(I654/(G654-H654),0))))</x:f>
        <x:v>未回本</x:v>
      </x:c>
    </x:row>
    <x:row r="655" ht="22" customHeight="1">
      <x:c r="A655" s="11" t="str">
        <x:v>lade_0824_30aoi</x:v>
      </x:c>
      <x:c r="B655" s="10" t="n">
        <x:v>30</x:v>
      </x:c>
      <x:c r="C655" s="10" t="n">
        <x:v>43</x:v>
      </x:c>
      <x:c r="D655" s="10" t="str">
        <x:v>M2 / M4</x:v>
      </x:c>
      <x:c r="E655" s="16" t="n">
        <x:v>2</x:v>
      </x:c>
      <x:c r="F655" s="14" t="n">
        <x:v>10</x:v>
      </x:c>
      <x:c r="G655" s="26" t="n">
        <x:f>'成本明细'!U100+'成本明细'!G100*(E655-'参数'!$B$6)</x:f>
        <x:v>2596.849954911111</x:v>
      </x:c>
      <x:c r="H655" s="26" t="n">
        <x:f>'成本明细'!U106</x:f>
        <x:v>4905.970424478889</x:v>
      </x:c>
      <x:c r="I655" s="26" t="n">
        <x:f>'成本明细'!V106</x:f>
        <x:v>8614</x:v>
      </x:c>
      <x:c r="J655" s="22" t="n">
        <x:f>'参数'!$B$9</x:f>
        <x:v>300</x:v>
      </x:c>
      <x:c r="K655" s="26" t="n">
        <x:f>J655*(G655-H655)-I655*ROUNDUP(J655/F655,0)</x:f>
        <x:v>-951156.1408703334</x:v>
      </x:c>
      <x:c r="L655" s="10" t="str">
        <x:f>IF(G655-H655&lt;=0,"未回本",IF(ROUNDUP(I655/(G655-H655),0)&gt;MIN(F655,J655),"未回本",MAX(1,ROUNDUP(I655/(G655-H655),0))))</x:f>
        <x:v>未回本</x:v>
      </x:c>
    </x:row>
    <x:row r="656" ht="22" customHeight="1">
      <x:c r="A656" s="11" t="str">
        <x:v>lade_0824_30aoi</x:v>
      </x:c>
      <x:c r="B656" s="10" t="n">
        <x:v>30</x:v>
      </x:c>
      <x:c r="C656" s="10" t="n">
        <x:v>43</x:v>
      </x:c>
      <x:c r="D656" s="10" t="str">
        <x:v>M1 / M3</x:v>
      </x:c>
      <x:c r="E656" s="16" t="n">
        <x:v>2</x:v>
      </x:c>
      <x:c r="F656" s="14" t="n">
        <x:v>20</x:v>
      </x:c>
      <x:c r="G656" s="26" t="n">
        <x:f>'成本明细'!U97+'成本明细'!G97*(E656-'参数'!$B$6)</x:f>
        <x:v>2596.849954911111</x:v>
      </x:c>
      <x:c r="H656" s="26" t="n">
        <x:f>'成本明细'!U103</x:f>
        <x:v>4752.791591450556</x:v>
      </x:c>
      <x:c r="I656" s="26" t="n">
        <x:f>'成本明细'!V103</x:f>
        <x:v>8614</x:v>
      </x:c>
      <x:c r="J656" s="22" t="n">
        <x:f>'参数'!$B$9</x:f>
        <x:v>300</x:v>
      </x:c>
      <x:c r="K656" s="26" t="n">
        <x:f>J656*(G656-H656)-I656*ROUNDUP(J656/F656,0)</x:f>
        <x:v>-775992.4909618334</x:v>
      </x:c>
      <x:c r="L656" s="10" t="str">
        <x:f>IF(G656-H656&lt;=0,"未回本",IF(ROUNDUP(I656/(G656-H656),0)&gt;MIN(F656,J656),"未回本",MAX(1,ROUNDUP(I656/(G656-H656),0))))</x:f>
        <x:v>未回本</x:v>
      </x:c>
    </x:row>
    <x:row r="657" ht="22" customHeight="1">
      <x:c r="A657" s="11" t="str">
        <x:v>lade_0824_30aoi</x:v>
      </x:c>
      <x:c r="B657" s="10" t="n">
        <x:v>30</x:v>
      </x:c>
      <x:c r="C657" s="10" t="n">
        <x:v>43</x:v>
      </x:c>
      <x:c r="D657" s="10" t="str">
        <x:v>M2 / M4</x:v>
      </x:c>
      <x:c r="E657" s="16" t="n">
        <x:v>2</x:v>
      </x:c>
      <x:c r="F657" s="14" t="n">
        <x:v>20</x:v>
      </x:c>
      <x:c r="G657" s="26" t="n">
        <x:f>'成本明细'!U100+'成本明细'!G100*(E657-'参数'!$B$6)</x:f>
        <x:v>2596.849954911111</x:v>
      </x:c>
      <x:c r="H657" s="26" t="n">
        <x:f>'成本明细'!U106</x:f>
        <x:v>4905.970424478889</x:v>
      </x:c>
      <x:c r="I657" s="26" t="n">
        <x:f>'成本明细'!V106</x:f>
        <x:v>8614</x:v>
      </x:c>
      <x:c r="J657" s="22" t="n">
        <x:f>'参数'!$B$9</x:f>
        <x:v>300</x:v>
      </x:c>
      <x:c r="K657" s="26" t="n">
        <x:f>J657*(G657-H657)-I657*ROUNDUP(J657/F657,0)</x:f>
        <x:v>-821946.1408703334</x:v>
      </x:c>
      <x:c r="L657" s="10" t="str">
        <x:f>IF(G657-H657&lt;=0,"未回本",IF(ROUNDUP(I657/(G657-H657),0)&gt;MIN(F657,J657),"未回本",MAX(1,ROUNDUP(I657/(G657-H657),0))))</x:f>
        <x:v>未回本</x:v>
      </x:c>
    </x:row>
    <x:row r="658" ht="22" customHeight="1">
      <x:c r="A658" s="11" t="str">
        <x:v>lade_0824_30aoi</x:v>
      </x:c>
      <x:c r="B658" s="10" t="n">
        <x:v>30</x:v>
      </x:c>
      <x:c r="C658" s="10" t="n">
        <x:v>43</x:v>
      </x:c>
      <x:c r="D658" s="10" t="str">
        <x:v>M1 / M3</x:v>
      </x:c>
      <x:c r="E658" s="16" t="n">
        <x:v>2</x:v>
      </x:c>
      <x:c r="F658" s="14" t="n">
        <x:v>30</x:v>
      </x:c>
      <x:c r="G658" s="26" t="n">
        <x:f>'成本明细'!U97+'成本明细'!G97*(E658-'参数'!$B$6)</x:f>
        <x:v>2596.849954911111</x:v>
      </x:c>
      <x:c r="H658" s="26" t="n">
        <x:f>'成本明细'!U103</x:f>
        <x:v>4752.791591450556</x:v>
      </x:c>
      <x:c r="I658" s="26" t="n">
        <x:f>'成本明细'!V103</x:f>
        <x:v>8614</x:v>
      </x:c>
      <x:c r="J658" s="22" t="n">
        <x:f>'参数'!$B$9</x:f>
        <x:v>300</x:v>
      </x:c>
      <x:c r="K658" s="26" t="n">
        <x:f>J658*(G658-H658)-I658*ROUNDUP(J658/F658,0)</x:f>
        <x:v>-732922.4909618334</x:v>
      </x:c>
      <x:c r="L658" s="10" t="str">
        <x:f>IF(G658-H658&lt;=0,"未回本",IF(ROUNDUP(I658/(G658-H658),0)&gt;MIN(F658,J658),"未回本",MAX(1,ROUNDUP(I658/(G658-H658),0))))</x:f>
        <x:v>未回本</x:v>
      </x:c>
    </x:row>
    <x:row r="659" ht="22" customHeight="1">
      <x:c r="A659" s="11" t="str">
        <x:v>lade_0824_30aoi</x:v>
      </x:c>
      <x:c r="B659" s="10" t="n">
        <x:v>30</x:v>
      </x:c>
      <x:c r="C659" s="10" t="n">
        <x:v>43</x:v>
      </x:c>
      <x:c r="D659" s="10" t="str">
        <x:v>M2 / M4</x:v>
      </x:c>
      <x:c r="E659" s="16" t="n">
        <x:v>2</x:v>
      </x:c>
      <x:c r="F659" s="14" t="n">
        <x:v>30</x:v>
      </x:c>
      <x:c r="G659" s="26" t="n">
        <x:f>'成本明细'!U100+'成本明细'!G100*(E659-'参数'!$B$6)</x:f>
        <x:v>2596.849954911111</x:v>
      </x:c>
      <x:c r="H659" s="26" t="n">
        <x:f>'成本明细'!U106</x:f>
        <x:v>4905.970424478889</x:v>
      </x:c>
      <x:c r="I659" s="26" t="n">
        <x:f>'成本明细'!V106</x:f>
        <x:v>8614</x:v>
      </x:c>
      <x:c r="J659" s="22" t="n">
        <x:f>'参数'!$B$9</x:f>
        <x:v>300</x:v>
      </x:c>
      <x:c r="K659" s="26" t="n">
        <x:f>J659*(G659-H659)-I659*ROUNDUP(J659/F659,0)</x:f>
        <x:v>-778876.1408703334</x:v>
      </x:c>
      <x:c r="L659" s="10" t="str">
        <x:f>IF(G659-H659&lt;=0,"未回本",IF(ROUNDUP(I659/(G659-H659),0)&gt;MIN(F659,J659),"未回本",MAX(1,ROUNDUP(I659/(G659-H659),0))))</x:f>
        <x:v>未回本</x:v>
      </x:c>
    </x:row>
    <x:row r="660" ht="22" customHeight="1">
      <x:c r="A660" s="11" t="str">
        <x:v>lade_0824_30aoi</x:v>
      </x:c>
      <x:c r="B660" s="10" t="n">
        <x:v>30</x:v>
      </x:c>
      <x:c r="C660" s="10" t="n">
        <x:v>43</x:v>
      </x:c>
      <x:c r="D660" s="10" t="str">
        <x:v>M1 / M3</x:v>
      </x:c>
      <x:c r="E660" s="16" t="n">
        <x:v>2</x:v>
      </x:c>
      <x:c r="F660" s="14" t="n">
        <x:v>50</x:v>
      </x:c>
      <x:c r="G660" s="26" t="n">
        <x:f>'成本明细'!U97+'成本明细'!G97*(E660-'参数'!$B$6)</x:f>
        <x:v>2596.849954911111</x:v>
      </x:c>
      <x:c r="H660" s="26" t="n">
        <x:f>'成本明细'!U103</x:f>
        <x:v>4752.791591450556</x:v>
      </x:c>
      <x:c r="I660" s="26" t="n">
        <x:f>'成本明细'!V103</x:f>
        <x:v>8614</x:v>
      </x:c>
      <x:c r="J660" s="22" t="n">
        <x:f>'参数'!$B$9</x:f>
        <x:v>300</x:v>
      </x:c>
      <x:c r="K660" s="26" t="n">
        <x:f>J660*(G660-H660)-I660*ROUNDUP(J660/F660,0)</x:f>
        <x:v>-698466.4909618334</x:v>
      </x:c>
      <x:c r="L660" s="10" t="str">
        <x:f>IF(G660-H660&lt;=0,"未回本",IF(ROUNDUP(I660/(G660-H660),0)&gt;MIN(F660,J660),"未回本",MAX(1,ROUNDUP(I660/(G660-H660),0))))</x:f>
        <x:v>未回本</x:v>
      </x:c>
    </x:row>
    <x:row r="661" ht="22" customHeight="1">
      <x:c r="A661" s="11" t="str">
        <x:v>lade_0824_30aoi</x:v>
      </x:c>
      <x:c r="B661" s="10" t="n">
        <x:v>30</x:v>
      </x:c>
      <x:c r="C661" s="10" t="n">
        <x:v>43</x:v>
      </x:c>
      <x:c r="D661" s="10" t="str">
        <x:v>M2 / M4</x:v>
      </x:c>
      <x:c r="E661" s="16" t="n">
        <x:v>2</x:v>
      </x:c>
      <x:c r="F661" s="14" t="n">
        <x:v>50</x:v>
      </x:c>
      <x:c r="G661" s="26" t="n">
        <x:f>'成本明细'!U100+'成本明细'!G100*(E661-'参数'!$B$6)</x:f>
        <x:v>2596.849954911111</x:v>
      </x:c>
      <x:c r="H661" s="26" t="n">
        <x:f>'成本明细'!U106</x:f>
        <x:v>4905.970424478889</x:v>
      </x:c>
      <x:c r="I661" s="26" t="n">
        <x:f>'成本明细'!V106</x:f>
        <x:v>8614</x:v>
      </x:c>
      <x:c r="J661" s="22" t="n">
        <x:f>'参数'!$B$9</x:f>
        <x:v>300</x:v>
      </x:c>
      <x:c r="K661" s="26" t="n">
        <x:f>J661*(G661-H661)-I661*ROUNDUP(J661/F661,0)</x:f>
        <x:v>-744420.1408703334</x:v>
      </x:c>
      <x:c r="L661" s="10" t="str">
        <x:f>IF(G661-H661&lt;=0,"未回本",IF(ROUNDUP(I661/(G661-H661),0)&gt;MIN(F661,J661),"未回本",MAX(1,ROUNDUP(I661/(G661-H661),0))))</x:f>
        <x:v>未回本</x:v>
      </x:c>
    </x:row>
    <x:row r="662" ht="22" customHeight="1">
      <x:c r="A662" s="11" t="str">
        <x:v>lade_0824_30aoi</x:v>
      </x:c>
      <x:c r="B662" s="10" t="n">
        <x:v>30</x:v>
      </x:c>
      <x:c r="C662" s="10" t="n">
        <x:v>43</x:v>
      </x:c>
      <x:c r="D662" s="10" t="str">
        <x:v>M1 / M3</x:v>
      </x:c>
      <x:c r="E662" s="16" t="n">
        <x:v>3</x:v>
      </x:c>
      <x:c r="F662" s="14" t="n">
        <x:v>10</x:v>
      </x:c>
      <x:c r="G662" s="26" t="n">
        <x:f>'成本明细'!U97+'成本明细'!G97*(E662-'参数'!$B$6)</x:f>
        <x:v>2832.849954911111</x:v>
      </x:c>
      <x:c r="H662" s="26" t="n">
        <x:f>'成本明细'!U103</x:f>
        <x:v>4752.791591450556</x:v>
      </x:c>
      <x:c r="I662" s="26" t="n">
        <x:f>'成本明细'!V103</x:f>
        <x:v>8614</x:v>
      </x:c>
      <x:c r="J662" s="22" t="n">
        <x:f>'参数'!$B$9</x:f>
        <x:v>300</x:v>
      </x:c>
      <x:c r="K662" s="26" t="n">
        <x:f>J662*(G662-H662)-I662*ROUNDUP(J662/F662,0)</x:f>
        <x:v>-834402.4909618334</x:v>
      </x:c>
      <x:c r="L662" s="10" t="str">
        <x:f>IF(G662-H662&lt;=0,"未回本",IF(ROUNDUP(I662/(G662-H662),0)&gt;MIN(F662,J662),"未回本",MAX(1,ROUNDUP(I662/(G662-H662),0))))</x:f>
        <x:v>未回本</x:v>
      </x:c>
    </x:row>
    <x:row r="663" ht="22" customHeight="1">
      <x:c r="A663" s="11" t="str">
        <x:v>lade_0824_30aoi</x:v>
      </x:c>
      <x:c r="B663" s="10" t="n">
        <x:v>30</x:v>
      </x:c>
      <x:c r="C663" s="10" t="n">
        <x:v>43</x:v>
      </x:c>
      <x:c r="D663" s="10" t="str">
        <x:v>M2 / M4</x:v>
      </x:c>
      <x:c r="E663" s="16" t="n">
        <x:v>3</x:v>
      </x:c>
      <x:c r="F663" s="14" t="n">
        <x:v>10</x:v>
      </x:c>
      <x:c r="G663" s="26" t="n">
        <x:f>'成本明细'!U100+'成本明细'!G100*(E663-'参数'!$B$6)</x:f>
        <x:v>2832.849954911111</x:v>
      </x:c>
      <x:c r="H663" s="26" t="n">
        <x:f>'成本明细'!U106</x:f>
        <x:v>4905.970424478889</x:v>
      </x:c>
      <x:c r="I663" s="26" t="n">
        <x:f>'成本明细'!V106</x:f>
        <x:v>8614</x:v>
      </x:c>
      <x:c r="J663" s="22" t="n">
        <x:f>'参数'!$B$9</x:f>
        <x:v>300</x:v>
      </x:c>
      <x:c r="K663" s="26" t="n">
        <x:f>J663*(G663-H663)-I663*ROUNDUP(J663/F663,0)</x:f>
        <x:v>-880356.1408703334</x:v>
      </x:c>
      <x:c r="L663" s="10" t="str">
        <x:f>IF(G663-H663&lt;=0,"未回本",IF(ROUNDUP(I663/(G663-H663),0)&gt;MIN(F663,J663),"未回本",MAX(1,ROUNDUP(I663/(G663-H663),0))))</x:f>
        <x:v>未回本</x:v>
      </x:c>
    </x:row>
    <x:row r="664" ht="22" customHeight="1">
      <x:c r="A664" s="11" t="str">
        <x:v>lade_0824_30aoi</x:v>
      </x:c>
      <x:c r="B664" s="10" t="n">
        <x:v>30</x:v>
      </x:c>
      <x:c r="C664" s="10" t="n">
        <x:v>43</x:v>
      </x:c>
      <x:c r="D664" s="10" t="str">
        <x:v>M1 / M3</x:v>
      </x:c>
      <x:c r="E664" s="16" t="n">
        <x:v>3</x:v>
      </x:c>
      <x:c r="F664" s="14" t="n">
        <x:v>20</x:v>
      </x:c>
      <x:c r="G664" s="26" t="n">
        <x:f>'成本明细'!U97+'成本明细'!G97*(E664-'参数'!$B$6)</x:f>
        <x:v>2832.849954911111</x:v>
      </x:c>
      <x:c r="H664" s="26" t="n">
        <x:f>'成本明细'!U103</x:f>
        <x:v>4752.791591450556</x:v>
      </x:c>
      <x:c r="I664" s="26" t="n">
        <x:f>'成本明细'!V103</x:f>
        <x:v>8614</x:v>
      </x:c>
      <x:c r="J664" s="22" t="n">
        <x:f>'参数'!$B$9</x:f>
        <x:v>300</x:v>
      </x:c>
      <x:c r="K664" s="26" t="n">
        <x:f>J664*(G664-H664)-I664*ROUNDUP(J664/F664,0)</x:f>
        <x:v>-705192.4909618334</x:v>
      </x:c>
      <x:c r="L664" s="10" t="str">
        <x:f>IF(G664-H664&lt;=0,"未回本",IF(ROUNDUP(I664/(G664-H664),0)&gt;MIN(F664,J664),"未回本",MAX(1,ROUNDUP(I664/(G664-H664),0))))</x:f>
        <x:v>未回本</x:v>
      </x:c>
    </x:row>
    <x:row r="665" ht="22" customHeight="1">
      <x:c r="A665" s="11" t="str">
        <x:v>lade_0824_30aoi</x:v>
      </x:c>
      <x:c r="B665" s="10" t="n">
        <x:v>30</x:v>
      </x:c>
      <x:c r="C665" s="10" t="n">
        <x:v>43</x:v>
      </x:c>
      <x:c r="D665" s="10" t="str">
        <x:v>M2 / M4</x:v>
      </x:c>
      <x:c r="E665" s="16" t="n">
        <x:v>3</x:v>
      </x:c>
      <x:c r="F665" s="14" t="n">
        <x:v>20</x:v>
      </x:c>
      <x:c r="G665" s="26" t="n">
        <x:f>'成本明细'!U100+'成本明细'!G100*(E665-'参数'!$B$6)</x:f>
        <x:v>2832.849954911111</x:v>
      </x:c>
      <x:c r="H665" s="26" t="n">
        <x:f>'成本明细'!U106</x:f>
        <x:v>4905.970424478889</x:v>
      </x:c>
      <x:c r="I665" s="26" t="n">
        <x:f>'成本明细'!V106</x:f>
        <x:v>8614</x:v>
      </x:c>
      <x:c r="J665" s="22" t="n">
        <x:f>'参数'!$B$9</x:f>
        <x:v>300</x:v>
      </x:c>
      <x:c r="K665" s="26" t="n">
        <x:f>J665*(G665-H665)-I665*ROUNDUP(J665/F665,0)</x:f>
        <x:v>-751146.1408703334</x:v>
      </x:c>
      <x:c r="L665" s="10" t="str">
        <x:f>IF(G665-H665&lt;=0,"未回本",IF(ROUNDUP(I665/(G665-H665),0)&gt;MIN(F665,J665),"未回本",MAX(1,ROUNDUP(I665/(G665-H665),0))))</x:f>
        <x:v>未回本</x:v>
      </x:c>
    </x:row>
    <x:row r="666" ht="22" customHeight="1">
      <x:c r="A666" s="11" t="str">
        <x:v>lade_0824_30aoi</x:v>
      </x:c>
      <x:c r="B666" s="10" t="n">
        <x:v>30</x:v>
      </x:c>
      <x:c r="C666" s="10" t="n">
        <x:v>43</x:v>
      </x:c>
      <x:c r="D666" s="10" t="str">
        <x:v>M1 / M3</x:v>
      </x:c>
      <x:c r="E666" s="16" t="n">
        <x:v>3</x:v>
      </x:c>
      <x:c r="F666" s="14" t="n">
        <x:v>30</x:v>
      </x:c>
      <x:c r="G666" s="26" t="n">
        <x:f>'成本明细'!U97+'成本明细'!G97*(E666-'参数'!$B$6)</x:f>
        <x:v>2832.849954911111</x:v>
      </x:c>
      <x:c r="H666" s="26" t="n">
        <x:f>'成本明细'!U103</x:f>
        <x:v>4752.791591450556</x:v>
      </x:c>
      <x:c r="I666" s="26" t="n">
        <x:f>'成本明细'!V103</x:f>
        <x:v>8614</x:v>
      </x:c>
      <x:c r="J666" s="22" t="n">
        <x:f>'参数'!$B$9</x:f>
        <x:v>300</x:v>
      </x:c>
      <x:c r="K666" s="26" t="n">
        <x:f>J666*(G666-H666)-I666*ROUNDUP(J666/F666,0)</x:f>
        <x:v>-662122.4909618334</x:v>
      </x:c>
      <x:c r="L666" s="10" t="str">
        <x:f>IF(G666-H666&lt;=0,"未回本",IF(ROUNDUP(I666/(G666-H666),0)&gt;MIN(F666,J666),"未回本",MAX(1,ROUNDUP(I666/(G666-H666),0))))</x:f>
        <x:v>未回本</x:v>
      </x:c>
    </x:row>
    <x:row r="667" ht="22" customHeight="1">
      <x:c r="A667" s="11" t="str">
        <x:v>lade_0824_30aoi</x:v>
      </x:c>
      <x:c r="B667" s="10" t="n">
        <x:v>30</x:v>
      </x:c>
      <x:c r="C667" s="10" t="n">
        <x:v>43</x:v>
      </x:c>
      <x:c r="D667" s="10" t="str">
        <x:v>M2 / M4</x:v>
      </x:c>
      <x:c r="E667" s="16" t="n">
        <x:v>3</x:v>
      </x:c>
      <x:c r="F667" s="14" t="n">
        <x:v>30</x:v>
      </x:c>
      <x:c r="G667" s="26" t="n">
        <x:f>'成本明细'!U100+'成本明细'!G100*(E667-'参数'!$B$6)</x:f>
        <x:v>2832.849954911111</x:v>
      </x:c>
      <x:c r="H667" s="26" t="n">
        <x:f>'成本明细'!U106</x:f>
        <x:v>4905.970424478889</x:v>
      </x:c>
      <x:c r="I667" s="26" t="n">
        <x:f>'成本明细'!V106</x:f>
        <x:v>8614</x:v>
      </x:c>
      <x:c r="J667" s="22" t="n">
        <x:f>'参数'!$B$9</x:f>
        <x:v>300</x:v>
      </x:c>
      <x:c r="K667" s="26" t="n">
        <x:f>J667*(G667-H667)-I667*ROUNDUP(J667/F667,0)</x:f>
        <x:v>-708076.1408703334</x:v>
      </x:c>
      <x:c r="L667" s="10" t="str">
        <x:f>IF(G667-H667&lt;=0,"未回本",IF(ROUNDUP(I667/(G667-H667),0)&gt;MIN(F667,J667),"未回本",MAX(1,ROUNDUP(I667/(G667-H667),0))))</x:f>
        <x:v>未回本</x:v>
      </x:c>
    </x:row>
    <x:row r="668" ht="22" customHeight="1">
      <x:c r="A668" s="11" t="str">
        <x:v>lade_0824_30aoi</x:v>
      </x:c>
      <x:c r="B668" s="10" t="n">
        <x:v>30</x:v>
      </x:c>
      <x:c r="C668" s="10" t="n">
        <x:v>43</x:v>
      </x:c>
      <x:c r="D668" s="10" t="str">
        <x:v>M1 / M3</x:v>
      </x:c>
      <x:c r="E668" s="16" t="n">
        <x:v>3</x:v>
      </x:c>
      <x:c r="F668" s="14" t="n">
        <x:v>50</x:v>
      </x:c>
      <x:c r="G668" s="26" t="n">
        <x:f>'成本明细'!U97+'成本明细'!G97*(E668-'参数'!$B$6)</x:f>
        <x:v>2832.849954911111</x:v>
      </x:c>
      <x:c r="H668" s="26" t="n">
        <x:f>'成本明细'!U103</x:f>
        <x:v>4752.791591450556</x:v>
      </x:c>
      <x:c r="I668" s="26" t="n">
        <x:f>'成本明细'!V103</x:f>
        <x:v>8614</x:v>
      </x:c>
      <x:c r="J668" s="22" t="n">
        <x:f>'参数'!$B$9</x:f>
        <x:v>300</x:v>
      </x:c>
      <x:c r="K668" s="26" t="n">
        <x:f>J668*(G668-H668)-I668*ROUNDUP(J668/F668,0)</x:f>
        <x:v>-627666.4909618334</x:v>
      </x:c>
      <x:c r="L668" s="10" t="str">
        <x:f>IF(G668-H668&lt;=0,"未回本",IF(ROUNDUP(I668/(G668-H668),0)&gt;MIN(F668,J668),"未回本",MAX(1,ROUNDUP(I668/(G668-H668),0))))</x:f>
        <x:v>未回本</x:v>
      </x:c>
    </x:row>
    <x:row r="669" ht="22" customHeight="1">
      <x:c r="A669" s="11" t="str">
        <x:v>lade_0824_30aoi</x:v>
      </x:c>
      <x:c r="B669" s="10" t="n">
        <x:v>30</x:v>
      </x:c>
      <x:c r="C669" s="10" t="n">
        <x:v>43</x:v>
      </x:c>
      <x:c r="D669" s="10" t="str">
        <x:v>M2 / M4</x:v>
      </x:c>
      <x:c r="E669" s="16" t="n">
        <x:v>3</x:v>
      </x:c>
      <x:c r="F669" s="14" t="n">
        <x:v>50</x:v>
      </x:c>
      <x:c r="G669" s="26" t="n">
        <x:f>'成本明细'!U100+'成本明细'!G100*(E669-'参数'!$B$6)</x:f>
        <x:v>2832.849954911111</x:v>
      </x:c>
      <x:c r="H669" s="26" t="n">
        <x:f>'成本明细'!U106</x:f>
        <x:v>4905.970424478889</x:v>
      </x:c>
      <x:c r="I669" s="26" t="n">
        <x:f>'成本明细'!V106</x:f>
        <x:v>8614</x:v>
      </x:c>
      <x:c r="J669" s="22" t="n">
        <x:f>'参数'!$B$9</x:f>
        <x:v>300</x:v>
      </x:c>
      <x:c r="K669" s="26" t="n">
        <x:f>J669*(G669-H669)-I669*ROUNDUP(J669/F669,0)</x:f>
        <x:v>-673620.1408703334</x:v>
      </x:c>
      <x:c r="L669" s="10" t="str">
        <x:f>IF(G669-H669&lt;=0,"未回本",IF(ROUNDUP(I669/(G669-H669),0)&gt;MIN(F669,J669),"未回本",MAX(1,ROUNDUP(I669/(G669-H669),0))))</x:f>
        <x:v>未回本</x:v>
      </x:c>
    </x:row>
    <x:row r="670" ht="22" customHeight="1">
      <x:c r="A670" s="11" t="str">
        <x:v>lade_0824_30aoi</x:v>
      </x:c>
      <x:c r="B670" s="10" t="n">
        <x:v>30</x:v>
      </x:c>
      <x:c r="C670" s="10" t="n">
        <x:v>43</x:v>
      </x:c>
      <x:c r="D670" s="10" t="str">
        <x:v>M1 / M3</x:v>
      </x:c>
      <x:c r="E670" s="16" t="n">
        <x:v>4</x:v>
      </x:c>
      <x:c r="F670" s="14" t="n">
        <x:v>10</x:v>
      </x:c>
      <x:c r="G670" s="26" t="n">
        <x:f>'成本明细'!U97+'成本明细'!G97*(E670-'参数'!$B$6)</x:f>
        <x:v>3068.849954911111</x:v>
      </x:c>
      <x:c r="H670" s="26" t="n">
        <x:f>'成本明细'!U103</x:f>
        <x:v>4752.791591450556</x:v>
      </x:c>
      <x:c r="I670" s="26" t="n">
        <x:f>'成本明细'!V103</x:f>
        <x:v>8614</x:v>
      </x:c>
      <x:c r="J670" s="22" t="n">
        <x:f>'参数'!$B$9</x:f>
        <x:v>300</x:v>
      </x:c>
      <x:c r="K670" s="26" t="n">
        <x:f>J670*(G670-H670)-I670*ROUNDUP(J670/F670,0)</x:f>
        <x:v>-763602.4909618334</x:v>
      </x:c>
      <x:c r="L670" s="10" t="str">
        <x:f>IF(G670-H670&lt;=0,"未回本",IF(ROUNDUP(I670/(G670-H670),0)&gt;MIN(F670,J670),"未回本",MAX(1,ROUNDUP(I670/(G670-H670),0))))</x:f>
        <x:v>未回本</x:v>
      </x:c>
    </x:row>
    <x:row r="671" ht="22" customHeight="1">
      <x:c r="A671" s="11" t="str">
        <x:v>lade_0824_30aoi</x:v>
      </x:c>
      <x:c r="B671" s="10" t="n">
        <x:v>30</x:v>
      </x:c>
      <x:c r="C671" s="10" t="n">
        <x:v>43</x:v>
      </x:c>
      <x:c r="D671" s="10" t="str">
        <x:v>M2 / M4</x:v>
      </x:c>
      <x:c r="E671" s="16" t="n">
        <x:v>4</x:v>
      </x:c>
      <x:c r="F671" s="14" t="n">
        <x:v>10</x:v>
      </x:c>
      <x:c r="G671" s="26" t="n">
        <x:f>'成本明细'!U100+'成本明细'!G100*(E671-'参数'!$B$6)</x:f>
        <x:v>3068.849954911111</x:v>
      </x:c>
      <x:c r="H671" s="26" t="n">
        <x:f>'成本明细'!U106</x:f>
        <x:v>4905.970424478889</x:v>
      </x:c>
      <x:c r="I671" s="26" t="n">
        <x:f>'成本明细'!V106</x:f>
        <x:v>8614</x:v>
      </x:c>
      <x:c r="J671" s="22" t="n">
        <x:f>'参数'!$B$9</x:f>
        <x:v>300</x:v>
      </x:c>
      <x:c r="K671" s="26" t="n">
        <x:f>J671*(G671-H671)-I671*ROUNDUP(J671/F671,0)</x:f>
        <x:v>-809556.1408703334</x:v>
      </x:c>
      <x:c r="L671" s="10" t="str">
        <x:f>IF(G671-H671&lt;=0,"未回本",IF(ROUNDUP(I671/(G671-H671),0)&gt;MIN(F671,J671),"未回本",MAX(1,ROUNDUP(I671/(G671-H671),0))))</x:f>
        <x:v>未回本</x:v>
      </x:c>
    </x:row>
    <x:row r="672" ht="22" customHeight="1">
      <x:c r="A672" s="11" t="str">
        <x:v>lade_0824_30aoi</x:v>
      </x:c>
      <x:c r="B672" s="10" t="n">
        <x:v>30</x:v>
      </x:c>
      <x:c r="C672" s="10" t="n">
        <x:v>43</x:v>
      </x:c>
      <x:c r="D672" s="10" t="str">
        <x:v>M1 / M3</x:v>
      </x:c>
      <x:c r="E672" s="16" t="n">
        <x:v>4</x:v>
      </x:c>
      <x:c r="F672" s="14" t="n">
        <x:v>20</x:v>
      </x:c>
      <x:c r="G672" s="26" t="n">
        <x:f>'成本明细'!U97+'成本明细'!G97*(E672-'参数'!$B$6)</x:f>
        <x:v>3068.849954911111</x:v>
      </x:c>
      <x:c r="H672" s="26" t="n">
        <x:f>'成本明细'!U103</x:f>
        <x:v>4752.791591450556</x:v>
      </x:c>
      <x:c r="I672" s="26" t="n">
        <x:f>'成本明细'!V103</x:f>
        <x:v>8614</x:v>
      </x:c>
      <x:c r="J672" s="22" t="n">
        <x:f>'参数'!$B$9</x:f>
        <x:v>300</x:v>
      </x:c>
      <x:c r="K672" s="26" t="n">
        <x:f>J672*(G672-H672)-I672*ROUNDUP(J672/F672,0)</x:f>
        <x:v>-634392.4909618334</x:v>
      </x:c>
      <x:c r="L672" s="10" t="str">
        <x:f>IF(G672-H672&lt;=0,"未回本",IF(ROUNDUP(I672/(G672-H672),0)&gt;MIN(F672,J672),"未回本",MAX(1,ROUNDUP(I672/(G672-H672),0))))</x:f>
        <x:v>未回本</x:v>
      </x:c>
    </x:row>
    <x:row r="673" ht="22" customHeight="1">
      <x:c r="A673" s="11" t="str">
        <x:v>lade_0824_30aoi</x:v>
      </x:c>
      <x:c r="B673" s="10" t="n">
        <x:v>30</x:v>
      </x:c>
      <x:c r="C673" s="10" t="n">
        <x:v>43</x:v>
      </x:c>
      <x:c r="D673" s="10" t="str">
        <x:v>M2 / M4</x:v>
      </x:c>
      <x:c r="E673" s="16" t="n">
        <x:v>4</x:v>
      </x:c>
      <x:c r="F673" s="14" t="n">
        <x:v>20</x:v>
      </x:c>
      <x:c r="G673" s="26" t="n">
        <x:f>'成本明细'!U100+'成本明细'!G100*(E673-'参数'!$B$6)</x:f>
        <x:v>3068.849954911111</x:v>
      </x:c>
      <x:c r="H673" s="26" t="n">
        <x:f>'成本明细'!U106</x:f>
        <x:v>4905.970424478889</x:v>
      </x:c>
      <x:c r="I673" s="26" t="n">
        <x:f>'成本明细'!V106</x:f>
        <x:v>8614</x:v>
      </x:c>
      <x:c r="J673" s="22" t="n">
        <x:f>'参数'!$B$9</x:f>
        <x:v>300</x:v>
      </x:c>
      <x:c r="K673" s="26" t="n">
        <x:f>J673*(G673-H673)-I673*ROUNDUP(J673/F673,0)</x:f>
        <x:v>-680346.1408703334</x:v>
      </x:c>
      <x:c r="L673" s="10" t="str">
        <x:f>IF(G673-H673&lt;=0,"未回本",IF(ROUNDUP(I673/(G673-H673),0)&gt;MIN(F673,J673),"未回本",MAX(1,ROUNDUP(I673/(G673-H673),0))))</x:f>
        <x:v>未回本</x:v>
      </x:c>
    </x:row>
    <x:row r="674" ht="22" customHeight="1">
      <x:c r="A674" s="11" t="str">
        <x:v>lade_0824_30aoi</x:v>
      </x:c>
      <x:c r="B674" s="10" t="n">
        <x:v>30</x:v>
      </x:c>
      <x:c r="C674" s="10" t="n">
        <x:v>43</x:v>
      </x:c>
      <x:c r="D674" s="10" t="str">
        <x:v>M1 / M3</x:v>
      </x:c>
      <x:c r="E674" s="16" t="n">
        <x:v>4</x:v>
      </x:c>
      <x:c r="F674" s="14" t="n">
        <x:v>30</x:v>
      </x:c>
      <x:c r="G674" s="26" t="n">
        <x:f>'成本明细'!U97+'成本明细'!G97*(E674-'参数'!$B$6)</x:f>
        <x:v>3068.849954911111</x:v>
      </x:c>
      <x:c r="H674" s="26" t="n">
        <x:f>'成本明细'!U103</x:f>
        <x:v>4752.791591450556</x:v>
      </x:c>
      <x:c r="I674" s="26" t="n">
        <x:f>'成本明细'!V103</x:f>
        <x:v>8614</x:v>
      </x:c>
      <x:c r="J674" s="22" t="n">
        <x:f>'参数'!$B$9</x:f>
        <x:v>300</x:v>
      </x:c>
      <x:c r="K674" s="26" t="n">
        <x:f>J674*(G674-H674)-I674*ROUNDUP(J674/F674,0)</x:f>
        <x:v>-591322.4909618334</x:v>
      </x:c>
      <x:c r="L674" s="10" t="str">
        <x:f>IF(G674-H674&lt;=0,"未回本",IF(ROUNDUP(I674/(G674-H674),0)&gt;MIN(F674,J674),"未回本",MAX(1,ROUNDUP(I674/(G674-H674),0))))</x:f>
        <x:v>未回本</x:v>
      </x:c>
    </x:row>
    <x:row r="675" ht="22" customHeight="1">
      <x:c r="A675" s="11" t="str">
        <x:v>lade_0824_30aoi</x:v>
      </x:c>
      <x:c r="B675" s="10" t="n">
        <x:v>30</x:v>
      </x:c>
      <x:c r="C675" s="10" t="n">
        <x:v>43</x:v>
      </x:c>
      <x:c r="D675" s="10" t="str">
        <x:v>M2 / M4</x:v>
      </x:c>
      <x:c r="E675" s="16" t="n">
        <x:v>4</x:v>
      </x:c>
      <x:c r="F675" s="14" t="n">
        <x:v>30</x:v>
      </x:c>
      <x:c r="G675" s="26" t="n">
        <x:f>'成本明细'!U100+'成本明细'!G100*(E675-'参数'!$B$6)</x:f>
        <x:v>3068.849954911111</x:v>
      </x:c>
      <x:c r="H675" s="26" t="n">
        <x:f>'成本明细'!U106</x:f>
        <x:v>4905.970424478889</x:v>
      </x:c>
      <x:c r="I675" s="26" t="n">
        <x:f>'成本明细'!V106</x:f>
        <x:v>8614</x:v>
      </x:c>
      <x:c r="J675" s="22" t="n">
        <x:f>'参数'!$B$9</x:f>
        <x:v>300</x:v>
      </x:c>
      <x:c r="K675" s="26" t="n">
        <x:f>J675*(G675-H675)-I675*ROUNDUP(J675/F675,0)</x:f>
        <x:v>-637276.1408703334</x:v>
      </x:c>
      <x:c r="L675" s="10" t="str">
        <x:f>IF(G675-H675&lt;=0,"未回本",IF(ROUNDUP(I675/(G675-H675),0)&gt;MIN(F675,J675),"未回本",MAX(1,ROUNDUP(I675/(G675-H675),0))))</x:f>
        <x:v>未回本</x:v>
      </x:c>
    </x:row>
    <x:row r="676" ht="22" customHeight="1">
      <x:c r="A676" s="11" t="str">
        <x:v>lade_0824_30aoi</x:v>
      </x:c>
      <x:c r="B676" s="10" t="n">
        <x:v>30</x:v>
      </x:c>
      <x:c r="C676" s="10" t="n">
        <x:v>43</x:v>
      </x:c>
      <x:c r="D676" s="10" t="str">
        <x:v>M1 / M3</x:v>
      </x:c>
      <x:c r="E676" s="16" t="n">
        <x:v>4</x:v>
      </x:c>
      <x:c r="F676" s="14" t="n">
        <x:v>50</x:v>
      </x:c>
      <x:c r="G676" s="26" t="n">
        <x:f>'成本明细'!U97+'成本明细'!G97*(E676-'参数'!$B$6)</x:f>
        <x:v>3068.849954911111</x:v>
      </x:c>
      <x:c r="H676" s="26" t="n">
        <x:f>'成本明细'!U103</x:f>
        <x:v>4752.791591450556</x:v>
      </x:c>
      <x:c r="I676" s="26" t="n">
        <x:f>'成本明细'!V103</x:f>
        <x:v>8614</x:v>
      </x:c>
      <x:c r="J676" s="22" t="n">
        <x:f>'参数'!$B$9</x:f>
        <x:v>300</x:v>
      </x:c>
      <x:c r="K676" s="26" t="n">
        <x:f>J676*(G676-H676)-I676*ROUNDUP(J676/F676,0)</x:f>
        <x:v>-556866.4909618334</x:v>
      </x:c>
      <x:c r="L676" s="10" t="str">
        <x:f>IF(G676-H676&lt;=0,"未回本",IF(ROUNDUP(I676/(G676-H676),0)&gt;MIN(F676,J676),"未回本",MAX(1,ROUNDUP(I676/(G676-H676),0))))</x:f>
        <x:v>未回本</x:v>
      </x:c>
    </x:row>
    <x:row r="677" ht="22" customHeight="1">
      <x:c r="A677" s="11" t="str">
        <x:v>lade_0824_30aoi</x:v>
      </x:c>
      <x:c r="B677" s="10" t="n">
        <x:v>30</x:v>
      </x:c>
      <x:c r="C677" s="10" t="n">
        <x:v>43</x:v>
      </x:c>
      <x:c r="D677" s="10" t="str">
        <x:v>M2 / M4</x:v>
      </x:c>
      <x:c r="E677" s="16" t="n">
        <x:v>4</x:v>
      </x:c>
      <x:c r="F677" s="14" t="n">
        <x:v>50</x:v>
      </x:c>
      <x:c r="G677" s="26" t="n">
        <x:f>'成本明细'!U100+'成本明细'!G100*(E677-'参数'!$B$6)</x:f>
        <x:v>3068.849954911111</x:v>
      </x:c>
      <x:c r="H677" s="26" t="n">
        <x:f>'成本明细'!U106</x:f>
        <x:v>4905.970424478889</x:v>
      </x:c>
      <x:c r="I677" s="26" t="n">
        <x:f>'成本明细'!V106</x:f>
        <x:v>8614</x:v>
      </x:c>
      <x:c r="J677" s="22" t="n">
        <x:f>'参数'!$B$9</x:f>
        <x:v>300</x:v>
      </x:c>
      <x:c r="K677" s="26" t="n">
        <x:f>J677*(G677-H677)-I677*ROUNDUP(J677/F677,0)</x:f>
        <x:v>-602820.1408703334</x:v>
      </x:c>
      <x:c r="L677" s="10" t="str">
        <x:f>IF(G677-H677&lt;=0,"未回本",IF(ROUNDUP(I677/(G677-H677),0)&gt;MIN(F677,J677),"未回本",MAX(1,ROUNDUP(I677/(G677-H677),0))))</x:f>
        <x:v>未回本</x:v>
      </x:c>
    </x:row>
    <x:row r="678" ht="22" customHeight="1">
      <x:c r="A678" s="11" t="str">
        <x:v>lade_0824_30aoi</x:v>
      </x:c>
      <x:c r="B678" s="10" t="n">
        <x:v>30</x:v>
      </x:c>
      <x:c r="C678" s="10" t="n">
        <x:v>43</x:v>
      </x:c>
      <x:c r="D678" s="10" t="str">
        <x:v>M1 / M3</x:v>
      </x:c>
      <x:c r="E678" s="16" t="n">
        <x:v>5</x:v>
      </x:c>
      <x:c r="F678" s="14" t="n">
        <x:v>10</x:v>
      </x:c>
      <x:c r="G678" s="26" t="n">
        <x:f>'成本明细'!U97+'成本明细'!G97*(E678-'参数'!$B$6)</x:f>
        <x:v>3304.849954911111</x:v>
      </x:c>
      <x:c r="H678" s="26" t="n">
        <x:f>'成本明细'!U103</x:f>
        <x:v>4752.791591450556</x:v>
      </x:c>
      <x:c r="I678" s="26" t="n">
        <x:f>'成本明细'!V103</x:f>
        <x:v>8614</x:v>
      </x:c>
      <x:c r="J678" s="22" t="n">
        <x:f>'参数'!$B$9</x:f>
        <x:v>300</x:v>
      </x:c>
      <x:c r="K678" s="26" t="n">
        <x:f>J678*(G678-H678)-I678*ROUNDUP(J678/F678,0)</x:f>
        <x:v>-692802.4909618334</x:v>
      </x:c>
      <x:c r="L678" s="10" t="str">
        <x:f>IF(G678-H678&lt;=0,"未回本",IF(ROUNDUP(I678/(G678-H678),0)&gt;MIN(F678,J678),"未回本",MAX(1,ROUNDUP(I678/(G678-H678),0))))</x:f>
        <x:v>未回本</x:v>
      </x:c>
    </x:row>
    <x:row r="679" ht="22" customHeight="1">
      <x:c r="A679" s="11" t="str">
        <x:v>lade_0824_30aoi</x:v>
      </x:c>
      <x:c r="B679" s="10" t="n">
        <x:v>30</x:v>
      </x:c>
      <x:c r="C679" s="10" t="n">
        <x:v>43</x:v>
      </x:c>
      <x:c r="D679" s="10" t="str">
        <x:v>M2 / M4</x:v>
      </x:c>
      <x:c r="E679" s="16" t="n">
        <x:v>5</x:v>
      </x:c>
      <x:c r="F679" s="14" t="n">
        <x:v>10</x:v>
      </x:c>
      <x:c r="G679" s="26" t="n">
        <x:f>'成本明细'!U100+'成本明细'!G100*(E679-'参数'!$B$6)</x:f>
        <x:v>3304.849954911111</x:v>
      </x:c>
      <x:c r="H679" s="26" t="n">
        <x:f>'成本明细'!U106</x:f>
        <x:v>4905.970424478889</x:v>
      </x:c>
      <x:c r="I679" s="26" t="n">
        <x:f>'成本明细'!V106</x:f>
        <x:v>8614</x:v>
      </x:c>
      <x:c r="J679" s="22" t="n">
        <x:f>'参数'!$B$9</x:f>
        <x:v>300</x:v>
      </x:c>
      <x:c r="K679" s="26" t="n">
        <x:f>J679*(G679-H679)-I679*ROUNDUP(J679/F679,0)</x:f>
        <x:v>-738756.1408703334</x:v>
      </x:c>
      <x:c r="L679" s="10" t="str">
        <x:f>IF(G679-H679&lt;=0,"未回本",IF(ROUNDUP(I679/(G679-H679),0)&gt;MIN(F679,J679),"未回本",MAX(1,ROUNDUP(I679/(G679-H679),0))))</x:f>
        <x:v>未回本</x:v>
      </x:c>
    </x:row>
    <x:row r="680" ht="22" customHeight="1">
      <x:c r="A680" s="11" t="str">
        <x:v>lade_0824_30aoi</x:v>
      </x:c>
      <x:c r="B680" s="10" t="n">
        <x:v>30</x:v>
      </x:c>
      <x:c r="C680" s="10" t="n">
        <x:v>43</x:v>
      </x:c>
      <x:c r="D680" s="10" t="str">
        <x:v>M1 / M3</x:v>
      </x:c>
      <x:c r="E680" s="16" t="n">
        <x:v>5</x:v>
      </x:c>
      <x:c r="F680" s="14" t="n">
        <x:v>20</x:v>
      </x:c>
      <x:c r="G680" s="26" t="n">
        <x:f>'成本明细'!U97+'成本明细'!G97*(E680-'参数'!$B$6)</x:f>
        <x:v>3304.849954911111</x:v>
      </x:c>
      <x:c r="H680" s="26" t="n">
        <x:f>'成本明细'!U103</x:f>
        <x:v>4752.791591450556</x:v>
      </x:c>
      <x:c r="I680" s="26" t="n">
        <x:f>'成本明细'!V103</x:f>
        <x:v>8614</x:v>
      </x:c>
      <x:c r="J680" s="22" t="n">
        <x:f>'参数'!$B$9</x:f>
        <x:v>300</x:v>
      </x:c>
      <x:c r="K680" s="26" t="n">
        <x:f>J680*(G680-H680)-I680*ROUNDUP(J680/F680,0)</x:f>
        <x:v>-563592.4909618334</x:v>
      </x:c>
      <x:c r="L680" s="10" t="str">
        <x:f>IF(G680-H680&lt;=0,"未回本",IF(ROUNDUP(I680/(G680-H680),0)&gt;MIN(F680,J680),"未回本",MAX(1,ROUNDUP(I680/(G680-H680),0))))</x:f>
        <x:v>未回本</x:v>
      </x:c>
    </x:row>
    <x:row r="681" ht="22" customHeight="1">
      <x:c r="A681" s="11" t="str">
        <x:v>lade_0824_30aoi</x:v>
      </x:c>
      <x:c r="B681" s="10" t="n">
        <x:v>30</x:v>
      </x:c>
      <x:c r="C681" s="10" t="n">
        <x:v>43</x:v>
      </x:c>
      <x:c r="D681" s="10" t="str">
        <x:v>M2 / M4</x:v>
      </x:c>
      <x:c r="E681" s="16" t="n">
        <x:v>5</x:v>
      </x:c>
      <x:c r="F681" s="14" t="n">
        <x:v>20</x:v>
      </x:c>
      <x:c r="G681" s="26" t="n">
        <x:f>'成本明细'!U100+'成本明细'!G100*(E681-'参数'!$B$6)</x:f>
        <x:v>3304.849954911111</x:v>
      </x:c>
      <x:c r="H681" s="26" t="n">
        <x:f>'成本明细'!U106</x:f>
        <x:v>4905.970424478889</x:v>
      </x:c>
      <x:c r="I681" s="26" t="n">
        <x:f>'成本明细'!V106</x:f>
        <x:v>8614</x:v>
      </x:c>
      <x:c r="J681" s="22" t="n">
        <x:f>'参数'!$B$9</x:f>
        <x:v>300</x:v>
      </x:c>
      <x:c r="K681" s="26" t="n">
        <x:f>J681*(G681-H681)-I681*ROUNDUP(J681/F681,0)</x:f>
        <x:v>-609546.1408703334</x:v>
      </x:c>
      <x:c r="L681" s="10" t="str">
        <x:f>IF(G681-H681&lt;=0,"未回本",IF(ROUNDUP(I681/(G681-H681),0)&gt;MIN(F681,J681),"未回本",MAX(1,ROUNDUP(I681/(G681-H681),0))))</x:f>
        <x:v>未回本</x:v>
      </x:c>
    </x:row>
    <x:row r="682" ht="22" customHeight="1">
      <x:c r="A682" s="11" t="str">
        <x:v>lade_0824_30aoi</x:v>
      </x:c>
      <x:c r="B682" s="10" t="n">
        <x:v>30</x:v>
      </x:c>
      <x:c r="C682" s="10" t="n">
        <x:v>43</x:v>
      </x:c>
      <x:c r="D682" s="10" t="str">
        <x:v>M1 / M3</x:v>
      </x:c>
      <x:c r="E682" s="16" t="n">
        <x:v>5</x:v>
      </x:c>
      <x:c r="F682" s="14" t="n">
        <x:v>30</x:v>
      </x:c>
      <x:c r="G682" s="26" t="n">
        <x:f>'成本明细'!U97+'成本明细'!G97*(E682-'参数'!$B$6)</x:f>
        <x:v>3304.849954911111</x:v>
      </x:c>
      <x:c r="H682" s="26" t="n">
        <x:f>'成本明细'!U103</x:f>
        <x:v>4752.791591450556</x:v>
      </x:c>
      <x:c r="I682" s="26" t="n">
        <x:f>'成本明细'!V103</x:f>
        <x:v>8614</x:v>
      </x:c>
      <x:c r="J682" s="22" t="n">
        <x:f>'参数'!$B$9</x:f>
        <x:v>300</x:v>
      </x:c>
      <x:c r="K682" s="26" t="n">
        <x:f>J682*(G682-H682)-I682*ROUNDUP(J682/F682,0)</x:f>
        <x:v>-520522.49096183333</x:v>
      </x:c>
      <x:c r="L682" s="10" t="str">
        <x:f>IF(G682-H682&lt;=0,"未回本",IF(ROUNDUP(I682/(G682-H682),0)&gt;MIN(F682,J682),"未回本",MAX(1,ROUNDUP(I682/(G682-H682),0))))</x:f>
        <x:v>未回本</x:v>
      </x:c>
    </x:row>
    <x:row r="683" ht="22" customHeight="1">
      <x:c r="A683" s="11" t="str">
        <x:v>lade_0824_30aoi</x:v>
      </x:c>
      <x:c r="B683" s="10" t="n">
        <x:v>30</x:v>
      </x:c>
      <x:c r="C683" s="10" t="n">
        <x:v>43</x:v>
      </x:c>
      <x:c r="D683" s="10" t="str">
        <x:v>M2 / M4</x:v>
      </x:c>
      <x:c r="E683" s="16" t="n">
        <x:v>5</x:v>
      </x:c>
      <x:c r="F683" s="14" t="n">
        <x:v>30</x:v>
      </x:c>
      <x:c r="G683" s="26" t="n">
        <x:f>'成本明细'!U100+'成本明细'!G100*(E683-'参数'!$B$6)</x:f>
        <x:v>3304.849954911111</x:v>
      </x:c>
      <x:c r="H683" s="26" t="n">
        <x:f>'成本明细'!U106</x:f>
        <x:v>4905.970424478889</x:v>
      </x:c>
      <x:c r="I683" s="26" t="n">
        <x:f>'成本明细'!V106</x:f>
        <x:v>8614</x:v>
      </x:c>
      <x:c r="J683" s="22" t="n">
        <x:f>'参数'!$B$9</x:f>
        <x:v>300</x:v>
      </x:c>
      <x:c r="K683" s="26" t="n">
        <x:f>J683*(G683-H683)-I683*ROUNDUP(J683/F683,0)</x:f>
        <x:v>-566476.1408703334</x:v>
      </x:c>
      <x:c r="L683" s="10" t="str">
        <x:f>IF(G683-H683&lt;=0,"未回本",IF(ROUNDUP(I683/(G683-H683),0)&gt;MIN(F683,J683),"未回本",MAX(1,ROUNDUP(I683/(G683-H683),0))))</x:f>
        <x:v>未回本</x:v>
      </x:c>
    </x:row>
    <x:row r="684" ht="22" customHeight="1">
      <x:c r="A684" s="11" t="str">
        <x:v>lade_0824_30aoi</x:v>
      </x:c>
      <x:c r="B684" s="10" t="n">
        <x:v>30</x:v>
      </x:c>
      <x:c r="C684" s="10" t="n">
        <x:v>43</x:v>
      </x:c>
      <x:c r="D684" s="10" t="str">
        <x:v>M1 / M3</x:v>
      </x:c>
      <x:c r="E684" s="16" t="n">
        <x:v>5</x:v>
      </x:c>
      <x:c r="F684" s="14" t="n">
        <x:v>50</x:v>
      </x:c>
      <x:c r="G684" s="26" t="n">
        <x:f>'成本明细'!U97+'成本明细'!G97*(E684-'参数'!$B$6)</x:f>
        <x:v>3304.849954911111</x:v>
      </x:c>
      <x:c r="H684" s="26" t="n">
        <x:f>'成本明细'!U103</x:f>
        <x:v>4752.791591450556</x:v>
      </x:c>
      <x:c r="I684" s="26" t="n">
        <x:f>'成本明细'!V103</x:f>
        <x:v>8614</x:v>
      </x:c>
      <x:c r="J684" s="22" t="n">
        <x:f>'参数'!$B$9</x:f>
        <x:v>300</x:v>
      </x:c>
      <x:c r="K684" s="26" t="n">
        <x:f>J684*(G684-H684)-I684*ROUNDUP(J684/F684,0)</x:f>
        <x:v>-486066.49096183333</x:v>
      </x:c>
      <x:c r="L684" s="10" t="str">
        <x:f>IF(G684-H684&lt;=0,"未回本",IF(ROUNDUP(I684/(G684-H684),0)&gt;MIN(F684,J684),"未回本",MAX(1,ROUNDUP(I684/(G684-H684),0))))</x:f>
        <x:v>未回本</x:v>
      </x:c>
    </x:row>
    <x:row r="685" ht="22" customHeight="1">
      <x:c r="A685" s="11" t="str">
        <x:v>lade_0824_30aoi</x:v>
      </x:c>
      <x:c r="B685" s="10" t="n">
        <x:v>30</x:v>
      </x:c>
      <x:c r="C685" s="10" t="n">
        <x:v>43</x:v>
      </x:c>
      <x:c r="D685" s="10" t="str">
        <x:v>M2 / M4</x:v>
      </x:c>
      <x:c r="E685" s="16" t="n">
        <x:v>5</x:v>
      </x:c>
      <x:c r="F685" s="14" t="n">
        <x:v>50</x:v>
      </x:c>
      <x:c r="G685" s="26" t="n">
        <x:f>'成本明细'!U100+'成本明细'!G100*(E685-'参数'!$B$6)</x:f>
        <x:v>3304.849954911111</x:v>
      </x:c>
      <x:c r="H685" s="26" t="n">
        <x:f>'成本明细'!U106</x:f>
        <x:v>4905.970424478889</x:v>
      </x:c>
      <x:c r="I685" s="26" t="n">
        <x:f>'成本明细'!V106</x:f>
        <x:v>8614</x:v>
      </x:c>
      <x:c r="J685" s="22" t="n">
        <x:f>'参数'!$B$9</x:f>
        <x:v>300</x:v>
      </x:c>
      <x:c r="K685" s="26" t="n">
        <x:f>J685*(G685-H685)-I685*ROUNDUP(J685/F685,0)</x:f>
        <x:v>-532020.1408703334</x:v>
      </x:c>
      <x:c r="L685" s="10" t="str">
        <x:f>IF(G685-H685&lt;=0,"未回本",IF(ROUNDUP(I685/(G685-H685),0)&gt;MIN(F685,J685),"未回本",MAX(1,ROUNDUP(I685/(G685-H685),0))))</x:f>
        <x:v>未回本</x:v>
      </x:c>
    </x:row>
    <x:row r="686" ht="22" customHeight="1">
      <x:c r="A686" s="11" t="str">
        <x:v>lade_0824_30aoi</x:v>
      </x:c>
      <x:c r="B686" s="10" t="n">
        <x:v>30</x:v>
      </x:c>
      <x:c r="C686" s="10" t="n">
        <x:v>44</x:v>
      </x:c>
      <x:c r="D686" s="10" t="str">
        <x:v>M1 / M3</x:v>
      </x:c>
      <x:c r="E686" s="16" t="n">
        <x:v>1</x:v>
      </x:c>
      <x:c r="F686" s="14" t="n">
        <x:v>10</x:v>
      </x:c>
      <x:c r="G686" s="26" t="n">
        <x:f>'成本明细'!U98+'成本明细'!G98*(E686-'参数'!$B$6)</x:f>
        <x:v>2525.1314847722224</x:v>
      </x:c>
      <x:c r="H686" s="26" t="n">
        <x:f>'成本明细'!U104</x:f>
        <x:v>4463.245935708889</x:v>
      </x:c>
      <x:c r="I686" s="26" t="n">
        <x:f>'成本明细'!V104</x:f>
        <x:v>8614</x:v>
      </x:c>
      <x:c r="J686" s="22" t="n">
        <x:f>'参数'!$B$9</x:f>
        <x:v>300</x:v>
      </x:c>
      <x:c r="K686" s="26" t="n">
        <x:f>J686*(G686-H686)-I686*ROUNDUP(J686/F686,0)</x:f>
        <x:v>-839854.335281</x:v>
      </x:c>
      <x:c r="L686" s="10" t="str">
        <x:f>IF(G686-H686&lt;=0,"未回本",IF(ROUNDUP(I686/(G686-H686),0)&gt;MIN(F686,J686),"未回本",MAX(1,ROUNDUP(I686/(G686-H686),0))))</x:f>
        <x:v>未回本</x:v>
      </x:c>
    </x:row>
    <x:row r="687" ht="22" customHeight="1">
      <x:c r="A687" s="11" t="str">
        <x:v>lade_0824_30aoi</x:v>
      </x:c>
      <x:c r="B687" s="10" t="n">
        <x:v>30</x:v>
      </x:c>
      <x:c r="C687" s="10" t="n">
        <x:v>44</x:v>
      </x:c>
      <x:c r="D687" s="10" t="str">
        <x:v>M2 / M4</x:v>
      </x:c>
      <x:c r="E687" s="16" t="n">
        <x:v>1</x:v>
      </x:c>
      <x:c r="F687" s="14" t="n">
        <x:v>10</x:v>
      </x:c>
      <x:c r="G687" s="26" t="n">
        <x:f>'成本明细'!U101+'成本明细'!G101*(E687-'参数'!$B$6)</x:f>
        <x:v>2355.9308954405556</x:v>
      </x:c>
      <x:c r="H687" s="26" t="n">
        <x:f>'成本明细'!U107</x:f>
        <x:v>4731.202355799444</x:v>
      </x:c>
      <x:c r="I687" s="26" t="n">
        <x:f>'成本明细'!V107</x:f>
        <x:v>8614</x:v>
      </x:c>
      <x:c r="J687" s="22" t="n">
        <x:f>'参数'!$B$9</x:f>
        <x:v>300</x:v>
      </x:c>
      <x:c r="K687" s="26" t="n">
        <x:f>J687*(G687-H687)-I687*ROUNDUP(J687/F687,0)</x:f>
        <x:v>-971001.4381076667</x:v>
      </x:c>
      <x:c r="L687" s="10" t="str">
        <x:f>IF(G687-H687&lt;=0,"未回本",IF(ROUNDUP(I687/(G687-H687),0)&gt;MIN(F687,J687),"未回本",MAX(1,ROUNDUP(I687/(G687-H687),0))))</x:f>
        <x:v>未回本</x:v>
      </x:c>
    </x:row>
    <x:row r="688" ht="22" customHeight="1">
      <x:c r="A688" s="11" t="str">
        <x:v>lade_0824_30aoi</x:v>
      </x:c>
      <x:c r="B688" s="10" t="n">
        <x:v>30</x:v>
      </x:c>
      <x:c r="C688" s="10" t="n">
        <x:v>44</x:v>
      </x:c>
      <x:c r="D688" s="10" t="str">
        <x:v>M1 / M3</x:v>
      </x:c>
      <x:c r="E688" s="16" t="n">
        <x:v>1</x:v>
      </x:c>
      <x:c r="F688" s="14" t="n">
        <x:v>20</x:v>
      </x:c>
      <x:c r="G688" s="26" t="n">
        <x:f>'成本明细'!U98+'成本明细'!G98*(E688-'参数'!$B$6)</x:f>
        <x:v>2525.1314847722224</x:v>
      </x:c>
      <x:c r="H688" s="26" t="n">
        <x:f>'成本明细'!U104</x:f>
        <x:v>4463.245935708889</x:v>
      </x:c>
      <x:c r="I688" s="26" t="n">
        <x:f>'成本明细'!V104</x:f>
        <x:v>8614</x:v>
      </x:c>
      <x:c r="J688" s="22" t="n">
        <x:f>'参数'!$B$9</x:f>
        <x:v>300</x:v>
      </x:c>
      <x:c r="K688" s="26" t="n">
        <x:f>J688*(G688-H688)-I688*ROUNDUP(J688/F688,0)</x:f>
        <x:v>-710644.335281</x:v>
      </x:c>
      <x:c r="L688" s="10" t="str">
        <x:f>IF(G688-H688&lt;=0,"未回本",IF(ROUNDUP(I688/(G688-H688),0)&gt;MIN(F688,J688),"未回本",MAX(1,ROUNDUP(I688/(G688-H688),0))))</x:f>
        <x:v>未回本</x:v>
      </x:c>
    </x:row>
    <x:row r="689" ht="22" customHeight="1">
      <x:c r="A689" s="11" t="str">
        <x:v>lade_0824_30aoi</x:v>
      </x:c>
      <x:c r="B689" s="10" t="n">
        <x:v>30</x:v>
      </x:c>
      <x:c r="C689" s="10" t="n">
        <x:v>44</x:v>
      </x:c>
      <x:c r="D689" s="10" t="str">
        <x:v>M2 / M4</x:v>
      </x:c>
      <x:c r="E689" s="16" t="n">
        <x:v>1</x:v>
      </x:c>
      <x:c r="F689" s="14" t="n">
        <x:v>20</x:v>
      </x:c>
      <x:c r="G689" s="26" t="n">
        <x:f>'成本明细'!U101+'成本明细'!G101*(E689-'参数'!$B$6)</x:f>
        <x:v>2355.9308954405556</x:v>
      </x:c>
      <x:c r="H689" s="26" t="n">
        <x:f>'成本明细'!U107</x:f>
        <x:v>4731.202355799444</x:v>
      </x:c>
      <x:c r="I689" s="26" t="n">
        <x:f>'成本明细'!V107</x:f>
        <x:v>8614</x:v>
      </x:c>
      <x:c r="J689" s="22" t="n">
        <x:f>'参数'!$B$9</x:f>
        <x:v>300</x:v>
      </x:c>
      <x:c r="K689" s="26" t="n">
        <x:f>J689*(G689-H689)-I689*ROUNDUP(J689/F689,0)</x:f>
        <x:v>-841791.4381076667</x:v>
      </x:c>
      <x:c r="L689" s="10" t="str">
        <x:f>IF(G689-H689&lt;=0,"未回本",IF(ROUNDUP(I689/(G689-H689),0)&gt;MIN(F689,J689),"未回本",MAX(1,ROUNDUP(I689/(G689-H689),0))))</x:f>
        <x:v>未回本</x:v>
      </x:c>
    </x:row>
    <x:row r="690" ht="22" customHeight="1">
      <x:c r="A690" s="11" t="str">
        <x:v>lade_0824_30aoi</x:v>
      </x:c>
      <x:c r="B690" s="10" t="n">
        <x:v>30</x:v>
      </x:c>
      <x:c r="C690" s="10" t="n">
        <x:v>44</x:v>
      </x:c>
      <x:c r="D690" s="10" t="str">
        <x:v>M1 / M3</x:v>
      </x:c>
      <x:c r="E690" s="16" t="n">
        <x:v>1</x:v>
      </x:c>
      <x:c r="F690" s="14" t="n">
        <x:v>30</x:v>
      </x:c>
      <x:c r="G690" s="26" t="n">
        <x:f>'成本明细'!U98+'成本明细'!G98*(E690-'参数'!$B$6)</x:f>
        <x:v>2525.1314847722224</x:v>
      </x:c>
      <x:c r="H690" s="26" t="n">
        <x:f>'成本明细'!U104</x:f>
        <x:v>4463.245935708889</x:v>
      </x:c>
      <x:c r="I690" s="26" t="n">
        <x:f>'成本明细'!V104</x:f>
        <x:v>8614</x:v>
      </x:c>
      <x:c r="J690" s="22" t="n">
        <x:f>'参数'!$B$9</x:f>
        <x:v>300</x:v>
      </x:c>
      <x:c r="K690" s="26" t="n">
        <x:f>J690*(G690-H690)-I690*ROUNDUP(J690/F690,0)</x:f>
        <x:v>-667574.335281</x:v>
      </x:c>
      <x:c r="L690" s="10" t="str">
        <x:f>IF(G690-H690&lt;=0,"未回本",IF(ROUNDUP(I690/(G690-H690),0)&gt;MIN(F690,J690),"未回本",MAX(1,ROUNDUP(I690/(G690-H690),0))))</x:f>
        <x:v>未回本</x:v>
      </x:c>
    </x:row>
    <x:row r="691" ht="22" customHeight="1">
      <x:c r="A691" s="11" t="str">
        <x:v>lade_0824_30aoi</x:v>
      </x:c>
      <x:c r="B691" s="10" t="n">
        <x:v>30</x:v>
      </x:c>
      <x:c r="C691" s="10" t="n">
        <x:v>44</x:v>
      </x:c>
      <x:c r="D691" s="10" t="str">
        <x:v>M2 / M4</x:v>
      </x:c>
      <x:c r="E691" s="16" t="n">
        <x:v>1</x:v>
      </x:c>
      <x:c r="F691" s="14" t="n">
        <x:v>30</x:v>
      </x:c>
      <x:c r="G691" s="26" t="n">
        <x:f>'成本明细'!U101+'成本明细'!G101*(E691-'参数'!$B$6)</x:f>
        <x:v>2355.9308954405556</x:v>
      </x:c>
      <x:c r="H691" s="26" t="n">
        <x:f>'成本明细'!U107</x:f>
        <x:v>4731.202355799444</x:v>
      </x:c>
      <x:c r="I691" s="26" t="n">
        <x:f>'成本明细'!V107</x:f>
        <x:v>8614</x:v>
      </x:c>
      <x:c r="J691" s="22" t="n">
        <x:f>'参数'!$B$9</x:f>
        <x:v>300</x:v>
      </x:c>
      <x:c r="K691" s="26" t="n">
        <x:f>J691*(G691-H691)-I691*ROUNDUP(J691/F691,0)</x:f>
        <x:v>-798721.4381076667</x:v>
      </x:c>
      <x:c r="L691" s="10" t="str">
        <x:f>IF(G691-H691&lt;=0,"未回本",IF(ROUNDUP(I691/(G691-H691),0)&gt;MIN(F691,J691),"未回本",MAX(1,ROUNDUP(I691/(G691-H691),0))))</x:f>
        <x:v>未回本</x:v>
      </x:c>
    </x:row>
    <x:row r="692" ht="22" customHeight="1">
      <x:c r="A692" s="11" t="str">
        <x:v>lade_0824_30aoi</x:v>
      </x:c>
      <x:c r="B692" s="10" t="n">
        <x:v>30</x:v>
      </x:c>
      <x:c r="C692" s="10" t="n">
        <x:v>44</x:v>
      </x:c>
      <x:c r="D692" s="10" t="str">
        <x:v>M1 / M3</x:v>
      </x:c>
      <x:c r="E692" s="16" t="n">
        <x:v>1</x:v>
      </x:c>
      <x:c r="F692" s="14" t="n">
        <x:v>50</x:v>
      </x:c>
      <x:c r="G692" s="26" t="n">
        <x:f>'成本明细'!U98+'成本明细'!G98*(E692-'参数'!$B$6)</x:f>
        <x:v>2525.1314847722224</x:v>
      </x:c>
      <x:c r="H692" s="26" t="n">
        <x:f>'成本明细'!U104</x:f>
        <x:v>4463.245935708889</x:v>
      </x:c>
      <x:c r="I692" s="26" t="n">
        <x:f>'成本明细'!V104</x:f>
        <x:v>8614</x:v>
      </x:c>
      <x:c r="J692" s="22" t="n">
        <x:f>'参数'!$B$9</x:f>
        <x:v>300</x:v>
      </x:c>
      <x:c r="K692" s="26" t="n">
        <x:f>J692*(G692-H692)-I692*ROUNDUP(J692/F692,0)</x:f>
        <x:v>-633118.335281</x:v>
      </x:c>
      <x:c r="L692" s="10" t="str">
        <x:f>IF(G692-H692&lt;=0,"未回本",IF(ROUNDUP(I692/(G692-H692),0)&gt;MIN(F692,J692),"未回本",MAX(1,ROUNDUP(I692/(G692-H692),0))))</x:f>
        <x:v>未回本</x:v>
      </x:c>
    </x:row>
    <x:row r="693" ht="22" customHeight="1">
      <x:c r="A693" s="11" t="str">
        <x:v>lade_0824_30aoi</x:v>
      </x:c>
      <x:c r="B693" s="10" t="n">
        <x:v>30</x:v>
      </x:c>
      <x:c r="C693" s="10" t="n">
        <x:v>44</x:v>
      </x:c>
      <x:c r="D693" s="10" t="str">
        <x:v>M2 / M4</x:v>
      </x:c>
      <x:c r="E693" s="16" t="n">
        <x:v>1</x:v>
      </x:c>
      <x:c r="F693" s="14" t="n">
        <x:v>50</x:v>
      </x:c>
      <x:c r="G693" s="26" t="n">
        <x:f>'成本明细'!U101+'成本明细'!G101*(E693-'参数'!$B$6)</x:f>
        <x:v>2355.9308954405556</x:v>
      </x:c>
      <x:c r="H693" s="26" t="n">
        <x:f>'成本明细'!U107</x:f>
        <x:v>4731.202355799444</x:v>
      </x:c>
      <x:c r="I693" s="26" t="n">
        <x:f>'成本明细'!V107</x:f>
        <x:v>8614</x:v>
      </x:c>
      <x:c r="J693" s="22" t="n">
        <x:f>'参数'!$B$9</x:f>
        <x:v>300</x:v>
      </x:c>
      <x:c r="K693" s="26" t="n">
        <x:f>J693*(G693-H693)-I693*ROUNDUP(J693/F693,0)</x:f>
        <x:v>-764265.4381076667</x:v>
      </x:c>
      <x:c r="L693" s="10" t="str">
        <x:f>IF(G693-H693&lt;=0,"未回本",IF(ROUNDUP(I693/(G693-H693),0)&gt;MIN(F693,J693),"未回本",MAX(1,ROUNDUP(I693/(G693-H693),0))))</x:f>
        <x:v>未回本</x:v>
      </x:c>
    </x:row>
    <x:row r="694" ht="22" customHeight="1">
      <x:c r="A694" s="11" t="str">
        <x:v>lade_0824_30aoi</x:v>
      </x:c>
      <x:c r="B694" s="10" t="n">
        <x:v>30</x:v>
      </x:c>
      <x:c r="C694" s="10" t="n">
        <x:v>44</x:v>
      </x:c>
      <x:c r="D694" s="10" t="str">
        <x:v>M1 / M3</x:v>
      </x:c>
      <x:c r="E694" s="16" t="n">
        <x:v>2</x:v>
      </x:c>
      <x:c r="F694" s="14" t="n">
        <x:v>10</x:v>
      </x:c>
      <x:c r="G694" s="26" t="n">
        <x:f>'成本明细'!U98+'成本明细'!G98*(E694-'参数'!$B$6)</x:f>
        <x:v>2761.1314847722224</x:v>
      </x:c>
      <x:c r="H694" s="26" t="n">
        <x:f>'成本明细'!U104</x:f>
        <x:v>4463.245935708889</x:v>
      </x:c>
      <x:c r="I694" s="26" t="n">
        <x:f>'成本明细'!V104</x:f>
        <x:v>8614</x:v>
      </x:c>
      <x:c r="J694" s="22" t="n">
        <x:f>'参数'!$B$9</x:f>
        <x:v>300</x:v>
      </x:c>
      <x:c r="K694" s="26" t="n">
        <x:f>J694*(G694-H694)-I694*ROUNDUP(J694/F694,0)</x:f>
        <x:v>-769054.335281</x:v>
      </x:c>
      <x:c r="L694" s="10" t="str">
        <x:f>IF(G694-H694&lt;=0,"未回本",IF(ROUNDUP(I694/(G694-H694),0)&gt;MIN(F694,J694),"未回本",MAX(1,ROUNDUP(I694/(G694-H694),0))))</x:f>
        <x:v>未回本</x:v>
      </x:c>
    </x:row>
    <x:row r="695" ht="22" customHeight="1">
      <x:c r="A695" s="11" t="str">
        <x:v>lade_0824_30aoi</x:v>
      </x:c>
      <x:c r="B695" s="10" t="n">
        <x:v>30</x:v>
      </x:c>
      <x:c r="C695" s="10" t="n">
        <x:v>44</x:v>
      </x:c>
      <x:c r="D695" s="10" t="str">
        <x:v>M2 / M4</x:v>
      </x:c>
      <x:c r="E695" s="16" t="n">
        <x:v>2</x:v>
      </x:c>
      <x:c r="F695" s="14" t="n">
        <x:v>10</x:v>
      </x:c>
      <x:c r="G695" s="26" t="n">
        <x:f>'成本明细'!U101+'成本明细'!G101*(E695-'参数'!$B$6)</x:f>
        <x:v>2591.9308954405556</x:v>
      </x:c>
      <x:c r="H695" s="26" t="n">
        <x:f>'成本明细'!U107</x:f>
        <x:v>4731.202355799444</x:v>
      </x:c>
      <x:c r="I695" s="26" t="n">
        <x:f>'成本明细'!V107</x:f>
        <x:v>8614</x:v>
      </x:c>
      <x:c r="J695" s="22" t="n">
        <x:f>'参数'!$B$9</x:f>
        <x:v>300</x:v>
      </x:c>
      <x:c r="K695" s="26" t="n">
        <x:f>J695*(G695-H695)-I695*ROUNDUP(J695/F695,0)</x:f>
        <x:v>-900201.4381076667</x:v>
      </x:c>
      <x:c r="L695" s="10" t="str">
        <x:f>IF(G695-H695&lt;=0,"未回本",IF(ROUNDUP(I695/(G695-H695),0)&gt;MIN(F695,J695),"未回本",MAX(1,ROUNDUP(I695/(G695-H695),0))))</x:f>
        <x:v>未回本</x:v>
      </x:c>
    </x:row>
    <x:row r="696" ht="22" customHeight="1">
      <x:c r="A696" s="11" t="str">
        <x:v>lade_0824_30aoi</x:v>
      </x:c>
      <x:c r="B696" s="10" t="n">
        <x:v>30</x:v>
      </x:c>
      <x:c r="C696" s="10" t="n">
        <x:v>44</x:v>
      </x:c>
      <x:c r="D696" s="10" t="str">
        <x:v>M1 / M3</x:v>
      </x:c>
      <x:c r="E696" s="16" t="n">
        <x:v>2</x:v>
      </x:c>
      <x:c r="F696" s="14" t="n">
        <x:v>20</x:v>
      </x:c>
      <x:c r="G696" s="26" t="n">
        <x:f>'成本明细'!U98+'成本明细'!G98*(E696-'参数'!$B$6)</x:f>
        <x:v>2761.1314847722224</x:v>
      </x:c>
      <x:c r="H696" s="26" t="n">
        <x:f>'成本明细'!U104</x:f>
        <x:v>4463.245935708889</x:v>
      </x:c>
      <x:c r="I696" s="26" t="n">
        <x:f>'成本明细'!V104</x:f>
        <x:v>8614</x:v>
      </x:c>
      <x:c r="J696" s="22" t="n">
        <x:f>'参数'!$B$9</x:f>
        <x:v>300</x:v>
      </x:c>
      <x:c r="K696" s="26" t="n">
        <x:f>J696*(G696-H696)-I696*ROUNDUP(J696/F696,0)</x:f>
        <x:v>-639844.335281</x:v>
      </x:c>
      <x:c r="L696" s="10" t="str">
        <x:f>IF(G696-H696&lt;=0,"未回本",IF(ROUNDUP(I696/(G696-H696),0)&gt;MIN(F696,J696),"未回本",MAX(1,ROUNDUP(I696/(G696-H696),0))))</x:f>
        <x:v>未回本</x:v>
      </x:c>
    </x:row>
    <x:row r="697" ht="22" customHeight="1">
      <x:c r="A697" s="11" t="str">
        <x:v>lade_0824_30aoi</x:v>
      </x:c>
      <x:c r="B697" s="10" t="n">
        <x:v>30</x:v>
      </x:c>
      <x:c r="C697" s="10" t="n">
        <x:v>44</x:v>
      </x:c>
      <x:c r="D697" s="10" t="str">
        <x:v>M2 / M4</x:v>
      </x:c>
      <x:c r="E697" s="16" t="n">
        <x:v>2</x:v>
      </x:c>
      <x:c r="F697" s="14" t="n">
        <x:v>20</x:v>
      </x:c>
      <x:c r="G697" s="26" t="n">
        <x:f>'成本明细'!U101+'成本明细'!G101*(E697-'参数'!$B$6)</x:f>
        <x:v>2591.9308954405556</x:v>
      </x:c>
      <x:c r="H697" s="26" t="n">
        <x:f>'成本明细'!U107</x:f>
        <x:v>4731.202355799444</x:v>
      </x:c>
      <x:c r="I697" s="26" t="n">
        <x:f>'成本明细'!V107</x:f>
        <x:v>8614</x:v>
      </x:c>
      <x:c r="J697" s="22" t="n">
        <x:f>'参数'!$B$9</x:f>
        <x:v>300</x:v>
      </x:c>
      <x:c r="K697" s="26" t="n">
        <x:f>J697*(G697-H697)-I697*ROUNDUP(J697/F697,0)</x:f>
        <x:v>-770991.4381076667</x:v>
      </x:c>
      <x:c r="L697" s="10" t="str">
        <x:f>IF(G697-H697&lt;=0,"未回本",IF(ROUNDUP(I697/(G697-H697),0)&gt;MIN(F697,J697),"未回本",MAX(1,ROUNDUP(I697/(G697-H697),0))))</x:f>
        <x:v>未回本</x:v>
      </x:c>
    </x:row>
    <x:row r="698" ht="22" customHeight="1">
      <x:c r="A698" s="11" t="str">
        <x:v>lade_0824_30aoi</x:v>
      </x:c>
      <x:c r="B698" s="10" t="n">
        <x:v>30</x:v>
      </x:c>
      <x:c r="C698" s="10" t="n">
        <x:v>44</x:v>
      </x:c>
      <x:c r="D698" s="10" t="str">
        <x:v>M1 / M3</x:v>
      </x:c>
      <x:c r="E698" s="16" t="n">
        <x:v>2</x:v>
      </x:c>
      <x:c r="F698" s="14" t="n">
        <x:v>30</x:v>
      </x:c>
      <x:c r="G698" s="26" t="n">
        <x:f>'成本明细'!U98+'成本明细'!G98*(E698-'参数'!$B$6)</x:f>
        <x:v>2761.1314847722224</x:v>
      </x:c>
      <x:c r="H698" s="26" t="n">
        <x:f>'成本明细'!U104</x:f>
        <x:v>4463.245935708889</x:v>
      </x:c>
      <x:c r="I698" s="26" t="n">
        <x:f>'成本明细'!V104</x:f>
        <x:v>8614</x:v>
      </x:c>
      <x:c r="J698" s="22" t="n">
        <x:f>'参数'!$B$9</x:f>
        <x:v>300</x:v>
      </x:c>
      <x:c r="K698" s="26" t="n">
        <x:f>J698*(G698-H698)-I698*ROUNDUP(J698/F698,0)</x:f>
        <x:v>-596774.335281</x:v>
      </x:c>
      <x:c r="L698" s="10" t="str">
        <x:f>IF(G698-H698&lt;=0,"未回本",IF(ROUNDUP(I698/(G698-H698),0)&gt;MIN(F698,J698),"未回本",MAX(1,ROUNDUP(I698/(G698-H698),0))))</x:f>
        <x:v>未回本</x:v>
      </x:c>
    </x:row>
    <x:row r="699" ht="22" customHeight="1">
      <x:c r="A699" s="11" t="str">
        <x:v>lade_0824_30aoi</x:v>
      </x:c>
      <x:c r="B699" s="10" t="n">
        <x:v>30</x:v>
      </x:c>
      <x:c r="C699" s="10" t="n">
        <x:v>44</x:v>
      </x:c>
      <x:c r="D699" s="10" t="str">
        <x:v>M2 / M4</x:v>
      </x:c>
      <x:c r="E699" s="16" t="n">
        <x:v>2</x:v>
      </x:c>
      <x:c r="F699" s="14" t="n">
        <x:v>30</x:v>
      </x:c>
      <x:c r="G699" s="26" t="n">
        <x:f>'成本明细'!U101+'成本明细'!G101*(E699-'参数'!$B$6)</x:f>
        <x:v>2591.9308954405556</x:v>
      </x:c>
      <x:c r="H699" s="26" t="n">
        <x:f>'成本明细'!U107</x:f>
        <x:v>4731.202355799444</x:v>
      </x:c>
      <x:c r="I699" s="26" t="n">
        <x:f>'成本明细'!V107</x:f>
        <x:v>8614</x:v>
      </x:c>
      <x:c r="J699" s="22" t="n">
        <x:f>'参数'!$B$9</x:f>
        <x:v>300</x:v>
      </x:c>
      <x:c r="K699" s="26" t="n">
        <x:f>J699*(G699-H699)-I699*ROUNDUP(J699/F699,0)</x:f>
        <x:v>-727921.4381076667</x:v>
      </x:c>
      <x:c r="L699" s="10" t="str">
        <x:f>IF(G699-H699&lt;=0,"未回本",IF(ROUNDUP(I699/(G699-H699),0)&gt;MIN(F699,J699),"未回本",MAX(1,ROUNDUP(I699/(G699-H699),0))))</x:f>
        <x:v>未回本</x:v>
      </x:c>
    </x:row>
    <x:row r="700" ht="22" customHeight="1">
      <x:c r="A700" s="11" t="str">
        <x:v>lade_0824_30aoi</x:v>
      </x:c>
      <x:c r="B700" s="10" t="n">
        <x:v>30</x:v>
      </x:c>
      <x:c r="C700" s="10" t="n">
        <x:v>44</x:v>
      </x:c>
      <x:c r="D700" s="10" t="str">
        <x:v>M1 / M3</x:v>
      </x:c>
      <x:c r="E700" s="16" t="n">
        <x:v>2</x:v>
      </x:c>
      <x:c r="F700" s="14" t="n">
        <x:v>50</x:v>
      </x:c>
      <x:c r="G700" s="26" t="n">
        <x:f>'成本明细'!U98+'成本明细'!G98*(E700-'参数'!$B$6)</x:f>
        <x:v>2761.1314847722224</x:v>
      </x:c>
      <x:c r="H700" s="26" t="n">
        <x:f>'成本明细'!U104</x:f>
        <x:v>4463.245935708889</x:v>
      </x:c>
      <x:c r="I700" s="26" t="n">
        <x:f>'成本明细'!V104</x:f>
        <x:v>8614</x:v>
      </x:c>
      <x:c r="J700" s="22" t="n">
        <x:f>'参数'!$B$9</x:f>
        <x:v>300</x:v>
      </x:c>
      <x:c r="K700" s="26" t="n">
        <x:f>J700*(G700-H700)-I700*ROUNDUP(J700/F700,0)</x:f>
        <x:v>-562318.335281</x:v>
      </x:c>
      <x:c r="L700" s="10" t="str">
        <x:f>IF(G700-H700&lt;=0,"未回本",IF(ROUNDUP(I700/(G700-H700),0)&gt;MIN(F700,J700),"未回本",MAX(1,ROUNDUP(I700/(G700-H700),0))))</x:f>
        <x:v>未回本</x:v>
      </x:c>
    </x:row>
    <x:row r="701" ht="22" customHeight="1">
      <x:c r="A701" s="11" t="str">
        <x:v>lade_0824_30aoi</x:v>
      </x:c>
      <x:c r="B701" s="10" t="n">
        <x:v>30</x:v>
      </x:c>
      <x:c r="C701" s="10" t="n">
        <x:v>44</x:v>
      </x:c>
      <x:c r="D701" s="10" t="str">
        <x:v>M2 / M4</x:v>
      </x:c>
      <x:c r="E701" s="16" t="n">
        <x:v>2</x:v>
      </x:c>
      <x:c r="F701" s="14" t="n">
        <x:v>50</x:v>
      </x:c>
      <x:c r="G701" s="26" t="n">
        <x:f>'成本明细'!U101+'成本明细'!G101*(E701-'参数'!$B$6)</x:f>
        <x:v>2591.9308954405556</x:v>
      </x:c>
      <x:c r="H701" s="26" t="n">
        <x:f>'成本明细'!U107</x:f>
        <x:v>4731.202355799444</x:v>
      </x:c>
      <x:c r="I701" s="26" t="n">
        <x:f>'成本明细'!V107</x:f>
        <x:v>8614</x:v>
      </x:c>
      <x:c r="J701" s="22" t="n">
        <x:f>'参数'!$B$9</x:f>
        <x:v>300</x:v>
      </x:c>
      <x:c r="K701" s="26" t="n">
        <x:f>J701*(G701-H701)-I701*ROUNDUP(J701/F701,0)</x:f>
        <x:v>-693465.4381076667</x:v>
      </x:c>
      <x:c r="L701" s="10" t="str">
        <x:f>IF(G701-H701&lt;=0,"未回本",IF(ROUNDUP(I701/(G701-H701),0)&gt;MIN(F701,J701),"未回本",MAX(1,ROUNDUP(I701/(G701-H701),0))))</x:f>
        <x:v>未回本</x:v>
      </x:c>
    </x:row>
    <x:row r="702" ht="22" customHeight="1">
      <x:c r="A702" s="11" t="str">
        <x:v>lade_0824_30aoi</x:v>
      </x:c>
      <x:c r="B702" s="10" t="n">
        <x:v>30</x:v>
      </x:c>
      <x:c r="C702" s="10" t="n">
        <x:v>44</x:v>
      </x:c>
      <x:c r="D702" s="10" t="str">
        <x:v>M1 / M3</x:v>
      </x:c>
      <x:c r="E702" s="16" t="n">
        <x:v>3</x:v>
      </x:c>
      <x:c r="F702" s="14" t="n">
        <x:v>10</x:v>
      </x:c>
      <x:c r="G702" s="26" t="n">
        <x:f>'成本明细'!U98+'成本明细'!G98*(E702-'参数'!$B$6)</x:f>
        <x:v>2997.1314847722224</x:v>
      </x:c>
      <x:c r="H702" s="26" t="n">
        <x:f>'成本明细'!U104</x:f>
        <x:v>4463.245935708889</x:v>
      </x:c>
      <x:c r="I702" s="26" t="n">
        <x:f>'成本明细'!V104</x:f>
        <x:v>8614</x:v>
      </x:c>
      <x:c r="J702" s="22" t="n">
        <x:f>'参数'!$B$9</x:f>
        <x:v>300</x:v>
      </x:c>
      <x:c r="K702" s="26" t="n">
        <x:f>J702*(G702-H702)-I702*ROUNDUP(J702/F702,0)</x:f>
        <x:v>-698254.335281</x:v>
      </x:c>
      <x:c r="L702" s="10" t="str">
        <x:f>IF(G702-H702&lt;=0,"未回本",IF(ROUNDUP(I702/(G702-H702),0)&gt;MIN(F702,J702),"未回本",MAX(1,ROUNDUP(I702/(G702-H702),0))))</x:f>
        <x:v>未回本</x:v>
      </x:c>
    </x:row>
    <x:row r="703" ht="22" customHeight="1">
      <x:c r="A703" s="11" t="str">
        <x:v>lade_0824_30aoi</x:v>
      </x:c>
      <x:c r="B703" s="10" t="n">
        <x:v>30</x:v>
      </x:c>
      <x:c r="C703" s="10" t="n">
        <x:v>44</x:v>
      </x:c>
      <x:c r="D703" s="10" t="str">
        <x:v>M2 / M4</x:v>
      </x:c>
      <x:c r="E703" s="16" t="n">
        <x:v>3</x:v>
      </x:c>
      <x:c r="F703" s="14" t="n">
        <x:v>10</x:v>
      </x:c>
      <x:c r="G703" s="26" t="n">
        <x:f>'成本明细'!U101+'成本明细'!G101*(E703-'参数'!$B$6)</x:f>
        <x:v>2827.9308954405556</x:v>
      </x:c>
      <x:c r="H703" s="26" t="n">
        <x:f>'成本明细'!U107</x:f>
        <x:v>4731.202355799444</x:v>
      </x:c>
      <x:c r="I703" s="26" t="n">
        <x:f>'成本明细'!V107</x:f>
        <x:v>8614</x:v>
      </x:c>
      <x:c r="J703" s="22" t="n">
        <x:f>'参数'!$B$9</x:f>
        <x:v>300</x:v>
      </x:c>
      <x:c r="K703" s="26" t="n">
        <x:f>J703*(G703-H703)-I703*ROUNDUP(J703/F703,0)</x:f>
        <x:v>-829401.4381076667</x:v>
      </x:c>
      <x:c r="L703" s="10" t="str">
        <x:f>IF(G703-H703&lt;=0,"未回本",IF(ROUNDUP(I703/(G703-H703),0)&gt;MIN(F703,J703),"未回本",MAX(1,ROUNDUP(I703/(G703-H703),0))))</x:f>
        <x:v>未回本</x:v>
      </x:c>
    </x:row>
    <x:row r="704" ht="22" customHeight="1">
      <x:c r="A704" s="11" t="str">
        <x:v>lade_0824_30aoi</x:v>
      </x:c>
      <x:c r="B704" s="10" t="n">
        <x:v>30</x:v>
      </x:c>
      <x:c r="C704" s="10" t="n">
        <x:v>44</x:v>
      </x:c>
      <x:c r="D704" s="10" t="str">
        <x:v>M1 / M3</x:v>
      </x:c>
      <x:c r="E704" s="16" t="n">
        <x:v>3</x:v>
      </x:c>
      <x:c r="F704" s="14" t="n">
        <x:v>20</x:v>
      </x:c>
      <x:c r="G704" s="26" t="n">
        <x:f>'成本明细'!U98+'成本明细'!G98*(E704-'参数'!$B$6)</x:f>
        <x:v>2997.1314847722224</x:v>
      </x:c>
      <x:c r="H704" s="26" t="n">
        <x:f>'成本明细'!U104</x:f>
        <x:v>4463.245935708889</x:v>
      </x:c>
      <x:c r="I704" s="26" t="n">
        <x:f>'成本明细'!V104</x:f>
        <x:v>8614</x:v>
      </x:c>
      <x:c r="J704" s="22" t="n">
        <x:f>'参数'!$B$9</x:f>
        <x:v>300</x:v>
      </x:c>
      <x:c r="K704" s="26" t="n">
        <x:f>J704*(G704-H704)-I704*ROUNDUP(J704/F704,0)</x:f>
        <x:v>-569044.335281</x:v>
      </x:c>
      <x:c r="L704" s="10" t="str">
        <x:f>IF(G704-H704&lt;=0,"未回本",IF(ROUNDUP(I704/(G704-H704),0)&gt;MIN(F704,J704),"未回本",MAX(1,ROUNDUP(I704/(G704-H704),0))))</x:f>
        <x:v>未回本</x:v>
      </x:c>
    </x:row>
    <x:row r="705" ht="22" customHeight="1">
      <x:c r="A705" s="11" t="str">
        <x:v>lade_0824_30aoi</x:v>
      </x:c>
      <x:c r="B705" s="10" t="n">
        <x:v>30</x:v>
      </x:c>
      <x:c r="C705" s="10" t="n">
        <x:v>44</x:v>
      </x:c>
      <x:c r="D705" s="10" t="str">
        <x:v>M2 / M4</x:v>
      </x:c>
      <x:c r="E705" s="16" t="n">
        <x:v>3</x:v>
      </x:c>
      <x:c r="F705" s="14" t="n">
        <x:v>20</x:v>
      </x:c>
      <x:c r="G705" s="26" t="n">
        <x:f>'成本明细'!U101+'成本明细'!G101*(E705-'参数'!$B$6)</x:f>
        <x:v>2827.9308954405556</x:v>
      </x:c>
      <x:c r="H705" s="26" t="n">
        <x:f>'成本明细'!U107</x:f>
        <x:v>4731.202355799444</x:v>
      </x:c>
      <x:c r="I705" s="26" t="n">
        <x:f>'成本明细'!V107</x:f>
        <x:v>8614</x:v>
      </x:c>
      <x:c r="J705" s="22" t="n">
        <x:f>'参数'!$B$9</x:f>
        <x:v>300</x:v>
      </x:c>
      <x:c r="K705" s="26" t="n">
        <x:f>J705*(G705-H705)-I705*ROUNDUP(J705/F705,0)</x:f>
        <x:v>-700191.4381076667</x:v>
      </x:c>
      <x:c r="L705" s="10" t="str">
        <x:f>IF(G705-H705&lt;=0,"未回本",IF(ROUNDUP(I705/(G705-H705),0)&gt;MIN(F705,J705),"未回本",MAX(1,ROUNDUP(I705/(G705-H705),0))))</x:f>
        <x:v>未回本</x:v>
      </x:c>
    </x:row>
    <x:row r="706" ht="22" customHeight="1">
      <x:c r="A706" s="11" t="str">
        <x:v>lade_0824_30aoi</x:v>
      </x:c>
      <x:c r="B706" s="10" t="n">
        <x:v>30</x:v>
      </x:c>
      <x:c r="C706" s="10" t="n">
        <x:v>44</x:v>
      </x:c>
      <x:c r="D706" s="10" t="str">
        <x:v>M1 / M3</x:v>
      </x:c>
      <x:c r="E706" s="16" t="n">
        <x:v>3</x:v>
      </x:c>
      <x:c r="F706" s="14" t="n">
        <x:v>30</x:v>
      </x:c>
      <x:c r="G706" s="26" t="n">
        <x:f>'成本明细'!U98+'成本明细'!G98*(E706-'参数'!$B$6)</x:f>
        <x:v>2997.1314847722224</x:v>
      </x:c>
      <x:c r="H706" s="26" t="n">
        <x:f>'成本明细'!U104</x:f>
        <x:v>4463.245935708889</x:v>
      </x:c>
      <x:c r="I706" s="26" t="n">
        <x:f>'成本明细'!V104</x:f>
        <x:v>8614</x:v>
      </x:c>
      <x:c r="J706" s="22" t="n">
        <x:f>'参数'!$B$9</x:f>
        <x:v>300</x:v>
      </x:c>
      <x:c r="K706" s="26" t="n">
        <x:f>J706*(G706-H706)-I706*ROUNDUP(J706/F706,0)</x:f>
        <x:v>-525974.335281</x:v>
      </x:c>
      <x:c r="L706" s="10" t="str">
        <x:f>IF(G706-H706&lt;=0,"未回本",IF(ROUNDUP(I706/(G706-H706),0)&gt;MIN(F706,J706),"未回本",MAX(1,ROUNDUP(I706/(G706-H706),0))))</x:f>
        <x:v>未回本</x:v>
      </x:c>
    </x:row>
    <x:row r="707" ht="22" customHeight="1">
      <x:c r="A707" s="11" t="str">
        <x:v>lade_0824_30aoi</x:v>
      </x:c>
      <x:c r="B707" s="10" t="n">
        <x:v>30</x:v>
      </x:c>
      <x:c r="C707" s="10" t="n">
        <x:v>44</x:v>
      </x:c>
      <x:c r="D707" s="10" t="str">
        <x:v>M2 / M4</x:v>
      </x:c>
      <x:c r="E707" s="16" t="n">
        <x:v>3</x:v>
      </x:c>
      <x:c r="F707" s="14" t="n">
        <x:v>30</x:v>
      </x:c>
      <x:c r="G707" s="26" t="n">
        <x:f>'成本明细'!U101+'成本明细'!G101*(E707-'参数'!$B$6)</x:f>
        <x:v>2827.9308954405556</x:v>
      </x:c>
      <x:c r="H707" s="26" t="n">
        <x:f>'成本明细'!U107</x:f>
        <x:v>4731.202355799444</x:v>
      </x:c>
      <x:c r="I707" s="26" t="n">
        <x:f>'成本明细'!V107</x:f>
        <x:v>8614</x:v>
      </x:c>
      <x:c r="J707" s="22" t="n">
        <x:f>'参数'!$B$9</x:f>
        <x:v>300</x:v>
      </x:c>
      <x:c r="K707" s="26" t="n">
        <x:f>J707*(G707-H707)-I707*ROUNDUP(J707/F707,0)</x:f>
        <x:v>-657121.4381076667</x:v>
      </x:c>
      <x:c r="L707" s="10" t="str">
        <x:f>IF(G707-H707&lt;=0,"未回本",IF(ROUNDUP(I707/(G707-H707),0)&gt;MIN(F707,J707),"未回本",MAX(1,ROUNDUP(I707/(G707-H707),0))))</x:f>
        <x:v>未回本</x:v>
      </x:c>
    </x:row>
    <x:row r="708" ht="22" customHeight="1">
      <x:c r="A708" s="11" t="str">
        <x:v>lade_0824_30aoi</x:v>
      </x:c>
      <x:c r="B708" s="10" t="n">
        <x:v>30</x:v>
      </x:c>
      <x:c r="C708" s="10" t="n">
        <x:v>44</x:v>
      </x:c>
      <x:c r="D708" s="10" t="str">
        <x:v>M1 / M3</x:v>
      </x:c>
      <x:c r="E708" s="16" t="n">
        <x:v>3</x:v>
      </x:c>
      <x:c r="F708" s="14" t="n">
        <x:v>50</x:v>
      </x:c>
      <x:c r="G708" s="26" t="n">
        <x:f>'成本明细'!U98+'成本明细'!G98*(E708-'参数'!$B$6)</x:f>
        <x:v>2997.1314847722224</x:v>
      </x:c>
      <x:c r="H708" s="26" t="n">
        <x:f>'成本明细'!U104</x:f>
        <x:v>4463.245935708889</x:v>
      </x:c>
      <x:c r="I708" s="26" t="n">
        <x:f>'成本明细'!V104</x:f>
        <x:v>8614</x:v>
      </x:c>
      <x:c r="J708" s="22" t="n">
        <x:f>'参数'!$B$9</x:f>
        <x:v>300</x:v>
      </x:c>
      <x:c r="K708" s="26" t="n">
        <x:f>J708*(G708-H708)-I708*ROUNDUP(J708/F708,0)</x:f>
        <x:v>-491518.33528100007</x:v>
      </x:c>
      <x:c r="L708" s="10" t="str">
        <x:f>IF(G708-H708&lt;=0,"未回本",IF(ROUNDUP(I708/(G708-H708),0)&gt;MIN(F708,J708),"未回本",MAX(1,ROUNDUP(I708/(G708-H708),0))))</x:f>
        <x:v>未回本</x:v>
      </x:c>
    </x:row>
    <x:row r="709" ht="22" customHeight="1">
      <x:c r="A709" s="11" t="str">
        <x:v>lade_0824_30aoi</x:v>
      </x:c>
      <x:c r="B709" s="10" t="n">
        <x:v>30</x:v>
      </x:c>
      <x:c r="C709" s="10" t="n">
        <x:v>44</x:v>
      </x:c>
      <x:c r="D709" s="10" t="str">
        <x:v>M2 / M4</x:v>
      </x:c>
      <x:c r="E709" s="16" t="n">
        <x:v>3</x:v>
      </x:c>
      <x:c r="F709" s="14" t="n">
        <x:v>50</x:v>
      </x:c>
      <x:c r="G709" s="26" t="n">
        <x:f>'成本明细'!U101+'成本明细'!G101*(E709-'参数'!$B$6)</x:f>
        <x:v>2827.9308954405556</x:v>
      </x:c>
      <x:c r="H709" s="26" t="n">
        <x:f>'成本明细'!U107</x:f>
        <x:v>4731.202355799444</x:v>
      </x:c>
      <x:c r="I709" s="26" t="n">
        <x:f>'成本明细'!V107</x:f>
        <x:v>8614</x:v>
      </x:c>
      <x:c r="J709" s="22" t="n">
        <x:f>'参数'!$B$9</x:f>
        <x:v>300</x:v>
      </x:c>
      <x:c r="K709" s="26" t="n">
        <x:f>J709*(G709-H709)-I709*ROUNDUP(J709/F709,0)</x:f>
        <x:v>-622665.4381076667</x:v>
      </x:c>
      <x:c r="L709" s="10" t="str">
        <x:f>IF(G709-H709&lt;=0,"未回本",IF(ROUNDUP(I709/(G709-H709),0)&gt;MIN(F709,J709),"未回本",MAX(1,ROUNDUP(I709/(G709-H709),0))))</x:f>
        <x:v>未回本</x:v>
      </x:c>
    </x:row>
    <x:row r="710" ht="22" customHeight="1">
      <x:c r="A710" s="11" t="str">
        <x:v>lade_0824_30aoi</x:v>
      </x:c>
      <x:c r="B710" s="10" t="n">
        <x:v>30</x:v>
      </x:c>
      <x:c r="C710" s="10" t="n">
        <x:v>44</x:v>
      </x:c>
      <x:c r="D710" s="10" t="str">
        <x:v>M1 / M3</x:v>
      </x:c>
      <x:c r="E710" s="16" t="n">
        <x:v>4</x:v>
      </x:c>
      <x:c r="F710" s="14" t="n">
        <x:v>10</x:v>
      </x:c>
      <x:c r="G710" s="26" t="n">
        <x:f>'成本明细'!U98+'成本明细'!G98*(E710-'参数'!$B$6)</x:f>
        <x:v>3233.1314847722224</x:v>
      </x:c>
      <x:c r="H710" s="26" t="n">
        <x:f>'成本明细'!U104</x:f>
        <x:v>4463.245935708889</x:v>
      </x:c>
      <x:c r="I710" s="26" t="n">
        <x:f>'成本明细'!V104</x:f>
        <x:v>8614</x:v>
      </x:c>
      <x:c r="J710" s="22" t="n">
        <x:f>'参数'!$B$9</x:f>
        <x:v>300</x:v>
      </x:c>
      <x:c r="K710" s="26" t="n">
        <x:f>J710*(G710-H710)-I710*ROUNDUP(J710/F710,0)</x:f>
        <x:v>-627454.335281</x:v>
      </x:c>
      <x:c r="L710" s="10" t="str">
        <x:f>IF(G710-H710&lt;=0,"未回本",IF(ROUNDUP(I710/(G710-H710),0)&gt;MIN(F710,J710),"未回本",MAX(1,ROUNDUP(I710/(G710-H710),0))))</x:f>
        <x:v>未回本</x:v>
      </x:c>
    </x:row>
    <x:row r="711" ht="22" customHeight="1">
      <x:c r="A711" s="11" t="str">
        <x:v>lade_0824_30aoi</x:v>
      </x:c>
      <x:c r="B711" s="10" t="n">
        <x:v>30</x:v>
      </x:c>
      <x:c r="C711" s="10" t="n">
        <x:v>44</x:v>
      </x:c>
      <x:c r="D711" s="10" t="str">
        <x:v>M2 / M4</x:v>
      </x:c>
      <x:c r="E711" s="16" t="n">
        <x:v>4</x:v>
      </x:c>
      <x:c r="F711" s="14" t="n">
        <x:v>10</x:v>
      </x:c>
      <x:c r="G711" s="26" t="n">
        <x:f>'成本明细'!U101+'成本明细'!G101*(E711-'参数'!$B$6)</x:f>
        <x:v>3063.9308954405556</x:v>
      </x:c>
      <x:c r="H711" s="26" t="n">
        <x:f>'成本明细'!U107</x:f>
        <x:v>4731.202355799444</x:v>
      </x:c>
      <x:c r="I711" s="26" t="n">
        <x:f>'成本明细'!V107</x:f>
        <x:v>8614</x:v>
      </x:c>
      <x:c r="J711" s="22" t="n">
        <x:f>'参数'!$B$9</x:f>
        <x:v>300</x:v>
      </x:c>
      <x:c r="K711" s="26" t="n">
        <x:f>J711*(G711-H711)-I711*ROUNDUP(J711/F711,0)</x:f>
        <x:v>-758601.4381076666</x:v>
      </x:c>
      <x:c r="L711" s="10" t="str">
        <x:f>IF(G711-H711&lt;=0,"未回本",IF(ROUNDUP(I711/(G711-H711),0)&gt;MIN(F711,J711),"未回本",MAX(1,ROUNDUP(I711/(G711-H711),0))))</x:f>
        <x:v>未回本</x:v>
      </x:c>
    </x:row>
    <x:row r="712" ht="22" customHeight="1">
      <x:c r="A712" s="11" t="str">
        <x:v>lade_0824_30aoi</x:v>
      </x:c>
      <x:c r="B712" s="10" t="n">
        <x:v>30</x:v>
      </x:c>
      <x:c r="C712" s="10" t="n">
        <x:v>44</x:v>
      </x:c>
      <x:c r="D712" s="10" t="str">
        <x:v>M1 / M3</x:v>
      </x:c>
      <x:c r="E712" s="16" t="n">
        <x:v>4</x:v>
      </x:c>
      <x:c r="F712" s="14" t="n">
        <x:v>20</x:v>
      </x:c>
      <x:c r="G712" s="26" t="n">
        <x:f>'成本明细'!U98+'成本明细'!G98*(E712-'参数'!$B$6)</x:f>
        <x:v>3233.1314847722224</x:v>
      </x:c>
      <x:c r="H712" s="26" t="n">
        <x:f>'成本明细'!U104</x:f>
        <x:v>4463.245935708889</x:v>
      </x:c>
      <x:c r="I712" s="26" t="n">
        <x:f>'成本明细'!V104</x:f>
        <x:v>8614</x:v>
      </x:c>
      <x:c r="J712" s="22" t="n">
        <x:f>'参数'!$B$9</x:f>
        <x:v>300</x:v>
      </x:c>
      <x:c r="K712" s="26" t="n">
        <x:f>J712*(G712-H712)-I712*ROUNDUP(J712/F712,0)</x:f>
        <x:v>-498244.33528100007</x:v>
      </x:c>
      <x:c r="L712" s="10" t="str">
        <x:f>IF(G712-H712&lt;=0,"未回本",IF(ROUNDUP(I712/(G712-H712),0)&gt;MIN(F712,J712),"未回本",MAX(1,ROUNDUP(I712/(G712-H712),0))))</x:f>
        <x:v>未回本</x:v>
      </x:c>
    </x:row>
    <x:row r="713" ht="22" customHeight="1">
      <x:c r="A713" s="11" t="str">
        <x:v>lade_0824_30aoi</x:v>
      </x:c>
      <x:c r="B713" s="10" t="n">
        <x:v>30</x:v>
      </x:c>
      <x:c r="C713" s="10" t="n">
        <x:v>44</x:v>
      </x:c>
      <x:c r="D713" s="10" t="str">
        <x:v>M2 / M4</x:v>
      </x:c>
      <x:c r="E713" s="16" t="n">
        <x:v>4</x:v>
      </x:c>
      <x:c r="F713" s="14" t="n">
        <x:v>20</x:v>
      </x:c>
      <x:c r="G713" s="26" t="n">
        <x:f>'成本明细'!U101+'成本明细'!G101*(E713-'参数'!$B$6)</x:f>
        <x:v>3063.9308954405556</x:v>
      </x:c>
      <x:c r="H713" s="26" t="n">
        <x:f>'成本明细'!U107</x:f>
        <x:v>4731.202355799444</x:v>
      </x:c>
      <x:c r="I713" s="26" t="n">
        <x:f>'成本明细'!V107</x:f>
        <x:v>8614</x:v>
      </x:c>
      <x:c r="J713" s="22" t="n">
        <x:f>'参数'!$B$9</x:f>
        <x:v>300</x:v>
      </x:c>
      <x:c r="K713" s="26" t="n">
        <x:f>J713*(G713-H713)-I713*ROUNDUP(J713/F713,0)</x:f>
        <x:v>-629391.4381076666</x:v>
      </x:c>
      <x:c r="L713" s="10" t="str">
        <x:f>IF(G713-H713&lt;=0,"未回本",IF(ROUNDUP(I713/(G713-H713),0)&gt;MIN(F713,J713),"未回本",MAX(1,ROUNDUP(I713/(G713-H713),0))))</x:f>
        <x:v>未回本</x:v>
      </x:c>
    </x:row>
    <x:row r="714" ht="22" customHeight="1">
      <x:c r="A714" s="11" t="str">
        <x:v>lade_0824_30aoi</x:v>
      </x:c>
      <x:c r="B714" s="10" t="n">
        <x:v>30</x:v>
      </x:c>
      <x:c r="C714" s="10" t="n">
        <x:v>44</x:v>
      </x:c>
      <x:c r="D714" s="10" t="str">
        <x:v>M1 / M3</x:v>
      </x:c>
      <x:c r="E714" s="16" t="n">
        <x:v>4</x:v>
      </x:c>
      <x:c r="F714" s="14" t="n">
        <x:v>30</x:v>
      </x:c>
      <x:c r="G714" s="26" t="n">
        <x:f>'成本明细'!U98+'成本明细'!G98*(E714-'参数'!$B$6)</x:f>
        <x:v>3233.1314847722224</x:v>
      </x:c>
      <x:c r="H714" s="26" t="n">
        <x:f>'成本明细'!U104</x:f>
        <x:v>4463.245935708889</x:v>
      </x:c>
      <x:c r="I714" s="26" t="n">
        <x:f>'成本明细'!V104</x:f>
        <x:v>8614</x:v>
      </x:c>
      <x:c r="J714" s="22" t="n">
        <x:f>'参数'!$B$9</x:f>
        <x:v>300</x:v>
      </x:c>
      <x:c r="K714" s="26" t="n">
        <x:f>J714*(G714-H714)-I714*ROUNDUP(J714/F714,0)</x:f>
        <x:v>-455174.33528100007</x:v>
      </x:c>
      <x:c r="L714" s="10" t="str">
        <x:f>IF(G714-H714&lt;=0,"未回本",IF(ROUNDUP(I714/(G714-H714),0)&gt;MIN(F714,J714),"未回本",MAX(1,ROUNDUP(I714/(G714-H714),0))))</x:f>
        <x:v>未回本</x:v>
      </x:c>
    </x:row>
    <x:row r="715" ht="22" customHeight="1">
      <x:c r="A715" s="11" t="str">
        <x:v>lade_0824_30aoi</x:v>
      </x:c>
      <x:c r="B715" s="10" t="n">
        <x:v>30</x:v>
      </x:c>
      <x:c r="C715" s="10" t="n">
        <x:v>44</x:v>
      </x:c>
      <x:c r="D715" s="10" t="str">
        <x:v>M2 / M4</x:v>
      </x:c>
      <x:c r="E715" s="16" t="n">
        <x:v>4</x:v>
      </x:c>
      <x:c r="F715" s="14" t="n">
        <x:v>30</x:v>
      </x:c>
      <x:c r="G715" s="26" t="n">
        <x:f>'成本明细'!U101+'成本明细'!G101*(E715-'参数'!$B$6)</x:f>
        <x:v>3063.9308954405556</x:v>
      </x:c>
      <x:c r="H715" s="26" t="n">
        <x:f>'成本明细'!U107</x:f>
        <x:v>4731.202355799444</x:v>
      </x:c>
      <x:c r="I715" s="26" t="n">
        <x:f>'成本明细'!V107</x:f>
        <x:v>8614</x:v>
      </x:c>
      <x:c r="J715" s="22" t="n">
        <x:f>'参数'!$B$9</x:f>
        <x:v>300</x:v>
      </x:c>
      <x:c r="K715" s="26" t="n">
        <x:f>J715*(G715-H715)-I715*ROUNDUP(J715/F715,0)</x:f>
        <x:v>-586321.4381076666</x:v>
      </x:c>
      <x:c r="L715" s="10" t="str">
        <x:f>IF(G715-H715&lt;=0,"未回本",IF(ROUNDUP(I715/(G715-H715),0)&gt;MIN(F715,J715),"未回本",MAX(1,ROUNDUP(I715/(G715-H715),0))))</x:f>
        <x:v>未回本</x:v>
      </x:c>
    </x:row>
    <x:row r="716" ht="22" customHeight="1">
      <x:c r="A716" s="11" t="str">
        <x:v>lade_0824_30aoi</x:v>
      </x:c>
      <x:c r="B716" s="10" t="n">
        <x:v>30</x:v>
      </x:c>
      <x:c r="C716" s="10" t="n">
        <x:v>44</x:v>
      </x:c>
      <x:c r="D716" s="10" t="str">
        <x:v>M1 / M3</x:v>
      </x:c>
      <x:c r="E716" s="16" t="n">
        <x:v>4</x:v>
      </x:c>
      <x:c r="F716" s="14" t="n">
        <x:v>50</x:v>
      </x:c>
      <x:c r="G716" s="26" t="n">
        <x:f>'成本明细'!U98+'成本明细'!G98*(E716-'参数'!$B$6)</x:f>
        <x:v>3233.1314847722224</x:v>
      </x:c>
      <x:c r="H716" s="26" t="n">
        <x:f>'成本明细'!U104</x:f>
        <x:v>4463.245935708889</x:v>
      </x:c>
      <x:c r="I716" s="26" t="n">
        <x:f>'成本明细'!V104</x:f>
        <x:v>8614</x:v>
      </x:c>
      <x:c r="J716" s="22" t="n">
        <x:f>'参数'!$B$9</x:f>
        <x:v>300</x:v>
      </x:c>
      <x:c r="K716" s="26" t="n">
        <x:f>J716*(G716-H716)-I716*ROUNDUP(J716/F716,0)</x:f>
        <x:v>-420718.33528100007</x:v>
      </x:c>
      <x:c r="L716" s="10" t="str">
        <x:f>IF(G716-H716&lt;=0,"未回本",IF(ROUNDUP(I716/(G716-H716),0)&gt;MIN(F716,J716),"未回本",MAX(1,ROUNDUP(I716/(G716-H716),0))))</x:f>
        <x:v>未回本</x:v>
      </x:c>
    </x:row>
    <x:row r="717" ht="22" customHeight="1">
      <x:c r="A717" s="11" t="str">
        <x:v>lade_0824_30aoi</x:v>
      </x:c>
      <x:c r="B717" s="10" t="n">
        <x:v>30</x:v>
      </x:c>
      <x:c r="C717" s="10" t="n">
        <x:v>44</x:v>
      </x:c>
      <x:c r="D717" s="10" t="str">
        <x:v>M2 / M4</x:v>
      </x:c>
      <x:c r="E717" s="16" t="n">
        <x:v>4</x:v>
      </x:c>
      <x:c r="F717" s="14" t="n">
        <x:v>50</x:v>
      </x:c>
      <x:c r="G717" s="26" t="n">
        <x:f>'成本明细'!U101+'成本明细'!G101*(E717-'参数'!$B$6)</x:f>
        <x:v>3063.9308954405556</x:v>
      </x:c>
      <x:c r="H717" s="26" t="n">
        <x:f>'成本明细'!U107</x:f>
        <x:v>4731.202355799444</x:v>
      </x:c>
      <x:c r="I717" s="26" t="n">
        <x:f>'成本明细'!V107</x:f>
        <x:v>8614</x:v>
      </x:c>
      <x:c r="J717" s="22" t="n">
        <x:f>'参数'!$B$9</x:f>
        <x:v>300</x:v>
      </x:c>
      <x:c r="K717" s="26" t="n">
        <x:f>J717*(G717-H717)-I717*ROUNDUP(J717/F717,0)</x:f>
        <x:v>-551865.4381076666</x:v>
      </x:c>
      <x:c r="L717" s="10" t="str">
        <x:f>IF(G717-H717&lt;=0,"未回本",IF(ROUNDUP(I717/(G717-H717),0)&gt;MIN(F717,J717),"未回本",MAX(1,ROUNDUP(I717/(G717-H717),0))))</x:f>
        <x:v>未回本</x:v>
      </x:c>
    </x:row>
    <x:row r="718" ht="22" customHeight="1">
      <x:c r="A718" s="11" t="str">
        <x:v>lade_0824_30aoi</x:v>
      </x:c>
      <x:c r="B718" s="10" t="n">
        <x:v>30</x:v>
      </x:c>
      <x:c r="C718" s="10" t="n">
        <x:v>44</x:v>
      </x:c>
      <x:c r="D718" s="10" t="str">
        <x:v>M1 / M3</x:v>
      </x:c>
      <x:c r="E718" s="16" t="n">
        <x:v>5</x:v>
      </x:c>
      <x:c r="F718" s="14" t="n">
        <x:v>10</x:v>
      </x:c>
      <x:c r="G718" s="26" t="n">
        <x:f>'成本明细'!U98+'成本明细'!G98*(E718-'参数'!$B$6)</x:f>
        <x:v>3469.1314847722224</x:v>
      </x:c>
      <x:c r="H718" s="26" t="n">
        <x:f>'成本明细'!U104</x:f>
        <x:v>4463.245935708889</x:v>
      </x:c>
      <x:c r="I718" s="26" t="n">
        <x:f>'成本明细'!V104</x:f>
        <x:v>8614</x:v>
      </x:c>
      <x:c r="J718" s="22" t="n">
        <x:f>'参数'!$B$9</x:f>
        <x:v>300</x:v>
      </x:c>
      <x:c r="K718" s="26" t="n">
        <x:f>J718*(G718-H718)-I718*ROUNDUP(J718/F718,0)</x:f>
        <x:v>-556654.335281</x:v>
      </x:c>
      <x:c r="L718" s="10" t="str">
        <x:f>IF(G718-H718&lt;=0,"未回本",IF(ROUNDUP(I718/(G718-H718),0)&gt;MIN(F718,J718),"未回本",MAX(1,ROUNDUP(I718/(G718-H718),0))))</x:f>
        <x:v>未回本</x:v>
      </x:c>
    </x:row>
    <x:row r="719" ht="22" customHeight="1">
      <x:c r="A719" s="11" t="str">
        <x:v>lade_0824_30aoi</x:v>
      </x:c>
      <x:c r="B719" s="10" t="n">
        <x:v>30</x:v>
      </x:c>
      <x:c r="C719" s="10" t="n">
        <x:v>44</x:v>
      </x:c>
      <x:c r="D719" s="10" t="str">
        <x:v>M2 / M4</x:v>
      </x:c>
      <x:c r="E719" s="16" t="n">
        <x:v>5</x:v>
      </x:c>
      <x:c r="F719" s="14" t="n">
        <x:v>10</x:v>
      </x:c>
      <x:c r="G719" s="26" t="n">
        <x:f>'成本明细'!U101+'成本明细'!G101*(E719-'参数'!$B$6)</x:f>
        <x:v>3299.9308954405556</x:v>
      </x:c>
      <x:c r="H719" s="26" t="n">
        <x:f>'成本明细'!U107</x:f>
        <x:v>4731.202355799444</x:v>
      </x:c>
      <x:c r="I719" s="26" t="n">
        <x:f>'成本明细'!V107</x:f>
        <x:v>8614</x:v>
      </x:c>
      <x:c r="J719" s="22" t="n">
        <x:f>'参数'!$B$9</x:f>
        <x:v>300</x:v>
      </x:c>
      <x:c r="K719" s="26" t="n">
        <x:f>J719*(G719-H719)-I719*ROUNDUP(J719/F719,0)</x:f>
        <x:v>-687801.4381076666</x:v>
      </x:c>
      <x:c r="L719" s="10" t="str">
        <x:f>IF(G719-H719&lt;=0,"未回本",IF(ROUNDUP(I719/(G719-H719),0)&gt;MIN(F719,J719),"未回本",MAX(1,ROUNDUP(I719/(G719-H719),0))))</x:f>
        <x:v>未回本</x:v>
      </x:c>
    </x:row>
    <x:row r="720" ht="22" customHeight="1">
      <x:c r="A720" s="11" t="str">
        <x:v>lade_0824_30aoi</x:v>
      </x:c>
      <x:c r="B720" s="10" t="n">
        <x:v>30</x:v>
      </x:c>
      <x:c r="C720" s="10" t="n">
        <x:v>44</x:v>
      </x:c>
      <x:c r="D720" s="10" t="str">
        <x:v>M1 / M3</x:v>
      </x:c>
      <x:c r="E720" s="16" t="n">
        <x:v>5</x:v>
      </x:c>
      <x:c r="F720" s="14" t="n">
        <x:v>20</x:v>
      </x:c>
      <x:c r="G720" s="26" t="n">
        <x:f>'成本明细'!U98+'成本明细'!G98*(E720-'参数'!$B$6)</x:f>
        <x:v>3469.1314847722224</x:v>
      </x:c>
      <x:c r="H720" s="26" t="n">
        <x:f>'成本明细'!U104</x:f>
        <x:v>4463.245935708889</x:v>
      </x:c>
      <x:c r="I720" s="26" t="n">
        <x:f>'成本明细'!V104</x:f>
        <x:v>8614</x:v>
      </x:c>
      <x:c r="J720" s="22" t="n">
        <x:f>'参数'!$B$9</x:f>
        <x:v>300</x:v>
      </x:c>
      <x:c r="K720" s="26" t="n">
        <x:f>J720*(G720-H720)-I720*ROUNDUP(J720/F720,0)</x:f>
        <x:v>-427444.33528100007</x:v>
      </x:c>
      <x:c r="L720" s="10" t="str">
        <x:f>IF(G720-H720&lt;=0,"未回本",IF(ROUNDUP(I720/(G720-H720),0)&gt;MIN(F720,J720),"未回本",MAX(1,ROUNDUP(I720/(G720-H720),0))))</x:f>
        <x:v>未回本</x:v>
      </x:c>
    </x:row>
    <x:row r="721" ht="22" customHeight="1">
      <x:c r="A721" s="11" t="str">
        <x:v>lade_0824_30aoi</x:v>
      </x:c>
      <x:c r="B721" s="10" t="n">
        <x:v>30</x:v>
      </x:c>
      <x:c r="C721" s="10" t="n">
        <x:v>44</x:v>
      </x:c>
      <x:c r="D721" s="10" t="str">
        <x:v>M2 / M4</x:v>
      </x:c>
      <x:c r="E721" s="16" t="n">
        <x:v>5</x:v>
      </x:c>
      <x:c r="F721" s="14" t="n">
        <x:v>20</x:v>
      </x:c>
      <x:c r="G721" s="26" t="n">
        <x:f>'成本明细'!U101+'成本明细'!G101*(E721-'参数'!$B$6)</x:f>
        <x:v>3299.9308954405556</x:v>
      </x:c>
      <x:c r="H721" s="26" t="n">
        <x:f>'成本明细'!U107</x:f>
        <x:v>4731.202355799444</x:v>
      </x:c>
      <x:c r="I721" s="26" t="n">
        <x:f>'成本明细'!V107</x:f>
        <x:v>8614</x:v>
      </x:c>
      <x:c r="J721" s="22" t="n">
        <x:f>'参数'!$B$9</x:f>
        <x:v>300</x:v>
      </x:c>
      <x:c r="K721" s="26" t="n">
        <x:f>J721*(G721-H721)-I721*ROUNDUP(J721/F721,0)</x:f>
        <x:v>-558591.4381076666</x:v>
      </x:c>
      <x:c r="L721" s="10" t="str">
        <x:f>IF(G721-H721&lt;=0,"未回本",IF(ROUNDUP(I721/(G721-H721),0)&gt;MIN(F721,J721),"未回本",MAX(1,ROUNDUP(I721/(G721-H721),0))))</x:f>
        <x:v>未回本</x:v>
      </x:c>
    </x:row>
    <x:row r="722" ht="22" customHeight="1">
      <x:c r="A722" s="11" t="str">
        <x:v>lade_0824_30aoi</x:v>
      </x:c>
      <x:c r="B722" s="10" t="n">
        <x:v>30</x:v>
      </x:c>
      <x:c r="C722" s="10" t="n">
        <x:v>44</x:v>
      </x:c>
      <x:c r="D722" s="10" t="str">
        <x:v>M1 / M3</x:v>
      </x:c>
      <x:c r="E722" s="16" t="n">
        <x:v>5</x:v>
      </x:c>
      <x:c r="F722" s="14" t="n">
        <x:v>30</x:v>
      </x:c>
      <x:c r="G722" s="26" t="n">
        <x:f>'成本明细'!U98+'成本明细'!G98*(E722-'参数'!$B$6)</x:f>
        <x:v>3469.1314847722224</x:v>
      </x:c>
      <x:c r="H722" s="26" t="n">
        <x:f>'成本明细'!U104</x:f>
        <x:v>4463.245935708889</x:v>
      </x:c>
      <x:c r="I722" s="26" t="n">
        <x:f>'成本明细'!V104</x:f>
        <x:v>8614</x:v>
      </x:c>
      <x:c r="J722" s="22" t="n">
        <x:f>'参数'!$B$9</x:f>
        <x:v>300</x:v>
      </x:c>
      <x:c r="K722" s="26" t="n">
        <x:f>J722*(G722-H722)-I722*ROUNDUP(J722/F722,0)</x:f>
        <x:v>-384374.33528100007</x:v>
      </x:c>
      <x:c r="L722" s="10" t="str">
        <x:f>IF(G722-H722&lt;=0,"未回本",IF(ROUNDUP(I722/(G722-H722),0)&gt;MIN(F722,J722),"未回本",MAX(1,ROUNDUP(I722/(G722-H722),0))))</x:f>
        <x:v>未回本</x:v>
      </x:c>
    </x:row>
    <x:row r="723" ht="22" customHeight="1">
      <x:c r="A723" s="11" t="str">
        <x:v>lade_0824_30aoi</x:v>
      </x:c>
      <x:c r="B723" s="10" t="n">
        <x:v>30</x:v>
      </x:c>
      <x:c r="C723" s="10" t="n">
        <x:v>44</x:v>
      </x:c>
      <x:c r="D723" s="10" t="str">
        <x:v>M2 / M4</x:v>
      </x:c>
      <x:c r="E723" s="16" t="n">
        <x:v>5</x:v>
      </x:c>
      <x:c r="F723" s="14" t="n">
        <x:v>30</x:v>
      </x:c>
      <x:c r="G723" s="26" t="n">
        <x:f>'成本明细'!U101+'成本明细'!G101*(E723-'参数'!$B$6)</x:f>
        <x:v>3299.9308954405556</x:v>
      </x:c>
      <x:c r="H723" s="26" t="n">
        <x:f>'成本明细'!U107</x:f>
        <x:v>4731.202355799444</x:v>
      </x:c>
      <x:c r="I723" s="26" t="n">
        <x:f>'成本明细'!V107</x:f>
        <x:v>8614</x:v>
      </x:c>
      <x:c r="J723" s="22" t="n">
        <x:f>'参数'!$B$9</x:f>
        <x:v>300</x:v>
      </x:c>
      <x:c r="K723" s="26" t="n">
        <x:f>J723*(G723-H723)-I723*ROUNDUP(J723/F723,0)</x:f>
        <x:v>-515521.4381076666</x:v>
      </x:c>
      <x:c r="L723" s="10" t="str">
        <x:f>IF(G723-H723&lt;=0,"未回本",IF(ROUNDUP(I723/(G723-H723),0)&gt;MIN(F723,J723),"未回本",MAX(1,ROUNDUP(I723/(G723-H723),0))))</x:f>
        <x:v>未回本</x:v>
      </x:c>
    </x:row>
    <x:row r="724" ht="22" customHeight="1">
      <x:c r="A724" s="11" t="str">
        <x:v>lade_0824_30aoi</x:v>
      </x:c>
      <x:c r="B724" s="10" t="n">
        <x:v>30</x:v>
      </x:c>
      <x:c r="C724" s="10" t="n">
        <x:v>44</x:v>
      </x:c>
      <x:c r="D724" s="10" t="str">
        <x:v>M1 / M3</x:v>
      </x:c>
      <x:c r="E724" s="16" t="n">
        <x:v>5</x:v>
      </x:c>
      <x:c r="F724" s="14" t="n">
        <x:v>50</x:v>
      </x:c>
      <x:c r="G724" s="26" t="n">
        <x:f>'成本明细'!U98+'成本明细'!G98*(E724-'参数'!$B$6)</x:f>
        <x:v>3469.1314847722224</x:v>
      </x:c>
      <x:c r="H724" s="26" t="n">
        <x:f>'成本明细'!U104</x:f>
        <x:v>4463.245935708889</x:v>
      </x:c>
      <x:c r="I724" s="26" t="n">
        <x:f>'成本明细'!V104</x:f>
        <x:v>8614</x:v>
      </x:c>
      <x:c r="J724" s="22" t="n">
        <x:f>'参数'!$B$9</x:f>
        <x:v>300</x:v>
      </x:c>
      <x:c r="K724" s="26" t="n">
        <x:f>J724*(G724-H724)-I724*ROUNDUP(J724/F724,0)</x:f>
        <x:v>-349918.33528100007</x:v>
      </x:c>
      <x:c r="L724" s="10" t="str">
        <x:f>IF(G724-H724&lt;=0,"未回本",IF(ROUNDUP(I724/(G724-H724),0)&gt;MIN(F724,J724),"未回本",MAX(1,ROUNDUP(I724/(G724-H724),0))))</x:f>
        <x:v>未回本</x:v>
      </x:c>
    </x:row>
    <x:row r="725" ht="22" customHeight="1">
      <x:c r="A725" s="11" t="str">
        <x:v>lade_0824_30aoi</x:v>
      </x:c>
      <x:c r="B725" s="10" t="n">
        <x:v>30</x:v>
      </x:c>
      <x:c r="C725" s="10" t="n">
        <x:v>44</x:v>
      </x:c>
      <x:c r="D725" s="10" t="str">
        <x:v>M2 / M4</x:v>
      </x:c>
      <x:c r="E725" s="16" t="n">
        <x:v>5</x:v>
      </x:c>
      <x:c r="F725" s="14" t="n">
        <x:v>50</x:v>
      </x:c>
      <x:c r="G725" s="26" t="n">
        <x:f>'成本明细'!U101+'成本明细'!G101*(E725-'参数'!$B$6)</x:f>
        <x:v>3299.9308954405556</x:v>
      </x:c>
      <x:c r="H725" s="26" t="n">
        <x:f>'成本明细'!U107</x:f>
        <x:v>4731.202355799444</x:v>
      </x:c>
      <x:c r="I725" s="26" t="n">
        <x:f>'成本明细'!V107</x:f>
        <x:v>8614</x:v>
      </x:c>
      <x:c r="J725" s="22" t="n">
        <x:f>'参数'!$B$9</x:f>
        <x:v>300</x:v>
      </x:c>
      <x:c r="K725" s="26" t="n">
        <x:f>J725*(G725-H725)-I725*ROUNDUP(J725/F725,0)</x:f>
        <x:v>-481065.4381076666</x:v>
      </x:c>
      <x:c r="L725" s="10" t="str">
        <x:f>IF(G725-H725&lt;=0,"未回本",IF(ROUNDUP(I725/(G725-H725),0)&gt;MIN(F725,J725),"未回本",MAX(1,ROUNDUP(I725/(G725-H725),0))))</x:f>
        <x:v>未回本</x:v>
      </x:c>
    </x:row>
    <x:row r="726" ht="22" customHeight="1">
      <x:c r="A726" s="11" t="str">
        <x:v>lade_0825_10aoi</x:v>
      </x:c>
      <x:c r="B726" s="10" t="n">
        <x:v>10</x:v>
      </x:c>
      <x:c r="C726" s="10" t="n">
        <x:v>42</x:v>
      </x:c>
      <x:c r="D726" s="10" t="str">
        <x:v>M1 / M3</x:v>
      </x:c>
      <x:c r="E726" s="16" t="n">
        <x:v>1</x:v>
      </x:c>
      <x:c r="F726" s="14" t="n">
        <x:v>10</x:v>
      </x:c>
      <x:c r="G726" s="26" t="n">
        <x:f>'成本明细'!U114+'成本明细'!G114*(E726-'参数'!$B$6)</x:f>
        <x:v>1434.4312734355556</x:v>
      </x:c>
      <x:c r="H726" s="26" t="n">
        <x:f>'成本明细'!U120</x:f>
        <x:v>2286.8293632788886</x:v>
      </x:c>
      <x:c r="I726" s="26" t="n">
        <x:f>'成本明细'!V120</x:f>
        <x:v>4270.5</x:v>
      </x:c>
      <x:c r="J726" s="22" t="n">
        <x:f>'参数'!$B$9</x:f>
        <x:v>300</x:v>
      </x:c>
      <x:c r="K726" s="26" t="n">
        <x:f>J726*(G726-H726)-I726*ROUNDUP(J726/F726,0)</x:f>
        <x:v>-383834.4269529999</x:v>
      </x:c>
      <x:c r="L726" s="10" t="str">
        <x:f>IF(G726-H726&lt;=0,"未回本",IF(ROUNDUP(I726/(G726-H726),0)&gt;MIN(F726,J726),"未回本",MAX(1,ROUNDUP(I726/(G726-H726),0))))</x:f>
        <x:v>未回本</x:v>
      </x:c>
    </x:row>
    <x:row r="727" ht="22" customHeight="1">
      <x:c r="A727" s="11" t="str">
        <x:v>lade_0825_10aoi</x:v>
      </x:c>
      <x:c r="B727" s="10" t="n">
        <x:v>10</x:v>
      </x:c>
      <x:c r="C727" s="10" t="n">
        <x:v>42</x:v>
      </x:c>
      <x:c r="D727" s="10" t="str">
        <x:v>M2 / M4</x:v>
      </x:c>
      <x:c r="E727" s="16" t="n">
        <x:v>1</x:v>
      </x:c>
      <x:c r="F727" s="14" t="n">
        <x:v>10</x:v>
      </x:c>
      <x:c r="G727" s="26" t="n">
        <x:f>'成本明细'!U117+'成本明细'!G117*(E727-'参数'!$B$6)</x:f>
        <x:v>1434.4312734355556</x:v>
      </x:c>
      <x:c r="H727" s="26" t="n">
        <x:f>'成本明细'!U123</x:f>
        <x:v>2283.8282807305554</x:v>
      </x:c>
      <x:c r="I727" s="26" t="n">
        <x:f>'成本明细'!V123</x:f>
        <x:v>4270.5</x:v>
      </x:c>
      <x:c r="J727" s="22" t="n">
        <x:f>'参数'!$B$9</x:f>
        <x:v>300</x:v>
      </x:c>
      <x:c r="K727" s="26" t="n">
        <x:f>J727*(G727-H727)-I727*ROUNDUP(J727/F727,0)</x:f>
        <x:v>-382934.1021885</x:v>
      </x:c>
      <x:c r="L727" s="10" t="str">
        <x:f>IF(G727-H727&lt;=0,"未回本",IF(ROUNDUP(I727/(G727-H727),0)&gt;MIN(F727,J727),"未回本",MAX(1,ROUNDUP(I727/(G727-H727),0))))</x:f>
        <x:v>未回本</x:v>
      </x:c>
    </x:row>
    <x:row r="728" ht="22" customHeight="1">
      <x:c r="A728" s="11" t="str">
        <x:v>lade_0825_10aoi</x:v>
      </x:c>
      <x:c r="B728" s="10" t="n">
        <x:v>10</x:v>
      </x:c>
      <x:c r="C728" s="10" t="n">
        <x:v>42</x:v>
      </x:c>
      <x:c r="D728" s="10" t="str">
        <x:v>M1 / M3</x:v>
      </x:c>
      <x:c r="E728" s="16" t="n">
        <x:v>1</x:v>
      </x:c>
      <x:c r="F728" s="14" t="n">
        <x:v>20</x:v>
      </x:c>
      <x:c r="G728" s="26" t="n">
        <x:f>'成本明细'!U114+'成本明细'!G114*(E728-'参数'!$B$6)</x:f>
        <x:v>1434.4312734355556</x:v>
      </x:c>
      <x:c r="H728" s="26" t="n">
        <x:f>'成本明细'!U120</x:f>
        <x:v>2286.8293632788886</x:v>
      </x:c>
      <x:c r="I728" s="26" t="n">
        <x:f>'成本明细'!V120</x:f>
        <x:v>4270.5</x:v>
      </x:c>
      <x:c r="J728" s="22" t="n">
        <x:f>'参数'!$B$9</x:f>
        <x:v>300</x:v>
      </x:c>
      <x:c r="K728" s="26" t="n">
        <x:f>J728*(G728-H728)-I728*ROUNDUP(J728/F728,0)</x:f>
        <x:v>-319776.9269529999</x:v>
      </x:c>
      <x:c r="L728" s="10" t="str">
        <x:f>IF(G728-H728&lt;=0,"未回本",IF(ROUNDUP(I728/(G728-H728),0)&gt;MIN(F728,J728),"未回本",MAX(1,ROUNDUP(I728/(G728-H728),0))))</x:f>
        <x:v>未回本</x:v>
      </x:c>
    </x:row>
    <x:row r="729" ht="22" customHeight="1">
      <x:c r="A729" s="11" t="str">
        <x:v>lade_0825_10aoi</x:v>
      </x:c>
      <x:c r="B729" s="10" t="n">
        <x:v>10</x:v>
      </x:c>
      <x:c r="C729" s="10" t="n">
        <x:v>42</x:v>
      </x:c>
      <x:c r="D729" s="10" t="str">
        <x:v>M2 / M4</x:v>
      </x:c>
      <x:c r="E729" s="16" t="n">
        <x:v>1</x:v>
      </x:c>
      <x:c r="F729" s="14" t="n">
        <x:v>20</x:v>
      </x:c>
      <x:c r="G729" s="26" t="n">
        <x:f>'成本明细'!U117+'成本明细'!G117*(E729-'参数'!$B$6)</x:f>
        <x:v>1434.4312734355556</x:v>
      </x:c>
      <x:c r="H729" s="26" t="n">
        <x:f>'成本明细'!U123</x:f>
        <x:v>2283.8282807305554</x:v>
      </x:c>
      <x:c r="I729" s="26" t="n">
        <x:f>'成本明细'!V123</x:f>
        <x:v>4270.5</x:v>
      </x:c>
      <x:c r="J729" s="22" t="n">
        <x:f>'参数'!$B$9</x:f>
        <x:v>300</x:v>
      </x:c>
      <x:c r="K729" s="26" t="n">
        <x:f>J729*(G729-H729)-I729*ROUNDUP(J729/F729,0)</x:f>
        <x:v>-318876.6021885</x:v>
      </x:c>
      <x:c r="L729" s="10" t="str">
        <x:f>IF(G729-H729&lt;=0,"未回本",IF(ROUNDUP(I729/(G729-H729),0)&gt;MIN(F729,J729),"未回本",MAX(1,ROUNDUP(I729/(G729-H729),0))))</x:f>
        <x:v>未回本</x:v>
      </x:c>
    </x:row>
    <x:row r="730" ht="22" customHeight="1">
      <x:c r="A730" s="11" t="str">
        <x:v>lade_0825_10aoi</x:v>
      </x:c>
      <x:c r="B730" s="10" t="n">
        <x:v>10</x:v>
      </x:c>
      <x:c r="C730" s="10" t="n">
        <x:v>42</x:v>
      </x:c>
      <x:c r="D730" s="10" t="str">
        <x:v>M1 / M3</x:v>
      </x:c>
      <x:c r="E730" s="16" t="n">
        <x:v>1</x:v>
      </x:c>
      <x:c r="F730" s="14" t="n">
        <x:v>30</x:v>
      </x:c>
      <x:c r="G730" s="26" t="n">
        <x:f>'成本明细'!U114+'成本明细'!G114*(E730-'参数'!$B$6)</x:f>
        <x:v>1434.4312734355556</x:v>
      </x:c>
      <x:c r="H730" s="26" t="n">
        <x:f>'成本明细'!U120</x:f>
        <x:v>2286.8293632788886</x:v>
      </x:c>
      <x:c r="I730" s="26" t="n">
        <x:f>'成本明细'!V120</x:f>
        <x:v>4270.5</x:v>
      </x:c>
      <x:c r="J730" s="22" t="n">
        <x:f>'参数'!$B$9</x:f>
        <x:v>300</x:v>
      </x:c>
      <x:c r="K730" s="26" t="n">
        <x:f>J730*(G730-H730)-I730*ROUNDUP(J730/F730,0)</x:f>
        <x:v>-298424.4269529999</x:v>
      </x:c>
      <x:c r="L730" s="10" t="str">
        <x:f>IF(G730-H730&lt;=0,"未回本",IF(ROUNDUP(I730/(G730-H730),0)&gt;MIN(F730,J730),"未回本",MAX(1,ROUNDUP(I730/(G730-H730),0))))</x:f>
        <x:v>未回本</x:v>
      </x:c>
    </x:row>
    <x:row r="731" ht="22" customHeight="1">
      <x:c r="A731" s="11" t="str">
        <x:v>lade_0825_10aoi</x:v>
      </x:c>
      <x:c r="B731" s="10" t="n">
        <x:v>10</x:v>
      </x:c>
      <x:c r="C731" s="10" t="n">
        <x:v>42</x:v>
      </x:c>
      <x:c r="D731" s="10" t="str">
        <x:v>M2 / M4</x:v>
      </x:c>
      <x:c r="E731" s="16" t="n">
        <x:v>1</x:v>
      </x:c>
      <x:c r="F731" s="14" t="n">
        <x:v>30</x:v>
      </x:c>
      <x:c r="G731" s="26" t="n">
        <x:f>'成本明细'!U117+'成本明细'!G117*(E731-'参数'!$B$6)</x:f>
        <x:v>1434.4312734355556</x:v>
      </x:c>
      <x:c r="H731" s="26" t="n">
        <x:f>'成本明细'!U123</x:f>
        <x:v>2283.8282807305554</x:v>
      </x:c>
      <x:c r="I731" s="26" t="n">
        <x:f>'成本明细'!V123</x:f>
        <x:v>4270.5</x:v>
      </x:c>
      <x:c r="J731" s="22" t="n">
        <x:f>'参数'!$B$9</x:f>
        <x:v>300</x:v>
      </x:c>
      <x:c r="K731" s="26" t="n">
        <x:f>J731*(G731-H731)-I731*ROUNDUP(J731/F731,0)</x:f>
        <x:v>-297524.1021885</x:v>
      </x:c>
      <x:c r="L731" s="10" t="str">
        <x:f>IF(G731-H731&lt;=0,"未回本",IF(ROUNDUP(I731/(G731-H731),0)&gt;MIN(F731,J731),"未回本",MAX(1,ROUNDUP(I731/(G731-H731),0))))</x:f>
        <x:v>未回本</x:v>
      </x:c>
    </x:row>
    <x:row r="732" ht="22" customHeight="1">
      <x:c r="A732" s="11" t="str">
        <x:v>lade_0825_10aoi</x:v>
      </x:c>
      <x:c r="B732" s="10" t="n">
        <x:v>10</x:v>
      </x:c>
      <x:c r="C732" s="10" t="n">
        <x:v>42</x:v>
      </x:c>
      <x:c r="D732" s="10" t="str">
        <x:v>M1 / M3</x:v>
      </x:c>
      <x:c r="E732" s="16" t="n">
        <x:v>1</x:v>
      </x:c>
      <x:c r="F732" s="14" t="n">
        <x:v>50</x:v>
      </x:c>
      <x:c r="G732" s="26" t="n">
        <x:f>'成本明细'!U114+'成本明细'!G114*(E732-'参数'!$B$6)</x:f>
        <x:v>1434.4312734355556</x:v>
      </x:c>
      <x:c r="H732" s="26" t="n">
        <x:f>'成本明细'!U120</x:f>
        <x:v>2286.8293632788886</x:v>
      </x:c>
      <x:c r="I732" s="26" t="n">
        <x:f>'成本明细'!V120</x:f>
        <x:v>4270.5</x:v>
      </x:c>
      <x:c r="J732" s="22" t="n">
        <x:f>'参数'!$B$9</x:f>
        <x:v>300</x:v>
      </x:c>
      <x:c r="K732" s="26" t="n">
        <x:f>J732*(G732-H732)-I732*ROUNDUP(J732/F732,0)</x:f>
        <x:v>-281342.4269529999</x:v>
      </x:c>
      <x:c r="L732" s="10" t="str">
        <x:f>IF(G732-H732&lt;=0,"未回本",IF(ROUNDUP(I732/(G732-H732),0)&gt;MIN(F732,J732),"未回本",MAX(1,ROUNDUP(I732/(G732-H732),0))))</x:f>
        <x:v>未回本</x:v>
      </x:c>
    </x:row>
    <x:row r="733" ht="22" customHeight="1">
      <x:c r="A733" s="11" t="str">
        <x:v>lade_0825_10aoi</x:v>
      </x:c>
      <x:c r="B733" s="10" t="n">
        <x:v>10</x:v>
      </x:c>
      <x:c r="C733" s="10" t="n">
        <x:v>42</x:v>
      </x:c>
      <x:c r="D733" s="10" t="str">
        <x:v>M2 / M4</x:v>
      </x:c>
      <x:c r="E733" s="16" t="n">
        <x:v>1</x:v>
      </x:c>
      <x:c r="F733" s="14" t="n">
        <x:v>50</x:v>
      </x:c>
      <x:c r="G733" s="26" t="n">
        <x:f>'成本明细'!U117+'成本明细'!G117*(E733-'参数'!$B$6)</x:f>
        <x:v>1434.4312734355556</x:v>
      </x:c>
      <x:c r="H733" s="26" t="n">
        <x:f>'成本明细'!U123</x:f>
        <x:v>2283.8282807305554</x:v>
      </x:c>
      <x:c r="I733" s="26" t="n">
        <x:f>'成本明细'!V123</x:f>
        <x:v>4270.5</x:v>
      </x:c>
      <x:c r="J733" s="22" t="n">
        <x:f>'参数'!$B$9</x:f>
        <x:v>300</x:v>
      </x:c>
      <x:c r="K733" s="26" t="n">
        <x:f>J733*(G733-H733)-I733*ROUNDUP(J733/F733,0)</x:f>
        <x:v>-280442.1021885</x:v>
      </x:c>
      <x:c r="L733" s="10" t="str">
        <x:f>IF(G733-H733&lt;=0,"未回本",IF(ROUNDUP(I733/(G733-H733),0)&gt;MIN(F733,J733),"未回本",MAX(1,ROUNDUP(I733/(G733-H733),0))))</x:f>
        <x:v>未回本</x:v>
      </x:c>
    </x:row>
    <x:row r="734" ht="22" customHeight="1">
      <x:c r="A734" s="11" t="str">
        <x:v>lade_0825_10aoi</x:v>
      </x:c>
      <x:c r="B734" s="10" t="n">
        <x:v>10</x:v>
      </x:c>
      <x:c r="C734" s="10" t="n">
        <x:v>42</x:v>
      </x:c>
      <x:c r="D734" s="10" t="str">
        <x:v>M1 / M3</x:v>
      </x:c>
      <x:c r="E734" s="16" t="n">
        <x:v>2</x:v>
      </x:c>
      <x:c r="F734" s="14" t="n">
        <x:v>10</x:v>
      </x:c>
      <x:c r="G734" s="26" t="n">
        <x:f>'成本明细'!U114+'成本明细'!G114*(E734-'参数'!$B$6)</x:f>
        <x:v>1551.4312734355556</x:v>
      </x:c>
      <x:c r="H734" s="26" t="n">
        <x:f>'成本明细'!U120</x:f>
        <x:v>2286.8293632788886</x:v>
      </x:c>
      <x:c r="I734" s="26" t="n">
        <x:f>'成本明细'!V120</x:f>
        <x:v>4270.5</x:v>
      </x:c>
      <x:c r="J734" s="22" t="n">
        <x:f>'参数'!$B$9</x:f>
        <x:v>300</x:v>
      </x:c>
      <x:c r="K734" s="26" t="n">
        <x:f>J734*(G734-H734)-I734*ROUNDUP(J734/F734,0)</x:f>
        <x:v>-348734.4269529999</x:v>
      </x:c>
      <x:c r="L734" s="10" t="str">
        <x:f>IF(G734-H734&lt;=0,"未回本",IF(ROUNDUP(I734/(G734-H734),0)&gt;MIN(F734,J734),"未回本",MAX(1,ROUNDUP(I734/(G734-H734),0))))</x:f>
        <x:v>未回本</x:v>
      </x:c>
    </x:row>
    <x:row r="735" ht="22" customHeight="1">
      <x:c r="A735" s="11" t="str">
        <x:v>lade_0825_10aoi</x:v>
      </x:c>
      <x:c r="B735" s="10" t="n">
        <x:v>10</x:v>
      </x:c>
      <x:c r="C735" s="10" t="n">
        <x:v>42</x:v>
      </x:c>
      <x:c r="D735" s="10" t="str">
        <x:v>M2 / M4</x:v>
      </x:c>
      <x:c r="E735" s="16" t="n">
        <x:v>2</x:v>
      </x:c>
      <x:c r="F735" s="14" t="n">
        <x:v>10</x:v>
      </x:c>
      <x:c r="G735" s="26" t="n">
        <x:f>'成本明细'!U117+'成本明细'!G117*(E735-'参数'!$B$6)</x:f>
        <x:v>1551.4312734355556</x:v>
      </x:c>
      <x:c r="H735" s="26" t="n">
        <x:f>'成本明细'!U123</x:f>
        <x:v>2283.8282807305554</x:v>
      </x:c>
      <x:c r="I735" s="26" t="n">
        <x:f>'成本明细'!V123</x:f>
        <x:v>4270.5</x:v>
      </x:c>
      <x:c r="J735" s="22" t="n">
        <x:f>'参数'!$B$9</x:f>
        <x:v>300</x:v>
      </x:c>
      <x:c r="K735" s="26" t="n">
        <x:f>J735*(G735-H735)-I735*ROUNDUP(J735/F735,0)</x:f>
        <x:v>-347834.1021885</x:v>
      </x:c>
      <x:c r="L735" s="10" t="str">
        <x:f>IF(G735-H735&lt;=0,"未回本",IF(ROUNDUP(I735/(G735-H735),0)&gt;MIN(F735,J735),"未回本",MAX(1,ROUNDUP(I735/(G735-H735),0))))</x:f>
        <x:v>未回本</x:v>
      </x:c>
    </x:row>
    <x:row r="736" ht="22" customHeight="1">
      <x:c r="A736" s="11" t="str">
        <x:v>lade_0825_10aoi</x:v>
      </x:c>
      <x:c r="B736" s="10" t="n">
        <x:v>10</x:v>
      </x:c>
      <x:c r="C736" s="10" t="n">
        <x:v>42</x:v>
      </x:c>
      <x:c r="D736" s="10" t="str">
        <x:v>M1 / M3</x:v>
      </x:c>
      <x:c r="E736" s="16" t="n">
        <x:v>2</x:v>
      </x:c>
      <x:c r="F736" s="14" t="n">
        <x:v>20</x:v>
      </x:c>
      <x:c r="G736" s="26" t="n">
        <x:f>'成本明细'!U114+'成本明细'!G114*(E736-'参数'!$B$6)</x:f>
        <x:v>1551.4312734355556</x:v>
      </x:c>
      <x:c r="H736" s="26" t="n">
        <x:f>'成本明细'!U120</x:f>
        <x:v>2286.8293632788886</x:v>
      </x:c>
      <x:c r="I736" s="26" t="n">
        <x:f>'成本明细'!V120</x:f>
        <x:v>4270.5</x:v>
      </x:c>
      <x:c r="J736" s="22" t="n">
        <x:f>'参数'!$B$9</x:f>
        <x:v>300</x:v>
      </x:c>
      <x:c r="K736" s="26" t="n">
        <x:f>J736*(G736-H736)-I736*ROUNDUP(J736/F736,0)</x:f>
        <x:v>-284676.9269529999</x:v>
      </x:c>
      <x:c r="L736" s="10" t="str">
        <x:f>IF(G736-H736&lt;=0,"未回本",IF(ROUNDUP(I736/(G736-H736),0)&gt;MIN(F736,J736),"未回本",MAX(1,ROUNDUP(I736/(G736-H736),0))))</x:f>
        <x:v>未回本</x:v>
      </x:c>
    </x:row>
    <x:row r="737" ht="22" customHeight="1">
      <x:c r="A737" s="11" t="str">
        <x:v>lade_0825_10aoi</x:v>
      </x:c>
      <x:c r="B737" s="10" t="n">
        <x:v>10</x:v>
      </x:c>
      <x:c r="C737" s="10" t="n">
        <x:v>42</x:v>
      </x:c>
      <x:c r="D737" s="10" t="str">
        <x:v>M2 / M4</x:v>
      </x:c>
      <x:c r="E737" s="16" t="n">
        <x:v>2</x:v>
      </x:c>
      <x:c r="F737" s="14" t="n">
        <x:v>20</x:v>
      </x:c>
      <x:c r="G737" s="26" t="n">
        <x:f>'成本明细'!U117+'成本明细'!G117*(E737-'参数'!$B$6)</x:f>
        <x:v>1551.4312734355556</x:v>
      </x:c>
      <x:c r="H737" s="26" t="n">
        <x:f>'成本明细'!U123</x:f>
        <x:v>2283.8282807305554</x:v>
      </x:c>
      <x:c r="I737" s="26" t="n">
        <x:f>'成本明细'!V123</x:f>
        <x:v>4270.5</x:v>
      </x:c>
      <x:c r="J737" s="22" t="n">
        <x:f>'参数'!$B$9</x:f>
        <x:v>300</x:v>
      </x:c>
      <x:c r="K737" s="26" t="n">
        <x:f>J737*(G737-H737)-I737*ROUNDUP(J737/F737,0)</x:f>
        <x:v>-283776.6021885</x:v>
      </x:c>
      <x:c r="L737" s="10" t="str">
        <x:f>IF(G737-H737&lt;=0,"未回本",IF(ROUNDUP(I737/(G737-H737),0)&gt;MIN(F737,J737),"未回本",MAX(1,ROUNDUP(I737/(G737-H737),0))))</x:f>
        <x:v>未回本</x:v>
      </x:c>
    </x:row>
    <x:row r="738" ht="22" customHeight="1">
      <x:c r="A738" s="11" t="str">
        <x:v>lade_0825_10aoi</x:v>
      </x:c>
      <x:c r="B738" s="10" t="n">
        <x:v>10</x:v>
      </x:c>
      <x:c r="C738" s="10" t="n">
        <x:v>42</x:v>
      </x:c>
      <x:c r="D738" s="10" t="str">
        <x:v>M1 / M3</x:v>
      </x:c>
      <x:c r="E738" s="16" t="n">
        <x:v>2</x:v>
      </x:c>
      <x:c r="F738" s="14" t="n">
        <x:v>30</x:v>
      </x:c>
      <x:c r="G738" s="26" t="n">
        <x:f>'成本明细'!U114+'成本明细'!G114*(E738-'参数'!$B$6)</x:f>
        <x:v>1551.4312734355556</x:v>
      </x:c>
      <x:c r="H738" s="26" t="n">
        <x:f>'成本明细'!U120</x:f>
        <x:v>2286.8293632788886</x:v>
      </x:c>
      <x:c r="I738" s="26" t="n">
        <x:f>'成本明细'!V120</x:f>
        <x:v>4270.5</x:v>
      </x:c>
      <x:c r="J738" s="22" t="n">
        <x:f>'参数'!$B$9</x:f>
        <x:v>300</x:v>
      </x:c>
      <x:c r="K738" s="26" t="n">
        <x:f>J738*(G738-H738)-I738*ROUNDUP(J738/F738,0)</x:f>
        <x:v>-263324.4269529999</x:v>
      </x:c>
      <x:c r="L738" s="10" t="str">
        <x:f>IF(G738-H738&lt;=0,"未回本",IF(ROUNDUP(I738/(G738-H738),0)&gt;MIN(F738,J738),"未回本",MAX(1,ROUNDUP(I738/(G738-H738),0))))</x:f>
        <x:v>未回本</x:v>
      </x:c>
    </x:row>
    <x:row r="739" ht="22" customHeight="1">
      <x:c r="A739" s="11" t="str">
        <x:v>lade_0825_10aoi</x:v>
      </x:c>
      <x:c r="B739" s="10" t="n">
        <x:v>10</x:v>
      </x:c>
      <x:c r="C739" s="10" t="n">
        <x:v>42</x:v>
      </x:c>
      <x:c r="D739" s="10" t="str">
        <x:v>M2 / M4</x:v>
      </x:c>
      <x:c r="E739" s="16" t="n">
        <x:v>2</x:v>
      </x:c>
      <x:c r="F739" s="14" t="n">
        <x:v>30</x:v>
      </x:c>
      <x:c r="G739" s="26" t="n">
        <x:f>'成本明细'!U117+'成本明细'!G117*(E739-'参数'!$B$6)</x:f>
        <x:v>1551.4312734355556</x:v>
      </x:c>
      <x:c r="H739" s="26" t="n">
        <x:f>'成本明细'!U123</x:f>
        <x:v>2283.8282807305554</x:v>
      </x:c>
      <x:c r="I739" s="26" t="n">
        <x:f>'成本明细'!V123</x:f>
        <x:v>4270.5</x:v>
      </x:c>
      <x:c r="J739" s="22" t="n">
        <x:f>'参数'!$B$9</x:f>
        <x:v>300</x:v>
      </x:c>
      <x:c r="K739" s="26" t="n">
        <x:f>J739*(G739-H739)-I739*ROUNDUP(J739/F739,0)</x:f>
        <x:v>-262424.1021885</x:v>
      </x:c>
      <x:c r="L739" s="10" t="str">
        <x:f>IF(G739-H739&lt;=0,"未回本",IF(ROUNDUP(I739/(G739-H739),0)&gt;MIN(F739,J739),"未回本",MAX(1,ROUNDUP(I739/(G739-H739),0))))</x:f>
        <x:v>未回本</x:v>
      </x:c>
    </x:row>
    <x:row r="740" ht="22" customHeight="1">
      <x:c r="A740" s="11" t="str">
        <x:v>lade_0825_10aoi</x:v>
      </x:c>
      <x:c r="B740" s="10" t="n">
        <x:v>10</x:v>
      </x:c>
      <x:c r="C740" s="10" t="n">
        <x:v>42</x:v>
      </x:c>
      <x:c r="D740" s="10" t="str">
        <x:v>M1 / M3</x:v>
      </x:c>
      <x:c r="E740" s="16" t="n">
        <x:v>2</x:v>
      </x:c>
      <x:c r="F740" s="14" t="n">
        <x:v>50</x:v>
      </x:c>
      <x:c r="G740" s="26" t="n">
        <x:f>'成本明细'!U114+'成本明细'!G114*(E740-'参数'!$B$6)</x:f>
        <x:v>1551.4312734355556</x:v>
      </x:c>
      <x:c r="H740" s="26" t="n">
        <x:f>'成本明细'!U120</x:f>
        <x:v>2286.8293632788886</x:v>
      </x:c>
      <x:c r="I740" s="26" t="n">
        <x:f>'成本明细'!V120</x:f>
        <x:v>4270.5</x:v>
      </x:c>
      <x:c r="J740" s="22" t="n">
        <x:f>'参数'!$B$9</x:f>
        <x:v>300</x:v>
      </x:c>
      <x:c r="K740" s="26" t="n">
        <x:f>J740*(G740-H740)-I740*ROUNDUP(J740/F740,0)</x:f>
        <x:v>-246242.42695299993</x:v>
      </x:c>
      <x:c r="L740" s="10" t="str">
        <x:f>IF(G740-H740&lt;=0,"未回本",IF(ROUNDUP(I740/(G740-H740),0)&gt;MIN(F740,J740),"未回本",MAX(1,ROUNDUP(I740/(G740-H740),0))))</x:f>
        <x:v>未回本</x:v>
      </x:c>
    </x:row>
    <x:row r="741" ht="22" customHeight="1">
      <x:c r="A741" s="11" t="str">
        <x:v>lade_0825_10aoi</x:v>
      </x:c>
      <x:c r="B741" s="10" t="n">
        <x:v>10</x:v>
      </x:c>
      <x:c r="C741" s="10" t="n">
        <x:v>42</x:v>
      </x:c>
      <x:c r="D741" s="10" t="str">
        <x:v>M2 / M4</x:v>
      </x:c>
      <x:c r="E741" s="16" t="n">
        <x:v>2</x:v>
      </x:c>
      <x:c r="F741" s="14" t="n">
        <x:v>50</x:v>
      </x:c>
      <x:c r="G741" s="26" t="n">
        <x:f>'成本明细'!U117+'成本明细'!G117*(E741-'参数'!$B$6)</x:f>
        <x:v>1551.4312734355556</x:v>
      </x:c>
      <x:c r="H741" s="26" t="n">
        <x:f>'成本明细'!U123</x:f>
        <x:v>2283.8282807305554</x:v>
      </x:c>
      <x:c r="I741" s="26" t="n">
        <x:f>'成本明细'!V123</x:f>
        <x:v>4270.5</x:v>
      </x:c>
      <x:c r="J741" s="22" t="n">
        <x:f>'参数'!$B$9</x:f>
        <x:v>300</x:v>
      </x:c>
      <x:c r="K741" s="26" t="n">
        <x:f>J741*(G741-H741)-I741*ROUNDUP(J741/F741,0)</x:f>
        <x:v>-245342.10218849996</x:v>
      </x:c>
      <x:c r="L741" s="10" t="str">
        <x:f>IF(G741-H741&lt;=0,"未回本",IF(ROUNDUP(I741/(G741-H741),0)&gt;MIN(F741,J741),"未回本",MAX(1,ROUNDUP(I741/(G741-H741),0))))</x:f>
        <x:v>未回本</x:v>
      </x:c>
    </x:row>
    <x:row r="742" ht="22" customHeight="1">
      <x:c r="A742" s="11" t="str">
        <x:v>lade_0825_10aoi</x:v>
      </x:c>
      <x:c r="B742" s="10" t="n">
        <x:v>10</x:v>
      </x:c>
      <x:c r="C742" s="10" t="n">
        <x:v>42</x:v>
      </x:c>
      <x:c r="D742" s="10" t="str">
        <x:v>M1 / M3</x:v>
      </x:c>
      <x:c r="E742" s="16" t="n">
        <x:v>3</x:v>
      </x:c>
      <x:c r="F742" s="14" t="n">
        <x:v>10</x:v>
      </x:c>
      <x:c r="G742" s="26" t="n">
        <x:f>'成本明细'!U114+'成本明细'!G114*(E742-'参数'!$B$6)</x:f>
        <x:v>1668.4312734355556</x:v>
      </x:c>
      <x:c r="H742" s="26" t="n">
        <x:f>'成本明细'!U120</x:f>
        <x:v>2286.8293632788886</x:v>
      </x:c>
      <x:c r="I742" s="26" t="n">
        <x:f>'成本明细'!V120</x:f>
        <x:v>4270.5</x:v>
      </x:c>
      <x:c r="J742" s="22" t="n">
        <x:f>'参数'!$B$9</x:f>
        <x:v>300</x:v>
      </x:c>
      <x:c r="K742" s="26" t="n">
        <x:f>J742*(G742-H742)-I742*ROUNDUP(J742/F742,0)</x:f>
        <x:v>-313634.4269529999</x:v>
      </x:c>
      <x:c r="L742" s="10" t="str">
        <x:f>IF(G742-H742&lt;=0,"未回本",IF(ROUNDUP(I742/(G742-H742),0)&gt;MIN(F742,J742),"未回本",MAX(1,ROUNDUP(I742/(G742-H742),0))))</x:f>
        <x:v>未回本</x:v>
      </x:c>
    </x:row>
    <x:row r="743" ht="22" customHeight="1">
      <x:c r="A743" s="11" t="str">
        <x:v>lade_0825_10aoi</x:v>
      </x:c>
      <x:c r="B743" s="10" t="n">
        <x:v>10</x:v>
      </x:c>
      <x:c r="C743" s="10" t="n">
        <x:v>42</x:v>
      </x:c>
      <x:c r="D743" s="10" t="str">
        <x:v>M2 / M4</x:v>
      </x:c>
      <x:c r="E743" s="16" t="n">
        <x:v>3</x:v>
      </x:c>
      <x:c r="F743" s="14" t="n">
        <x:v>10</x:v>
      </x:c>
      <x:c r="G743" s="26" t="n">
        <x:f>'成本明细'!U117+'成本明细'!G117*(E743-'参数'!$B$6)</x:f>
        <x:v>1668.4312734355556</x:v>
      </x:c>
      <x:c r="H743" s="26" t="n">
        <x:f>'成本明细'!U123</x:f>
        <x:v>2283.8282807305554</x:v>
      </x:c>
      <x:c r="I743" s="26" t="n">
        <x:f>'成本明细'!V123</x:f>
        <x:v>4270.5</x:v>
      </x:c>
      <x:c r="J743" s="22" t="n">
        <x:f>'参数'!$B$9</x:f>
        <x:v>300</x:v>
      </x:c>
      <x:c r="K743" s="26" t="n">
        <x:f>J743*(G743-H743)-I743*ROUNDUP(J743/F743,0)</x:f>
        <x:v>-312734.1021885</x:v>
      </x:c>
      <x:c r="L743" s="10" t="str">
        <x:f>IF(G743-H743&lt;=0,"未回本",IF(ROUNDUP(I743/(G743-H743),0)&gt;MIN(F743,J743),"未回本",MAX(1,ROUNDUP(I743/(G743-H743),0))))</x:f>
        <x:v>未回本</x:v>
      </x:c>
    </x:row>
    <x:row r="744" ht="22" customHeight="1">
      <x:c r="A744" s="11" t="str">
        <x:v>lade_0825_10aoi</x:v>
      </x:c>
      <x:c r="B744" s="10" t="n">
        <x:v>10</x:v>
      </x:c>
      <x:c r="C744" s="10" t="n">
        <x:v>42</x:v>
      </x:c>
      <x:c r="D744" s="10" t="str">
        <x:v>M1 / M3</x:v>
      </x:c>
      <x:c r="E744" s="16" t="n">
        <x:v>3</x:v>
      </x:c>
      <x:c r="F744" s="14" t="n">
        <x:v>20</x:v>
      </x:c>
      <x:c r="G744" s="26" t="n">
        <x:f>'成本明细'!U114+'成本明细'!G114*(E744-'参数'!$B$6)</x:f>
        <x:v>1668.4312734355556</x:v>
      </x:c>
      <x:c r="H744" s="26" t="n">
        <x:f>'成本明细'!U120</x:f>
        <x:v>2286.8293632788886</x:v>
      </x:c>
      <x:c r="I744" s="26" t="n">
        <x:f>'成本明细'!V120</x:f>
        <x:v>4270.5</x:v>
      </x:c>
      <x:c r="J744" s="22" t="n">
        <x:f>'参数'!$B$9</x:f>
        <x:v>300</x:v>
      </x:c>
      <x:c r="K744" s="26" t="n">
        <x:f>J744*(G744-H744)-I744*ROUNDUP(J744/F744,0)</x:f>
        <x:v>-249576.92695299993</x:v>
      </x:c>
      <x:c r="L744" s="10" t="str">
        <x:f>IF(G744-H744&lt;=0,"未回本",IF(ROUNDUP(I744/(G744-H744),0)&gt;MIN(F744,J744),"未回本",MAX(1,ROUNDUP(I744/(G744-H744),0))))</x:f>
        <x:v>未回本</x:v>
      </x:c>
    </x:row>
    <x:row r="745" ht="22" customHeight="1">
      <x:c r="A745" s="11" t="str">
        <x:v>lade_0825_10aoi</x:v>
      </x:c>
      <x:c r="B745" s="10" t="n">
        <x:v>10</x:v>
      </x:c>
      <x:c r="C745" s="10" t="n">
        <x:v>42</x:v>
      </x:c>
      <x:c r="D745" s="10" t="str">
        <x:v>M2 / M4</x:v>
      </x:c>
      <x:c r="E745" s="16" t="n">
        <x:v>3</x:v>
      </x:c>
      <x:c r="F745" s="14" t="n">
        <x:v>20</x:v>
      </x:c>
      <x:c r="G745" s="26" t="n">
        <x:f>'成本明细'!U117+'成本明细'!G117*(E745-'参数'!$B$6)</x:f>
        <x:v>1668.4312734355556</x:v>
      </x:c>
      <x:c r="H745" s="26" t="n">
        <x:f>'成本明细'!U123</x:f>
        <x:v>2283.8282807305554</x:v>
      </x:c>
      <x:c r="I745" s="26" t="n">
        <x:f>'成本明细'!V123</x:f>
        <x:v>4270.5</x:v>
      </x:c>
      <x:c r="J745" s="22" t="n">
        <x:f>'参数'!$B$9</x:f>
        <x:v>300</x:v>
      </x:c>
      <x:c r="K745" s="26" t="n">
        <x:f>J745*(G745-H745)-I745*ROUNDUP(J745/F745,0)</x:f>
        <x:v>-248676.60218849996</x:v>
      </x:c>
      <x:c r="L745" s="10" t="str">
        <x:f>IF(G745-H745&lt;=0,"未回本",IF(ROUNDUP(I745/(G745-H745),0)&gt;MIN(F745,J745),"未回本",MAX(1,ROUNDUP(I745/(G745-H745),0))))</x:f>
        <x:v>未回本</x:v>
      </x:c>
    </x:row>
    <x:row r="746" ht="22" customHeight="1">
      <x:c r="A746" s="11" t="str">
        <x:v>lade_0825_10aoi</x:v>
      </x:c>
      <x:c r="B746" s="10" t="n">
        <x:v>10</x:v>
      </x:c>
      <x:c r="C746" s="10" t="n">
        <x:v>42</x:v>
      </x:c>
      <x:c r="D746" s="10" t="str">
        <x:v>M1 / M3</x:v>
      </x:c>
      <x:c r="E746" s="16" t="n">
        <x:v>3</x:v>
      </x:c>
      <x:c r="F746" s="14" t="n">
        <x:v>30</x:v>
      </x:c>
      <x:c r="G746" s="26" t="n">
        <x:f>'成本明细'!U114+'成本明细'!G114*(E746-'参数'!$B$6)</x:f>
        <x:v>1668.4312734355556</x:v>
      </x:c>
      <x:c r="H746" s="26" t="n">
        <x:f>'成本明细'!U120</x:f>
        <x:v>2286.8293632788886</x:v>
      </x:c>
      <x:c r="I746" s="26" t="n">
        <x:f>'成本明细'!V120</x:f>
        <x:v>4270.5</x:v>
      </x:c>
      <x:c r="J746" s="22" t="n">
        <x:f>'参数'!$B$9</x:f>
        <x:v>300</x:v>
      </x:c>
      <x:c r="K746" s="26" t="n">
        <x:f>J746*(G746-H746)-I746*ROUNDUP(J746/F746,0)</x:f>
        <x:v>-228224.42695299993</x:v>
      </x:c>
      <x:c r="L746" s="10" t="str">
        <x:f>IF(G746-H746&lt;=0,"未回本",IF(ROUNDUP(I746/(G746-H746),0)&gt;MIN(F746,J746),"未回本",MAX(1,ROUNDUP(I746/(G746-H746),0))))</x:f>
        <x:v>未回本</x:v>
      </x:c>
    </x:row>
    <x:row r="747" ht="22" customHeight="1">
      <x:c r="A747" s="11" t="str">
        <x:v>lade_0825_10aoi</x:v>
      </x:c>
      <x:c r="B747" s="10" t="n">
        <x:v>10</x:v>
      </x:c>
      <x:c r="C747" s="10" t="n">
        <x:v>42</x:v>
      </x:c>
      <x:c r="D747" s="10" t="str">
        <x:v>M2 / M4</x:v>
      </x:c>
      <x:c r="E747" s="16" t="n">
        <x:v>3</x:v>
      </x:c>
      <x:c r="F747" s="14" t="n">
        <x:v>30</x:v>
      </x:c>
      <x:c r="G747" s="26" t="n">
        <x:f>'成本明细'!U117+'成本明细'!G117*(E747-'参数'!$B$6)</x:f>
        <x:v>1668.4312734355556</x:v>
      </x:c>
      <x:c r="H747" s="26" t="n">
        <x:f>'成本明细'!U123</x:f>
        <x:v>2283.8282807305554</x:v>
      </x:c>
      <x:c r="I747" s="26" t="n">
        <x:f>'成本明细'!V123</x:f>
        <x:v>4270.5</x:v>
      </x:c>
      <x:c r="J747" s="22" t="n">
        <x:f>'参数'!$B$9</x:f>
        <x:v>300</x:v>
      </x:c>
      <x:c r="K747" s="26" t="n">
        <x:f>J747*(G747-H747)-I747*ROUNDUP(J747/F747,0)</x:f>
        <x:v>-227324.10218849996</x:v>
      </x:c>
      <x:c r="L747" s="10" t="str">
        <x:f>IF(G747-H747&lt;=0,"未回本",IF(ROUNDUP(I747/(G747-H747),0)&gt;MIN(F747,J747),"未回本",MAX(1,ROUNDUP(I747/(G747-H747),0))))</x:f>
        <x:v>未回本</x:v>
      </x:c>
    </x:row>
    <x:row r="748" ht="22" customHeight="1">
      <x:c r="A748" s="11" t="str">
        <x:v>lade_0825_10aoi</x:v>
      </x:c>
      <x:c r="B748" s="10" t="n">
        <x:v>10</x:v>
      </x:c>
      <x:c r="C748" s="10" t="n">
        <x:v>42</x:v>
      </x:c>
      <x:c r="D748" s="10" t="str">
        <x:v>M1 / M3</x:v>
      </x:c>
      <x:c r="E748" s="16" t="n">
        <x:v>3</x:v>
      </x:c>
      <x:c r="F748" s="14" t="n">
        <x:v>50</x:v>
      </x:c>
      <x:c r="G748" s="26" t="n">
        <x:f>'成本明细'!U114+'成本明细'!G114*(E748-'参数'!$B$6)</x:f>
        <x:v>1668.4312734355556</x:v>
      </x:c>
      <x:c r="H748" s="26" t="n">
        <x:f>'成本明细'!U120</x:f>
        <x:v>2286.8293632788886</x:v>
      </x:c>
      <x:c r="I748" s="26" t="n">
        <x:f>'成本明细'!V120</x:f>
        <x:v>4270.5</x:v>
      </x:c>
      <x:c r="J748" s="22" t="n">
        <x:f>'参数'!$B$9</x:f>
        <x:v>300</x:v>
      </x:c>
      <x:c r="K748" s="26" t="n">
        <x:f>J748*(G748-H748)-I748*ROUNDUP(J748/F748,0)</x:f>
        <x:v>-211142.42695299993</x:v>
      </x:c>
      <x:c r="L748" s="10" t="str">
        <x:f>IF(G748-H748&lt;=0,"未回本",IF(ROUNDUP(I748/(G748-H748),0)&gt;MIN(F748,J748),"未回本",MAX(1,ROUNDUP(I748/(G748-H748),0))))</x:f>
        <x:v>未回本</x:v>
      </x:c>
    </x:row>
    <x:row r="749" ht="22" customHeight="1">
      <x:c r="A749" s="11" t="str">
        <x:v>lade_0825_10aoi</x:v>
      </x:c>
      <x:c r="B749" s="10" t="n">
        <x:v>10</x:v>
      </x:c>
      <x:c r="C749" s="10" t="n">
        <x:v>42</x:v>
      </x:c>
      <x:c r="D749" s="10" t="str">
        <x:v>M2 / M4</x:v>
      </x:c>
      <x:c r="E749" s="16" t="n">
        <x:v>3</x:v>
      </x:c>
      <x:c r="F749" s="14" t="n">
        <x:v>50</x:v>
      </x:c>
      <x:c r="G749" s="26" t="n">
        <x:f>'成本明细'!U117+'成本明细'!G117*(E749-'参数'!$B$6)</x:f>
        <x:v>1668.4312734355556</x:v>
      </x:c>
      <x:c r="H749" s="26" t="n">
        <x:f>'成本明细'!U123</x:f>
        <x:v>2283.8282807305554</x:v>
      </x:c>
      <x:c r="I749" s="26" t="n">
        <x:f>'成本明细'!V123</x:f>
        <x:v>4270.5</x:v>
      </x:c>
      <x:c r="J749" s="22" t="n">
        <x:f>'参数'!$B$9</x:f>
        <x:v>300</x:v>
      </x:c>
      <x:c r="K749" s="26" t="n">
        <x:f>J749*(G749-H749)-I749*ROUNDUP(J749/F749,0)</x:f>
        <x:v>-210242.10218849996</x:v>
      </x:c>
      <x:c r="L749" s="10" t="str">
        <x:f>IF(G749-H749&lt;=0,"未回本",IF(ROUNDUP(I749/(G749-H749),0)&gt;MIN(F749,J749),"未回本",MAX(1,ROUNDUP(I749/(G749-H749),0))))</x:f>
        <x:v>未回本</x:v>
      </x:c>
    </x:row>
    <x:row r="750" ht="22" customHeight="1">
      <x:c r="A750" s="11" t="str">
        <x:v>lade_0825_10aoi</x:v>
      </x:c>
      <x:c r="B750" s="10" t="n">
        <x:v>10</x:v>
      </x:c>
      <x:c r="C750" s="10" t="n">
        <x:v>42</x:v>
      </x:c>
      <x:c r="D750" s="10" t="str">
        <x:v>M1 / M3</x:v>
      </x:c>
      <x:c r="E750" s="16" t="n">
        <x:v>4</x:v>
      </x:c>
      <x:c r="F750" s="14" t="n">
        <x:v>10</x:v>
      </x:c>
      <x:c r="G750" s="26" t="n">
        <x:f>'成本明细'!U114+'成本明细'!G114*(E750-'参数'!$B$6)</x:f>
        <x:v>1785.4312734355556</x:v>
      </x:c>
      <x:c r="H750" s="26" t="n">
        <x:f>'成本明细'!U120</x:f>
        <x:v>2286.8293632788886</x:v>
      </x:c>
      <x:c r="I750" s="26" t="n">
        <x:f>'成本明细'!V120</x:f>
        <x:v>4270.5</x:v>
      </x:c>
      <x:c r="J750" s="22" t="n">
        <x:f>'参数'!$B$9</x:f>
        <x:v>300</x:v>
      </x:c>
      <x:c r="K750" s="26" t="n">
        <x:f>J750*(G750-H750)-I750*ROUNDUP(J750/F750,0)</x:f>
        <x:v>-278534.4269529999</x:v>
      </x:c>
      <x:c r="L750" s="10" t="str">
        <x:f>IF(G750-H750&lt;=0,"未回本",IF(ROUNDUP(I750/(G750-H750),0)&gt;MIN(F750,J750),"未回本",MAX(1,ROUNDUP(I750/(G750-H750),0))))</x:f>
        <x:v>未回本</x:v>
      </x:c>
    </x:row>
    <x:row r="751" ht="22" customHeight="1">
      <x:c r="A751" s="11" t="str">
        <x:v>lade_0825_10aoi</x:v>
      </x:c>
      <x:c r="B751" s="10" t="n">
        <x:v>10</x:v>
      </x:c>
      <x:c r="C751" s="10" t="n">
        <x:v>42</x:v>
      </x:c>
      <x:c r="D751" s="10" t="str">
        <x:v>M2 / M4</x:v>
      </x:c>
      <x:c r="E751" s="16" t="n">
        <x:v>4</x:v>
      </x:c>
      <x:c r="F751" s="14" t="n">
        <x:v>10</x:v>
      </x:c>
      <x:c r="G751" s="26" t="n">
        <x:f>'成本明细'!U117+'成本明细'!G117*(E751-'参数'!$B$6)</x:f>
        <x:v>1785.4312734355556</x:v>
      </x:c>
      <x:c r="H751" s="26" t="n">
        <x:f>'成本明细'!U123</x:f>
        <x:v>2283.8282807305554</x:v>
      </x:c>
      <x:c r="I751" s="26" t="n">
        <x:f>'成本明细'!V123</x:f>
        <x:v>4270.5</x:v>
      </x:c>
      <x:c r="J751" s="22" t="n">
        <x:f>'参数'!$B$9</x:f>
        <x:v>300</x:v>
      </x:c>
      <x:c r="K751" s="26" t="n">
        <x:f>J751*(G751-H751)-I751*ROUNDUP(J751/F751,0)</x:f>
        <x:v>-277634.1021885</x:v>
      </x:c>
      <x:c r="L751" s="10" t="str">
        <x:f>IF(G751-H751&lt;=0,"未回本",IF(ROUNDUP(I751/(G751-H751),0)&gt;MIN(F751,J751),"未回本",MAX(1,ROUNDUP(I751/(G751-H751),0))))</x:f>
        <x:v>未回本</x:v>
      </x:c>
    </x:row>
    <x:row r="752" ht="22" customHeight="1">
      <x:c r="A752" s="11" t="str">
        <x:v>lade_0825_10aoi</x:v>
      </x:c>
      <x:c r="B752" s="10" t="n">
        <x:v>10</x:v>
      </x:c>
      <x:c r="C752" s="10" t="n">
        <x:v>42</x:v>
      </x:c>
      <x:c r="D752" s="10" t="str">
        <x:v>M1 / M3</x:v>
      </x:c>
      <x:c r="E752" s="16" t="n">
        <x:v>4</x:v>
      </x:c>
      <x:c r="F752" s="14" t="n">
        <x:v>20</x:v>
      </x:c>
      <x:c r="G752" s="26" t="n">
        <x:f>'成本明细'!U114+'成本明细'!G114*(E752-'参数'!$B$6)</x:f>
        <x:v>1785.4312734355556</x:v>
      </x:c>
      <x:c r="H752" s="26" t="n">
        <x:f>'成本明细'!U120</x:f>
        <x:v>2286.8293632788886</x:v>
      </x:c>
      <x:c r="I752" s="26" t="n">
        <x:f>'成本明细'!V120</x:f>
        <x:v>4270.5</x:v>
      </x:c>
      <x:c r="J752" s="22" t="n">
        <x:f>'参数'!$B$9</x:f>
        <x:v>300</x:v>
      </x:c>
      <x:c r="K752" s="26" t="n">
        <x:f>J752*(G752-H752)-I752*ROUNDUP(J752/F752,0)</x:f>
        <x:v>-214476.92695299993</x:v>
      </x:c>
      <x:c r="L752" s="10" t="str">
        <x:f>IF(G752-H752&lt;=0,"未回本",IF(ROUNDUP(I752/(G752-H752),0)&gt;MIN(F752,J752),"未回本",MAX(1,ROUNDUP(I752/(G752-H752),0))))</x:f>
        <x:v>未回本</x:v>
      </x:c>
    </x:row>
    <x:row r="753" ht="22" customHeight="1">
      <x:c r="A753" s="11" t="str">
        <x:v>lade_0825_10aoi</x:v>
      </x:c>
      <x:c r="B753" s="10" t="n">
        <x:v>10</x:v>
      </x:c>
      <x:c r="C753" s="10" t="n">
        <x:v>42</x:v>
      </x:c>
      <x:c r="D753" s="10" t="str">
        <x:v>M2 / M4</x:v>
      </x:c>
      <x:c r="E753" s="16" t="n">
        <x:v>4</x:v>
      </x:c>
      <x:c r="F753" s="14" t="n">
        <x:v>20</x:v>
      </x:c>
      <x:c r="G753" s="26" t="n">
        <x:f>'成本明细'!U117+'成本明细'!G117*(E753-'参数'!$B$6)</x:f>
        <x:v>1785.4312734355556</x:v>
      </x:c>
      <x:c r="H753" s="26" t="n">
        <x:f>'成本明细'!U123</x:f>
        <x:v>2283.8282807305554</x:v>
      </x:c>
      <x:c r="I753" s="26" t="n">
        <x:f>'成本明细'!V123</x:f>
        <x:v>4270.5</x:v>
      </x:c>
      <x:c r="J753" s="22" t="n">
        <x:f>'参数'!$B$9</x:f>
        <x:v>300</x:v>
      </x:c>
      <x:c r="K753" s="26" t="n">
        <x:f>J753*(G753-H753)-I753*ROUNDUP(J753/F753,0)</x:f>
        <x:v>-213576.60218849996</x:v>
      </x:c>
      <x:c r="L753" s="10" t="str">
        <x:f>IF(G753-H753&lt;=0,"未回本",IF(ROUNDUP(I753/(G753-H753),0)&gt;MIN(F753,J753),"未回本",MAX(1,ROUNDUP(I753/(G753-H753),0))))</x:f>
        <x:v>未回本</x:v>
      </x:c>
    </x:row>
    <x:row r="754" ht="22" customHeight="1">
      <x:c r="A754" s="11" t="str">
        <x:v>lade_0825_10aoi</x:v>
      </x:c>
      <x:c r="B754" s="10" t="n">
        <x:v>10</x:v>
      </x:c>
      <x:c r="C754" s="10" t="n">
        <x:v>42</x:v>
      </x:c>
      <x:c r="D754" s="10" t="str">
        <x:v>M1 / M3</x:v>
      </x:c>
      <x:c r="E754" s="16" t="n">
        <x:v>4</x:v>
      </x:c>
      <x:c r="F754" s="14" t="n">
        <x:v>30</x:v>
      </x:c>
      <x:c r="G754" s="26" t="n">
        <x:f>'成本明细'!U114+'成本明细'!G114*(E754-'参数'!$B$6)</x:f>
        <x:v>1785.4312734355556</x:v>
      </x:c>
      <x:c r="H754" s="26" t="n">
        <x:f>'成本明细'!U120</x:f>
        <x:v>2286.8293632788886</x:v>
      </x:c>
      <x:c r="I754" s="26" t="n">
        <x:f>'成本明细'!V120</x:f>
        <x:v>4270.5</x:v>
      </x:c>
      <x:c r="J754" s="22" t="n">
        <x:f>'参数'!$B$9</x:f>
        <x:v>300</x:v>
      </x:c>
      <x:c r="K754" s="26" t="n">
        <x:f>J754*(G754-H754)-I754*ROUNDUP(J754/F754,0)</x:f>
        <x:v>-193124.42695299993</x:v>
      </x:c>
      <x:c r="L754" s="10" t="str">
        <x:f>IF(G754-H754&lt;=0,"未回本",IF(ROUNDUP(I754/(G754-H754),0)&gt;MIN(F754,J754),"未回本",MAX(1,ROUNDUP(I754/(G754-H754),0))))</x:f>
        <x:v>未回本</x:v>
      </x:c>
    </x:row>
    <x:row r="755" ht="22" customHeight="1">
      <x:c r="A755" s="11" t="str">
        <x:v>lade_0825_10aoi</x:v>
      </x:c>
      <x:c r="B755" s="10" t="n">
        <x:v>10</x:v>
      </x:c>
      <x:c r="C755" s="10" t="n">
        <x:v>42</x:v>
      </x:c>
      <x:c r="D755" s="10" t="str">
        <x:v>M2 / M4</x:v>
      </x:c>
      <x:c r="E755" s="16" t="n">
        <x:v>4</x:v>
      </x:c>
      <x:c r="F755" s="14" t="n">
        <x:v>30</x:v>
      </x:c>
      <x:c r="G755" s="26" t="n">
        <x:f>'成本明细'!U117+'成本明细'!G117*(E755-'参数'!$B$6)</x:f>
        <x:v>1785.4312734355556</x:v>
      </x:c>
      <x:c r="H755" s="26" t="n">
        <x:f>'成本明细'!U123</x:f>
        <x:v>2283.8282807305554</x:v>
      </x:c>
      <x:c r="I755" s="26" t="n">
        <x:f>'成本明细'!V123</x:f>
        <x:v>4270.5</x:v>
      </x:c>
      <x:c r="J755" s="22" t="n">
        <x:f>'参数'!$B$9</x:f>
        <x:v>300</x:v>
      </x:c>
      <x:c r="K755" s="26" t="n">
        <x:f>J755*(G755-H755)-I755*ROUNDUP(J755/F755,0)</x:f>
        <x:v>-192224.10218849996</x:v>
      </x:c>
      <x:c r="L755" s="10" t="str">
        <x:f>IF(G755-H755&lt;=0,"未回本",IF(ROUNDUP(I755/(G755-H755),0)&gt;MIN(F755,J755),"未回本",MAX(1,ROUNDUP(I755/(G755-H755),0))))</x:f>
        <x:v>未回本</x:v>
      </x:c>
    </x:row>
    <x:row r="756" ht="22" customHeight="1">
      <x:c r="A756" s="11" t="str">
        <x:v>lade_0825_10aoi</x:v>
      </x:c>
      <x:c r="B756" s="10" t="n">
        <x:v>10</x:v>
      </x:c>
      <x:c r="C756" s="10" t="n">
        <x:v>42</x:v>
      </x:c>
      <x:c r="D756" s="10" t="str">
        <x:v>M1 / M3</x:v>
      </x:c>
      <x:c r="E756" s="16" t="n">
        <x:v>4</x:v>
      </x:c>
      <x:c r="F756" s="14" t="n">
        <x:v>50</x:v>
      </x:c>
      <x:c r="G756" s="26" t="n">
        <x:f>'成本明细'!U114+'成本明细'!G114*(E756-'参数'!$B$6)</x:f>
        <x:v>1785.4312734355556</x:v>
      </x:c>
      <x:c r="H756" s="26" t="n">
        <x:f>'成本明细'!U120</x:f>
        <x:v>2286.8293632788886</x:v>
      </x:c>
      <x:c r="I756" s="26" t="n">
        <x:f>'成本明细'!V120</x:f>
        <x:v>4270.5</x:v>
      </x:c>
      <x:c r="J756" s="22" t="n">
        <x:f>'参数'!$B$9</x:f>
        <x:v>300</x:v>
      </x:c>
      <x:c r="K756" s="26" t="n">
        <x:f>J756*(G756-H756)-I756*ROUNDUP(J756/F756,0)</x:f>
        <x:v>-176042.42695299993</x:v>
      </x:c>
      <x:c r="L756" s="10" t="str">
        <x:f>IF(G756-H756&lt;=0,"未回本",IF(ROUNDUP(I756/(G756-H756),0)&gt;MIN(F756,J756),"未回本",MAX(1,ROUNDUP(I756/(G756-H756),0))))</x:f>
        <x:v>未回本</x:v>
      </x:c>
    </x:row>
    <x:row r="757" ht="22" customHeight="1">
      <x:c r="A757" s="11" t="str">
        <x:v>lade_0825_10aoi</x:v>
      </x:c>
      <x:c r="B757" s="10" t="n">
        <x:v>10</x:v>
      </x:c>
      <x:c r="C757" s="10" t="n">
        <x:v>42</x:v>
      </x:c>
      <x:c r="D757" s="10" t="str">
        <x:v>M2 / M4</x:v>
      </x:c>
      <x:c r="E757" s="16" t="n">
        <x:v>4</x:v>
      </x:c>
      <x:c r="F757" s="14" t="n">
        <x:v>50</x:v>
      </x:c>
      <x:c r="G757" s="26" t="n">
        <x:f>'成本明细'!U117+'成本明细'!G117*(E757-'参数'!$B$6)</x:f>
        <x:v>1785.4312734355556</x:v>
      </x:c>
      <x:c r="H757" s="26" t="n">
        <x:f>'成本明细'!U123</x:f>
        <x:v>2283.8282807305554</x:v>
      </x:c>
      <x:c r="I757" s="26" t="n">
        <x:f>'成本明细'!V123</x:f>
        <x:v>4270.5</x:v>
      </x:c>
      <x:c r="J757" s="22" t="n">
        <x:f>'参数'!$B$9</x:f>
        <x:v>300</x:v>
      </x:c>
      <x:c r="K757" s="26" t="n">
        <x:f>J757*(G757-H757)-I757*ROUNDUP(J757/F757,0)</x:f>
        <x:v>-175142.10218849996</x:v>
      </x:c>
      <x:c r="L757" s="10" t="str">
        <x:f>IF(G757-H757&lt;=0,"未回本",IF(ROUNDUP(I757/(G757-H757),0)&gt;MIN(F757,J757),"未回本",MAX(1,ROUNDUP(I757/(G757-H757),0))))</x:f>
        <x:v>未回本</x:v>
      </x:c>
    </x:row>
    <x:row r="758" ht="22" customHeight="1">
      <x:c r="A758" s="11" t="str">
        <x:v>lade_0825_10aoi</x:v>
      </x:c>
      <x:c r="B758" s="10" t="n">
        <x:v>10</x:v>
      </x:c>
      <x:c r="C758" s="10" t="n">
        <x:v>42</x:v>
      </x:c>
      <x:c r="D758" s="10" t="str">
        <x:v>M1 / M3</x:v>
      </x:c>
      <x:c r="E758" s="16" t="n">
        <x:v>5</x:v>
      </x:c>
      <x:c r="F758" s="14" t="n">
        <x:v>10</x:v>
      </x:c>
      <x:c r="G758" s="26" t="n">
        <x:f>'成本明细'!U114+'成本明细'!G114*(E758-'参数'!$B$6)</x:f>
        <x:v>1902.4312734355556</x:v>
      </x:c>
      <x:c r="H758" s="26" t="n">
        <x:f>'成本明细'!U120</x:f>
        <x:v>2286.8293632788886</x:v>
      </x:c>
      <x:c r="I758" s="26" t="n">
        <x:f>'成本明细'!V120</x:f>
        <x:v>4270.5</x:v>
      </x:c>
      <x:c r="J758" s="22" t="n">
        <x:f>'参数'!$B$9</x:f>
        <x:v>300</x:v>
      </x:c>
      <x:c r="K758" s="26" t="n">
        <x:f>J758*(G758-H758)-I758*ROUNDUP(J758/F758,0)</x:f>
        <x:v>-243434.42695299993</x:v>
      </x:c>
      <x:c r="L758" s="10" t="str">
        <x:f>IF(G758-H758&lt;=0,"未回本",IF(ROUNDUP(I758/(G758-H758),0)&gt;MIN(F758,J758),"未回本",MAX(1,ROUNDUP(I758/(G758-H758),0))))</x:f>
        <x:v>未回本</x:v>
      </x:c>
    </x:row>
    <x:row r="759" ht="22" customHeight="1">
      <x:c r="A759" s="11" t="str">
        <x:v>lade_0825_10aoi</x:v>
      </x:c>
      <x:c r="B759" s="10" t="n">
        <x:v>10</x:v>
      </x:c>
      <x:c r="C759" s="10" t="n">
        <x:v>42</x:v>
      </x:c>
      <x:c r="D759" s="10" t="str">
        <x:v>M2 / M4</x:v>
      </x:c>
      <x:c r="E759" s="16" t="n">
        <x:v>5</x:v>
      </x:c>
      <x:c r="F759" s="14" t="n">
        <x:v>10</x:v>
      </x:c>
      <x:c r="G759" s="26" t="n">
        <x:f>'成本明细'!U117+'成本明细'!G117*(E759-'参数'!$B$6)</x:f>
        <x:v>1902.4312734355556</x:v>
      </x:c>
      <x:c r="H759" s="26" t="n">
        <x:f>'成本明细'!U123</x:f>
        <x:v>2283.8282807305554</x:v>
      </x:c>
      <x:c r="I759" s="26" t="n">
        <x:f>'成本明细'!V123</x:f>
        <x:v>4270.5</x:v>
      </x:c>
      <x:c r="J759" s="22" t="n">
        <x:f>'参数'!$B$9</x:f>
        <x:v>300</x:v>
      </x:c>
      <x:c r="K759" s="26" t="n">
        <x:f>J759*(G759-H759)-I759*ROUNDUP(J759/F759,0)</x:f>
        <x:v>-242534.10218849996</x:v>
      </x:c>
      <x:c r="L759" s="10" t="str">
        <x:f>IF(G759-H759&lt;=0,"未回本",IF(ROUNDUP(I759/(G759-H759),0)&gt;MIN(F759,J759),"未回本",MAX(1,ROUNDUP(I759/(G759-H759),0))))</x:f>
        <x:v>未回本</x:v>
      </x:c>
    </x:row>
    <x:row r="760" ht="22" customHeight="1">
      <x:c r="A760" s="11" t="str">
        <x:v>lade_0825_10aoi</x:v>
      </x:c>
      <x:c r="B760" s="10" t="n">
        <x:v>10</x:v>
      </x:c>
      <x:c r="C760" s="10" t="n">
        <x:v>42</x:v>
      </x:c>
      <x:c r="D760" s="10" t="str">
        <x:v>M1 / M3</x:v>
      </x:c>
      <x:c r="E760" s="16" t="n">
        <x:v>5</x:v>
      </x:c>
      <x:c r="F760" s="14" t="n">
        <x:v>20</x:v>
      </x:c>
      <x:c r="G760" s="26" t="n">
        <x:f>'成本明细'!U114+'成本明细'!G114*(E760-'参数'!$B$6)</x:f>
        <x:v>1902.4312734355556</x:v>
      </x:c>
      <x:c r="H760" s="26" t="n">
        <x:f>'成本明细'!U120</x:f>
        <x:v>2286.8293632788886</x:v>
      </x:c>
      <x:c r="I760" s="26" t="n">
        <x:f>'成本明细'!V120</x:f>
        <x:v>4270.5</x:v>
      </x:c>
      <x:c r="J760" s="22" t="n">
        <x:f>'参数'!$B$9</x:f>
        <x:v>300</x:v>
      </x:c>
      <x:c r="K760" s="26" t="n">
        <x:f>J760*(G760-H760)-I760*ROUNDUP(J760/F760,0)</x:f>
        <x:v>-179376.92695299993</x:v>
      </x:c>
      <x:c r="L760" s="10" t="str">
        <x:f>IF(G760-H760&lt;=0,"未回本",IF(ROUNDUP(I760/(G760-H760),0)&gt;MIN(F760,J760),"未回本",MAX(1,ROUNDUP(I760/(G760-H760),0))))</x:f>
        <x:v>未回本</x:v>
      </x:c>
    </x:row>
    <x:row r="761" ht="22" customHeight="1">
      <x:c r="A761" s="11" t="str">
        <x:v>lade_0825_10aoi</x:v>
      </x:c>
      <x:c r="B761" s="10" t="n">
        <x:v>10</x:v>
      </x:c>
      <x:c r="C761" s="10" t="n">
        <x:v>42</x:v>
      </x:c>
      <x:c r="D761" s="10" t="str">
        <x:v>M2 / M4</x:v>
      </x:c>
      <x:c r="E761" s="16" t="n">
        <x:v>5</x:v>
      </x:c>
      <x:c r="F761" s="14" t="n">
        <x:v>20</x:v>
      </x:c>
      <x:c r="G761" s="26" t="n">
        <x:f>'成本明细'!U117+'成本明细'!G117*(E761-'参数'!$B$6)</x:f>
        <x:v>1902.4312734355556</x:v>
      </x:c>
      <x:c r="H761" s="26" t="n">
        <x:f>'成本明细'!U123</x:f>
        <x:v>2283.8282807305554</x:v>
      </x:c>
      <x:c r="I761" s="26" t="n">
        <x:f>'成本明细'!V123</x:f>
        <x:v>4270.5</x:v>
      </x:c>
      <x:c r="J761" s="22" t="n">
        <x:f>'参数'!$B$9</x:f>
        <x:v>300</x:v>
      </x:c>
      <x:c r="K761" s="26" t="n">
        <x:f>J761*(G761-H761)-I761*ROUNDUP(J761/F761,0)</x:f>
        <x:v>-178476.60218849996</x:v>
      </x:c>
      <x:c r="L761" s="10" t="str">
        <x:f>IF(G761-H761&lt;=0,"未回本",IF(ROUNDUP(I761/(G761-H761),0)&gt;MIN(F761,J761),"未回本",MAX(1,ROUNDUP(I761/(G761-H761),0))))</x:f>
        <x:v>未回本</x:v>
      </x:c>
    </x:row>
    <x:row r="762" ht="22" customHeight="1">
      <x:c r="A762" s="11" t="str">
        <x:v>lade_0825_10aoi</x:v>
      </x:c>
      <x:c r="B762" s="10" t="n">
        <x:v>10</x:v>
      </x:c>
      <x:c r="C762" s="10" t="n">
        <x:v>42</x:v>
      </x:c>
      <x:c r="D762" s="10" t="str">
        <x:v>M1 / M3</x:v>
      </x:c>
      <x:c r="E762" s="16" t="n">
        <x:v>5</x:v>
      </x:c>
      <x:c r="F762" s="14" t="n">
        <x:v>30</x:v>
      </x:c>
      <x:c r="G762" s="26" t="n">
        <x:f>'成本明细'!U114+'成本明细'!G114*(E762-'参数'!$B$6)</x:f>
        <x:v>1902.4312734355556</x:v>
      </x:c>
      <x:c r="H762" s="26" t="n">
        <x:f>'成本明细'!U120</x:f>
        <x:v>2286.8293632788886</x:v>
      </x:c>
      <x:c r="I762" s="26" t="n">
        <x:f>'成本明细'!V120</x:f>
        <x:v>4270.5</x:v>
      </x:c>
      <x:c r="J762" s="22" t="n">
        <x:f>'参数'!$B$9</x:f>
        <x:v>300</x:v>
      </x:c>
      <x:c r="K762" s="26" t="n">
        <x:f>J762*(G762-H762)-I762*ROUNDUP(J762/F762,0)</x:f>
        <x:v>-158024.42695299993</x:v>
      </x:c>
      <x:c r="L762" s="10" t="str">
        <x:f>IF(G762-H762&lt;=0,"未回本",IF(ROUNDUP(I762/(G762-H762),0)&gt;MIN(F762,J762),"未回本",MAX(1,ROUNDUP(I762/(G762-H762),0))))</x:f>
        <x:v>未回本</x:v>
      </x:c>
    </x:row>
    <x:row r="763" ht="22" customHeight="1">
      <x:c r="A763" s="11" t="str">
        <x:v>lade_0825_10aoi</x:v>
      </x:c>
      <x:c r="B763" s="10" t="n">
        <x:v>10</x:v>
      </x:c>
      <x:c r="C763" s="10" t="n">
        <x:v>42</x:v>
      </x:c>
      <x:c r="D763" s="10" t="str">
        <x:v>M2 / M4</x:v>
      </x:c>
      <x:c r="E763" s="16" t="n">
        <x:v>5</x:v>
      </x:c>
      <x:c r="F763" s="14" t="n">
        <x:v>30</x:v>
      </x:c>
      <x:c r="G763" s="26" t="n">
        <x:f>'成本明细'!U117+'成本明细'!G117*(E763-'参数'!$B$6)</x:f>
        <x:v>1902.4312734355556</x:v>
      </x:c>
      <x:c r="H763" s="26" t="n">
        <x:f>'成本明细'!U123</x:f>
        <x:v>2283.8282807305554</x:v>
      </x:c>
      <x:c r="I763" s="26" t="n">
        <x:f>'成本明细'!V123</x:f>
        <x:v>4270.5</x:v>
      </x:c>
      <x:c r="J763" s="22" t="n">
        <x:f>'参数'!$B$9</x:f>
        <x:v>300</x:v>
      </x:c>
      <x:c r="K763" s="26" t="n">
        <x:f>J763*(G763-H763)-I763*ROUNDUP(J763/F763,0)</x:f>
        <x:v>-157124.10218849996</x:v>
      </x:c>
      <x:c r="L763" s="10" t="str">
        <x:f>IF(G763-H763&lt;=0,"未回本",IF(ROUNDUP(I763/(G763-H763),0)&gt;MIN(F763,J763),"未回本",MAX(1,ROUNDUP(I763/(G763-H763),0))))</x:f>
        <x:v>未回本</x:v>
      </x:c>
    </x:row>
    <x:row r="764" ht="22" customHeight="1">
      <x:c r="A764" s="11" t="str">
        <x:v>lade_0825_10aoi</x:v>
      </x:c>
      <x:c r="B764" s="10" t="n">
        <x:v>10</x:v>
      </x:c>
      <x:c r="C764" s="10" t="n">
        <x:v>42</x:v>
      </x:c>
      <x:c r="D764" s="10" t="str">
        <x:v>M1 / M3</x:v>
      </x:c>
      <x:c r="E764" s="16" t="n">
        <x:v>5</x:v>
      </x:c>
      <x:c r="F764" s="14" t="n">
        <x:v>50</x:v>
      </x:c>
      <x:c r="G764" s="26" t="n">
        <x:f>'成本明细'!U114+'成本明细'!G114*(E764-'参数'!$B$6)</x:f>
        <x:v>1902.4312734355556</x:v>
      </x:c>
      <x:c r="H764" s="26" t="n">
        <x:f>'成本明细'!U120</x:f>
        <x:v>2286.8293632788886</x:v>
      </x:c>
      <x:c r="I764" s="26" t="n">
        <x:f>'成本明细'!V120</x:f>
        <x:v>4270.5</x:v>
      </x:c>
      <x:c r="J764" s="22" t="n">
        <x:f>'参数'!$B$9</x:f>
        <x:v>300</x:v>
      </x:c>
      <x:c r="K764" s="26" t="n">
        <x:f>J764*(G764-H764)-I764*ROUNDUP(J764/F764,0)</x:f>
        <x:v>-140942.42695299993</x:v>
      </x:c>
      <x:c r="L764" s="10" t="str">
        <x:f>IF(G764-H764&lt;=0,"未回本",IF(ROUNDUP(I764/(G764-H764),0)&gt;MIN(F764,J764),"未回本",MAX(1,ROUNDUP(I764/(G764-H764),0))))</x:f>
        <x:v>未回本</x:v>
      </x:c>
    </x:row>
    <x:row r="765" ht="22" customHeight="1">
      <x:c r="A765" s="11" t="str">
        <x:v>lade_0825_10aoi</x:v>
      </x:c>
      <x:c r="B765" s="10" t="n">
        <x:v>10</x:v>
      </x:c>
      <x:c r="C765" s="10" t="n">
        <x:v>42</x:v>
      </x:c>
      <x:c r="D765" s="10" t="str">
        <x:v>M2 / M4</x:v>
      </x:c>
      <x:c r="E765" s="16" t="n">
        <x:v>5</x:v>
      </x:c>
      <x:c r="F765" s="14" t="n">
        <x:v>50</x:v>
      </x:c>
      <x:c r="G765" s="26" t="n">
        <x:f>'成本明细'!U117+'成本明细'!G117*(E765-'参数'!$B$6)</x:f>
        <x:v>1902.4312734355556</x:v>
      </x:c>
      <x:c r="H765" s="26" t="n">
        <x:f>'成本明细'!U123</x:f>
        <x:v>2283.8282807305554</x:v>
      </x:c>
      <x:c r="I765" s="26" t="n">
        <x:f>'成本明细'!V123</x:f>
        <x:v>4270.5</x:v>
      </x:c>
      <x:c r="J765" s="22" t="n">
        <x:f>'参数'!$B$9</x:f>
        <x:v>300</x:v>
      </x:c>
      <x:c r="K765" s="26" t="n">
        <x:f>J765*(G765-H765)-I765*ROUNDUP(J765/F765,0)</x:f>
        <x:v>-140042.10218849996</x:v>
      </x:c>
      <x:c r="L765" s="10" t="str">
        <x:f>IF(G765-H765&lt;=0,"未回本",IF(ROUNDUP(I765/(G765-H765),0)&gt;MIN(F765,J765),"未回本",MAX(1,ROUNDUP(I765/(G765-H765),0))))</x:f>
        <x:v>未回本</x:v>
      </x:c>
    </x:row>
    <x:row r="766" ht="22" customHeight="1">
      <x:c r="A766" s="11" t="str">
        <x:v>lade_0825_10aoi</x:v>
      </x:c>
      <x:c r="B766" s="10" t="n">
        <x:v>10</x:v>
      </x:c>
      <x:c r="C766" s="10" t="n">
        <x:v>43</x:v>
      </x:c>
      <x:c r="D766" s="10" t="str">
        <x:v>M1 / M3</x:v>
      </x:c>
      <x:c r="E766" s="16" t="n">
        <x:v>1</x:v>
      </x:c>
      <x:c r="F766" s="14" t="n">
        <x:v>10</x:v>
      </x:c>
      <x:c r="G766" s="26" t="n">
        <x:f>'成本明细'!U115+'成本明细'!G115*(E766-'参数'!$B$6)</x:f>
        <x:v>1434.4312734355556</x:v>
      </x:c>
      <x:c r="H766" s="26" t="n">
        <x:f>'成本明细'!U121</x:f>
        <x:v>2286.8293632788886</x:v>
      </x:c>
      <x:c r="I766" s="26" t="n">
        <x:f>'成本明细'!V121</x:f>
        <x:v>4270.5</x:v>
      </x:c>
      <x:c r="J766" s="22" t="n">
        <x:f>'参数'!$B$9</x:f>
        <x:v>300</x:v>
      </x:c>
      <x:c r="K766" s="26" t="n">
        <x:f>J766*(G766-H766)-I766*ROUNDUP(J766/F766,0)</x:f>
        <x:v>-383834.4269529999</x:v>
      </x:c>
      <x:c r="L766" s="10" t="str">
        <x:f>IF(G766-H766&lt;=0,"未回本",IF(ROUNDUP(I766/(G766-H766),0)&gt;MIN(F766,J766),"未回本",MAX(1,ROUNDUP(I766/(G766-H766),0))))</x:f>
        <x:v>未回本</x:v>
      </x:c>
    </x:row>
    <x:row r="767" ht="22" customHeight="1">
      <x:c r="A767" s="11" t="str">
        <x:v>lade_0825_10aoi</x:v>
      </x:c>
      <x:c r="B767" s="10" t="n">
        <x:v>10</x:v>
      </x:c>
      <x:c r="C767" s="10" t="n">
        <x:v>43</x:v>
      </x:c>
      <x:c r="D767" s="10" t="str">
        <x:v>M2 / M4</x:v>
      </x:c>
      <x:c r="E767" s="16" t="n">
        <x:v>1</x:v>
      </x:c>
      <x:c r="F767" s="14" t="n">
        <x:v>10</x:v>
      </x:c>
      <x:c r="G767" s="26" t="n">
        <x:f>'成本明细'!U118+'成本明细'!G118*(E767-'参数'!$B$6)</x:f>
        <x:v>1434.4312734355556</x:v>
      </x:c>
      <x:c r="H767" s="26" t="n">
        <x:f>'成本明细'!U124</x:f>
        <x:v>2286.4444585438882</x:v>
      </x:c>
      <x:c r="I767" s="26" t="n">
        <x:f>'成本明细'!V124</x:f>
        <x:v>4270.5</x:v>
      </x:c>
      <x:c r="J767" s="22" t="n">
        <x:f>'参数'!$B$9</x:f>
        <x:v>300</x:v>
      </x:c>
      <x:c r="K767" s="26" t="n">
        <x:f>J767*(G767-H767)-I767*ROUNDUP(J767/F767,0)</x:f>
        <x:v>-383718.9555324998</x:v>
      </x:c>
      <x:c r="L767" s="10" t="str">
        <x:f>IF(G767-H767&lt;=0,"未回本",IF(ROUNDUP(I767/(G767-H767),0)&gt;MIN(F767,J767),"未回本",MAX(1,ROUNDUP(I767/(G767-H767),0))))</x:f>
        <x:v>未回本</x:v>
      </x:c>
    </x:row>
    <x:row r="768" ht="22" customHeight="1">
      <x:c r="A768" s="11" t="str">
        <x:v>lade_0825_10aoi</x:v>
      </x:c>
      <x:c r="B768" s="10" t="n">
        <x:v>10</x:v>
      </x:c>
      <x:c r="C768" s="10" t="n">
        <x:v>43</x:v>
      </x:c>
      <x:c r="D768" s="10" t="str">
        <x:v>M1 / M3</x:v>
      </x:c>
      <x:c r="E768" s="16" t="n">
        <x:v>1</x:v>
      </x:c>
      <x:c r="F768" s="14" t="n">
        <x:v>20</x:v>
      </x:c>
      <x:c r="G768" s="26" t="n">
        <x:f>'成本明细'!U115+'成本明细'!G115*(E768-'参数'!$B$6)</x:f>
        <x:v>1434.4312734355556</x:v>
      </x:c>
      <x:c r="H768" s="26" t="n">
        <x:f>'成本明细'!U121</x:f>
        <x:v>2286.8293632788886</x:v>
      </x:c>
      <x:c r="I768" s="26" t="n">
        <x:f>'成本明细'!V121</x:f>
        <x:v>4270.5</x:v>
      </x:c>
      <x:c r="J768" s="22" t="n">
        <x:f>'参数'!$B$9</x:f>
        <x:v>300</x:v>
      </x:c>
      <x:c r="K768" s="26" t="n">
        <x:f>J768*(G768-H768)-I768*ROUNDUP(J768/F768,0)</x:f>
        <x:v>-319776.9269529999</x:v>
      </x:c>
      <x:c r="L768" s="10" t="str">
        <x:f>IF(G768-H768&lt;=0,"未回本",IF(ROUNDUP(I768/(G768-H768),0)&gt;MIN(F768,J768),"未回本",MAX(1,ROUNDUP(I768/(G768-H768),0))))</x:f>
        <x:v>未回本</x:v>
      </x:c>
    </x:row>
    <x:row r="769" ht="22" customHeight="1">
      <x:c r="A769" s="11" t="str">
        <x:v>lade_0825_10aoi</x:v>
      </x:c>
      <x:c r="B769" s="10" t="n">
        <x:v>10</x:v>
      </x:c>
      <x:c r="C769" s="10" t="n">
        <x:v>43</x:v>
      </x:c>
      <x:c r="D769" s="10" t="str">
        <x:v>M2 / M4</x:v>
      </x:c>
      <x:c r="E769" s="16" t="n">
        <x:v>1</x:v>
      </x:c>
      <x:c r="F769" s="14" t="n">
        <x:v>20</x:v>
      </x:c>
      <x:c r="G769" s="26" t="n">
        <x:f>'成本明细'!U118+'成本明细'!G118*(E769-'参数'!$B$6)</x:f>
        <x:v>1434.4312734355556</x:v>
      </x:c>
      <x:c r="H769" s="26" t="n">
        <x:f>'成本明细'!U124</x:f>
        <x:v>2286.4444585438882</x:v>
      </x:c>
      <x:c r="I769" s="26" t="n">
        <x:f>'成本明细'!V124</x:f>
        <x:v>4270.5</x:v>
      </x:c>
      <x:c r="J769" s="22" t="n">
        <x:f>'参数'!$B$9</x:f>
        <x:v>300</x:v>
      </x:c>
      <x:c r="K769" s="26" t="n">
        <x:f>J769*(G769-H769)-I769*ROUNDUP(J769/F769,0)</x:f>
        <x:v>-319661.4555324998</x:v>
      </x:c>
      <x:c r="L769" s="10" t="str">
        <x:f>IF(G769-H769&lt;=0,"未回本",IF(ROUNDUP(I769/(G769-H769),0)&gt;MIN(F769,J769),"未回本",MAX(1,ROUNDUP(I769/(G769-H769),0))))</x:f>
        <x:v>未回本</x:v>
      </x:c>
    </x:row>
    <x:row r="770" ht="22" customHeight="1">
      <x:c r="A770" s="11" t="str">
        <x:v>lade_0825_10aoi</x:v>
      </x:c>
      <x:c r="B770" s="10" t="n">
        <x:v>10</x:v>
      </x:c>
      <x:c r="C770" s="10" t="n">
        <x:v>43</x:v>
      </x:c>
      <x:c r="D770" s="10" t="str">
        <x:v>M1 / M3</x:v>
      </x:c>
      <x:c r="E770" s="16" t="n">
        <x:v>1</x:v>
      </x:c>
      <x:c r="F770" s="14" t="n">
        <x:v>30</x:v>
      </x:c>
      <x:c r="G770" s="26" t="n">
        <x:f>'成本明细'!U115+'成本明细'!G115*(E770-'参数'!$B$6)</x:f>
        <x:v>1434.4312734355556</x:v>
      </x:c>
      <x:c r="H770" s="26" t="n">
        <x:f>'成本明细'!U121</x:f>
        <x:v>2286.8293632788886</x:v>
      </x:c>
      <x:c r="I770" s="26" t="n">
        <x:f>'成本明细'!V121</x:f>
        <x:v>4270.5</x:v>
      </x:c>
      <x:c r="J770" s="22" t="n">
        <x:f>'参数'!$B$9</x:f>
        <x:v>300</x:v>
      </x:c>
      <x:c r="K770" s="26" t="n">
        <x:f>J770*(G770-H770)-I770*ROUNDUP(J770/F770,0)</x:f>
        <x:v>-298424.4269529999</x:v>
      </x:c>
      <x:c r="L770" s="10" t="str">
        <x:f>IF(G770-H770&lt;=0,"未回本",IF(ROUNDUP(I770/(G770-H770),0)&gt;MIN(F770,J770),"未回本",MAX(1,ROUNDUP(I770/(G770-H770),0))))</x:f>
        <x:v>未回本</x:v>
      </x:c>
    </x:row>
    <x:row r="771" ht="22" customHeight="1">
      <x:c r="A771" s="11" t="str">
        <x:v>lade_0825_10aoi</x:v>
      </x:c>
      <x:c r="B771" s="10" t="n">
        <x:v>10</x:v>
      </x:c>
      <x:c r="C771" s="10" t="n">
        <x:v>43</x:v>
      </x:c>
      <x:c r="D771" s="10" t="str">
        <x:v>M2 / M4</x:v>
      </x:c>
      <x:c r="E771" s="16" t="n">
        <x:v>1</x:v>
      </x:c>
      <x:c r="F771" s="14" t="n">
        <x:v>30</x:v>
      </x:c>
      <x:c r="G771" s="26" t="n">
        <x:f>'成本明细'!U118+'成本明细'!G118*(E771-'参数'!$B$6)</x:f>
        <x:v>1434.4312734355556</x:v>
      </x:c>
      <x:c r="H771" s="26" t="n">
        <x:f>'成本明细'!U124</x:f>
        <x:v>2286.4444585438882</x:v>
      </x:c>
      <x:c r="I771" s="26" t="n">
        <x:f>'成本明细'!V124</x:f>
        <x:v>4270.5</x:v>
      </x:c>
      <x:c r="J771" s="22" t="n">
        <x:f>'参数'!$B$9</x:f>
        <x:v>300</x:v>
      </x:c>
      <x:c r="K771" s="26" t="n">
        <x:f>J771*(G771-H771)-I771*ROUNDUP(J771/F771,0)</x:f>
        <x:v>-298308.9555324998</x:v>
      </x:c>
      <x:c r="L771" s="10" t="str">
        <x:f>IF(G771-H771&lt;=0,"未回本",IF(ROUNDUP(I771/(G771-H771),0)&gt;MIN(F771,J771),"未回本",MAX(1,ROUNDUP(I771/(G771-H771),0))))</x:f>
        <x:v>未回本</x:v>
      </x:c>
    </x:row>
    <x:row r="772" ht="22" customHeight="1">
      <x:c r="A772" s="11" t="str">
        <x:v>lade_0825_10aoi</x:v>
      </x:c>
      <x:c r="B772" s="10" t="n">
        <x:v>10</x:v>
      </x:c>
      <x:c r="C772" s="10" t="n">
        <x:v>43</x:v>
      </x:c>
      <x:c r="D772" s="10" t="str">
        <x:v>M1 / M3</x:v>
      </x:c>
      <x:c r="E772" s="16" t="n">
        <x:v>1</x:v>
      </x:c>
      <x:c r="F772" s="14" t="n">
        <x:v>50</x:v>
      </x:c>
      <x:c r="G772" s="26" t="n">
        <x:f>'成本明细'!U115+'成本明细'!G115*(E772-'参数'!$B$6)</x:f>
        <x:v>1434.4312734355556</x:v>
      </x:c>
      <x:c r="H772" s="26" t="n">
        <x:f>'成本明细'!U121</x:f>
        <x:v>2286.8293632788886</x:v>
      </x:c>
      <x:c r="I772" s="26" t="n">
        <x:f>'成本明细'!V121</x:f>
        <x:v>4270.5</x:v>
      </x:c>
      <x:c r="J772" s="22" t="n">
        <x:f>'参数'!$B$9</x:f>
        <x:v>300</x:v>
      </x:c>
      <x:c r="K772" s="26" t="n">
        <x:f>J772*(G772-H772)-I772*ROUNDUP(J772/F772,0)</x:f>
        <x:v>-281342.4269529999</x:v>
      </x:c>
      <x:c r="L772" s="10" t="str">
        <x:f>IF(G772-H772&lt;=0,"未回本",IF(ROUNDUP(I772/(G772-H772),0)&gt;MIN(F772,J772),"未回本",MAX(1,ROUNDUP(I772/(G772-H772),0))))</x:f>
        <x:v>未回本</x:v>
      </x:c>
    </x:row>
    <x:row r="773" ht="22" customHeight="1">
      <x:c r="A773" s="11" t="str">
        <x:v>lade_0825_10aoi</x:v>
      </x:c>
      <x:c r="B773" s="10" t="n">
        <x:v>10</x:v>
      </x:c>
      <x:c r="C773" s="10" t="n">
        <x:v>43</x:v>
      </x:c>
      <x:c r="D773" s="10" t="str">
        <x:v>M2 / M4</x:v>
      </x:c>
      <x:c r="E773" s="16" t="n">
        <x:v>1</x:v>
      </x:c>
      <x:c r="F773" s="14" t="n">
        <x:v>50</x:v>
      </x:c>
      <x:c r="G773" s="26" t="n">
        <x:f>'成本明细'!U118+'成本明细'!G118*(E773-'参数'!$B$6)</x:f>
        <x:v>1434.4312734355556</x:v>
      </x:c>
      <x:c r="H773" s="26" t="n">
        <x:f>'成本明细'!U124</x:f>
        <x:v>2286.4444585438882</x:v>
      </x:c>
      <x:c r="I773" s="26" t="n">
        <x:f>'成本明细'!V124</x:f>
        <x:v>4270.5</x:v>
      </x:c>
      <x:c r="J773" s="22" t="n">
        <x:f>'参数'!$B$9</x:f>
        <x:v>300</x:v>
      </x:c>
      <x:c r="K773" s="26" t="n">
        <x:f>J773*(G773-H773)-I773*ROUNDUP(J773/F773,0)</x:f>
        <x:v>-281226.9555324998</x:v>
      </x:c>
      <x:c r="L773" s="10" t="str">
        <x:f>IF(G773-H773&lt;=0,"未回本",IF(ROUNDUP(I773/(G773-H773),0)&gt;MIN(F773,J773),"未回本",MAX(1,ROUNDUP(I773/(G773-H773),0))))</x:f>
        <x:v>未回本</x:v>
      </x:c>
    </x:row>
    <x:row r="774" ht="22" customHeight="1">
      <x:c r="A774" s="11" t="str">
        <x:v>lade_0825_10aoi</x:v>
      </x:c>
      <x:c r="B774" s="10" t="n">
        <x:v>10</x:v>
      </x:c>
      <x:c r="C774" s="10" t="n">
        <x:v>43</x:v>
      </x:c>
      <x:c r="D774" s="10" t="str">
        <x:v>M1 / M3</x:v>
      </x:c>
      <x:c r="E774" s="16" t="n">
        <x:v>2</x:v>
      </x:c>
      <x:c r="F774" s="14" t="n">
        <x:v>10</x:v>
      </x:c>
      <x:c r="G774" s="26" t="n">
        <x:f>'成本明细'!U115+'成本明细'!G115*(E774-'参数'!$B$6)</x:f>
        <x:v>1551.4312734355556</x:v>
      </x:c>
      <x:c r="H774" s="26" t="n">
        <x:f>'成本明细'!U121</x:f>
        <x:v>2286.8293632788886</x:v>
      </x:c>
      <x:c r="I774" s="26" t="n">
        <x:f>'成本明细'!V121</x:f>
        <x:v>4270.5</x:v>
      </x:c>
      <x:c r="J774" s="22" t="n">
        <x:f>'参数'!$B$9</x:f>
        <x:v>300</x:v>
      </x:c>
      <x:c r="K774" s="26" t="n">
        <x:f>J774*(G774-H774)-I774*ROUNDUP(J774/F774,0)</x:f>
        <x:v>-348734.4269529999</x:v>
      </x:c>
      <x:c r="L774" s="10" t="str">
        <x:f>IF(G774-H774&lt;=0,"未回本",IF(ROUNDUP(I774/(G774-H774),0)&gt;MIN(F774,J774),"未回本",MAX(1,ROUNDUP(I774/(G774-H774),0))))</x:f>
        <x:v>未回本</x:v>
      </x:c>
    </x:row>
    <x:row r="775" ht="22" customHeight="1">
      <x:c r="A775" s="11" t="str">
        <x:v>lade_0825_10aoi</x:v>
      </x:c>
      <x:c r="B775" s="10" t="n">
        <x:v>10</x:v>
      </x:c>
      <x:c r="C775" s="10" t="n">
        <x:v>43</x:v>
      </x:c>
      <x:c r="D775" s="10" t="str">
        <x:v>M2 / M4</x:v>
      </x:c>
      <x:c r="E775" s="16" t="n">
        <x:v>2</x:v>
      </x:c>
      <x:c r="F775" s="14" t="n">
        <x:v>10</x:v>
      </x:c>
      <x:c r="G775" s="26" t="n">
        <x:f>'成本明细'!U118+'成本明细'!G118*(E775-'参数'!$B$6)</x:f>
        <x:v>1551.4312734355556</x:v>
      </x:c>
      <x:c r="H775" s="26" t="n">
        <x:f>'成本明细'!U124</x:f>
        <x:v>2286.4444585438882</x:v>
      </x:c>
      <x:c r="I775" s="26" t="n">
        <x:f>'成本明细'!V124</x:f>
        <x:v>4270.5</x:v>
      </x:c>
      <x:c r="J775" s="22" t="n">
        <x:f>'参数'!$B$9</x:f>
        <x:v>300</x:v>
      </x:c>
      <x:c r="K775" s="26" t="n">
        <x:f>J775*(G775-H775)-I775*ROUNDUP(J775/F775,0)</x:f>
        <x:v>-348618.9555324998</x:v>
      </x:c>
      <x:c r="L775" s="10" t="str">
        <x:f>IF(G775-H775&lt;=0,"未回本",IF(ROUNDUP(I775/(G775-H775),0)&gt;MIN(F775,J775),"未回本",MAX(1,ROUNDUP(I775/(G775-H775),0))))</x:f>
        <x:v>未回本</x:v>
      </x:c>
    </x:row>
    <x:row r="776" ht="22" customHeight="1">
      <x:c r="A776" s="11" t="str">
        <x:v>lade_0825_10aoi</x:v>
      </x:c>
      <x:c r="B776" s="10" t="n">
        <x:v>10</x:v>
      </x:c>
      <x:c r="C776" s="10" t="n">
        <x:v>43</x:v>
      </x:c>
      <x:c r="D776" s="10" t="str">
        <x:v>M1 / M3</x:v>
      </x:c>
      <x:c r="E776" s="16" t="n">
        <x:v>2</x:v>
      </x:c>
      <x:c r="F776" s="14" t="n">
        <x:v>20</x:v>
      </x:c>
      <x:c r="G776" s="26" t="n">
        <x:f>'成本明细'!U115+'成本明细'!G115*(E776-'参数'!$B$6)</x:f>
        <x:v>1551.4312734355556</x:v>
      </x:c>
      <x:c r="H776" s="26" t="n">
        <x:f>'成本明细'!U121</x:f>
        <x:v>2286.8293632788886</x:v>
      </x:c>
      <x:c r="I776" s="26" t="n">
        <x:f>'成本明细'!V121</x:f>
        <x:v>4270.5</x:v>
      </x:c>
      <x:c r="J776" s="22" t="n">
        <x:f>'参数'!$B$9</x:f>
        <x:v>300</x:v>
      </x:c>
      <x:c r="K776" s="26" t="n">
        <x:f>J776*(G776-H776)-I776*ROUNDUP(J776/F776,0)</x:f>
        <x:v>-284676.9269529999</x:v>
      </x:c>
      <x:c r="L776" s="10" t="str">
        <x:f>IF(G776-H776&lt;=0,"未回本",IF(ROUNDUP(I776/(G776-H776),0)&gt;MIN(F776,J776),"未回本",MAX(1,ROUNDUP(I776/(G776-H776),0))))</x:f>
        <x:v>未回本</x:v>
      </x:c>
    </x:row>
    <x:row r="777" ht="22" customHeight="1">
      <x:c r="A777" s="11" t="str">
        <x:v>lade_0825_10aoi</x:v>
      </x:c>
      <x:c r="B777" s="10" t="n">
        <x:v>10</x:v>
      </x:c>
      <x:c r="C777" s="10" t="n">
        <x:v>43</x:v>
      </x:c>
      <x:c r="D777" s="10" t="str">
        <x:v>M2 / M4</x:v>
      </x:c>
      <x:c r="E777" s="16" t="n">
        <x:v>2</x:v>
      </x:c>
      <x:c r="F777" s="14" t="n">
        <x:v>20</x:v>
      </x:c>
      <x:c r="G777" s="26" t="n">
        <x:f>'成本明细'!U118+'成本明细'!G118*(E777-'参数'!$B$6)</x:f>
        <x:v>1551.4312734355556</x:v>
      </x:c>
      <x:c r="H777" s="26" t="n">
        <x:f>'成本明细'!U124</x:f>
        <x:v>2286.4444585438882</x:v>
      </x:c>
      <x:c r="I777" s="26" t="n">
        <x:f>'成本明细'!V124</x:f>
        <x:v>4270.5</x:v>
      </x:c>
      <x:c r="J777" s="22" t="n">
        <x:f>'参数'!$B$9</x:f>
        <x:v>300</x:v>
      </x:c>
      <x:c r="K777" s="26" t="n">
        <x:f>J777*(G777-H777)-I777*ROUNDUP(J777/F777,0)</x:f>
        <x:v>-284561.4555324998</x:v>
      </x:c>
      <x:c r="L777" s="10" t="str">
        <x:f>IF(G777-H777&lt;=0,"未回本",IF(ROUNDUP(I777/(G777-H777),0)&gt;MIN(F777,J777),"未回本",MAX(1,ROUNDUP(I777/(G777-H777),0))))</x:f>
        <x:v>未回本</x:v>
      </x:c>
    </x:row>
    <x:row r="778" ht="22" customHeight="1">
      <x:c r="A778" s="11" t="str">
        <x:v>lade_0825_10aoi</x:v>
      </x:c>
      <x:c r="B778" s="10" t="n">
        <x:v>10</x:v>
      </x:c>
      <x:c r="C778" s="10" t="n">
        <x:v>43</x:v>
      </x:c>
      <x:c r="D778" s="10" t="str">
        <x:v>M1 / M3</x:v>
      </x:c>
      <x:c r="E778" s="16" t="n">
        <x:v>2</x:v>
      </x:c>
      <x:c r="F778" s="14" t="n">
        <x:v>30</x:v>
      </x:c>
      <x:c r="G778" s="26" t="n">
        <x:f>'成本明细'!U115+'成本明细'!G115*(E778-'参数'!$B$6)</x:f>
        <x:v>1551.4312734355556</x:v>
      </x:c>
      <x:c r="H778" s="26" t="n">
        <x:f>'成本明细'!U121</x:f>
        <x:v>2286.8293632788886</x:v>
      </x:c>
      <x:c r="I778" s="26" t="n">
        <x:f>'成本明细'!V121</x:f>
        <x:v>4270.5</x:v>
      </x:c>
      <x:c r="J778" s="22" t="n">
        <x:f>'参数'!$B$9</x:f>
        <x:v>300</x:v>
      </x:c>
      <x:c r="K778" s="26" t="n">
        <x:f>J778*(G778-H778)-I778*ROUNDUP(J778/F778,0)</x:f>
        <x:v>-263324.4269529999</x:v>
      </x:c>
      <x:c r="L778" s="10" t="str">
        <x:f>IF(G778-H778&lt;=0,"未回本",IF(ROUNDUP(I778/(G778-H778),0)&gt;MIN(F778,J778),"未回本",MAX(1,ROUNDUP(I778/(G778-H778),0))))</x:f>
        <x:v>未回本</x:v>
      </x:c>
    </x:row>
    <x:row r="779" ht="22" customHeight="1">
      <x:c r="A779" s="11" t="str">
        <x:v>lade_0825_10aoi</x:v>
      </x:c>
      <x:c r="B779" s="10" t="n">
        <x:v>10</x:v>
      </x:c>
      <x:c r="C779" s="10" t="n">
        <x:v>43</x:v>
      </x:c>
      <x:c r="D779" s="10" t="str">
        <x:v>M2 / M4</x:v>
      </x:c>
      <x:c r="E779" s="16" t="n">
        <x:v>2</x:v>
      </x:c>
      <x:c r="F779" s="14" t="n">
        <x:v>30</x:v>
      </x:c>
      <x:c r="G779" s="26" t="n">
        <x:f>'成本明细'!U118+'成本明细'!G118*(E779-'参数'!$B$6)</x:f>
        <x:v>1551.4312734355556</x:v>
      </x:c>
      <x:c r="H779" s="26" t="n">
        <x:f>'成本明细'!U124</x:f>
        <x:v>2286.4444585438882</x:v>
      </x:c>
      <x:c r="I779" s="26" t="n">
        <x:f>'成本明细'!V124</x:f>
        <x:v>4270.5</x:v>
      </x:c>
      <x:c r="J779" s="22" t="n">
        <x:f>'参数'!$B$9</x:f>
        <x:v>300</x:v>
      </x:c>
      <x:c r="K779" s="26" t="n">
        <x:f>J779*(G779-H779)-I779*ROUNDUP(J779/F779,0)</x:f>
        <x:v>-263208.9555324998</x:v>
      </x:c>
      <x:c r="L779" s="10" t="str">
        <x:f>IF(G779-H779&lt;=0,"未回本",IF(ROUNDUP(I779/(G779-H779),0)&gt;MIN(F779,J779),"未回本",MAX(1,ROUNDUP(I779/(G779-H779),0))))</x:f>
        <x:v>未回本</x:v>
      </x:c>
    </x:row>
    <x:row r="780" ht="22" customHeight="1">
      <x:c r="A780" s="11" t="str">
        <x:v>lade_0825_10aoi</x:v>
      </x:c>
      <x:c r="B780" s="10" t="n">
        <x:v>10</x:v>
      </x:c>
      <x:c r="C780" s="10" t="n">
        <x:v>43</x:v>
      </x:c>
      <x:c r="D780" s="10" t="str">
        <x:v>M1 / M3</x:v>
      </x:c>
      <x:c r="E780" s="16" t="n">
        <x:v>2</x:v>
      </x:c>
      <x:c r="F780" s="14" t="n">
        <x:v>50</x:v>
      </x:c>
      <x:c r="G780" s="26" t="n">
        <x:f>'成本明细'!U115+'成本明细'!G115*(E780-'参数'!$B$6)</x:f>
        <x:v>1551.4312734355556</x:v>
      </x:c>
      <x:c r="H780" s="26" t="n">
        <x:f>'成本明细'!U121</x:f>
        <x:v>2286.8293632788886</x:v>
      </x:c>
      <x:c r="I780" s="26" t="n">
        <x:f>'成本明细'!V121</x:f>
        <x:v>4270.5</x:v>
      </x:c>
      <x:c r="J780" s="22" t="n">
        <x:f>'参数'!$B$9</x:f>
        <x:v>300</x:v>
      </x:c>
      <x:c r="K780" s="26" t="n">
        <x:f>J780*(G780-H780)-I780*ROUNDUP(J780/F780,0)</x:f>
        <x:v>-246242.42695299993</x:v>
      </x:c>
      <x:c r="L780" s="10" t="str">
        <x:f>IF(G780-H780&lt;=0,"未回本",IF(ROUNDUP(I780/(G780-H780),0)&gt;MIN(F780,J780),"未回本",MAX(1,ROUNDUP(I780/(G780-H780),0))))</x:f>
        <x:v>未回本</x:v>
      </x:c>
    </x:row>
    <x:row r="781" ht="22" customHeight="1">
      <x:c r="A781" s="11" t="str">
        <x:v>lade_0825_10aoi</x:v>
      </x:c>
      <x:c r="B781" s="10" t="n">
        <x:v>10</x:v>
      </x:c>
      <x:c r="C781" s="10" t="n">
        <x:v>43</x:v>
      </x:c>
      <x:c r="D781" s="10" t="str">
        <x:v>M2 / M4</x:v>
      </x:c>
      <x:c r="E781" s="16" t="n">
        <x:v>2</x:v>
      </x:c>
      <x:c r="F781" s="14" t="n">
        <x:v>50</x:v>
      </x:c>
      <x:c r="G781" s="26" t="n">
        <x:f>'成本明细'!U118+'成本明细'!G118*(E781-'参数'!$B$6)</x:f>
        <x:v>1551.4312734355556</x:v>
      </x:c>
      <x:c r="H781" s="26" t="n">
        <x:f>'成本明细'!U124</x:f>
        <x:v>2286.4444585438882</x:v>
      </x:c>
      <x:c r="I781" s="26" t="n">
        <x:f>'成本明细'!V124</x:f>
        <x:v>4270.5</x:v>
      </x:c>
      <x:c r="J781" s="22" t="n">
        <x:f>'参数'!$B$9</x:f>
        <x:v>300</x:v>
      </x:c>
      <x:c r="K781" s="26" t="n">
        <x:f>J781*(G781-H781)-I781*ROUNDUP(J781/F781,0)</x:f>
        <x:v>-246126.9555324998</x:v>
      </x:c>
      <x:c r="L781" s="10" t="str">
        <x:f>IF(G781-H781&lt;=0,"未回本",IF(ROUNDUP(I781/(G781-H781),0)&gt;MIN(F781,J781),"未回本",MAX(1,ROUNDUP(I781/(G781-H781),0))))</x:f>
        <x:v>未回本</x:v>
      </x:c>
    </x:row>
    <x:row r="782" ht="22" customHeight="1">
      <x:c r="A782" s="11" t="str">
        <x:v>lade_0825_10aoi</x:v>
      </x:c>
      <x:c r="B782" s="10" t="n">
        <x:v>10</x:v>
      </x:c>
      <x:c r="C782" s="10" t="n">
        <x:v>43</x:v>
      </x:c>
      <x:c r="D782" s="10" t="str">
        <x:v>M1 / M3</x:v>
      </x:c>
      <x:c r="E782" s="16" t="n">
        <x:v>3</x:v>
      </x:c>
      <x:c r="F782" s="14" t="n">
        <x:v>10</x:v>
      </x:c>
      <x:c r="G782" s="26" t="n">
        <x:f>'成本明细'!U115+'成本明细'!G115*(E782-'参数'!$B$6)</x:f>
        <x:v>1668.4312734355556</x:v>
      </x:c>
      <x:c r="H782" s="26" t="n">
        <x:f>'成本明细'!U121</x:f>
        <x:v>2286.8293632788886</x:v>
      </x:c>
      <x:c r="I782" s="26" t="n">
        <x:f>'成本明细'!V121</x:f>
        <x:v>4270.5</x:v>
      </x:c>
      <x:c r="J782" s="22" t="n">
        <x:f>'参数'!$B$9</x:f>
        <x:v>300</x:v>
      </x:c>
      <x:c r="K782" s="26" t="n">
        <x:f>J782*(G782-H782)-I782*ROUNDUP(J782/F782,0)</x:f>
        <x:v>-313634.4269529999</x:v>
      </x:c>
      <x:c r="L782" s="10" t="str">
        <x:f>IF(G782-H782&lt;=0,"未回本",IF(ROUNDUP(I782/(G782-H782),0)&gt;MIN(F782,J782),"未回本",MAX(1,ROUNDUP(I782/(G782-H782),0))))</x:f>
        <x:v>未回本</x:v>
      </x:c>
    </x:row>
    <x:row r="783" ht="22" customHeight="1">
      <x:c r="A783" s="11" t="str">
        <x:v>lade_0825_10aoi</x:v>
      </x:c>
      <x:c r="B783" s="10" t="n">
        <x:v>10</x:v>
      </x:c>
      <x:c r="C783" s="10" t="n">
        <x:v>43</x:v>
      </x:c>
      <x:c r="D783" s="10" t="str">
        <x:v>M2 / M4</x:v>
      </x:c>
      <x:c r="E783" s="16" t="n">
        <x:v>3</x:v>
      </x:c>
      <x:c r="F783" s="14" t="n">
        <x:v>10</x:v>
      </x:c>
      <x:c r="G783" s="26" t="n">
        <x:f>'成本明细'!U118+'成本明细'!G118*(E783-'参数'!$B$6)</x:f>
        <x:v>1668.4312734355556</x:v>
      </x:c>
      <x:c r="H783" s="26" t="n">
        <x:f>'成本明细'!U124</x:f>
        <x:v>2286.4444585438882</x:v>
      </x:c>
      <x:c r="I783" s="26" t="n">
        <x:f>'成本明细'!V124</x:f>
        <x:v>4270.5</x:v>
      </x:c>
      <x:c r="J783" s="22" t="n">
        <x:f>'参数'!$B$9</x:f>
        <x:v>300</x:v>
      </x:c>
      <x:c r="K783" s="26" t="n">
        <x:f>J783*(G783-H783)-I783*ROUNDUP(J783/F783,0)</x:f>
        <x:v>-313518.9555324998</x:v>
      </x:c>
      <x:c r="L783" s="10" t="str">
        <x:f>IF(G783-H783&lt;=0,"未回本",IF(ROUNDUP(I783/(G783-H783),0)&gt;MIN(F783,J783),"未回本",MAX(1,ROUNDUP(I783/(G783-H783),0))))</x:f>
        <x:v>未回本</x:v>
      </x:c>
    </x:row>
    <x:row r="784" ht="22" customHeight="1">
      <x:c r="A784" s="11" t="str">
        <x:v>lade_0825_10aoi</x:v>
      </x:c>
      <x:c r="B784" s="10" t="n">
        <x:v>10</x:v>
      </x:c>
      <x:c r="C784" s="10" t="n">
        <x:v>43</x:v>
      </x:c>
      <x:c r="D784" s="10" t="str">
        <x:v>M1 / M3</x:v>
      </x:c>
      <x:c r="E784" s="16" t="n">
        <x:v>3</x:v>
      </x:c>
      <x:c r="F784" s="14" t="n">
        <x:v>20</x:v>
      </x:c>
      <x:c r="G784" s="26" t="n">
        <x:f>'成本明细'!U115+'成本明细'!G115*(E784-'参数'!$B$6)</x:f>
        <x:v>1668.4312734355556</x:v>
      </x:c>
      <x:c r="H784" s="26" t="n">
        <x:f>'成本明细'!U121</x:f>
        <x:v>2286.8293632788886</x:v>
      </x:c>
      <x:c r="I784" s="26" t="n">
        <x:f>'成本明细'!V121</x:f>
        <x:v>4270.5</x:v>
      </x:c>
      <x:c r="J784" s="22" t="n">
        <x:f>'参数'!$B$9</x:f>
        <x:v>300</x:v>
      </x:c>
      <x:c r="K784" s="26" t="n">
        <x:f>J784*(G784-H784)-I784*ROUNDUP(J784/F784,0)</x:f>
        <x:v>-249576.92695299993</x:v>
      </x:c>
      <x:c r="L784" s="10" t="str">
        <x:f>IF(G784-H784&lt;=0,"未回本",IF(ROUNDUP(I784/(G784-H784),0)&gt;MIN(F784,J784),"未回本",MAX(1,ROUNDUP(I784/(G784-H784),0))))</x:f>
        <x:v>未回本</x:v>
      </x:c>
    </x:row>
    <x:row r="785" ht="22" customHeight="1">
      <x:c r="A785" s="11" t="str">
        <x:v>lade_0825_10aoi</x:v>
      </x:c>
      <x:c r="B785" s="10" t="n">
        <x:v>10</x:v>
      </x:c>
      <x:c r="C785" s="10" t="n">
        <x:v>43</x:v>
      </x:c>
      <x:c r="D785" s="10" t="str">
        <x:v>M2 / M4</x:v>
      </x:c>
      <x:c r="E785" s="16" t="n">
        <x:v>3</x:v>
      </x:c>
      <x:c r="F785" s="14" t="n">
        <x:v>20</x:v>
      </x:c>
      <x:c r="G785" s="26" t="n">
        <x:f>'成本明细'!U118+'成本明细'!G118*(E785-'参数'!$B$6)</x:f>
        <x:v>1668.4312734355556</x:v>
      </x:c>
      <x:c r="H785" s="26" t="n">
        <x:f>'成本明细'!U124</x:f>
        <x:v>2286.4444585438882</x:v>
      </x:c>
      <x:c r="I785" s="26" t="n">
        <x:f>'成本明细'!V124</x:f>
        <x:v>4270.5</x:v>
      </x:c>
      <x:c r="J785" s="22" t="n">
        <x:f>'参数'!$B$9</x:f>
        <x:v>300</x:v>
      </x:c>
      <x:c r="K785" s="26" t="n">
        <x:f>J785*(G785-H785)-I785*ROUNDUP(J785/F785,0)</x:f>
        <x:v>-249461.4555324998</x:v>
      </x:c>
      <x:c r="L785" s="10" t="str">
        <x:f>IF(G785-H785&lt;=0,"未回本",IF(ROUNDUP(I785/(G785-H785),0)&gt;MIN(F785,J785),"未回本",MAX(1,ROUNDUP(I785/(G785-H785),0))))</x:f>
        <x:v>未回本</x:v>
      </x:c>
    </x:row>
    <x:row r="786" ht="22" customHeight="1">
      <x:c r="A786" s="11" t="str">
        <x:v>lade_0825_10aoi</x:v>
      </x:c>
      <x:c r="B786" s="10" t="n">
        <x:v>10</x:v>
      </x:c>
      <x:c r="C786" s="10" t="n">
        <x:v>43</x:v>
      </x:c>
      <x:c r="D786" s="10" t="str">
        <x:v>M1 / M3</x:v>
      </x:c>
      <x:c r="E786" s="16" t="n">
        <x:v>3</x:v>
      </x:c>
      <x:c r="F786" s="14" t="n">
        <x:v>30</x:v>
      </x:c>
      <x:c r="G786" s="26" t="n">
        <x:f>'成本明细'!U115+'成本明细'!G115*(E786-'参数'!$B$6)</x:f>
        <x:v>1668.4312734355556</x:v>
      </x:c>
      <x:c r="H786" s="26" t="n">
        <x:f>'成本明细'!U121</x:f>
        <x:v>2286.8293632788886</x:v>
      </x:c>
      <x:c r="I786" s="26" t="n">
        <x:f>'成本明细'!V121</x:f>
        <x:v>4270.5</x:v>
      </x:c>
      <x:c r="J786" s="22" t="n">
        <x:f>'参数'!$B$9</x:f>
        <x:v>300</x:v>
      </x:c>
      <x:c r="K786" s="26" t="n">
        <x:f>J786*(G786-H786)-I786*ROUNDUP(J786/F786,0)</x:f>
        <x:v>-228224.42695299993</x:v>
      </x:c>
      <x:c r="L786" s="10" t="str">
        <x:f>IF(G786-H786&lt;=0,"未回本",IF(ROUNDUP(I786/(G786-H786),0)&gt;MIN(F786,J786),"未回本",MAX(1,ROUNDUP(I786/(G786-H786),0))))</x:f>
        <x:v>未回本</x:v>
      </x:c>
    </x:row>
    <x:row r="787" ht="22" customHeight="1">
      <x:c r="A787" s="11" t="str">
        <x:v>lade_0825_10aoi</x:v>
      </x:c>
      <x:c r="B787" s="10" t="n">
        <x:v>10</x:v>
      </x:c>
      <x:c r="C787" s="10" t="n">
        <x:v>43</x:v>
      </x:c>
      <x:c r="D787" s="10" t="str">
        <x:v>M2 / M4</x:v>
      </x:c>
      <x:c r="E787" s="16" t="n">
        <x:v>3</x:v>
      </x:c>
      <x:c r="F787" s="14" t="n">
        <x:v>30</x:v>
      </x:c>
      <x:c r="G787" s="26" t="n">
        <x:f>'成本明细'!U118+'成本明细'!G118*(E787-'参数'!$B$6)</x:f>
        <x:v>1668.4312734355556</x:v>
      </x:c>
      <x:c r="H787" s="26" t="n">
        <x:f>'成本明细'!U124</x:f>
        <x:v>2286.4444585438882</x:v>
      </x:c>
      <x:c r="I787" s="26" t="n">
        <x:f>'成本明细'!V124</x:f>
        <x:v>4270.5</x:v>
      </x:c>
      <x:c r="J787" s="22" t="n">
        <x:f>'参数'!$B$9</x:f>
        <x:v>300</x:v>
      </x:c>
      <x:c r="K787" s="26" t="n">
        <x:f>J787*(G787-H787)-I787*ROUNDUP(J787/F787,0)</x:f>
        <x:v>-228108.9555324998</x:v>
      </x:c>
      <x:c r="L787" s="10" t="str">
        <x:f>IF(G787-H787&lt;=0,"未回本",IF(ROUNDUP(I787/(G787-H787),0)&gt;MIN(F787,J787),"未回本",MAX(1,ROUNDUP(I787/(G787-H787),0))))</x:f>
        <x:v>未回本</x:v>
      </x:c>
    </x:row>
    <x:row r="788" ht="22" customHeight="1">
      <x:c r="A788" s="11" t="str">
        <x:v>lade_0825_10aoi</x:v>
      </x:c>
      <x:c r="B788" s="10" t="n">
        <x:v>10</x:v>
      </x:c>
      <x:c r="C788" s="10" t="n">
        <x:v>43</x:v>
      </x:c>
      <x:c r="D788" s="10" t="str">
        <x:v>M1 / M3</x:v>
      </x:c>
      <x:c r="E788" s="16" t="n">
        <x:v>3</x:v>
      </x:c>
      <x:c r="F788" s="14" t="n">
        <x:v>50</x:v>
      </x:c>
      <x:c r="G788" s="26" t="n">
        <x:f>'成本明细'!U115+'成本明细'!G115*(E788-'参数'!$B$6)</x:f>
        <x:v>1668.4312734355556</x:v>
      </x:c>
      <x:c r="H788" s="26" t="n">
        <x:f>'成本明细'!U121</x:f>
        <x:v>2286.8293632788886</x:v>
      </x:c>
      <x:c r="I788" s="26" t="n">
        <x:f>'成本明细'!V121</x:f>
        <x:v>4270.5</x:v>
      </x:c>
      <x:c r="J788" s="22" t="n">
        <x:f>'参数'!$B$9</x:f>
        <x:v>300</x:v>
      </x:c>
      <x:c r="K788" s="26" t="n">
        <x:f>J788*(G788-H788)-I788*ROUNDUP(J788/F788,0)</x:f>
        <x:v>-211142.42695299993</x:v>
      </x:c>
      <x:c r="L788" s="10" t="str">
        <x:f>IF(G788-H788&lt;=0,"未回本",IF(ROUNDUP(I788/(G788-H788),0)&gt;MIN(F788,J788),"未回本",MAX(1,ROUNDUP(I788/(G788-H788),0))))</x:f>
        <x:v>未回本</x:v>
      </x:c>
    </x:row>
    <x:row r="789" ht="22" customHeight="1">
      <x:c r="A789" s="11" t="str">
        <x:v>lade_0825_10aoi</x:v>
      </x:c>
      <x:c r="B789" s="10" t="n">
        <x:v>10</x:v>
      </x:c>
      <x:c r="C789" s="10" t="n">
        <x:v>43</x:v>
      </x:c>
      <x:c r="D789" s="10" t="str">
        <x:v>M2 / M4</x:v>
      </x:c>
      <x:c r="E789" s="16" t="n">
        <x:v>3</x:v>
      </x:c>
      <x:c r="F789" s="14" t="n">
        <x:v>50</x:v>
      </x:c>
      <x:c r="G789" s="26" t="n">
        <x:f>'成本明细'!U118+'成本明细'!G118*(E789-'参数'!$B$6)</x:f>
        <x:v>1668.4312734355556</x:v>
      </x:c>
      <x:c r="H789" s="26" t="n">
        <x:f>'成本明细'!U124</x:f>
        <x:v>2286.4444585438882</x:v>
      </x:c>
      <x:c r="I789" s="26" t="n">
        <x:f>'成本明细'!V124</x:f>
        <x:v>4270.5</x:v>
      </x:c>
      <x:c r="J789" s="22" t="n">
        <x:f>'参数'!$B$9</x:f>
        <x:v>300</x:v>
      </x:c>
      <x:c r="K789" s="26" t="n">
        <x:f>J789*(G789-H789)-I789*ROUNDUP(J789/F789,0)</x:f>
        <x:v>-211026.9555324998</x:v>
      </x:c>
      <x:c r="L789" s="10" t="str">
        <x:f>IF(G789-H789&lt;=0,"未回本",IF(ROUNDUP(I789/(G789-H789),0)&gt;MIN(F789,J789),"未回本",MAX(1,ROUNDUP(I789/(G789-H789),0))))</x:f>
        <x:v>未回本</x:v>
      </x:c>
    </x:row>
    <x:row r="790" ht="22" customHeight="1">
      <x:c r="A790" s="11" t="str">
        <x:v>lade_0825_10aoi</x:v>
      </x:c>
      <x:c r="B790" s="10" t="n">
        <x:v>10</x:v>
      </x:c>
      <x:c r="C790" s="10" t="n">
        <x:v>43</x:v>
      </x:c>
      <x:c r="D790" s="10" t="str">
        <x:v>M1 / M3</x:v>
      </x:c>
      <x:c r="E790" s="16" t="n">
        <x:v>4</x:v>
      </x:c>
      <x:c r="F790" s="14" t="n">
        <x:v>10</x:v>
      </x:c>
      <x:c r="G790" s="26" t="n">
        <x:f>'成本明细'!U115+'成本明细'!G115*(E790-'参数'!$B$6)</x:f>
        <x:v>1785.4312734355556</x:v>
      </x:c>
      <x:c r="H790" s="26" t="n">
        <x:f>'成本明细'!U121</x:f>
        <x:v>2286.8293632788886</x:v>
      </x:c>
      <x:c r="I790" s="26" t="n">
        <x:f>'成本明细'!V121</x:f>
        <x:v>4270.5</x:v>
      </x:c>
      <x:c r="J790" s="22" t="n">
        <x:f>'参数'!$B$9</x:f>
        <x:v>300</x:v>
      </x:c>
      <x:c r="K790" s="26" t="n">
        <x:f>J790*(G790-H790)-I790*ROUNDUP(J790/F790,0)</x:f>
        <x:v>-278534.4269529999</x:v>
      </x:c>
      <x:c r="L790" s="10" t="str">
        <x:f>IF(G790-H790&lt;=0,"未回本",IF(ROUNDUP(I790/(G790-H790),0)&gt;MIN(F790,J790),"未回本",MAX(1,ROUNDUP(I790/(G790-H790),0))))</x:f>
        <x:v>未回本</x:v>
      </x:c>
    </x:row>
    <x:row r="791" ht="22" customHeight="1">
      <x:c r="A791" s="11" t="str">
        <x:v>lade_0825_10aoi</x:v>
      </x:c>
      <x:c r="B791" s="10" t="n">
        <x:v>10</x:v>
      </x:c>
      <x:c r="C791" s="10" t="n">
        <x:v>43</x:v>
      </x:c>
      <x:c r="D791" s="10" t="str">
        <x:v>M2 / M4</x:v>
      </x:c>
      <x:c r="E791" s="16" t="n">
        <x:v>4</x:v>
      </x:c>
      <x:c r="F791" s="14" t="n">
        <x:v>10</x:v>
      </x:c>
      <x:c r="G791" s="26" t="n">
        <x:f>'成本明细'!U118+'成本明细'!G118*(E791-'参数'!$B$6)</x:f>
        <x:v>1785.4312734355556</x:v>
      </x:c>
      <x:c r="H791" s="26" t="n">
        <x:f>'成本明细'!U124</x:f>
        <x:v>2286.4444585438882</x:v>
      </x:c>
      <x:c r="I791" s="26" t="n">
        <x:f>'成本明细'!V124</x:f>
        <x:v>4270.5</x:v>
      </x:c>
      <x:c r="J791" s="22" t="n">
        <x:f>'参数'!$B$9</x:f>
        <x:v>300</x:v>
      </x:c>
      <x:c r="K791" s="26" t="n">
        <x:f>J791*(G791-H791)-I791*ROUNDUP(J791/F791,0)</x:f>
        <x:v>-278418.9555324998</x:v>
      </x:c>
      <x:c r="L791" s="10" t="str">
        <x:f>IF(G791-H791&lt;=0,"未回本",IF(ROUNDUP(I791/(G791-H791),0)&gt;MIN(F791,J791),"未回本",MAX(1,ROUNDUP(I791/(G791-H791),0))))</x:f>
        <x:v>未回本</x:v>
      </x:c>
    </x:row>
    <x:row r="792" ht="22" customHeight="1">
      <x:c r="A792" s="11" t="str">
        <x:v>lade_0825_10aoi</x:v>
      </x:c>
      <x:c r="B792" s="10" t="n">
        <x:v>10</x:v>
      </x:c>
      <x:c r="C792" s="10" t="n">
        <x:v>43</x:v>
      </x:c>
      <x:c r="D792" s="10" t="str">
        <x:v>M1 / M3</x:v>
      </x:c>
      <x:c r="E792" s="16" t="n">
        <x:v>4</x:v>
      </x:c>
      <x:c r="F792" s="14" t="n">
        <x:v>20</x:v>
      </x:c>
      <x:c r="G792" s="26" t="n">
        <x:f>'成本明细'!U115+'成本明细'!G115*(E792-'参数'!$B$6)</x:f>
        <x:v>1785.4312734355556</x:v>
      </x:c>
      <x:c r="H792" s="26" t="n">
        <x:f>'成本明细'!U121</x:f>
        <x:v>2286.8293632788886</x:v>
      </x:c>
      <x:c r="I792" s="26" t="n">
        <x:f>'成本明细'!V121</x:f>
        <x:v>4270.5</x:v>
      </x:c>
      <x:c r="J792" s="22" t="n">
        <x:f>'参数'!$B$9</x:f>
        <x:v>300</x:v>
      </x:c>
      <x:c r="K792" s="26" t="n">
        <x:f>J792*(G792-H792)-I792*ROUNDUP(J792/F792,0)</x:f>
        <x:v>-214476.92695299993</x:v>
      </x:c>
      <x:c r="L792" s="10" t="str">
        <x:f>IF(G792-H792&lt;=0,"未回本",IF(ROUNDUP(I792/(G792-H792),0)&gt;MIN(F792,J792),"未回本",MAX(1,ROUNDUP(I792/(G792-H792),0))))</x:f>
        <x:v>未回本</x:v>
      </x:c>
    </x:row>
    <x:row r="793" ht="22" customHeight="1">
      <x:c r="A793" s="11" t="str">
        <x:v>lade_0825_10aoi</x:v>
      </x:c>
      <x:c r="B793" s="10" t="n">
        <x:v>10</x:v>
      </x:c>
      <x:c r="C793" s="10" t="n">
        <x:v>43</x:v>
      </x:c>
      <x:c r="D793" s="10" t="str">
        <x:v>M2 / M4</x:v>
      </x:c>
      <x:c r="E793" s="16" t="n">
        <x:v>4</x:v>
      </x:c>
      <x:c r="F793" s="14" t="n">
        <x:v>20</x:v>
      </x:c>
      <x:c r="G793" s="26" t="n">
        <x:f>'成本明细'!U118+'成本明细'!G118*(E793-'参数'!$B$6)</x:f>
        <x:v>1785.4312734355556</x:v>
      </x:c>
      <x:c r="H793" s="26" t="n">
        <x:f>'成本明细'!U124</x:f>
        <x:v>2286.4444585438882</x:v>
      </x:c>
      <x:c r="I793" s="26" t="n">
        <x:f>'成本明细'!V124</x:f>
        <x:v>4270.5</x:v>
      </x:c>
      <x:c r="J793" s="22" t="n">
        <x:f>'参数'!$B$9</x:f>
        <x:v>300</x:v>
      </x:c>
      <x:c r="K793" s="26" t="n">
        <x:f>J793*(G793-H793)-I793*ROUNDUP(J793/F793,0)</x:f>
        <x:v>-214361.4555324998</x:v>
      </x:c>
      <x:c r="L793" s="10" t="str">
        <x:f>IF(G793-H793&lt;=0,"未回本",IF(ROUNDUP(I793/(G793-H793),0)&gt;MIN(F793,J793),"未回本",MAX(1,ROUNDUP(I793/(G793-H793),0))))</x:f>
        <x:v>未回本</x:v>
      </x:c>
    </x:row>
    <x:row r="794" ht="22" customHeight="1">
      <x:c r="A794" s="11" t="str">
        <x:v>lade_0825_10aoi</x:v>
      </x:c>
      <x:c r="B794" s="10" t="n">
        <x:v>10</x:v>
      </x:c>
      <x:c r="C794" s="10" t="n">
        <x:v>43</x:v>
      </x:c>
      <x:c r="D794" s="10" t="str">
        <x:v>M1 / M3</x:v>
      </x:c>
      <x:c r="E794" s="16" t="n">
        <x:v>4</x:v>
      </x:c>
      <x:c r="F794" s="14" t="n">
        <x:v>30</x:v>
      </x:c>
      <x:c r="G794" s="26" t="n">
        <x:f>'成本明细'!U115+'成本明细'!G115*(E794-'参数'!$B$6)</x:f>
        <x:v>1785.4312734355556</x:v>
      </x:c>
      <x:c r="H794" s="26" t="n">
        <x:f>'成本明细'!U121</x:f>
        <x:v>2286.8293632788886</x:v>
      </x:c>
      <x:c r="I794" s="26" t="n">
        <x:f>'成本明细'!V121</x:f>
        <x:v>4270.5</x:v>
      </x:c>
      <x:c r="J794" s="22" t="n">
        <x:f>'参数'!$B$9</x:f>
        <x:v>300</x:v>
      </x:c>
      <x:c r="K794" s="26" t="n">
        <x:f>J794*(G794-H794)-I794*ROUNDUP(J794/F794,0)</x:f>
        <x:v>-193124.42695299993</x:v>
      </x:c>
      <x:c r="L794" s="10" t="str">
        <x:f>IF(G794-H794&lt;=0,"未回本",IF(ROUNDUP(I794/(G794-H794),0)&gt;MIN(F794,J794),"未回本",MAX(1,ROUNDUP(I794/(G794-H794),0))))</x:f>
        <x:v>未回本</x:v>
      </x:c>
    </x:row>
    <x:row r="795" ht="22" customHeight="1">
      <x:c r="A795" s="11" t="str">
        <x:v>lade_0825_10aoi</x:v>
      </x:c>
      <x:c r="B795" s="10" t="n">
        <x:v>10</x:v>
      </x:c>
      <x:c r="C795" s="10" t="n">
        <x:v>43</x:v>
      </x:c>
      <x:c r="D795" s="10" t="str">
        <x:v>M2 / M4</x:v>
      </x:c>
      <x:c r="E795" s="16" t="n">
        <x:v>4</x:v>
      </x:c>
      <x:c r="F795" s="14" t="n">
        <x:v>30</x:v>
      </x:c>
      <x:c r="G795" s="26" t="n">
        <x:f>'成本明细'!U118+'成本明细'!G118*(E795-'参数'!$B$6)</x:f>
        <x:v>1785.4312734355556</x:v>
      </x:c>
      <x:c r="H795" s="26" t="n">
        <x:f>'成本明细'!U124</x:f>
        <x:v>2286.4444585438882</x:v>
      </x:c>
      <x:c r="I795" s="26" t="n">
        <x:f>'成本明细'!V124</x:f>
        <x:v>4270.5</x:v>
      </x:c>
      <x:c r="J795" s="22" t="n">
        <x:f>'参数'!$B$9</x:f>
        <x:v>300</x:v>
      </x:c>
      <x:c r="K795" s="26" t="n">
        <x:f>J795*(G795-H795)-I795*ROUNDUP(J795/F795,0)</x:f>
        <x:v>-193008.9555324998</x:v>
      </x:c>
      <x:c r="L795" s="10" t="str">
        <x:f>IF(G795-H795&lt;=0,"未回本",IF(ROUNDUP(I795/(G795-H795),0)&gt;MIN(F795,J795),"未回本",MAX(1,ROUNDUP(I795/(G795-H795),0))))</x:f>
        <x:v>未回本</x:v>
      </x:c>
    </x:row>
    <x:row r="796" ht="22" customHeight="1">
      <x:c r="A796" s="11" t="str">
        <x:v>lade_0825_10aoi</x:v>
      </x:c>
      <x:c r="B796" s="10" t="n">
        <x:v>10</x:v>
      </x:c>
      <x:c r="C796" s="10" t="n">
        <x:v>43</x:v>
      </x:c>
      <x:c r="D796" s="10" t="str">
        <x:v>M1 / M3</x:v>
      </x:c>
      <x:c r="E796" s="16" t="n">
        <x:v>4</x:v>
      </x:c>
      <x:c r="F796" s="14" t="n">
        <x:v>50</x:v>
      </x:c>
      <x:c r="G796" s="26" t="n">
        <x:f>'成本明细'!U115+'成本明细'!G115*(E796-'参数'!$B$6)</x:f>
        <x:v>1785.4312734355556</x:v>
      </x:c>
      <x:c r="H796" s="26" t="n">
        <x:f>'成本明细'!U121</x:f>
        <x:v>2286.8293632788886</x:v>
      </x:c>
      <x:c r="I796" s="26" t="n">
        <x:f>'成本明细'!V121</x:f>
        <x:v>4270.5</x:v>
      </x:c>
      <x:c r="J796" s="22" t="n">
        <x:f>'参数'!$B$9</x:f>
        <x:v>300</x:v>
      </x:c>
      <x:c r="K796" s="26" t="n">
        <x:f>J796*(G796-H796)-I796*ROUNDUP(J796/F796,0)</x:f>
        <x:v>-176042.42695299993</x:v>
      </x:c>
      <x:c r="L796" s="10" t="str">
        <x:f>IF(G796-H796&lt;=0,"未回本",IF(ROUNDUP(I796/(G796-H796),0)&gt;MIN(F796,J796),"未回本",MAX(1,ROUNDUP(I796/(G796-H796),0))))</x:f>
        <x:v>未回本</x:v>
      </x:c>
    </x:row>
    <x:row r="797" ht="22" customHeight="1">
      <x:c r="A797" s="11" t="str">
        <x:v>lade_0825_10aoi</x:v>
      </x:c>
      <x:c r="B797" s="10" t="n">
        <x:v>10</x:v>
      </x:c>
      <x:c r="C797" s="10" t="n">
        <x:v>43</x:v>
      </x:c>
      <x:c r="D797" s="10" t="str">
        <x:v>M2 / M4</x:v>
      </x:c>
      <x:c r="E797" s="16" t="n">
        <x:v>4</x:v>
      </x:c>
      <x:c r="F797" s="14" t="n">
        <x:v>50</x:v>
      </x:c>
      <x:c r="G797" s="26" t="n">
        <x:f>'成本明细'!U118+'成本明细'!G118*(E797-'参数'!$B$6)</x:f>
        <x:v>1785.4312734355556</x:v>
      </x:c>
      <x:c r="H797" s="26" t="n">
        <x:f>'成本明细'!U124</x:f>
        <x:v>2286.4444585438882</x:v>
      </x:c>
      <x:c r="I797" s="26" t="n">
        <x:f>'成本明细'!V124</x:f>
        <x:v>4270.5</x:v>
      </x:c>
      <x:c r="J797" s="22" t="n">
        <x:f>'参数'!$B$9</x:f>
        <x:v>300</x:v>
      </x:c>
      <x:c r="K797" s="26" t="n">
        <x:f>J797*(G797-H797)-I797*ROUNDUP(J797/F797,0)</x:f>
        <x:v>-175926.9555324998</x:v>
      </x:c>
      <x:c r="L797" s="10" t="str">
        <x:f>IF(G797-H797&lt;=0,"未回本",IF(ROUNDUP(I797/(G797-H797),0)&gt;MIN(F797,J797),"未回本",MAX(1,ROUNDUP(I797/(G797-H797),0))))</x:f>
        <x:v>未回本</x:v>
      </x:c>
    </x:row>
    <x:row r="798" ht="22" customHeight="1">
      <x:c r="A798" s="11" t="str">
        <x:v>lade_0825_10aoi</x:v>
      </x:c>
      <x:c r="B798" s="10" t="n">
        <x:v>10</x:v>
      </x:c>
      <x:c r="C798" s="10" t="n">
        <x:v>43</x:v>
      </x:c>
      <x:c r="D798" s="10" t="str">
        <x:v>M1 / M3</x:v>
      </x:c>
      <x:c r="E798" s="16" t="n">
        <x:v>5</x:v>
      </x:c>
      <x:c r="F798" s="14" t="n">
        <x:v>10</x:v>
      </x:c>
      <x:c r="G798" s="26" t="n">
        <x:f>'成本明细'!U115+'成本明细'!G115*(E798-'参数'!$B$6)</x:f>
        <x:v>1902.4312734355556</x:v>
      </x:c>
      <x:c r="H798" s="26" t="n">
        <x:f>'成本明细'!U121</x:f>
        <x:v>2286.8293632788886</x:v>
      </x:c>
      <x:c r="I798" s="26" t="n">
        <x:f>'成本明细'!V121</x:f>
        <x:v>4270.5</x:v>
      </x:c>
      <x:c r="J798" s="22" t="n">
        <x:f>'参数'!$B$9</x:f>
        <x:v>300</x:v>
      </x:c>
      <x:c r="K798" s="26" t="n">
        <x:f>J798*(G798-H798)-I798*ROUNDUP(J798/F798,0)</x:f>
        <x:v>-243434.42695299993</x:v>
      </x:c>
      <x:c r="L798" s="10" t="str">
        <x:f>IF(G798-H798&lt;=0,"未回本",IF(ROUNDUP(I798/(G798-H798),0)&gt;MIN(F798,J798),"未回本",MAX(1,ROUNDUP(I798/(G798-H798),0))))</x:f>
        <x:v>未回本</x:v>
      </x:c>
    </x:row>
    <x:row r="799" ht="22" customHeight="1">
      <x:c r="A799" s="11" t="str">
        <x:v>lade_0825_10aoi</x:v>
      </x:c>
      <x:c r="B799" s="10" t="n">
        <x:v>10</x:v>
      </x:c>
      <x:c r="C799" s="10" t="n">
        <x:v>43</x:v>
      </x:c>
      <x:c r="D799" s="10" t="str">
        <x:v>M2 / M4</x:v>
      </x:c>
      <x:c r="E799" s="16" t="n">
        <x:v>5</x:v>
      </x:c>
      <x:c r="F799" s="14" t="n">
        <x:v>10</x:v>
      </x:c>
      <x:c r="G799" s="26" t="n">
        <x:f>'成本明细'!U118+'成本明细'!G118*(E799-'参数'!$B$6)</x:f>
        <x:v>1902.4312734355556</x:v>
      </x:c>
      <x:c r="H799" s="26" t="n">
        <x:f>'成本明细'!U124</x:f>
        <x:v>2286.4444585438882</x:v>
      </x:c>
      <x:c r="I799" s="26" t="n">
        <x:f>'成本明细'!V124</x:f>
        <x:v>4270.5</x:v>
      </x:c>
      <x:c r="J799" s="22" t="n">
        <x:f>'参数'!$B$9</x:f>
        <x:v>300</x:v>
      </x:c>
      <x:c r="K799" s="26" t="n">
        <x:f>J799*(G799-H799)-I799*ROUNDUP(J799/F799,0)</x:f>
        <x:v>-243318.9555324998</x:v>
      </x:c>
      <x:c r="L799" s="10" t="str">
        <x:f>IF(G799-H799&lt;=0,"未回本",IF(ROUNDUP(I799/(G799-H799),0)&gt;MIN(F799,J799),"未回本",MAX(1,ROUNDUP(I799/(G799-H799),0))))</x:f>
        <x:v>未回本</x:v>
      </x:c>
    </x:row>
    <x:row r="800" ht="22" customHeight="1">
      <x:c r="A800" s="11" t="str">
        <x:v>lade_0825_10aoi</x:v>
      </x:c>
      <x:c r="B800" s="10" t="n">
        <x:v>10</x:v>
      </x:c>
      <x:c r="C800" s="10" t="n">
        <x:v>43</x:v>
      </x:c>
      <x:c r="D800" s="10" t="str">
        <x:v>M1 / M3</x:v>
      </x:c>
      <x:c r="E800" s="16" t="n">
        <x:v>5</x:v>
      </x:c>
      <x:c r="F800" s="14" t="n">
        <x:v>20</x:v>
      </x:c>
      <x:c r="G800" s="26" t="n">
        <x:f>'成本明细'!U115+'成本明细'!G115*(E800-'参数'!$B$6)</x:f>
        <x:v>1902.4312734355556</x:v>
      </x:c>
      <x:c r="H800" s="26" t="n">
        <x:f>'成本明细'!U121</x:f>
        <x:v>2286.8293632788886</x:v>
      </x:c>
      <x:c r="I800" s="26" t="n">
        <x:f>'成本明细'!V121</x:f>
        <x:v>4270.5</x:v>
      </x:c>
      <x:c r="J800" s="22" t="n">
        <x:f>'参数'!$B$9</x:f>
        <x:v>300</x:v>
      </x:c>
      <x:c r="K800" s="26" t="n">
        <x:f>J800*(G800-H800)-I800*ROUNDUP(J800/F800,0)</x:f>
        <x:v>-179376.92695299993</x:v>
      </x:c>
      <x:c r="L800" s="10" t="str">
        <x:f>IF(G800-H800&lt;=0,"未回本",IF(ROUNDUP(I800/(G800-H800),0)&gt;MIN(F800,J800),"未回本",MAX(1,ROUNDUP(I800/(G800-H800),0))))</x:f>
        <x:v>未回本</x:v>
      </x:c>
    </x:row>
    <x:row r="801" ht="22" customHeight="1">
      <x:c r="A801" s="11" t="str">
        <x:v>lade_0825_10aoi</x:v>
      </x:c>
      <x:c r="B801" s="10" t="n">
        <x:v>10</x:v>
      </x:c>
      <x:c r="C801" s="10" t="n">
        <x:v>43</x:v>
      </x:c>
      <x:c r="D801" s="10" t="str">
        <x:v>M2 / M4</x:v>
      </x:c>
      <x:c r="E801" s="16" t="n">
        <x:v>5</x:v>
      </x:c>
      <x:c r="F801" s="14" t="n">
        <x:v>20</x:v>
      </x:c>
      <x:c r="G801" s="26" t="n">
        <x:f>'成本明细'!U118+'成本明细'!G118*(E801-'参数'!$B$6)</x:f>
        <x:v>1902.4312734355556</x:v>
      </x:c>
      <x:c r="H801" s="26" t="n">
        <x:f>'成本明细'!U124</x:f>
        <x:v>2286.4444585438882</x:v>
      </x:c>
      <x:c r="I801" s="26" t="n">
        <x:f>'成本明细'!V124</x:f>
        <x:v>4270.5</x:v>
      </x:c>
      <x:c r="J801" s="22" t="n">
        <x:f>'参数'!$B$9</x:f>
        <x:v>300</x:v>
      </x:c>
      <x:c r="K801" s="26" t="n">
        <x:f>J801*(G801-H801)-I801*ROUNDUP(J801/F801,0)</x:f>
        <x:v>-179261.4555324998</x:v>
      </x:c>
      <x:c r="L801" s="10" t="str">
        <x:f>IF(G801-H801&lt;=0,"未回本",IF(ROUNDUP(I801/(G801-H801),0)&gt;MIN(F801,J801),"未回本",MAX(1,ROUNDUP(I801/(G801-H801),0))))</x:f>
        <x:v>未回本</x:v>
      </x:c>
    </x:row>
    <x:row r="802" ht="22" customHeight="1">
      <x:c r="A802" s="11" t="str">
        <x:v>lade_0825_10aoi</x:v>
      </x:c>
      <x:c r="B802" s="10" t="n">
        <x:v>10</x:v>
      </x:c>
      <x:c r="C802" s="10" t="n">
        <x:v>43</x:v>
      </x:c>
      <x:c r="D802" s="10" t="str">
        <x:v>M1 / M3</x:v>
      </x:c>
      <x:c r="E802" s="16" t="n">
        <x:v>5</x:v>
      </x:c>
      <x:c r="F802" s="14" t="n">
        <x:v>30</x:v>
      </x:c>
      <x:c r="G802" s="26" t="n">
        <x:f>'成本明细'!U115+'成本明细'!G115*(E802-'参数'!$B$6)</x:f>
        <x:v>1902.4312734355556</x:v>
      </x:c>
      <x:c r="H802" s="26" t="n">
        <x:f>'成本明细'!U121</x:f>
        <x:v>2286.8293632788886</x:v>
      </x:c>
      <x:c r="I802" s="26" t="n">
        <x:f>'成本明细'!V121</x:f>
        <x:v>4270.5</x:v>
      </x:c>
      <x:c r="J802" s="22" t="n">
        <x:f>'参数'!$B$9</x:f>
        <x:v>300</x:v>
      </x:c>
      <x:c r="K802" s="26" t="n">
        <x:f>J802*(G802-H802)-I802*ROUNDUP(J802/F802,0)</x:f>
        <x:v>-158024.42695299993</x:v>
      </x:c>
      <x:c r="L802" s="10" t="str">
        <x:f>IF(G802-H802&lt;=0,"未回本",IF(ROUNDUP(I802/(G802-H802),0)&gt;MIN(F802,J802),"未回本",MAX(1,ROUNDUP(I802/(G802-H802),0))))</x:f>
        <x:v>未回本</x:v>
      </x:c>
    </x:row>
    <x:row r="803" ht="22" customHeight="1">
      <x:c r="A803" s="11" t="str">
        <x:v>lade_0825_10aoi</x:v>
      </x:c>
      <x:c r="B803" s="10" t="n">
        <x:v>10</x:v>
      </x:c>
      <x:c r="C803" s="10" t="n">
        <x:v>43</x:v>
      </x:c>
      <x:c r="D803" s="10" t="str">
        <x:v>M2 / M4</x:v>
      </x:c>
      <x:c r="E803" s="16" t="n">
        <x:v>5</x:v>
      </x:c>
      <x:c r="F803" s="14" t="n">
        <x:v>30</x:v>
      </x:c>
      <x:c r="G803" s="26" t="n">
        <x:f>'成本明细'!U118+'成本明细'!G118*(E803-'参数'!$B$6)</x:f>
        <x:v>1902.4312734355556</x:v>
      </x:c>
      <x:c r="H803" s="26" t="n">
        <x:f>'成本明细'!U124</x:f>
        <x:v>2286.4444585438882</x:v>
      </x:c>
      <x:c r="I803" s="26" t="n">
        <x:f>'成本明细'!V124</x:f>
        <x:v>4270.5</x:v>
      </x:c>
      <x:c r="J803" s="22" t="n">
        <x:f>'参数'!$B$9</x:f>
        <x:v>300</x:v>
      </x:c>
      <x:c r="K803" s="26" t="n">
        <x:f>J803*(G803-H803)-I803*ROUNDUP(J803/F803,0)</x:f>
        <x:v>-157908.9555324998</x:v>
      </x:c>
      <x:c r="L803" s="10" t="str">
        <x:f>IF(G803-H803&lt;=0,"未回本",IF(ROUNDUP(I803/(G803-H803),0)&gt;MIN(F803,J803),"未回本",MAX(1,ROUNDUP(I803/(G803-H803),0))))</x:f>
        <x:v>未回本</x:v>
      </x:c>
    </x:row>
    <x:row r="804" ht="22" customHeight="1">
      <x:c r="A804" s="11" t="str">
        <x:v>lade_0825_10aoi</x:v>
      </x:c>
      <x:c r="B804" s="10" t="n">
        <x:v>10</x:v>
      </x:c>
      <x:c r="C804" s="10" t="n">
        <x:v>43</x:v>
      </x:c>
      <x:c r="D804" s="10" t="str">
        <x:v>M1 / M3</x:v>
      </x:c>
      <x:c r="E804" s="16" t="n">
        <x:v>5</x:v>
      </x:c>
      <x:c r="F804" s="14" t="n">
        <x:v>50</x:v>
      </x:c>
      <x:c r="G804" s="26" t="n">
        <x:f>'成本明细'!U115+'成本明细'!G115*(E804-'参数'!$B$6)</x:f>
        <x:v>1902.4312734355556</x:v>
      </x:c>
      <x:c r="H804" s="26" t="n">
        <x:f>'成本明细'!U121</x:f>
        <x:v>2286.8293632788886</x:v>
      </x:c>
      <x:c r="I804" s="26" t="n">
        <x:f>'成本明细'!V121</x:f>
        <x:v>4270.5</x:v>
      </x:c>
      <x:c r="J804" s="22" t="n">
        <x:f>'参数'!$B$9</x:f>
        <x:v>300</x:v>
      </x:c>
      <x:c r="K804" s="26" t="n">
        <x:f>J804*(G804-H804)-I804*ROUNDUP(J804/F804,0)</x:f>
        <x:v>-140942.42695299993</x:v>
      </x:c>
      <x:c r="L804" s="10" t="str">
        <x:f>IF(G804-H804&lt;=0,"未回本",IF(ROUNDUP(I804/(G804-H804),0)&gt;MIN(F804,J804),"未回本",MAX(1,ROUNDUP(I804/(G804-H804),0))))</x:f>
        <x:v>未回本</x:v>
      </x:c>
    </x:row>
    <x:row r="805" ht="22" customHeight="1">
      <x:c r="A805" s="11" t="str">
        <x:v>lade_0825_10aoi</x:v>
      </x:c>
      <x:c r="B805" s="10" t="n">
        <x:v>10</x:v>
      </x:c>
      <x:c r="C805" s="10" t="n">
        <x:v>43</x:v>
      </x:c>
      <x:c r="D805" s="10" t="str">
        <x:v>M2 / M4</x:v>
      </x:c>
      <x:c r="E805" s="16" t="n">
        <x:v>5</x:v>
      </x:c>
      <x:c r="F805" s="14" t="n">
        <x:v>50</x:v>
      </x:c>
      <x:c r="G805" s="26" t="n">
        <x:f>'成本明细'!U118+'成本明细'!G118*(E805-'参数'!$B$6)</x:f>
        <x:v>1902.4312734355556</x:v>
      </x:c>
      <x:c r="H805" s="26" t="n">
        <x:f>'成本明细'!U124</x:f>
        <x:v>2286.4444585438882</x:v>
      </x:c>
      <x:c r="I805" s="26" t="n">
        <x:f>'成本明细'!V124</x:f>
        <x:v>4270.5</x:v>
      </x:c>
      <x:c r="J805" s="22" t="n">
        <x:f>'参数'!$B$9</x:f>
        <x:v>300</x:v>
      </x:c>
      <x:c r="K805" s="26" t="n">
        <x:f>J805*(G805-H805)-I805*ROUNDUP(J805/F805,0)</x:f>
        <x:v>-140826.9555324998</x:v>
      </x:c>
      <x:c r="L805" s="10" t="str">
        <x:f>IF(G805-H805&lt;=0,"未回本",IF(ROUNDUP(I805/(G805-H805),0)&gt;MIN(F805,J805),"未回本",MAX(1,ROUNDUP(I805/(G805-H805),0))))</x:f>
        <x:v>未回本</x:v>
      </x:c>
    </x:row>
    <x:row r="806" ht="22" customHeight="1">
      <x:c r="A806" s="11" t="str">
        <x:v>lade_0825_10aoi</x:v>
      </x:c>
      <x:c r="B806" s="10" t="n">
        <x:v>10</x:v>
      </x:c>
      <x:c r="C806" s="10" t="n">
        <x:v>44</x:v>
      </x:c>
      <x:c r="D806" s="10" t="str">
        <x:v>M1 / M3</x:v>
      </x:c>
      <x:c r="E806" s="16" t="n">
        <x:v>1</x:v>
      </x:c>
      <x:c r="F806" s="14" t="n">
        <x:v>10</x:v>
      </x:c>
      <x:c r="G806" s="26" t="n">
        <x:f>'成本明细'!U116+'成本明细'!G116*(E806-'参数'!$B$6)</x:f>
        <x:v>1434.4312734355556</x:v>
      </x:c>
      <x:c r="H806" s="26" t="n">
        <x:f>'成本明细'!U122</x:f>
        <x:v>2286.8293632788886</x:v>
      </x:c>
      <x:c r="I806" s="26" t="n">
        <x:f>'成本明细'!V122</x:f>
        <x:v>4270.5</x:v>
      </x:c>
      <x:c r="J806" s="22" t="n">
        <x:f>'参数'!$B$9</x:f>
        <x:v>300</x:v>
      </x:c>
      <x:c r="K806" s="26" t="n">
        <x:f>J806*(G806-H806)-I806*ROUNDUP(J806/F806,0)</x:f>
        <x:v>-383834.4269529999</x:v>
      </x:c>
      <x:c r="L806" s="10" t="str">
        <x:f>IF(G806-H806&lt;=0,"未回本",IF(ROUNDUP(I806/(G806-H806),0)&gt;MIN(F806,J806),"未回本",MAX(1,ROUNDUP(I806/(G806-H806),0))))</x:f>
        <x:v>未回本</x:v>
      </x:c>
    </x:row>
    <x:row r="807" ht="22" customHeight="1">
      <x:c r="A807" s="11" t="str">
        <x:v>lade_0825_10aoi</x:v>
      </x:c>
      <x:c r="B807" s="10" t="n">
        <x:v>10</x:v>
      </x:c>
      <x:c r="C807" s="10" t="n">
        <x:v>44</x:v>
      </x:c>
      <x:c r="D807" s="10" t="str">
        <x:v>M2 / M4</x:v>
      </x:c>
      <x:c r="E807" s="16" t="n">
        <x:v>1</x:v>
      </x:c>
      <x:c r="F807" s="14" t="n">
        <x:v>10</x:v>
      </x:c>
      <x:c r="G807" s="26" t="n">
        <x:f>'成本明细'!U119+'成本明细'!G119*(E807-'参数'!$B$6)</x:f>
        <x:v>1434.4312734355556</x:v>
      </x:c>
      <x:c r="H807" s="26" t="n">
        <x:f>'成本明细'!U125</x:f>
        <x:v>2280.0469773355553</x:v>
      </x:c>
      <x:c r="I807" s="26" t="n">
        <x:f>'成本明细'!V125</x:f>
        <x:v>4270.5</x:v>
      </x:c>
      <x:c r="J807" s="22" t="n">
        <x:f>'参数'!$B$9</x:f>
        <x:v>300</x:v>
      </x:c>
      <x:c r="K807" s="26" t="n">
        <x:f>J807*(G807-H807)-I807*ROUNDUP(J807/F807,0)</x:f>
        <x:v>-381799.7111699999</x:v>
      </x:c>
      <x:c r="L807" s="10" t="str">
        <x:f>IF(G807-H807&lt;=0,"未回本",IF(ROUNDUP(I807/(G807-H807),0)&gt;MIN(F807,J807),"未回本",MAX(1,ROUNDUP(I807/(G807-H807),0))))</x:f>
        <x:v>未回本</x:v>
      </x:c>
    </x:row>
    <x:row r="808" ht="22" customHeight="1">
      <x:c r="A808" s="11" t="str">
        <x:v>lade_0825_10aoi</x:v>
      </x:c>
      <x:c r="B808" s="10" t="n">
        <x:v>10</x:v>
      </x:c>
      <x:c r="C808" s="10" t="n">
        <x:v>44</x:v>
      </x:c>
      <x:c r="D808" s="10" t="str">
        <x:v>M1 / M3</x:v>
      </x:c>
      <x:c r="E808" s="16" t="n">
        <x:v>1</x:v>
      </x:c>
      <x:c r="F808" s="14" t="n">
        <x:v>20</x:v>
      </x:c>
      <x:c r="G808" s="26" t="n">
        <x:f>'成本明细'!U116+'成本明细'!G116*(E808-'参数'!$B$6)</x:f>
        <x:v>1434.4312734355556</x:v>
      </x:c>
      <x:c r="H808" s="26" t="n">
        <x:f>'成本明细'!U122</x:f>
        <x:v>2286.8293632788886</x:v>
      </x:c>
      <x:c r="I808" s="26" t="n">
        <x:f>'成本明细'!V122</x:f>
        <x:v>4270.5</x:v>
      </x:c>
      <x:c r="J808" s="22" t="n">
        <x:f>'参数'!$B$9</x:f>
        <x:v>300</x:v>
      </x:c>
      <x:c r="K808" s="26" t="n">
        <x:f>J808*(G808-H808)-I808*ROUNDUP(J808/F808,0)</x:f>
        <x:v>-319776.9269529999</x:v>
      </x:c>
      <x:c r="L808" s="10" t="str">
        <x:f>IF(G808-H808&lt;=0,"未回本",IF(ROUNDUP(I808/(G808-H808),0)&gt;MIN(F808,J808),"未回本",MAX(1,ROUNDUP(I808/(G808-H808),0))))</x:f>
        <x:v>未回本</x:v>
      </x:c>
    </x:row>
    <x:row r="809" ht="22" customHeight="1">
      <x:c r="A809" s="11" t="str">
        <x:v>lade_0825_10aoi</x:v>
      </x:c>
      <x:c r="B809" s="10" t="n">
        <x:v>10</x:v>
      </x:c>
      <x:c r="C809" s="10" t="n">
        <x:v>44</x:v>
      </x:c>
      <x:c r="D809" s="10" t="str">
        <x:v>M2 / M4</x:v>
      </x:c>
      <x:c r="E809" s="16" t="n">
        <x:v>1</x:v>
      </x:c>
      <x:c r="F809" s="14" t="n">
        <x:v>20</x:v>
      </x:c>
      <x:c r="G809" s="26" t="n">
        <x:f>'成本明细'!U119+'成本明细'!G119*(E809-'参数'!$B$6)</x:f>
        <x:v>1434.4312734355556</x:v>
      </x:c>
      <x:c r="H809" s="26" t="n">
        <x:f>'成本明细'!U125</x:f>
        <x:v>2280.0469773355553</x:v>
      </x:c>
      <x:c r="I809" s="26" t="n">
        <x:f>'成本明细'!V125</x:f>
        <x:v>4270.5</x:v>
      </x:c>
      <x:c r="J809" s="22" t="n">
        <x:f>'参数'!$B$9</x:f>
        <x:v>300</x:v>
      </x:c>
      <x:c r="K809" s="26" t="n">
        <x:f>J809*(G809-H809)-I809*ROUNDUP(J809/F809,0)</x:f>
        <x:v>-317742.2111699999</x:v>
      </x:c>
      <x:c r="L809" s="10" t="str">
        <x:f>IF(G809-H809&lt;=0,"未回本",IF(ROUNDUP(I809/(G809-H809),0)&gt;MIN(F809,J809),"未回本",MAX(1,ROUNDUP(I809/(G809-H809),0))))</x:f>
        <x:v>未回本</x:v>
      </x:c>
    </x:row>
    <x:row r="810" ht="22" customHeight="1">
      <x:c r="A810" s="11" t="str">
        <x:v>lade_0825_10aoi</x:v>
      </x:c>
      <x:c r="B810" s="10" t="n">
        <x:v>10</x:v>
      </x:c>
      <x:c r="C810" s="10" t="n">
        <x:v>44</x:v>
      </x:c>
      <x:c r="D810" s="10" t="str">
        <x:v>M1 / M3</x:v>
      </x:c>
      <x:c r="E810" s="16" t="n">
        <x:v>1</x:v>
      </x:c>
      <x:c r="F810" s="14" t="n">
        <x:v>30</x:v>
      </x:c>
      <x:c r="G810" s="26" t="n">
        <x:f>'成本明细'!U116+'成本明细'!G116*(E810-'参数'!$B$6)</x:f>
        <x:v>1434.4312734355556</x:v>
      </x:c>
      <x:c r="H810" s="26" t="n">
        <x:f>'成本明细'!U122</x:f>
        <x:v>2286.8293632788886</x:v>
      </x:c>
      <x:c r="I810" s="26" t="n">
        <x:f>'成本明细'!V122</x:f>
        <x:v>4270.5</x:v>
      </x:c>
      <x:c r="J810" s="22" t="n">
        <x:f>'参数'!$B$9</x:f>
        <x:v>300</x:v>
      </x:c>
      <x:c r="K810" s="26" t="n">
        <x:f>J810*(G810-H810)-I810*ROUNDUP(J810/F810,0)</x:f>
        <x:v>-298424.4269529999</x:v>
      </x:c>
      <x:c r="L810" s="10" t="str">
        <x:f>IF(G810-H810&lt;=0,"未回本",IF(ROUNDUP(I810/(G810-H810),0)&gt;MIN(F810,J810),"未回本",MAX(1,ROUNDUP(I810/(G810-H810),0))))</x:f>
        <x:v>未回本</x:v>
      </x:c>
    </x:row>
    <x:row r="811" ht="22" customHeight="1">
      <x:c r="A811" s="11" t="str">
        <x:v>lade_0825_10aoi</x:v>
      </x:c>
      <x:c r="B811" s="10" t="n">
        <x:v>10</x:v>
      </x:c>
      <x:c r="C811" s="10" t="n">
        <x:v>44</x:v>
      </x:c>
      <x:c r="D811" s="10" t="str">
        <x:v>M2 / M4</x:v>
      </x:c>
      <x:c r="E811" s="16" t="n">
        <x:v>1</x:v>
      </x:c>
      <x:c r="F811" s="14" t="n">
        <x:v>30</x:v>
      </x:c>
      <x:c r="G811" s="26" t="n">
        <x:f>'成本明细'!U119+'成本明细'!G119*(E811-'参数'!$B$6)</x:f>
        <x:v>1434.4312734355556</x:v>
      </x:c>
      <x:c r="H811" s="26" t="n">
        <x:f>'成本明细'!U125</x:f>
        <x:v>2280.0469773355553</x:v>
      </x:c>
      <x:c r="I811" s="26" t="n">
        <x:f>'成本明细'!V125</x:f>
        <x:v>4270.5</x:v>
      </x:c>
      <x:c r="J811" s="22" t="n">
        <x:f>'参数'!$B$9</x:f>
        <x:v>300</x:v>
      </x:c>
      <x:c r="K811" s="26" t="n">
        <x:f>J811*(G811-H811)-I811*ROUNDUP(J811/F811,0)</x:f>
        <x:v>-296389.7111699999</x:v>
      </x:c>
      <x:c r="L811" s="10" t="str">
        <x:f>IF(G811-H811&lt;=0,"未回本",IF(ROUNDUP(I811/(G811-H811),0)&gt;MIN(F811,J811),"未回本",MAX(1,ROUNDUP(I811/(G811-H811),0))))</x:f>
        <x:v>未回本</x:v>
      </x:c>
    </x:row>
    <x:row r="812" ht="22" customHeight="1">
      <x:c r="A812" s="11" t="str">
        <x:v>lade_0825_10aoi</x:v>
      </x:c>
      <x:c r="B812" s="10" t="n">
        <x:v>10</x:v>
      </x:c>
      <x:c r="C812" s="10" t="n">
        <x:v>44</x:v>
      </x:c>
      <x:c r="D812" s="10" t="str">
        <x:v>M1 / M3</x:v>
      </x:c>
      <x:c r="E812" s="16" t="n">
        <x:v>1</x:v>
      </x:c>
      <x:c r="F812" s="14" t="n">
        <x:v>50</x:v>
      </x:c>
      <x:c r="G812" s="26" t="n">
        <x:f>'成本明细'!U116+'成本明细'!G116*(E812-'参数'!$B$6)</x:f>
        <x:v>1434.4312734355556</x:v>
      </x:c>
      <x:c r="H812" s="26" t="n">
        <x:f>'成本明细'!U122</x:f>
        <x:v>2286.8293632788886</x:v>
      </x:c>
      <x:c r="I812" s="26" t="n">
        <x:f>'成本明细'!V122</x:f>
        <x:v>4270.5</x:v>
      </x:c>
      <x:c r="J812" s="22" t="n">
        <x:f>'参数'!$B$9</x:f>
        <x:v>300</x:v>
      </x:c>
      <x:c r="K812" s="26" t="n">
        <x:f>J812*(G812-H812)-I812*ROUNDUP(J812/F812,0)</x:f>
        <x:v>-281342.4269529999</x:v>
      </x:c>
      <x:c r="L812" s="10" t="str">
        <x:f>IF(G812-H812&lt;=0,"未回本",IF(ROUNDUP(I812/(G812-H812),0)&gt;MIN(F812,J812),"未回本",MAX(1,ROUNDUP(I812/(G812-H812),0))))</x:f>
        <x:v>未回本</x:v>
      </x:c>
    </x:row>
    <x:row r="813" ht="22" customHeight="1">
      <x:c r="A813" s="11" t="str">
        <x:v>lade_0825_10aoi</x:v>
      </x:c>
      <x:c r="B813" s="10" t="n">
        <x:v>10</x:v>
      </x:c>
      <x:c r="C813" s="10" t="n">
        <x:v>44</x:v>
      </x:c>
      <x:c r="D813" s="10" t="str">
        <x:v>M2 / M4</x:v>
      </x:c>
      <x:c r="E813" s="16" t="n">
        <x:v>1</x:v>
      </x:c>
      <x:c r="F813" s="14" t="n">
        <x:v>50</x:v>
      </x:c>
      <x:c r="G813" s="26" t="n">
        <x:f>'成本明细'!U119+'成本明细'!G119*(E813-'参数'!$B$6)</x:f>
        <x:v>1434.4312734355556</x:v>
      </x:c>
      <x:c r="H813" s="26" t="n">
        <x:f>'成本明细'!U125</x:f>
        <x:v>2280.0469773355553</x:v>
      </x:c>
      <x:c r="I813" s="26" t="n">
        <x:f>'成本明细'!V125</x:f>
        <x:v>4270.5</x:v>
      </x:c>
      <x:c r="J813" s="22" t="n">
        <x:f>'参数'!$B$9</x:f>
        <x:v>300</x:v>
      </x:c>
      <x:c r="K813" s="26" t="n">
        <x:f>J813*(G813-H813)-I813*ROUNDUP(J813/F813,0)</x:f>
        <x:v>-279307.7111699999</x:v>
      </x:c>
      <x:c r="L813" s="10" t="str">
        <x:f>IF(G813-H813&lt;=0,"未回本",IF(ROUNDUP(I813/(G813-H813),0)&gt;MIN(F813,J813),"未回本",MAX(1,ROUNDUP(I813/(G813-H813),0))))</x:f>
        <x:v>未回本</x:v>
      </x:c>
    </x:row>
    <x:row r="814" ht="22" customHeight="1">
      <x:c r="A814" s="11" t="str">
        <x:v>lade_0825_10aoi</x:v>
      </x:c>
      <x:c r="B814" s="10" t="n">
        <x:v>10</x:v>
      </x:c>
      <x:c r="C814" s="10" t="n">
        <x:v>44</x:v>
      </x:c>
      <x:c r="D814" s="10" t="str">
        <x:v>M1 / M3</x:v>
      </x:c>
      <x:c r="E814" s="16" t="n">
        <x:v>2</x:v>
      </x:c>
      <x:c r="F814" s="14" t="n">
        <x:v>10</x:v>
      </x:c>
      <x:c r="G814" s="26" t="n">
        <x:f>'成本明细'!U116+'成本明细'!G116*(E814-'参数'!$B$6)</x:f>
        <x:v>1551.4312734355556</x:v>
      </x:c>
      <x:c r="H814" s="26" t="n">
        <x:f>'成本明细'!U122</x:f>
        <x:v>2286.8293632788886</x:v>
      </x:c>
      <x:c r="I814" s="26" t="n">
        <x:f>'成本明细'!V122</x:f>
        <x:v>4270.5</x:v>
      </x:c>
      <x:c r="J814" s="22" t="n">
        <x:f>'参数'!$B$9</x:f>
        <x:v>300</x:v>
      </x:c>
      <x:c r="K814" s="26" t="n">
        <x:f>J814*(G814-H814)-I814*ROUNDUP(J814/F814,0)</x:f>
        <x:v>-348734.4269529999</x:v>
      </x:c>
      <x:c r="L814" s="10" t="str">
        <x:f>IF(G814-H814&lt;=0,"未回本",IF(ROUNDUP(I814/(G814-H814),0)&gt;MIN(F814,J814),"未回本",MAX(1,ROUNDUP(I814/(G814-H814),0))))</x:f>
        <x:v>未回本</x:v>
      </x:c>
    </x:row>
    <x:row r="815" ht="22" customHeight="1">
      <x:c r="A815" s="11" t="str">
        <x:v>lade_0825_10aoi</x:v>
      </x:c>
      <x:c r="B815" s="10" t="n">
        <x:v>10</x:v>
      </x:c>
      <x:c r="C815" s="10" t="n">
        <x:v>44</x:v>
      </x:c>
      <x:c r="D815" s="10" t="str">
        <x:v>M2 / M4</x:v>
      </x:c>
      <x:c r="E815" s="16" t="n">
        <x:v>2</x:v>
      </x:c>
      <x:c r="F815" s="14" t="n">
        <x:v>10</x:v>
      </x:c>
      <x:c r="G815" s="26" t="n">
        <x:f>'成本明细'!U119+'成本明细'!G119*(E815-'参数'!$B$6)</x:f>
        <x:v>1551.4312734355556</x:v>
      </x:c>
      <x:c r="H815" s="26" t="n">
        <x:f>'成本明细'!U125</x:f>
        <x:v>2280.0469773355553</x:v>
      </x:c>
      <x:c r="I815" s="26" t="n">
        <x:f>'成本明细'!V125</x:f>
        <x:v>4270.5</x:v>
      </x:c>
      <x:c r="J815" s="22" t="n">
        <x:f>'参数'!$B$9</x:f>
        <x:v>300</x:v>
      </x:c>
      <x:c r="K815" s="26" t="n">
        <x:f>J815*(G815-H815)-I815*ROUNDUP(J815/F815,0)</x:f>
        <x:v>-346699.7111699999</x:v>
      </x:c>
      <x:c r="L815" s="10" t="str">
        <x:f>IF(G815-H815&lt;=0,"未回本",IF(ROUNDUP(I815/(G815-H815),0)&gt;MIN(F815,J815),"未回本",MAX(1,ROUNDUP(I815/(G815-H815),0))))</x:f>
        <x:v>未回本</x:v>
      </x:c>
    </x:row>
    <x:row r="816" ht="22" customHeight="1">
      <x:c r="A816" s="11" t="str">
        <x:v>lade_0825_10aoi</x:v>
      </x:c>
      <x:c r="B816" s="10" t="n">
        <x:v>10</x:v>
      </x:c>
      <x:c r="C816" s="10" t="n">
        <x:v>44</x:v>
      </x:c>
      <x:c r="D816" s="10" t="str">
        <x:v>M1 / M3</x:v>
      </x:c>
      <x:c r="E816" s="16" t="n">
        <x:v>2</x:v>
      </x:c>
      <x:c r="F816" s="14" t="n">
        <x:v>20</x:v>
      </x:c>
      <x:c r="G816" s="26" t="n">
        <x:f>'成本明细'!U116+'成本明细'!G116*(E816-'参数'!$B$6)</x:f>
        <x:v>1551.4312734355556</x:v>
      </x:c>
      <x:c r="H816" s="26" t="n">
        <x:f>'成本明细'!U122</x:f>
        <x:v>2286.8293632788886</x:v>
      </x:c>
      <x:c r="I816" s="26" t="n">
        <x:f>'成本明细'!V122</x:f>
        <x:v>4270.5</x:v>
      </x:c>
      <x:c r="J816" s="22" t="n">
        <x:f>'参数'!$B$9</x:f>
        <x:v>300</x:v>
      </x:c>
      <x:c r="K816" s="26" t="n">
        <x:f>J816*(G816-H816)-I816*ROUNDUP(J816/F816,0)</x:f>
        <x:v>-284676.9269529999</x:v>
      </x:c>
      <x:c r="L816" s="10" t="str">
        <x:f>IF(G816-H816&lt;=0,"未回本",IF(ROUNDUP(I816/(G816-H816),0)&gt;MIN(F816,J816),"未回本",MAX(1,ROUNDUP(I816/(G816-H816),0))))</x:f>
        <x:v>未回本</x:v>
      </x:c>
    </x:row>
    <x:row r="817" ht="22" customHeight="1">
      <x:c r="A817" s="11" t="str">
        <x:v>lade_0825_10aoi</x:v>
      </x:c>
      <x:c r="B817" s="10" t="n">
        <x:v>10</x:v>
      </x:c>
      <x:c r="C817" s="10" t="n">
        <x:v>44</x:v>
      </x:c>
      <x:c r="D817" s="10" t="str">
        <x:v>M2 / M4</x:v>
      </x:c>
      <x:c r="E817" s="16" t="n">
        <x:v>2</x:v>
      </x:c>
      <x:c r="F817" s="14" t="n">
        <x:v>20</x:v>
      </x:c>
      <x:c r="G817" s="26" t="n">
        <x:f>'成本明细'!U119+'成本明细'!G119*(E817-'参数'!$B$6)</x:f>
        <x:v>1551.4312734355556</x:v>
      </x:c>
      <x:c r="H817" s="26" t="n">
        <x:f>'成本明细'!U125</x:f>
        <x:v>2280.0469773355553</x:v>
      </x:c>
      <x:c r="I817" s="26" t="n">
        <x:f>'成本明细'!V125</x:f>
        <x:v>4270.5</x:v>
      </x:c>
      <x:c r="J817" s="22" t="n">
        <x:f>'参数'!$B$9</x:f>
        <x:v>300</x:v>
      </x:c>
      <x:c r="K817" s="26" t="n">
        <x:f>J817*(G817-H817)-I817*ROUNDUP(J817/F817,0)</x:f>
        <x:v>-282642.2111699999</x:v>
      </x:c>
      <x:c r="L817" s="10" t="str">
        <x:f>IF(G817-H817&lt;=0,"未回本",IF(ROUNDUP(I817/(G817-H817),0)&gt;MIN(F817,J817),"未回本",MAX(1,ROUNDUP(I817/(G817-H817),0))))</x:f>
        <x:v>未回本</x:v>
      </x:c>
    </x:row>
    <x:row r="818" ht="22" customHeight="1">
      <x:c r="A818" s="11" t="str">
        <x:v>lade_0825_10aoi</x:v>
      </x:c>
      <x:c r="B818" s="10" t="n">
        <x:v>10</x:v>
      </x:c>
      <x:c r="C818" s="10" t="n">
        <x:v>44</x:v>
      </x:c>
      <x:c r="D818" s="10" t="str">
        <x:v>M1 / M3</x:v>
      </x:c>
      <x:c r="E818" s="16" t="n">
        <x:v>2</x:v>
      </x:c>
      <x:c r="F818" s="14" t="n">
        <x:v>30</x:v>
      </x:c>
      <x:c r="G818" s="26" t="n">
        <x:f>'成本明细'!U116+'成本明细'!G116*(E818-'参数'!$B$6)</x:f>
        <x:v>1551.4312734355556</x:v>
      </x:c>
      <x:c r="H818" s="26" t="n">
        <x:f>'成本明细'!U122</x:f>
        <x:v>2286.8293632788886</x:v>
      </x:c>
      <x:c r="I818" s="26" t="n">
        <x:f>'成本明细'!V122</x:f>
        <x:v>4270.5</x:v>
      </x:c>
      <x:c r="J818" s="22" t="n">
        <x:f>'参数'!$B$9</x:f>
        <x:v>300</x:v>
      </x:c>
      <x:c r="K818" s="26" t="n">
        <x:f>J818*(G818-H818)-I818*ROUNDUP(J818/F818,0)</x:f>
        <x:v>-263324.4269529999</x:v>
      </x:c>
      <x:c r="L818" s="10" t="str">
        <x:f>IF(G818-H818&lt;=0,"未回本",IF(ROUNDUP(I818/(G818-H818),0)&gt;MIN(F818,J818),"未回本",MAX(1,ROUNDUP(I818/(G818-H818),0))))</x:f>
        <x:v>未回本</x:v>
      </x:c>
    </x:row>
    <x:row r="819" ht="22" customHeight="1">
      <x:c r="A819" s="11" t="str">
        <x:v>lade_0825_10aoi</x:v>
      </x:c>
      <x:c r="B819" s="10" t="n">
        <x:v>10</x:v>
      </x:c>
      <x:c r="C819" s="10" t="n">
        <x:v>44</x:v>
      </x:c>
      <x:c r="D819" s="10" t="str">
        <x:v>M2 / M4</x:v>
      </x:c>
      <x:c r="E819" s="16" t="n">
        <x:v>2</x:v>
      </x:c>
      <x:c r="F819" s="14" t="n">
        <x:v>30</x:v>
      </x:c>
      <x:c r="G819" s="26" t="n">
        <x:f>'成本明细'!U119+'成本明细'!G119*(E819-'参数'!$B$6)</x:f>
        <x:v>1551.4312734355556</x:v>
      </x:c>
      <x:c r="H819" s="26" t="n">
        <x:f>'成本明细'!U125</x:f>
        <x:v>2280.0469773355553</x:v>
      </x:c>
      <x:c r="I819" s="26" t="n">
        <x:f>'成本明细'!V125</x:f>
        <x:v>4270.5</x:v>
      </x:c>
      <x:c r="J819" s="22" t="n">
        <x:f>'参数'!$B$9</x:f>
        <x:v>300</x:v>
      </x:c>
      <x:c r="K819" s="26" t="n">
        <x:f>J819*(G819-H819)-I819*ROUNDUP(J819/F819,0)</x:f>
        <x:v>-261289.71116999994</x:v>
      </x:c>
      <x:c r="L819" s="10" t="str">
        <x:f>IF(G819-H819&lt;=0,"未回本",IF(ROUNDUP(I819/(G819-H819),0)&gt;MIN(F819,J819),"未回本",MAX(1,ROUNDUP(I819/(G819-H819),0))))</x:f>
        <x:v>未回本</x:v>
      </x:c>
    </x:row>
    <x:row r="820" ht="22" customHeight="1">
      <x:c r="A820" s="11" t="str">
        <x:v>lade_0825_10aoi</x:v>
      </x:c>
      <x:c r="B820" s="10" t="n">
        <x:v>10</x:v>
      </x:c>
      <x:c r="C820" s="10" t="n">
        <x:v>44</x:v>
      </x:c>
      <x:c r="D820" s="10" t="str">
        <x:v>M1 / M3</x:v>
      </x:c>
      <x:c r="E820" s="16" t="n">
        <x:v>2</x:v>
      </x:c>
      <x:c r="F820" s="14" t="n">
        <x:v>50</x:v>
      </x:c>
      <x:c r="G820" s="26" t="n">
        <x:f>'成本明细'!U116+'成本明细'!G116*(E820-'参数'!$B$6)</x:f>
        <x:v>1551.4312734355556</x:v>
      </x:c>
      <x:c r="H820" s="26" t="n">
        <x:f>'成本明细'!U122</x:f>
        <x:v>2286.8293632788886</x:v>
      </x:c>
      <x:c r="I820" s="26" t="n">
        <x:f>'成本明细'!V122</x:f>
        <x:v>4270.5</x:v>
      </x:c>
      <x:c r="J820" s="22" t="n">
        <x:f>'参数'!$B$9</x:f>
        <x:v>300</x:v>
      </x:c>
      <x:c r="K820" s="26" t="n">
        <x:f>J820*(G820-H820)-I820*ROUNDUP(J820/F820,0)</x:f>
        <x:v>-246242.42695299993</x:v>
      </x:c>
      <x:c r="L820" s="10" t="str">
        <x:f>IF(G820-H820&lt;=0,"未回本",IF(ROUNDUP(I820/(G820-H820),0)&gt;MIN(F820,J820),"未回本",MAX(1,ROUNDUP(I820/(G820-H820),0))))</x:f>
        <x:v>未回本</x:v>
      </x:c>
    </x:row>
    <x:row r="821" ht="22" customHeight="1">
      <x:c r="A821" s="11" t="str">
        <x:v>lade_0825_10aoi</x:v>
      </x:c>
      <x:c r="B821" s="10" t="n">
        <x:v>10</x:v>
      </x:c>
      <x:c r="C821" s="10" t="n">
        <x:v>44</x:v>
      </x:c>
      <x:c r="D821" s="10" t="str">
        <x:v>M2 / M4</x:v>
      </x:c>
      <x:c r="E821" s="16" t="n">
        <x:v>2</x:v>
      </x:c>
      <x:c r="F821" s="14" t="n">
        <x:v>50</x:v>
      </x:c>
      <x:c r="G821" s="26" t="n">
        <x:f>'成本明细'!U119+'成本明细'!G119*(E821-'参数'!$B$6)</x:f>
        <x:v>1551.4312734355556</x:v>
      </x:c>
      <x:c r="H821" s="26" t="n">
        <x:f>'成本明细'!U125</x:f>
        <x:v>2280.0469773355553</x:v>
      </x:c>
      <x:c r="I821" s="26" t="n">
        <x:f>'成本明细'!V125</x:f>
        <x:v>4270.5</x:v>
      </x:c>
      <x:c r="J821" s="22" t="n">
        <x:f>'参数'!$B$9</x:f>
        <x:v>300</x:v>
      </x:c>
      <x:c r="K821" s="26" t="n">
        <x:f>J821*(G821-H821)-I821*ROUNDUP(J821/F821,0)</x:f>
        <x:v>-244207.71116999994</x:v>
      </x:c>
      <x:c r="L821" s="10" t="str">
        <x:f>IF(G821-H821&lt;=0,"未回本",IF(ROUNDUP(I821/(G821-H821),0)&gt;MIN(F821,J821),"未回本",MAX(1,ROUNDUP(I821/(G821-H821),0))))</x:f>
        <x:v>未回本</x:v>
      </x:c>
    </x:row>
    <x:row r="822" ht="22" customHeight="1">
      <x:c r="A822" s="11" t="str">
        <x:v>lade_0825_10aoi</x:v>
      </x:c>
      <x:c r="B822" s="10" t="n">
        <x:v>10</x:v>
      </x:c>
      <x:c r="C822" s="10" t="n">
        <x:v>44</x:v>
      </x:c>
      <x:c r="D822" s="10" t="str">
        <x:v>M1 / M3</x:v>
      </x:c>
      <x:c r="E822" s="16" t="n">
        <x:v>3</x:v>
      </x:c>
      <x:c r="F822" s="14" t="n">
        <x:v>10</x:v>
      </x:c>
      <x:c r="G822" s="26" t="n">
        <x:f>'成本明细'!U116+'成本明细'!G116*(E822-'参数'!$B$6)</x:f>
        <x:v>1668.4312734355556</x:v>
      </x:c>
      <x:c r="H822" s="26" t="n">
        <x:f>'成本明细'!U122</x:f>
        <x:v>2286.8293632788886</x:v>
      </x:c>
      <x:c r="I822" s="26" t="n">
        <x:f>'成本明细'!V122</x:f>
        <x:v>4270.5</x:v>
      </x:c>
      <x:c r="J822" s="22" t="n">
        <x:f>'参数'!$B$9</x:f>
        <x:v>300</x:v>
      </x:c>
      <x:c r="K822" s="26" t="n">
        <x:f>J822*(G822-H822)-I822*ROUNDUP(J822/F822,0)</x:f>
        <x:v>-313634.4269529999</x:v>
      </x:c>
      <x:c r="L822" s="10" t="str">
        <x:f>IF(G822-H822&lt;=0,"未回本",IF(ROUNDUP(I822/(G822-H822),0)&gt;MIN(F822,J822),"未回本",MAX(1,ROUNDUP(I822/(G822-H822),0))))</x:f>
        <x:v>未回本</x:v>
      </x:c>
    </x:row>
    <x:row r="823" ht="22" customHeight="1">
      <x:c r="A823" s="11" t="str">
        <x:v>lade_0825_10aoi</x:v>
      </x:c>
      <x:c r="B823" s="10" t="n">
        <x:v>10</x:v>
      </x:c>
      <x:c r="C823" s="10" t="n">
        <x:v>44</x:v>
      </x:c>
      <x:c r="D823" s="10" t="str">
        <x:v>M2 / M4</x:v>
      </x:c>
      <x:c r="E823" s="16" t="n">
        <x:v>3</x:v>
      </x:c>
      <x:c r="F823" s="14" t="n">
        <x:v>10</x:v>
      </x:c>
      <x:c r="G823" s="26" t="n">
        <x:f>'成本明细'!U119+'成本明细'!G119*(E823-'参数'!$B$6)</x:f>
        <x:v>1668.4312734355556</x:v>
      </x:c>
      <x:c r="H823" s="26" t="n">
        <x:f>'成本明细'!U125</x:f>
        <x:v>2280.0469773355553</x:v>
      </x:c>
      <x:c r="I823" s="26" t="n">
        <x:f>'成本明细'!V125</x:f>
        <x:v>4270.5</x:v>
      </x:c>
      <x:c r="J823" s="22" t="n">
        <x:f>'参数'!$B$9</x:f>
        <x:v>300</x:v>
      </x:c>
      <x:c r="K823" s="26" t="n">
        <x:f>J823*(G823-H823)-I823*ROUNDUP(J823/F823,0)</x:f>
        <x:v>-311599.7111699999</x:v>
      </x:c>
      <x:c r="L823" s="10" t="str">
        <x:f>IF(G823-H823&lt;=0,"未回本",IF(ROUNDUP(I823/(G823-H823),0)&gt;MIN(F823,J823),"未回本",MAX(1,ROUNDUP(I823/(G823-H823),0))))</x:f>
        <x:v>未回本</x:v>
      </x:c>
    </x:row>
    <x:row r="824" ht="22" customHeight="1">
      <x:c r="A824" s="11" t="str">
        <x:v>lade_0825_10aoi</x:v>
      </x:c>
      <x:c r="B824" s="10" t="n">
        <x:v>10</x:v>
      </x:c>
      <x:c r="C824" s="10" t="n">
        <x:v>44</x:v>
      </x:c>
      <x:c r="D824" s="10" t="str">
        <x:v>M1 / M3</x:v>
      </x:c>
      <x:c r="E824" s="16" t="n">
        <x:v>3</x:v>
      </x:c>
      <x:c r="F824" s="14" t="n">
        <x:v>20</x:v>
      </x:c>
      <x:c r="G824" s="26" t="n">
        <x:f>'成本明细'!U116+'成本明细'!G116*(E824-'参数'!$B$6)</x:f>
        <x:v>1668.4312734355556</x:v>
      </x:c>
      <x:c r="H824" s="26" t="n">
        <x:f>'成本明细'!U122</x:f>
        <x:v>2286.8293632788886</x:v>
      </x:c>
      <x:c r="I824" s="26" t="n">
        <x:f>'成本明细'!V122</x:f>
        <x:v>4270.5</x:v>
      </x:c>
      <x:c r="J824" s="22" t="n">
        <x:f>'参数'!$B$9</x:f>
        <x:v>300</x:v>
      </x:c>
      <x:c r="K824" s="26" t="n">
        <x:f>J824*(G824-H824)-I824*ROUNDUP(J824/F824,0)</x:f>
        <x:v>-249576.92695299993</x:v>
      </x:c>
      <x:c r="L824" s="10" t="str">
        <x:f>IF(G824-H824&lt;=0,"未回本",IF(ROUNDUP(I824/(G824-H824),0)&gt;MIN(F824,J824),"未回本",MAX(1,ROUNDUP(I824/(G824-H824),0))))</x:f>
        <x:v>未回本</x:v>
      </x:c>
    </x:row>
    <x:row r="825" ht="22" customHeight="1">
      <x:c r="A825" s="11" t="str">
        <x:v>lade_0825_10aoi</x:v>
      </x:c>
      <x:c r="B825" s="10" t="n">
        <x:v>10</x:v>
      </x:c>
      <x:c r="C825" s="10" t="n">
        <x:v>44</x:v>
      </x:c>
      <x:c r="D825" s="10" t="str">
        <x:v>M2 / M4</x:v>
      </x:c>
      <x:c r="E825" s="16" t="n">
        <x:v>3</x:v>
      </x:c>
      <x:c r="F825" s="14" t="n">
        <x:v>20</x:v>
      </x:c>
      <x:c r="G825" s="26" t="n">
        <x:f>'成本明细'!U119+'成本明细'!G119*(E825-'参数'!$B$6)</x:f>
        <x:v>1668.4312734355556</x:v>
      </x:c>
      <x:c r="H825" s="26" t="n">
        <x:f>'成本明细'!U125</x:f>
        <x:v>2280.0469773355553</x:v>
      </x:c>
      <x:c r="I825" s="26" t="n">
        <x:f>'成本明细'!V125</x:f>
        <x:v>4270.5</x:v>
      </x:c>
      <x:c r="J825" s="22" t="n">
        <x:f>'参数'!$B$9</x:f>
        <x:v>300</x:v>
      </x:c>
      <x:c r="K825" s="26" t="n">
        <x:f>J825*(G825-H825)-I825*ROUNDUP(J825/F825,0)</x:f>
        <x:v>-247542.21116999994</x:v>
      </x:c>
      <x:c r="L825" s="10" t="str">
        <x:f>IF(G825-H825&lt;=0,"未回本",IF(ROUNDUP(I825/(G825-H825),0)&gt;MIN(F825,J825),"未回本",MAX(1,ROUNDUP(I825/(G825-H825),0))))</x:f>
        <x:v>未回本</x:v>
      </x:c>
    </x:row>
    <x:row r="826" ht="22" customHeight="1">
      <x:c r="A826" s="11" t="str">
        <x:v>lade_0825_10aoi</x:v>
      </x:c>
      <x:c r="B826" s="10" t="n">
        <x:v>10</x:v>
      </x:c>
      <x:c r="C826" s="10" t="n">
        <x:v>44</x:v>
      </x:c>
      <x:c r="D826" s="10" t="str">
        <x:v>M1 / M3</x:v>
      </x:c>
      <x:c r="E826" s="16" t="n">
        <x:v>3</x:v>
      </x:c>
      <x:c r="F826" s="14" t="n">
        <x:v>30</x:v>
      </x:c>
      <x:c r="G826" s="26" t="n">
        <x:f>'成本明细'!U116+'成本明细'!G116*(E826-'参数'!$B$6)</x:f>
        <x:v>1668.4312734355556</x:v>
      </x:c>
      <x:c r="H826" s="26" t="n">
        <x:f>'成本明细'!U122</x:f>
        <x:v>2286.8293632788886</x:v>
      </x:c>
      <x:c r="I826" s="26" t="n">
        <x:f>'成本明细'!V122</x:f>
        <x:v>4270.5</x:v>
      </x:c>
      <x:c r="J826" s="22" t="n">
        <x:f>'参数'!$B$9</x:f>
        <x:v>300</x:v>
      </x:c>
      <x:c r="K826" s="26" t="n">
        <x:f>J826*(G826-H826)-I826*ROUNDUP(J826/F826,0)</x:f>
        <x:v>-228224.42695299993</x:v>
      </x:c>
      <x:c r="L826" s="10" t="str">
        <x:f>IF(G826-H826&lt;=0,"未回本",IF(ROUNDUP(I826/(G826-H826),0)&gt;MIN(F826,J826),"未回本",MAX(1,ROUNDUP(I826/(G826-H826),0))))</x:f>
        <x:v>未回本</x:v>
      </x:c>
    </x:row>
    <x:row r="827" ht="22" customHeight="1">
      <x:c r="A827" s="11" t="str">
        <x:v>lade_0825_10aoi</x:v>
      </x:c>
      <x:c r="B827" s="10" t="n">
        <x:v>10</x:v>
      </x:c>
      <x:c r="C827" s="10" t="n">
        <x:v>44</x:v>
      </x:c>
      <x:c r="D827" s="10" t="str">
        <x:v>M2 / M4</x:v>
      </x:c>
      <x:c r="E827" s="16" t="n">
        <x:v>3</x:v>
      </x:c>
      <x:c r="F827" s="14" t="n">
        <x:v>30</x:v>
      </x:c>
      <x:c r="G827" s="26" t="n">
        <x:f>'成本明细'!U119+'成本明细'!G119*(E827-'参数'!$B$6)</x:f>
        <x:v>1668.4312734355556</x:v>
      </x:c>
      <x:c r="H827" s="26" t="n">
        <x:f>'成本明细'!U125</x:f>
        <x:v>2280.0469773355553</x:v>
      </x:c>
      <x:c r="I827" s="26" t="n">
        <x:f>'成本明细'!V125</x:f>
        <x:v>4270.5</x:v>
      </x:c>
      <x:c r="J827" s="22" t="n">
        <x:f>'参数'!$B$9</x:f>
        <x:v>300</x:v>
      </x:c>
      <x:c r="K827" s="26" t="n">
        <x:f>J827*(G827-H827)-I827*ROUNDUP(J827/F827,0)</x:f>
        <x:v>-226189.71116999994</x:v>
      </x:c>
      <x:c r="L827" s="10" t="str">
        <x:f>IF(G827-H827&lt;=0,"未回本",IF(ROUNDUP(I827/(G827-H827),0)&gt;MIN(F827,J827),"未回本",MAX(1,ROUNDUP(I827/(G827-H827),0))))</x:f>
        <x:v>未回本</x:v>
      </x:c>
    </x:row>
    <x:row r="828" ht="22" customHeight="1">
      <x:c r="A828" s="11" t="str">
        <x:v>lade_0825_10aoi</x:v>
      </x:c>
      <x:c r="B828" s="10" t="n">
        <x:v>10</x:v>
      </x:c>
      <x:c r="C828" s="10" t="n">
        <x:v>44</x:v>
      </x:c>
      <x:c r="D828" s="10" t="str">
        <x:v>M1 / M3</x:v>
      </x:c>
      <x:c r="E828" s="16" t="n">
        <x:v>3</x:v>
      </x:c>
      <x:c r="F828" s="14" t="n">
        <x:v>50</x:v>
      </x:c>
      <x:c r="G828" s="26" t="n">
        <x:f>'成本明细'!U116+'成本明细'!G116*(E828-'参数'!$B$6)</x:f>
        <x:v>1668.4312734355556</x:v>
      </x:c>
      <x:c r="H828" s="26" t="n">
        <x:f>'成本明细'!U122</x:f>
        <x:v>2286.8293632788886</x:v>
      </x:c>
      <x:c r="I828" s="26" t="n">
        <x:f>'成本明细'!V122</x:f>
        <x:v>4270.5</x:v>
      </x:c>
      <x:c r="J828" s="22" t="n">
        <x:f>'参数'!$B$9</x:f>
        <x:v>300</x:v>
      </x:c>
      <x:c r="K828" s="26" t="n">
        <x:f>J828*(G828-H828)-I828*ROUNDUP(J828/F828,0)</x:f>
        <x:v>-211142.42695299993</x:v>
      </x:c>
      <x:c r="L828" s="10" t="str">
        <x:f>IF(G828-H828&lt;=0,"未回本",IF(ROUNDUP(I828/(G828-H828),0)&gt;MIN(F828,J828),"未回本",MAX(1,ROUNDUP(I828/(G828-H828),0))))</x:f>
        <x:v>未回本</x:v>
      </x:c>
    </x:row>
    <x:row r="829" ht="22" customHeight="1">
      <x:c r="A829" s="11" t="str">
        <x:v>lade_0825_10aoi</x:v>
      </x:c>
      <x:c r="B829" s="10" t="n">
        <x:v>10</x:v>
      </x:c>
      <x:c r="C829" s="10" t="n">
        <x:v>44</x:v>
      </x:c>
      <x:c r="D829" s="10" t="str">
        <x:v>M2 / M4</x:v>
      </x:c>
      <x:c r="E829" s="16" t="n">
        <x:v>3</x:v>
      </x:c>
      <x:c r="F829" s="14" t="n">
        <x:v>50</x:v>
      </x:c>
      <x:c r="G829" s="26" t="n">
        <x:f>'成本明细'!U119+'成本明细'!G119*(E829-'参数'!$B$6)</x:f>
        <x:v>1668.4312734355556</x:v>
      </x:c>
      <x:c r="H829" s="26" t="n">
        <x:f>'成本明细'!U125</x:f>
        <x:v>2280.0469773355553</x:v>
      </x:c>
      <x:c r="I829" s="26" t="n">
        <x:f>'成本明细'!V125</x:f>
        <x:v>4270.5</x:v>
      </x:c>
      <x:c r="J829" s="22" t="n">
        <x:f>'参数'!$B$9</x:f>
        <x:v>300</x:v>
      </x:c>
      <x:c r="K829" s="26" t="n">
        <x:f>J829*(G829-H829)-I829*ROUNDUP(J829/F829,0)</x:f>
        <x:v>-209107.71116999994</x:v>
      </x:c>
      <x:c r="L829" s="10" t="str">
        <x:f>IF(G829-H829&lt;=0,"未回本",IF(ROUNDUP(I829/(G829-H829),0)&gt;MIN(F829,J829),"未回本",MAX(1,ROUNDUP(I829/(G829-H829),0))))</x:f>
        <x:v>未回本</x:v>
      </x:c>
    </x:row>
    <x:row r="830" ht="22" customHeight="1">
      <x:c r="A830" s="11" t="str">
        <x:v>lade_0825_10aoi</x:v>
      </x:c>
      <x:c r="B830" s="10" t="n">
        <x:v>10</x:v>
      </x:c>
      <x:c r="C830" s="10" t="n">
        <x:v>44</x:v>
      </x:c>
      <x:c r="D830" s="10" t="str">
        <x:v>M1 / M3</x:v>
      </x:c>
      <x:c r="E830" s="16" t="n">
        <x:v>4</x:v>
      </x:c>
      <x:c r="F830" s="14" t="n">
        <x:v>10</x:v>
      </x:c>
      <x:c r="G830" s="26" t="n">
        <x:f>'成本明细'!U116+'成本明细'!G116*(E830-'参数'!$B$6)</x:f>
        <x:v>1785.4312734355556</x:v>
      </x:c>
      <x:c r="H830" s="26" t="n">
        <x:f>'成本明细'!U122</x:f>
        <x:v>2286.8293632788886</x:v>
      </x:c>
      <x:c r="I830" s="26" t="n">
        <x:f>'成本明细'!V122</x:f>
        <x:v>4270.5</x:v>
      </x:c>
      <x:c r="J830" s="22" t="n">
        <x:f>'参数'!$B$9</x:f>
        <x:v>300</x:v>
      </x:c>
      <x:c r="K830" s="26" t="n">
        <x:f>J830*(G830-H830)-I830*ROUNDUP(J830/F830,0)</x:f>
        <x:v>-278534.4269529999</x:v>
      </x:c>
      <x:c r="L830" s="10" t="str">
        <x:f>IF(G830-H830&lt;=0,"未回本",IF(ROUNDUP(I830/(G830-H830),0)&gt;MIN(F830,J830),"未回本",MAX(1,ROUNDUP(I830/(G830-H830),0))))</x:f>
        <x:v>未回本</x:v>
      </x:c>
    </x:row>
    <x:row r="831" ht="22" customHeight="1">
      <x:c r="A831" s="11" t="str">
        <x:v>lade_0825_10aoi</x:v>
      </x:c>
      <x:c r="B831" s="10" t="n">
        <x:v>10</x:v>
      </x:c>
      <x:c r="C831" s="10" t="n">
        <x:v>44</x:v>
      </x:c>
      <x:c r="D831" s="10" t="str">
        <x:v>M2 / M4</x:v>
      </x:c>
      <x:c r="E831" s="16" t="n">
        <x:v>4</x:v>
      </x:c>
      <x:c r="F831" s="14" t="n">
        <x:v>10</x:v>
      </x:c>
      <x:c r="G831" s="26" t="n">
        <x:f>'成本明细'!U119+'成本明细'!G119*(E831-'参数'!$B$6)</x:f>
        <x:v>1785.4312734355556</x:v>
      </x:c>
      <x:c r="H831" s="26" t="n">
        <x:f>'成本明细'!U125</x:f>
        <x:v>2280.0469773355553</x:v>
      </x:c>
      <x:c r="I831" s="26" t="n">
        <x:f>'成本明细'!V125</x:f>
        <x:v>4270.5</x:v>
      </x:c>
      <x:c r="J831" s="22" t="n">
        <x:f>'参数'!$B$9</x:f>
        <x:v>300</x:v>
      </x:c>
      <x:c r="K831" s="26" t="n">
        <x:f>J831*(G831-H831)-I831*ROUNDUP(J831/F831,0)</x:f>
        <x:v>-276499.7111699999</x:v>
      </x:c>
      <x:c r="L831" s="10" t="str">
        <x:f>IF(G831-H831&lt;=0,"未回本",IF(ROUNDUP(I831/(G831-H831),0)&gt;MIN(F831,J831),"未回本",MAX(1,ROUNDUP(I831/(G831-H831),0))))</x:f>
        <x:v>未回本</x:v>
      </x:c>
    </x:row>
    <x:row r="832" ht="22" customHeight="1">
      <x:c r="A832" s="11" t="str">
        <x:v>lade_0825_10aoi</x:v>
      </x:c>
      <x:c r="B832" s="10" t="n">
        <x:v>10</x:v>
      </x:c>
      <x:c r="C832" s="10" t="n">
        <x:v>44</x:v>
      </x:c>
      <x:c r="D832" s="10" t="str">
        <x:v>M1 / M3</x:v>
      </x:c>
      <x:c r="E832" s="16" t="n">
        <x:v>4</x:v>
      </x:c>
      <x:c r="F832" s="14" t="n">
        <x:v>20</x:v>
      </x:c>
      <x:c r="G832" s="26" t="n">
        <x:f>'成本明细'!U116+'成本明细'!G116*(E832-'参数'!$B$6)</x:f>
        <x:v>1785.4312734355556</x:v>
      </x:c>
      <x:c r="H832" s="26" t="n">
        <x:f>'成本明细'!U122</x:f>
        <x:v>2286.8293632788886</x:v>
      </x:c>
      <x:c r="I832" s="26" t="n">
        <x:f>'成本明细'!V122</x:f>
        <x:v>4270.5</x:v>
      </x:c>
      <x:c r="J832" s="22" t="n">
        <x:f>'参数'!$B$9</x:f>
        <x:v>300</x:v>
      </x:c>
      <x:c r="K832" s="26" t="n">
        <x:f>J832*(G832-H832)-I832*ROUNDUP(J832/F832,0)</x:f>
        <x:v>-214476.92695299993</x:v>
      </x:c>
      <x:c r="L832" s="10" t="str">
        <x:f>IF(G832-H832&lt;=0,"未回本",IF(ROUNDUP(I832/(G832-H832),0)&gt;MIN(F832,J832),"未回本",MAX(1,ROUNDUP(I832/(G832-H832),0))))</x:f>
        <x:v>未回本</x:v>
      </x:c>
    </x:row>
    <x:row r="833" ht="22" customHeight="1">
      <x:c r="A833" s="11" t="str">
        <x:v>lade_0825_10aoi</x:v>
      </x:c>
      <x:c r="B833" s="10" t="n">
        <x:v>10</x:v>
      </x:c>
      <x:c r="C833" s="10" t="n">
        <x:v>44</x:v>
      </x:c>
      <x:c r="D833" s="10" t="str">
        <x:v>M2 / M4</x:v>
      </x:c>
      <x:c r="E833" s="16" t="n">
        <x:v>4</x:v>
      </x:c>
      <x:c r="F833" s="14" t="n">
        <x:v>20</x:v>
      </x:c>
      <x:c r="G833" s="26" t="n">
        <x:f>'成本明细'!U119+'成本明细'!G119*(E833-'参数'!$B$6)</x:f>
        <x:v>1785.4312734355556</x:v>
      </x:c>
      <x:c r="H833" s="26" t="n">
        <x:f>'成本明细'!U125</x:f>
        <x:v>2280.0469773355553</x:v>
      </x:c>
      <x:c r="I833" s="26" t="n">
        <x:f>'成本明细'!V125</x:f>
        <x:v>4270.5</x:v>
      </x:c>
      <x:c r="J833" s="22" t="n">
        <x:f>'参数'!$B$9</x:f>
        <x:v>300</x:v>
      </x:c>
      <x:c r="K833" s="26" t="n">
        <x:f>J833*(G833-H833)-I833*ROUNDUP(J833/F833,0)</x:f>
        <x:v>-212442.21116999994</x:v>
      </x:c>
      <x:c r="L833" s="10" t="str">
        <x:f>IF(G833-H833&lt;=0,"未回本",IF(ROUNDUP(I833/(G833-H833),0)&gt;MIN(F833,J833),"未回本",MAX(1,ROUNDUP(I833/(G833-H833),0))))</x:f>
        <x:v>未回本</x:v>
      </x:c>
    </x:row>
    <x:row r="834" ht="22" customHeight="1">
      <x:c r="A834" s="11" t="str">
        <x:v>lade_0825_10aoi</x:v>
      </x:c>
      <x:c r="B834" s="10" t="n">
        <x:v>10</x:v>
      </x:c>
      <x:c r="C834" s="10" t="n">
        <x:v>44</x:v>
      </x:c>
      <x:c r="D834" s="10" t="str">
        <x:v>M1 / M3</x:v>
      </x:c>
      <x:c r="E834" s="16" t="n">
        <x:v>4</x:v>
      </x:c>
      <x:c r="F834" s="14" t="n">
        <x:v>30</x:v>
      </x:c>
      <x:c r="G834" s="26" t="n">
        <x:f>'成本明细'!U116+'成本明细'!G116*(E834-'参数'!$B$6)</x:f>
        <x:v>1785.4312734355556</x:v>
      </x:c>
      <x:c r="H834" s="26" t="n">
        <x:f>'成本明细'!U122</x:f>
        <x:v>2286.8293632788886</x:v>
      </x:c>
      <x:c r="I834" s="26" t="n">
        <x:f>'成本明细'!V122</x:f>
        <x:v>4270.5</x:v>
      </x:c>
      <x:c r="J834" s="22" t="n">
        <x:f>'参数'!$B$9</x:f>
        <x:v>300</x:v>
      </x:c>
      <x:c r="K834" s="26" t="n">
        <x:f>J834*(G834-H834)-I834*ROUNDUP(J834/F834,0)</x:f>
        <x:v>-193124.42695299993</x:v>
      </x:c>
      <x:c r="L834" s="10" t="str">
        <x:f>IF(G834-H834&lt;=0,"未回本",IF(ROUNDUP(I834/(G834-H834),0)&gt;MIN(F834,J834),"未回本",MAX(1,ROUNDUP(I834/(G834-H834),0))))</x:f>
        <x:v>未回本</x:v>
      </x:c>
    </x:row>
    <x:row r="835" ht="22" customHeight="1">
      <x:c r="A835" s="11" t="str">
        <x:v>lade_0825_10aoi</x:v>
      </x:c>
      <x:c r="B835" s="10" t="n">
        <x:v>10</x:v>
      </x:c>
      <x:c r="C835" s="10" t="n">
        <x:v>44</x:v>
      </x:c>
      <x:c r="D835" s="10" t="str">
        <x:v>M2 / M4</x:v>
      </x:c>
      <x:c r="E835" s="16" t="n">
        <x:v>4</x:v>
      </x:c>
      <x:c r="F835" s="14" t="n">
        <x:v>30</x:v>
      </x:c>
      <x:c r="G835" s="26" t="n">
        <x:f>'成本明细'!U119+'成本明细'!G119*(E835-'参数'!$B$6)</x:f>
        <x:v>1785.4312734355556</x:v>
      </x:c>
      <x:c r="H835" s="26" t="n">
        <x:f>'成本明细'!U125</x:f>
        <x:v>2280.0469773355553</x:v>
      </x:c>
      <x:c r="I835" s="26" t="n">
        <x:f>'成本明细'!V125</x:f>
        <x:v>4270.5</x:v>
      </x:c>
      <x:c r="J835" s="22" t="n">
        <x:f>'参数'!$B$9</x:f>
        <x:v>300</x:v>
      </x:c>
      <x:c r="K835" s="26" t="n">
        <x:f>J835*(G835-H835)-I835*ROUNDUP(J835/F835,0)</x:f>
        <x:v>-191089.71116999994</x:v>
      </x:c>
      <x:c r="L835" s="10" t="str">
        <x:f>IF(G835-H835&lt;=0,"未回本",IF(ROUNDUP(I835/(G835-H835),0)&gt;MIN(F835,J835),"未回本",MAX(1,ROUNDUP(I835/(G835-H835),0))))</x:f>
        <x:v>未回本</x:v>
      </x:c>
    </x:row>
    <x:row r="836" ht="22" customHeight="1">
      <x:c r="A836" s="11" t="str">
        <x:v>lade_0825_10aoi</x:v>
      </x:c>
      <x:c r="B836" s="10" t="n">
        <x:v>10</x:v>
      </x:c>
      <x:c r="C836" s="10" t="n">
        <x:v>44</x:v>
      </x:c>
      <x:c r="D836" s="10" t="str">
        <x:v>M1 / M3</x:v>
      </x:c>
      <x:c r="E836" s="16" t="n">
        <x:v>4</x:v>
      </x:c>
      <x:c r="F836" s="14" t="n">
        <x:v>50</x:v>
      </x:c>
      <x:c r="G836" s="26" t="n">
        <x:f>'成本明细'!U116+'成本明细'!G116*(E836-'参数'!$B$6)</x:f>
        <x:v>1785.4312734355556</x:v>
      </x:c>
      <x:c r="H836" s="26" t="n">
        <x:f>'成本明细'!U122</x:f>
        <x:v>2286.8293632788886</x:v>
      </x:c>
      <x:c r="I836" s="26" t="n">
        <x:f>'成本明细'!V122</x:f>
        <x:v>4270.5</x:v>
      </x:c>
      <x:c r="J836" s="22" t="n">
        <x:f>'参数'!$B$9</x:f>
        <x:v>300</x:v>
      </x:c>
      <x:c r="K836" s="26" t="n">
        <x:f>J836*(G836-H836)-I836*ROUNDUP(J836/F836,0)</x:f>
        <x:v>-176042.42695299993</x:v>
      </x:c>
      <x:c r="L836" s="10" t="str">
        <x:f>IF(G836-H836&lt;=0,"未回本",IF(ROUNDUP(I836/(G836-H836),0)&gt;MIN(F836,J836),"未回本",MAX(1,ROUNDUP(I836/(G836-H836),0))))</x:f>
        <x:v>未回本</x:v>
      </x:c>
    </x:row>
    <x:row r="837" ht="22" customHeight="1">
      <x:c r="A837" s="11" t="str">
        <x:v>lade_0825_10aoi</x:v>
      </x:c>
      <x:c r="B837" s="10" t="n">
        <x:v>10</x:v>
      </x:c>
      <x:c r="C837" s="10" t="n">
        <x:v>44</x:v>
      </x:c>
      <x:c r="D837" s="10" t="str">
        <x:v>M2 / M4</x:v>
      </x:c>
      <x:c r="E837" s="16" t="n">
        <x:v>4</x:v>
      </x:c>
      <x:c r="F837" s="14" t="n">
        <x:v>50</x:v>
      </x:c>
      <x:c r="G837" s="26" t="n">
        <x:f>'成本明细'!U119+'成本明细'!G119*(E837-'参数'!$B$6)</x:f>
        <x:v>1785.4312734355556</x:v>
      </x:c>
      <x:c r="H837" s="26" t="n">
        <x:f>'成本明细'!U125</x:f>
        <x:v>2280.0469773355553</x:v>
      </x:c>
      <x:c r="I837" s="26" t="n">
        <x:f>'成本明细'!V125</x:f>
        <x:v>4270.5</x:v>
      </x:c>
      <x:c r="J837" s="22" t="n">
        <x:f>'参数'!$B$9</x:f>
        <x:v>300</x:v>
      </x:c>
      <x:c r="K837" s="26" t="n">
        <x:f>J837*(G837-H837)-I837*ROUNDUP(J837/F837,0)</x:f>
        <x:v>-174007.71116999994</x:v>
      </x:c>
      <x:c r="L837" s="10" t="str">
        <x:f>IF(G837-H837&lt;=0,"未回本",IF(ROUNDUP(I837/(G837-H837),0)&gt;MIN(F837,J837),"未回本",MAX(1,ROUNDUP(I837/(G837-H837),0))))</x:f>
        <x:v>未回本</x:v>
      </x:c>
    </x:row>
    <x:row r="838" ht="22" customHeight="1">
      <x:c r="A838" s="11" t="str">
        <x:v>lade_0825_10aoi</x:v>
      </x:c>
      <x:c r="B838" s="10" t="n">
        <x:v>10</x:v>
      </x:c>
      <x:c r="C838" s="10" t="n">
        <x:v>44</x:v>
      </x:c>
      <x:c r="D838" s="10" t="str">
        <x:v>M1 / M3</x:v>
      </x:c>
      <x:c r="E838" s="16" t="n">
        <x:v>5</x:v>
      </x:c>
      <x:c r="F838" s="14" t="n">
        <x:v>10</x:v>
      </x:c>
      <x:c r="G838" s="26" t="n">
        <x:f>'成本明细'!U116+'成本明细'!G116*(E838-'参数'!$B$6)</x:f>
        <x:v>1902.4312734355556</x:v>
      </x:c>
      <x:c r="H838" s="26" t="n">
        <x:f>'成本明细'!U122</x:f>
        <x:v>2286.8293632788886</x:v>
      </x:c>
      <x:c r="I838" s="26" t="n">
        <x:f>'成本明细'!V122</x:f>
        <x:v>4270.5</x:v>
      </x:c>
      <x:c r="J838" s="22" t="n">
        <x:f>'参数'!$B$9</x:f>
        <x:v>300</x:v>
      </x:c>
      <x:c r="K838" s="26" t="n">
        <x:f>J838*(G838-H838)-I838*ROUNDUP(J838/F838,0)</x:f>
        <x:v>-243434.42695299993</x:v>
      </x:c>
      <x:c r="L838" s="10" t="str">
        <x:f>IF(G838-H838&lt;=0,"未回本",IF(ROUNDUP(I838/(G838-H838),0)&gt;MIN(F838,J838),"未回本",MAX(1,ROUNDUP(I838/(G838-H838),0))))</x:f>
        <x:v>未回本</x:v>
      </x:c>
    </x:row>
    <x:row r="839" ht="22" customHeight="1">
      <x:c r="A839" s="11" t="str">
        <x:v>lade_0825_10aoi</x:v>
      </x:c>
      <x:c r="B839" s="10" t="n">
        <x:v>10</x:v>
      </x:c>
      <x:c r="C839" s="10" t="n">
        <x:v>44</x:v>
      </x:c>
      <x:c r="D839" s="10" t="str">
        <x:v>M2 / M4</x:v>
      </x:c>
      <x:c r="E839" s="16" t="n">
        <x:v>5</x:v>
      </x:c>
      <x:c r="F839" s="14" t="n">
        <x:v>10</x:v>
      </x:c>
      <x:c r="G839" s="26" t="n">
        <x:f>'成本明细'!U119+'成本明细'!G119*(E839-'参数'!$B$6)</x:f>
        <x:v>1902.4312734355556</x:v>
      </x:c>
      <x:c r="H839" s="26" t="n">
        <x:f>'成本明细'!U125</x:f>
        <x:v>2280.0469773355553</x:v>
      </x:c>
      <x:c r="I839" s="26" t="n">
        <x:f>'成本明细'!V125</x:f>
        <x:v>4270.5</x:v>
      </x:c>
      <x:c r="J839" s="22" t="n">
        <x:f>'参数'!$B$9</x:f>
        <x:v>300</x:v>
      </x:c>
      <x:c r="K839" s="26" t="n">
        <x:f>J839*(G839-H839)-I839*ROUNDUP(J839/F839,0)</x:f>
        <x:v>-241399.7111699999</x:v>
      </x:c>
      <x:c r="L839" s="10" t="str">
        <x:f>IF(G839-H839&lt;=0,"未回本",IF(ROUNDUP(I839/(G839-H839),0)&gt;MIN(F839,J839),"未回本",MAX(1,ROUNDUP(I839/(G839-H839),0))))</x:f>
        <x:v>未回本</x:v>
      </x:c>
    </x:row>
    <x:row r="840" ht="22" customHeight="1">
      <x:c r="A840" s="11" t="str">
        <x:v>lade_0825_10aoi</x:v>
      </x:c>
      <x:c r="B840" s="10" t="n">
        <x:v>10</x:v>
      </x:c>
      <x:c r="C840" s="10" t="n">
        <x:v>44</x:v>
      </x:c>
      <x:c r="D840" s="10" t="str">
        <x:v>M1 / M3</x:v>
      </x:c>
      <x:c r="E840" s="16" t="n">
        <x:v>5</x:v>
      </x:c>
      <x:c r="F840" s="14" t="n">
        <x:v>20</x:v>
      </x:c>
      <x:c r="G840" s="26" t="n">
        <x:f>'成本明细'!U116+'成本明细'!G116*(E840-'参数'!$B$6)</x:f>
        <x:v>1902.4312734355556</x:v>
      </x:c>
      <x:c r="H840" s="26" t="n">
        <x:f>'成本明细'!U122</x:f>
        <x:v>2286.8293632788886</x:v>
      </x:c>
      <x:c r="I840" s="26" t="n">
        <x:f>'成本明细'!V122</x:f>
        <x:v>4270.5</x:v>
      </x:c>
      <x:c r="J840" s="22" t="n">
        <x:f>'参数'!$B$9</x:f>
        <x:v>300</x:v>
      </x:c>
      <x:c r="K840" s="26" t="n">
        <x:f>J840*(G840-H840)-I840*ROUNDUP(J840/F840,0)</x:f>
        <x:v>-179376.92695299993</x:v>
      </x:c>
      <x:c r="L840" s="10" t="str">
        <x:f>IF(G840-H840&lt;=0,"未回本",IF(ROUNDUP(I840/(G840-H840),0)&gt;MIN(F840,J840),"未回本",MAX(1,ROUNDUP(I840/(G840-H840),0))))</x:f>
        <x:v>未回本</x:v>
      </x:c>
    </x:row>
    <x:row r="841" ht="22" customHeight="1">
      <x:c r="A841" s="11" t="str">
        <x:v>lade_0825_10aoi</x:v>
      </x:c>
      <x:c r="B841" s="10" t="n">
        <x:v>10</x:v>
      </x:c>
      <x:c r="C841" s="10" t="n">
        <x:v>44</x:v>
      </x:c>
      <x:c r="D841" s="10" t="str">
        <x:v>M2 / M4</x:v>
      </x:c>
      <x:c r="E841" s="16" t="n">
        <x:v>5</x:v>
      </x:c>
      <x:c r="F841" s="14" t="n">
        <x:v>20</x:v>
      </x:c>
      <x:c r="G841" s="26" t="n">
        <x:f>'成本明细'!U119+'成本明细'!G119*(E841-'参数'!$B$6)</x:f>
        <x:v>1902.4312734355556</x:v>
      </x:c>
      <x:c r="H841" s="26" t="n">
        <x:f>'成本明细'!U125</x:f>
        <x:v>2280.0469773355553</x:v>
      </x:c>
      <x:c r="I841" s="26" t="n">
        <x:f>'成本明细'!V125</x:f>
        <x:v>4270.5</x:v>
      </x:c>
      <x:c r="J841" s="22" t="n">
        <x:f>'参数'!$B$9</x:f>
        <x:v>300</x:v>
      </x:c>
      <x:c r="K841" s="26" t="n">
        <x:f>J841*(G841-H841)-I841*ROUNDUP(J841/F841,0)</x:f>
        <x:v>-177342.2111699999</x:v>
      </x:c>
      <x:c r="L841" s="10" t="str">
        <x:f>IF(G841-H841&lt;=0,"未回本",IF(ROUNDUP(I841/(G841-H841),0)&gt;MIN(F841,J841),"未回本",MAX(1,ROUNDUP(I841/(G841-H841),0))))</x:f>
        <x:v>未回本</x:v>
      </x:c>
    </x:row>
    <x:row r="842" ht="22" customHeight="1">
      <x:c r="A842" s="11" t="str">
        <x:v>lade_0825_10aoi</x:v>
      </x:c>
      <x:c r="B842" s="10" t="n">
        <x:v>10</x:v>
      </x:c>
      <x:c r="C842" s="10" t="n">
        <x:v>44</x:v>
      </x:c>
      <x:c r="D842" s="10" t="str">
        <x:v>M1 / M3</x:v>
      </x:c>
      <x:c r="E842" s="16" t="n">
        <x:v>5</x:v>
      </x:c>
      <x:c r="F842" s="14" t="n">
        <x:v>30</x:v>
      </x:c>
      <x:c r="G842" s="26" t="n">
        <x:f>'成本明细'!U116+'成本明细'!G116*(E842-'参数'!$B$6)</x:f>
        <x:v>1902.4312734355556</x:v>
      </x:c>
      <x:c r="H842" s="26" t="n">
        <x:f>'成本明细'!U122</x:f>
        <x:v>2286.8293632788886</x:v>
      </x:c>
      <x:c r="I842" s="26" t="n">
        <x:f>'成本明细'!V122</x:f>
        <x:v>4270.5</x:v>
      </x:c>
      <x:c r="J842" s="22" t="n">
        <x:f>'参数'!$B$9</x:f>
        <x:v>300</x:v>
      </x:c>
      <x:c r="K842" s="26" t="n">
        <x:f>J842*(G842-H842)-I842*ROUNDUP(J842/F842,0)</x:f>
        <x:v>-158024.42695299993</x:v>
      </x:c>
      <x:c r="L842" s="10" t="str">
        <x:f>IF(G842-H842&lt;=0,"未回本",IF(ROUNDUP(I842/(G842-H842),0)&gt;MIN(F842,J842),"未回本",MAX(1,ROUNDUP(I842/(G842-H842),0))))</x:f>
        <x:v>未回本</x:v>
      </x:c>
    </x:row>
    <x:row r="843" ht="22" customHeight="1">
      <x:c r="A843" s="11" t="str">
        <x:v>lade_0825_10aoi</x:v>
      </x:c>
      <x:c r="B843" s="10" t="n">
        <x:v>10</x:v>
      </x:c>
      <x:c r="C843" s="10" t="n">
        <x:v>44</x:v>
      </x:c>
      <x:c r="D843" s="10" t="str">
        <x:v>M2 / M4</x:v>
      </x:c>
      <x:c r="E843" s="16" t="n">
        <x:v>5</x:v>
      </x:c>
      <x:c r="F843" s="14" t="n">
        <x:v>30</x:v>
      </x:c>
      <x:c r="G843" s="26" t="n">
        <x:f>'成本明细'!U119+'成本明细'!G119*(E843-'参数'!$B$6)</x:f>
        <x:v>1902.4312734355556</x:v>
      </x:c>
      <x:c r="H843" s="26" t="n">
        <x:f>'成本明细'!U125</x:f>
        <x:v>2280.0469773355553</x:v>
      </x:c>
      <x:c r="I843" s="26" t="n">
        <x:f>'成本明细'!V125</x:f>
        <x:v>4270.5</x:v>
      </x:c>
      <x:c r="J843" s="22" t="n">
        <x:f>'参数'!$B$9</x:f>
        <x:v>300</x:v>
      </x:c>
      <x:c r="K843" s="26" t="n">
        <x:f>J843*(G843-H843)-I843*ROUNDUP(J843/F843,0)</x:f>
        <x:v>-155989.7111699999</x:v>
      </x:c>
      <x:c r="L843" s="10" t="str">
        <x:f>IF(G843-H843&lt;=0,"未回本",IF(ROUNDUP(I843/(G843-H843),0)&gt;MIN(F843,J843),"未回本",MAX(1,ROUNDUP(I843/(G843-H843),0))))</x:f>
        <x:v>未回本</x:v>
      </x:c>
    </x:row>
    <x:row r="844" ht="22" customHeight="1">
      <x:c r="A844" s="11" t="str">
        <x:v>lade_0825_10aoi</x:v>
      </x:c>
      <x:c r="B844" s="10" t="n">
        <x:v>10</x:v>
      </x:c>
      <x:c r="C844" s="10" t="n">
        <x:v>44</x:v>
      </x:c>
      <x:c r="D844" s="10" t="str">
        <x:v>M1 / M3</x:v>
      </x:c>
      <x:c r="E844" s="16" t="n">
        <x:v>5</x:v>
      </x:c>
      <x:c r="F844" s="14" t="n">
        <x:v>50</x:v>
      </x:c>
      <x:c r="G844" s="26" t="n">
        <x:f>'成本明细'!U116+'成本明细'!G116*(E844-'参数'!$B$6)</x:f>
        <x:v>1902.4312734355556</x:v>
      </x:c>
      <x:c r="H844" s="26" t="n">
        <x:f>'成本明细'!U122</x:f>
        <x:v>2286.8293632788886</x:v>
      </x:c>
      <x:c r="I844" s="26" t="n">
        <x:f>'成本明细'!V122</x:f>
        <x:v>4270.5</x:v>
      </x:c>
      <x:c r="J844" s="22" t="n">
        <x:f>'参数'!$B$9</x:f>
        <x:v>300</x:v>
      </x:c>
      <x:c r="K844" s="26" t="n">
        <x:f>J844*(G844-H844)-I844*ROUNDUP(J844/F844,0)</x:f>
        <x:v>-140942.42695299993</x:v>
      </x:c>
      <x:c r="L844" s="10" t="str">
        <x:f>IF(G844-H844&lt;=0,"未回本",IF(ROUNDUP(I844/(G844-H844),0)&gt;MIN(F844,J844),"未回本",MAX(1,ROUNDUP(I844/(G844-H844),0))))</x:f>
        <x:v>未回本</x:v>
      </x:c>
    </x:row>
    <x:row r="845" ht="22" customHeight="1">
      <x:c r="A845" s="11" t="str">
        <x:v>lade_0825_10aoi</x:v>
      </x:c>
      <x:c r="B845" s="10" t="n">
        <x:v>10</x:v>
      </x:c>
      <x:c r="C845" s="10" t="n">
        <x:v>44</x:v>
      </x:c>
      <x:c r="D845" s="10" t="str">
        <x:v>M2 / M4</x:v>
      </x:c>
      <x:c r="E845" s="16" t="n">
        <x:v>5</x:v>
      </x:c>
      <x:c r="F845" s="14" t="n">
        <x:v>50</x:v>
      </x:c>
      <x:c r="G845" s="26" t="n">
        <x:f>'成本明细'!U119+'成本明细'!G119*(E845-'参数'!$B$6)</x:f>
        <x:v>1902.4312734355556</x:v>
      </x:c>
      <x:c r="H845" s="26" t="n">
        <x:f>'成本明细'!U125</x:f>
        <x:v>2280.0469773355553</x:v>
      </x:c>
      <x:c r="I845" s="26" t="n">
        <x:f>'成本明细'!V125</x:f>
        <x:v>4270.5</x:v>
      </x:c>
      <x:c r="J845" s="22" t="n">
        <x:f>'参数'!$B$9</x:f>
        <x:v>300</x:v>
      </x:c>
      <x:c r="K845" s="26" t="n">
        <x:f>J845*(G845-H845)-I845*ROUNDUP(J845/F845,0)</x:f>
        <x:v>-138907.7111699999</x:v>
      </x:c>
      <x:c r="L845" s="10" t="str">
        <x:f>IF(G845-H845&lt;=0,"未回本",IF(ROUNDUP(I845/(G845-H845),0)&gt;MIN(F845,J845),"未回本",MAX(1,ROUNDUP(I845/(G845-H845),0))))</x:f>
        <x:v>未回本</x:v>
      </x:c>
    </x:row>
    <x:row r="846" ht="22" customHeight="1">
      <x:c r="A846" s="11" t="str">
        <x:v>lade_0825_20aoi</x:v>
      </x:c>
      <x:c r="B846" s="10" t="n">
        <x:v>20</x:v>
      </x:c>
      <x:c r="C846" s="10" t="n">
        <x:v>42</x:v>
      </x:c>
      <x:c r="D846" s="10" t="str">
        <x:v>M1 / M3</x:v>
      </x:c>
      <x:c r="E846" s="16" t="n">
        <x:v>1</x:v>
      </x:c>
      <x:c r="F846" s="14" t="n">
        <x:v>10</x:v>
      </x:c>
      <x:c r="G846" s="26" t="n">
        <x:f>'成本明细'!U132+'成本明细'!G132*(E846-'参数'!$B$6)</x:f>
        <x:v>2620.268107245</x:v>
      </x:c>
      <x:c r="H846" s="26" t="n">
        <x:f>'成本明细'!U138</x:f>
        <x:v>3614.175335178889</x:v>
      </x:c>
      <x:c r="I846" s="26" t="n">
        <x:f>'成本明细'!V138</x:f>
        <x:v>6898.5</x:v>
      </x:c>
      <x:c r="J846" s="22" t="n">
        <x:f>'参数'!$B$9</x:f>
        <x:v>300</x:v>
      </x:c>
      <x:c r="K846" s="26" t="n">
        <x:f>J846*(G846-H846)-I846*ROUNDUP(J846/F846,0)</x:f>
        <x:v>-505127.16838016664</x:v>
      </x:c>
      <x:c r="L846" s="10" t="str">
        <x:f>IF(G846-H846&lt;=0,"未回本",IF(ROUNDUP(I846/(G846-H846),0)&gt;MIN(F846,J846),"未回本",MAX(1,ROUNDUP(I846/(G846-H846),0))))</x:f>
        <x:v>未回本</x:v>
      </x:c>
    </x:row>
    <x:row r="847" ht="22" customHeight="1">
      <x:c r="A847" s="11" t="str">
        <x:v>lade_0825_20aoi</x:v>
      </x:c>
      <x:c r="B847" s="10" t="n">
        <x:v>20</x:v>
      </x:c>
      <x:c r="C847" s="10" t="n">
        <x:v>42</x:v>
      </x:c>
      <x:c r="D847" s="10" t="str">
        <x:v>M2 / M4</x:v>
      </x:c>
      <x:c r="E847" s="16" t="n">
        <x:v>1</x:v>
      </x:c>
      <x:c r="F847" s="14" t="n">
        <x:v>10</x:v>
      </x:c>
      <x:c r="G847" s="26" t="n">
        <x:f>'成本明细'!U135+'成本明细'!G135*(E847-'参数'!$B$6)</x:f>
        <x:v>2176.1900126594446</x:v>
      </x:c>
      <x:c r="H847" s="26" t="n">
        <x:f>'成本明细'!U141</x:f>
        <x:v>4561.705416384443</x:v>
      </x:c>
      <x:c r="I847" s="26" t="n">
        <x:f>'成本明细'!V141</x:f>
        <x:v>6898.5</x:v>
      </x:c>
      <x:c r="J847" s="22" t="n">
        <x:f>'参数'!$B$9</x:f>
        <x:v>300</x:v>
      </x:c>
      <x:c r="K847" s="26" t="n">
        <x:f>J847*(G847-H847)-I847*ROUNDUP(J847/F847,0)</x:f>
        <x:v>-922609.6211174995</x:v>
      </x:c>
      <x:c r="L847" s="10" t="str">
        <x:f>IF(G847-H847&lt;=0,"未回本",IF(ROUNDUP(I847/(G847-H847),0)&gt;MIN(F847,J847),"未回本",MAX(1,ROUNDUP(I847/(G847-H847),0))))</x:f>
        <x:v>未回本</x:v>
      </x:c>
    </x:row>
    <x:row r="848" ht="22" customHeight="1">
      <x:c r="A848" s="11" t="str">
        <x:v>lade_0825_20aoi</x:v>
      </x:c>
      <x:c r="B848" s="10" t="n">
        <x:v>20</x:v>
      </x:c>
      <x:c r="C848" s="10" t="n">
        <x:v>42</x:v>
      </x:c>
      <x:c r="D848" s="10" t="str">
        <x:v>M1 / M3</x:v>
      </x:c>
      <x:c r="E848" s="16" t="n">
        <x:v>1</x:v>
      </x:c>
      <x:c r="F848" s="14" t="n">
        <x:v>20</x:v>
      </x:c>
      <x:c r="G848" s="26" t="n">
        <x:f>'成本明细'!U132+'成本明细'!G132*(E848-'参数'!$B$6)</x:f>
        <x:v>2620.268107245</x:v>
      </x:c>
      <x:c r="H848" s="26" t="n">
        <x:f>'成本明细'!U138</x:f>
        <x:v>3614.175335178889</x:v>
      </x:c>
      <x:c r="I848" s="26" t="n">
        <x:f>'成本明细'!V138</x:f>
        <x:v>6898.5</x:v>
      </x:c>
      <x:c r="J848" s="22" t="n">
        <x:f>'参数'!$B$9</x:f>
        <x:v>300</x:v>
      </x:c>
      <x:c r="K848" s="26" t="n">
        <x:f>J848*(G848-H848)-I848*ROUNDUP(J848/F848,0)</x:f>
        <x:v>-401649.66838016664</x:v>
      </x:c>
      <x:c r="L848" s="10" t="str">
        <x:f>IF(G848-H848&lt;=0,"未回本",IF(ROUNDUP(I848/(G848-H848),0)&gt;MIN(F848,J848),"未回本",MAX(1,ROUNDUP(I848/(G848-H848),0))))</x:f>
        <x:v>未回本</x:v>
      </x:c>
    </x:row>
    <x:row r="849" ht="22" customHeight="1">
      <x:c r="A849" s="11" t="str">
        <x:v>lade_0825_20aoi</x:v>
      </x:c>
      <x:c r="B849" s="10" t="n">
        <x:v>20</x:v>
      </x:c>
      <x:c r="C849" s="10" t="n">
        <x:v>42</x:v>
      </x:c>
      <x:c r="D849" s="10" t="str">
        <x:v>M2 / M4</x:v>
      </x:c>
      <x:c r="E849" s="16" t="n">
        <x:v>1</x:v>
      </x:c>
      <x:c r="F849" s="14" t="n">
        <x:v>20</x:v>
      </x:c>
      <x:c r="G849" s="26" t="n">
        <x:f>'成本明细'!U135+'成本明细'!G135*(E849-'参数'!$B$6)</x:f>
        <x:v>2176.1900126594446</x:v>
      </x:c>
      <x:c r="H849" s="26" t="n">
        <x:f>'成本明细'!U141</x:f>
        <x:v>4561.705416384443</x:v>
      </x:c>
      <x:c r="I849" s="26" t="n">
        <x:f>'成本明细'!V141</x:f>
        <x:v>6898.5</x:v>
      </x:c>
      <x:c r="J849" s="22" t="n">
        <x:f>'参数'!$B$9</x:f>
        <x:v>300</x:v>
      </x:c>
      <x:c r="K849" s="26" t="n">
        <x:f>J849*(G849-H849)-I849*ROUNDUP(J849/F849,0)</x:f>
        <x:v>-819132.1211174995</x:v>
      </x:c>
      <x:c r="L849" s="10" t="str">
        <x:f>IF(G849-H849&lt;=0,"未回本",IF(ROUNDUP(I849/(G849-H849),0)&gt;MIN(F849,J849),"未回本",MAX(1,ROUNDUP(I849/(G849-H849),0))))</x:f>
        <x:v>未回本</x:v>
      </x:c>
    </x:row>
    <x:row r="850" ht="22" customHeight="1">
      <x:c r="A850" s="11" t="str">
        <x:v>lade_0825_20aoi</x:v>
      </x:c>
      <x:c r="B850" s="10" t="n">
        <x:v>20</x:v>
      </x:c>
      <x:c r="C850" s="10" t="n">
        <x:v>42</x:v>
      </x:c>
      <x:c r="D850" s="10" t="str">
        <x:v>M1 / M3</x:v>
      </x:c>
      <x:c r="E850" s="16" t="n">
        <x:v>1</x:v>
      </x:c>
      <x:c r="F850" s="14" t="n">
        <x:v>30</x:v>
      </x:c>
      <x:c r="G850" s="26" t="n">
        <x:f>'成本明细'!U132+'成本明细'!G132*(E850-'参数'!$B$6)</x:f>
        <x:v>2620.268107245</x:v>
      </x:c>
      <x:c r="H850" s="26" t="n">
        <x:f>'成本明细'!U138</x:f>
        <x:v>3614.175335178889</x:v>
      </x:c>
      <x:c r="I850" s="26" t="n">
        <x:f>'成本明细'!V138</x:f>
        <x:v>6898.5</x:v>
      </x:c>
      <x:c r="J850" s="22" t="n">
        <x:f>'参数'!$B$9</x:f>
        <x:v>300</x:v>
      </x:c>
      <x:c r="K850" s="26" t="n">
        <x:f>J850*(G850-H850)-I850*ROUNDUP(J850/F850,0)</x:f>
        <x:v>-367157.16838016664</x:v>
      </x:c>
      <x:c r="L850" s="10" t="str">
        <x:f>IF(G850-H850&lt;=0,"未回本",IF(ROUNDUP(I850/(G850-H850),0)&gt;MIN(F850,J850),"未回本",MAX(1,ROUNDUP(I850/(G850-H850),0))))</x:f>
        <x:v>未回本</x:v>
      </x:c>
    </x:row>
    <x:row r="851" ht="22" customHeight="1">
      <x:c r="A851" s="11" t="str">
        <x:v>lade_0825_20aoi</x:v>
      </x:c>
      <x:c r="B851" s="10" t="n">
        <x:v>20</x:v>
      </x:c>
      <x:c r="C851" s="10" t="n">
        <x:v>42</x:v>
      </x:c>
      <x:c r="D851" s="10" t="str">
        <x:v>M2 / M4</x:v>
      </x:c>
      <x:c r="E851" s="16" t="n">
        <x:v>1</x:v>
      </x:c>
      <x:c r="F851" s="14" t="n">
        <x:v>30</x:v>
      </x:c>
      <x:c r="G851" s="26" t="n">
        <x:f>'成本明细'!U135+'成本明细'!G135*(E851-'参数'!$B$6)</x:f>
        <x:v>2176.1900126594446</x:v>
      </x:c>
      <x:c r="H851" s="26" t="n">
        <x:f>'成本明细'!U141</x:f>
        <x:v>4561.705416384443</x:v>
      </x:c>
      <x:c r="I851" s="26" t="n">
        <x:f>'成本明细'!V141</x:f>
        <x:v>6898.5</x:v>
      </x:c>
      <x:c r="J851" s="22" t="n">
        <x:f>'参数'!$B$9</x:f>
        <x:v>300</x:v>
      </x:c>
      <x:c r="K851" s="26" t="n">
        <x:f>J851*(G851-H851)-I851*ROUNDUP(J851/F851,0)</x:f>
        <x:v>-784639.6211174995</x:v>
      </x:c>
      <x:c r="L851" s="10" t="str">
        <x:f>IF(G851-H851&lt;=0,"未回本",IF(ROUNDUP(I851/(G851-H851),0)&gt;MIN(F851,J851),"未回本",MAX(1,ROUNDUP(I851/(G851-H851),0))))</x:f>
        <x:v>未回本</x:v>
      </x:c>
    </x:row>
    <x:row r="852" ht="22" customHeight="1">
      <x:c r="A852" s="11" t="str">
        <x:v>lade_0825_20aoi</x:v>
      </x:c>
      <x:c r="B852" s="10" t="n">
        <x:v>20</x:v>
      </x:c>
      <x:c r="C852" s="10" t="n">
        <x:v>42</x:v>
      </x:c>
      <x:c r="D852" s="10" t="str">
        <x:v>M1 / M3</x:v>
      </x:c>
      <x:c r="E852" s="16" t="n">
        <x:v>1</x:v>
      </x:c>
      <x:c r="F852" s="14" t="n">
        <x:v>50</x:v>
      </x:c>
      <x:c r="G852" s="26" t="n">
        <x:f>'成本明细'!U132+'成本明细'!G132*(E852-'参数'!$B$6)</x:f>
        <x:v>2620.268107245</x:v>
      </x:c>
      <x:c r="H852" s="26" t="n">
        <x:f>'成本明细'!U138</x:f>
        <x:v>3614.175335178889</x:v>
      </x:c>
      <x:c r="I852" s="26" t="n">
        <x:f>'成本明细'!V138</x:f>
        <x:v>6898.5</x:v>
      </x:c>
      <x:c r="J852" s="22" t="n">
        <x:f>'参数'!$B$9</x:f>
        <x:v>300</x:v>
      </x:c>
      <x:c r="K852" s="26" t="n">
        <x:f>J852*(G852-H852)-I852*ROUNDUP(J852/F852,0)</x:f>
        <x:v>-339563.16838016664</x:v>
      </x:c>
      <x:c r="L852" s="10" t="str">
        <x:f>IF(G852-H852&lt;=0,"未回本",IF(ROUNDUP(I852/(G852-H852),0)&gt;MIN(F852,J852),"未回本",MAX(1,ROUNDUP(I852/(G852-H852),0))))</x:f>
        <x:v>未回本</x:v>
      </x:c>
    </x:row>
    <x:row r="853" ht="22" customHeight="1">
      <x:c r="A853" s="11" t="str">
        <x:v>lade_0825_20aoi</x:v>
      </x:c>
      <x:c r="B853" s="10" t="n">
        <x:v>20</x:v>
      </x:c>
      <x:c r="C853" s="10" t="n">
        <x:v>42</x:v>
      </x:c>
      <x:c r="D853" s="10" t="str">
        <x:v>M2 / M4</x:v>
      </x:c>
      <x:c r="E853" s="16" t="n">
        <x:v>1</x:v>
      </x:c>
      <x:c r="F853" s="14" t="n">
        <x:v>50</x:v>
      </x:c>
      <x:c r="G853" s="26" t="n">
        <x:f>'成本明细'!U135+'成本明细'!G135*(E853-'参数'!$B$6)</x:f>
        <x:v>2176.1900126594446</x:v>
      </x:c>
      <x:c r="H853" s="26" t="n">
        <x:f>'成本明细'!U141</x:f>
        <x:v>4561.705416384443</x:v>
      </x:c>
      <x:c r="I853" s="26" t="n">
        <x:f>'成本明细'!V141</x:f>
        <x:v>6898.5</x:v>
      </x:c>
      <x:c r="J853" s="22" t="n">
        <x:f>'参数'!$B$9</x:f>
        <x:v>300</x:v>
      </x:c>
      <x:c r="K853" s="26" t="n">
        <x:f>J853*(G853-H853)-I853*ROUNDUP(J853/F853,0)</x:f>
        <x:v>-757045.6211174995</x:v>
      </x:c>
      <x:c r="L853" s="10" t="str">
        <x:f>IF(G853-H853&lt;=0,"未回本",IF(ROUNDUP(I853/(G853-H853),0)&gt;MIN(F853,J853),"未回本",MAX(1,ROUNDUP(I853/(G853-H853),0))))</x:f>
        <x:v>未回本</x:v>
      </x:c>
    </x:row>
    <x:row r="854" ht="22" customHeight="1">
      <x:c r="A854" s="11" t="str">
        <x:v>lade_0825_20aoi</x:v>
      </x:c>
      <x:c r="B854" s="10" t="n">
        <x:v>20</x:v>
      </x:c>
      <x:c r="C854" s="10" t="n">
        <x:v>42</x:v>
      </x:c>
      <x:c r="D854" s="10" t="str">
        <x:v>M1 / M3</x:v>
      </x:c>
      <x:c r="E854" s="16" t="n">
        <x:v>2</x:v>
      </x:c>
      <x:c r="F854" s="14" t="n">
        <x:v>10</x:v>
      </x:c>
      <x:c r="G854" s="26" t="n">
        <x:f>'成本明细'!U132+'成本明细'!G132*(E854-'参数'!$B$6)</x:f>
        <x:v>2809.268107245</x:v>
      </x:c>
      <x:c r="H854" s="26" t="n">
        <x:f>'成本明细'!U138</x:f>
        <x:v>3614.175335178889</x:v>
      </x:c>
      <x:c r="I854" s="26" t="n">
        <x:f>'成本明细'!V138</x:f>
        <x:v>6898.5</x:v>
      </x:c>
      <x:c r="J854" s="22" t="n">
        <x:f>'参数'!$B$9</x:f>
        <x:v>300</x:v>
      </x:c>
      <x:c r="K854" s="26" t="n">
        <x:f>J854*(G854-H854)-I854*ROUNDUP(J854/F854,0)</x:f>
        <x:v>-448427.16838016664</x:v>
      </x:c>
      <x:c r="L854" s="10" t="str">
        <x:f>IF(G854-H854&lt;=0,"未回本",IF(ROUNDUP(I854/(G854-H854),0)&gt;MIN(F854,J854),"未回本",MAX(1,ROUNDUP(I854/(G854-H854),0))))</x:f>
        <x:v>未回本</x:v>
      </x:c>
    </x:row>
    <x:row r="855" ht="22" customHeight="1">
      <x:c r="A855" s="11" t="str">
        <x:v>lade_0825_20aoi</x:v>
      </x:c>
      <x:c r="B855" s="10" t="n">
        <x:v>20</x:v>
      </x:c>
      <x:c r="C855" s="10" t="n">
        <x:v>42</x:v>
      </x:c>
      <x:c r="D855" s="10" t="str">
        <x:v>M2 / M4</x:v>
      </x:c>
      <x:c r="E855" s="16" t="n">
        <x:v>2</x:v>
      </x:c>
      <x:c r="F855" s="14" t="n">
        <x:v>10</x:v>
      </x:c>
      <x:c r="G855" s="26" t="n">
        <x:f>'成本明细'!U135+'成本明细'!G135*(E855-'参数'!$B$6)</x:f>
        <x:v>2365.1900126594446</x:v>
      </x:c>
      <x:c r="H855" s="26" t="n">
        <x:f>'成本明细'!U141</x:f>
        <x:v>4561.705416384443</x:v>
      </x:c>
      <x:c r="I855" s="26" t="n">
        <x:f>'成本明细'!V141</x:f>
        <x:v>6898.5</x:v>
      </x:c>
      <x:c r="J855" s="22" t="n">
        <x:f>'参数'!$B$9</x:f>
        <x:v>300</x:v>
      </x:c>
      <x:c r="K855" s="26" t="n">
        <x:f>J855*(G855-H855)-I855*ROUNDUP(J855/F855,0)</x:f>
        <x:v>-865909.6211174995</x:v>
      </x:c>
      <x:c r="L855" s="10" t="str">
        <x:f>IF(G855-H855&lt;=0,"未回本",IF(ROUNDUP(I855/(G855-H855),0)&gt;MIN(F855,J855),"未回本",MAX(1,ROUNDUP(I855/(G855-H855),0))))</x:f>
        <x:v>未回本</x:v>
      </x:c>
    </x:row>
    <x:row r="856" ht="22" customHeight="1">
      <x:c r="A856" s="11" t="str">
        <x:v>lade_0825_20aoi</x:v>
      </x:c>
      <x:c r="B856" s="10" t="n">
        <x:v>20</x:v>
      </x:c>
      <x:c r="C856" s="10" t="n">
        <x:v>42</x:v>
      </x:c>
      <x:c r="D856" s="10" t="str">
        <x:v>M1 / M3</x:v>
      </x:c>
      <x:c r="E856" s="16" t="n">
        <x:v>2</x:v>
      </x:c>
      <x:c r="F856" s="14" t="n">
        <x:v>20</x:v>
      </x:c>
      <x:c r="G856" s="26" t="n">
        <x:f>'成本明细'!U132+'成本明细'!G132*(E856-'参数'!$B$6)</x:f>
        <x:v>2809.268107245</x:v>
      </x:c>
      <x:c r="H856" s="26" t="n">
        <x:f>'成本明细'!U138</x:f>
        <x:v>3614.175335178889</x:v>
      </x:c>
      <x:c r="I856" s="26" t="n">
        <x:f>'成本明细'!V138</x:f>
        <x:v>6898.5</x:v>
      </x:c>
      <x:c r="J856" s="22" t="n">
        <x:f>'参数'!$B$9</x:f>
        <x:v>300</x:v>
      </x:c>
      <x:c r="K856" s="26" t="n">
        <x:f>J856*(G856-H856)-I856*ROUNDUP(J856/F856,0)</x:f>
        <x:v>-344949.66838016664</x:v>
      </x:c>
      <x:c r="L856" s="10" t="str">
        <x:f>IF(G856-H856&lt;=0,"未回本",IF(ROUNDUP(I856/(G856-H856),0)&gt;MIN(F856,J856),"未回本",MAX(1,ROUNDUP(I856/(G856-H856),0))))</x:f>
        <x:v>未回本</x:v>
      </x:c>
    </x:row>
    <x:row r="857" ht="22" customHeight="1">
      <x:c r="A857" s="11" t="str">
        <x:v>lade_0825_20aoi</x:v>
      </x:c>
      <x:c r="B857" s="10" t="n">
        <x:v>20</x:v>
      </x:c>
      <x:c r="C857" s="10" t="n">
        <x:v>42</x:v>
      </x:c>
      <x:c r="D857" s="10" t="str">
        <x:v>M2 / M4</x:v>
      </x:c>
      <x:c r="E857" s="16" t="n">
        <x:v>2</x:v>
      </x:c>
      <x:c r="F857" s="14" t="n">
        <x:v>20</x:v>
      </x:c>
      <x:c r="G857" s="26" t="n">
        <x:f>'成本明细'!U135+'成本明细'!G135*(E857-'参数'!$B$6)</x:f>
        <x:v>2365.1900126594446</x:v>
      </x:c>
      <x:c r="H857" s="26" t="n">
        <x:f>'成本明细'!U141</x:f>
        <x:v>4561.705416384443</x:v>
      </x:c>
      <x:c r="I857" s="26" t="n">
        <x:f>'成本明细'!V141</x:f>
        <x:v>6898.5</x:v>
      </x:c>
      <x:c r="J857" s="22" t="n">
        <x:f>'参数'!$B$9</x:f>
        <x:v>300</x:v>
      </x:c>
      <x:c r="K857" s="26" t="n">
        <x:f>J857*(G857-H857)-I857*ROUNDUP(J857/F857,0)</x:f>
        <x:v>-762432.1211174995</x:v>
      </x:c>
      <x:c r="L857" s="10" t="str">
        <x:f>IF(G857-H857&lt;=0,"未回本",IF(ROUNDUP(I857/(G857-H857),0)&gt;MIN(F857,J857),"未回本",MAX(1,ROUNDUP(I857/(G857-H857),0))))</x:f>
        <x:v>未回本</x:v>
      </x:c>
    </x:row>
    <x:row r="858" ht="22" customHeight="1">
      <x:c r="A858" s="11" t="str">
        <x:v>lade_0825_20aoi</x:v>
      </x:c>
      <x:c r="B858" s="10" t="n">
        <x:v>20</x:v>
      </x:c>
      <x:c r="C858" s="10" t="n">
        <x:v>42</x:v>
      </x:c>
      <x:c r="D858" s="10" t="str">
        <x:v>M1 / M3</x:v>
      </x:c>
      <x:c r="E858" s="16" t="n">
        <x:v>2</x:v>
      </x:c>
      <x:c r="F858" s="14" t="n">
        <x:v>30</x:v>
      </x:c>
      <x:c r="G858" s="26" t="n">
        <x:f>'成本明细'!U132+'成本明细'!G132*(E858-'参数'!$B$6)</x:f>
        <x:v>2809.268107245</x:v>
      </x:c>
      <x:c r="H858" s="26" t="n">
        <x:f>'成本明细'!U138</x:f>
        <x:v>3614.175335178889</x:v>
      </x:c>
      <x:c r="I858" s="26" t="n">
        <x:f>'成本明细'!V138</x:f>
        <x:v>6898.5</x:v>
      </x:c>
      <x:c r="J858" s="22" t="n">
        <x:f>'参数'!$B$9</x:f>
        <x:v>300</x:v>
      </x:c>
      <x:c r="K858" s="26" t="n">
        <x:f>J858*(G858-H858)-I858*ROUNDUP(J858/F858,0)</x:f>
        <x:v>-310457.16838016664</x:v>
      </x:c>
      <x:c r="L858" s="10" t="str">
        <x:f>IF(G858-H858&lt;=0,"未回本",IF(ROUNDUP(I858/(G858-H858),0)&gt;MIN(F858,J858),"未回本",MAX(1,ROUNDUP(I858/(G858-H858),0))))</x:f>
        <x:v>未回本</x:v>
      </x:c>
    </x:row>
    <x:row r="859" ht="22" customHeight="1">
      <x:c r="A859" s="11" t="str">
        <x:v>lade_0825_20aoi</x:v>
      </x:c>
      <x:c r="B859" s="10" t="n">
        <x:v>20</x:v>
      </x:c>
      <x:c r="C859" s="10" t="n">
        <x:v>42</x:v>
      </x:c>
      <x:c r="D859" s="10" t="str">
        <x:v>M2 / M4</x:v>
      </x:c>
      <x:c r="E859" s="16" t="n">
        <x:v>2</x:v>
      </x:c>
      <x:c r="F859" s="14" t="n">
        <x:v>30</x:v>
      </x:c>
      <x:c r="G859" s="26" t="n">
        <x:f>'成本明细'!U135+'成本明细'!G135*(E859-'参数'!$B$6)</x:f>
        <x:v>2365.1900126594446</x:v>
      </x:c>
      <x:c r="H859" s="26" t="n">
        <x:f>'成本明细'!U141</x:f>
        <x:v>4561.705416384443</x:v>
      </x:c>
      <x:c r="I859" s="26" t="n">
        <x:f>'成本明细'!V141</x:f>
        <x:v>6898.5</x:v>
      </x:c>
      <x:c r="J859" s="22" t="n">
        <x:f>'参数'!$B$9</x:f>
        <x:v>300</x:v>
      </x:c>
      <x:c r="K859" s="26" t="n">
        <x:f>J859*(G859-H859)-I859*ROUNDUP(J859/F859,0)</x:f>
        <x:v>-727939.6211174995</x:v>
      </x:c>
      <x:c r="L859" s="10" t="str">
        <x:f>IF(G859-H859&lt;=0,"未回本",IF(ROUNDUP(I859/(G859-H859),0)&gt;MIN(F859,J859),"未回本",MAX(1,ROUNDUP(I859/(G859-H859),0))))</x:f>
        <x:v>未回本</x:v>
      </x:c>
    </x:row>
    <x:row r="860" ht="22" customHeight="1">
      <x:c r="A860" s="11" t="str">
        <x:v>lade_0825_20aoi</x:v>
      </x:c>
      <x:c r="B860" s="10" t="n">
        <x:v>20</x:v>
      </x:c>
      <x:c r="C860" s="10" t="n">
        <x:v>42</x:v>
      </x:c>
      <x:c r="D860" s="10" t="str">
        <x:v>M1 / M3</x:v>
      </x:c>
      <x:c r="E860" s="16" t="n">
        <x:v>2</x:v>
      </x:c>
      <x:c r="F860" s="14" t="n">
        <x:v>50</x:v>
      </x:c>
      <x:c r="G860" s="26" t="n">
        <x:f>'成本明细'!U132+'成本明细'!G132*(E860-'参数'!$B$6)</x:f>
        <x:v>2809.268107245</x:v>
      </x:c>
      <x:c r="H860" s="26" t="n">
        <x:f>'成本明细'!U138</x:f>
        <x:v>3614.175335178889</x:v>
      </x:c>
      <x:c r="I860" s="26" t="n">
        <x:f>'成本明细'!V138</x:f>
        <x:v>6898.5</x:v>
      </x:c>
      <x:c r="J860" s="22" t="n">
        <x:f>'参数'!$B$9</x:f>
        <x:v>300</x:v>
      </x:c>
      <x:c r="K860" s="26" t="n">
        <x:f>J860*(G860-H860)-I860*ROUNDUP(J860/F860,0)</x:f>
        <x:v>-282863.16838016664</x:v>
      </x:c>
      <x:c r="L860" s="10" t="str">
        <x:f>IF(G860-H860&lt;=0,"未回本",IF(ROUNDUP(I860/(G860-H860),0)&gt;MIN(F860,J860),"未回本",MAX(1,ROUNDUP(I860/(G860-H860),0))))</x:f>
        <x:v>未回本</x:v>
      </x:c>
    </x:row>
    <x:row r="861" ht="22" customHeight="1">
      <x:c r="A861" s="11" t="str">
        <x:v>lade_0825_20aoi</x:v>
      </x:c>
      <x:c r="B861" s="10" t="n">
        <x:v>20</x:v>
      </x:c>
      <x:c r="C861" s="10" t="n">
        <x:v>42</x:v>
      </x:c>
      <x:c r="D861" s="10" t="str">
        <x:v>M2 / M4</x:v>
      </x:c>
      <x:c r="E861" s="16" t="n">
        <x:v>2</x:v>
      </x:c>
      <x:c r="F861" s="14" t="n">
        <x:v>50</x:v>
      </x:c>
      <x:c r="G861" s="26" t="n">
        <x:f>'成本明细'!U135+'成本明细'!G135*(E861-'参数'!$B$6)</x:f>
        <x:v>2365.1900126594446</x:v>
      </x:c>
      <x:c r="H861" s="26" t="n">
        <x:f>'成本明细'!U141</x:f>
        <x:v>4561.705416384443</x:v>
      </x:c>
      <x:c r="I861" s="26" t="n">
        <x:f>'成本明细'!V141</x:f>
        <x:v>6898.5</x:v>
      </x:c>
      <x:c r="J861" s="22" t="n">
        <x:f>'参数'!$B$9</x:f>
        <x:v>300</x:v>
      </x:c>
      <x:c r="K861" s="26" t="n">
        <x:f>J861*(G861-H861)-I861*ROUNDUP(J861/F861,0)</x:f>
        <x:v>-700345.6211174995</x:v>
      </x:c>
      <x:c r="L861" s="10" t="str">
        <x:f>IF(G861-H861&lt;=0,"未回本",IF(ROUNDUP(I861/(G861-H861),0)&gt;MIN(F861,J861),"未回本",MAX(1,ROUNDUP(I861/(G861-H861),0))))</x:f>
        <x:v>未回本</x:v>
      </x:c>
    </x:row>
    <x:row r="862" ht="22" customHeight="1">
      <x:c r="A862" s="11" t="str">
        <x:v>lade_0825_20aoi</x:v>
      </x:c>
      <x:c r="B862" s="10" t="n">
        <x:v>20</x:v>
      </x:c>
      <x:c r="C862" s="10" t="n">
        <x:v>42</x:v>
      </x:c>
      <x:c r="D862" s="10" t="str">
        <x:v>M1 / M3</x:v>
      </x:c>
      <x:c r="E862" s="16" t="n">
        <x:v>3</x:v>
      </x:c>
      <x:c r="F862" s="14" t="n">
        <x:v>10</x:v>
      </x:c>
      <x:c r="G862" s="26" t="n">
        <x:f>'成本明细'!U132+'成本明细'!G132*(E862-'参数'!$B$6)</x:f>
        <x:v>2998.268107245</x:v>
      </x:c>
      <x:c r="H862" s="26" t="n">
        <x:f>'成本明细'!U138</x:f>
        <x:v>3614.175335178889</x:v>
      </x:c>
      <x:c r="I862" s="26" t="n">
        <x:f>'成本明细'!V138</x:f>
        <x:v>6898.5</x:v>
      </x:c>
      <x:c r="J862" s="22" t="n">
        <x:f>'参数'!$B$9</x:f>
        <x:v>300</x:v>
      </x:c>
      <x:c r="K862" s="26" t="n">
        <x:f>J862*(G862-H862)-I862*ROUNDUP(J862/F862,0)</x:f>
        <x:v>-391727.16838016664</x:v>
      </x:c>
      <x:c r="L862" s="10" t="str">
        <x:f>IF(G862-H862&lt;=0,"未回本",IF(ROUNDUP(I862/(G862-H862),0)&gt;MIN(F862,J862),"未回本",MAX(1,ROUNDUP(I862/(G862-H862),0))))</x:f>
        <x:v>未回本</x:v>
      </x:c>
    </x:row>
    <x:row r="863" ht="22" customHeight="1">
      <x:c r="A863" s="11" t="str">
        <x:v>lade_0825_20aoi</x:v>
      </x:c>
      <x:c r="B863" s="10" t="n">
        <x:v>20</x:v>
      </x:c>
      <x:c r="C863" s="10" t="n">
        <x:v>42</x:v>
      </x:c>
      <x:c r="D863" s="10" t="str">
        <x:v>M2 / M4</x:v>
      </x:c>
      <x:c r="E863" s="16" t="n">
        <x:v>3</x:v>
      </x:c>
      <x:c r="F863" s="14" t="n">
        <x:v>10</x:v>
      </x:c>
      <x:c r="G863" s="26" t="n">
        <x:f>'成本明细'!U135+'成本明细'!G135*(E863-'参数'!$B$6)</x:f>
        <x:v>2554.1900126594446</x:v>
      </x:c>
      <x:c r="H863" s="26" t="n">
        <x:f>'成本明细'!U141</x:f>
        <x:v>4561.705416384443</x:v>
      </x:c>
      <x:c r="I863" s="26" t="n">
        <x:f>'成本明细'!V141</x:f>
        <x:v>6898.5</x:v>
      </x:c>
      <x:c r="J863" s="22" t="n">
        <x:f>'参数'!$B$9</x:f>
        <x:v>300</x:v>
      </x:c>
      <x:c r="K863" s="26" t="n">
        <x:f>J863*(G863-H863)-I863*ROUNDUP(J863/F863,0)</x:f>
        <x:v>-809209.6211174995</x:v>
      </x:c>
      <x:c r="L863" s="10" t="str">
        <x:f>IF(G863-H863&lt;=0,"未回本",IF(ROUNDUP(I863/(G863-H863),0)&gt;MIN(F863,J863),"未回本",MAX(1,ROUNDUP(I863/(G863-H863),0))))</x:f>
        <x:v>未回本</x:v>
      </x:c>
    </x:row>
    <x:row r="864" ht="22" customHeight="1">
      <x:c r="A864" s="11" t="str">
        <x:v>lade_0825_20aoi</x:v>
      </x:c>
      <x:c r="B864" s="10" t="n">
        <x:v>20</x:v>
      </x:c>
      <x:c r="C864" s="10" t="n">
        <x:v>42</x:v>
      </x:c>
      <x:c r="D864" s="10" t="str">
        <x:v>M1 / M3</x:v>
      </x:c>
      <x:c r="E864" s="16" t="n">
        <x:v>3</x:v>
      </x:c>
      <x:c r="F864" s="14" t="n">
        <x:v>20</x:v>
      </x:c>
      <x:c r="G864" s="26" t="n">
        <x:f>'成本明细'!U132+'成本明细'!G132*(E864-'参数'!$B$6)</x:f>
        <x:v>2998.268107245</x:v>
      </x:c>
      <x:c r="H864" s="26" t="n">
        <x:f>'成本明细'!U138</x:f>
        <x:v>3614.175335178889</x:v>
      </x:c>
      <x:c r="I864" s="26" t="n">
        <x:f>'成本明细'!V138</x:f>
        <x:v>6898.5</x:v>
      </x:c>
      <x:c r="J864" s="22" t="n">
        <x:f>'参数'!$B$9</x:f>
        <x:v>300</x:v>
      </x:c>
      <x:c r="K864" s="26" t="n">
        <x:f>J864*(G864-H864)-I864*ROUNDUP(J864/F864,0)</x:f>
        <x:v>-288249.66838016664</x:v>
      </x:c>
      <x:c r="L864" s="10" t="str">
        <x:f>IF(G864-H864&lt;=0,"未回本",IF(ROUNDUP(I864/(G864-H864),0)&gt;MIN(F864,J864),"未回本",MAX(1,ROUNDUP(I864/(G864-H864),0))))</x:f>
        <x:v>未回本</x:v>
      </x:c>
    </x:row>
    <x:row r="865" ht="22" customHeight="1">
      <x:c r="A865" s="11" t="str">
        <x:v>lade_0825_20aoi</x:v>
      </x:c>
      <x:c r="B865" s="10" t="n">
        <x:v>20</x:v>
      </x:c>
      <x:c r="C865" s="10" t="n">
        <x:v>42</x:v>
      </x:c>
      <x:c r="D865" s="10" t="str">
        <x:v>M2 / M4</x:v>
      </x:c>
      <x:c r="E865" s="16" t="n">
        <x:v>3</x:v>
      </x:c>
      <x:c r="F865" s="14" t="n">
        <x:v>20</x:v>
      </x:c>
      <x:c r="G865" s="26" t="n">
        <x:f>'成本明细'!U135+'成本明细'!G135*(E865-'参数'!$B$6)</x:f>
        <x:v>2554.1900126594446</x:v>
      </x:c>
      <x:c r="H865" s="26" t="n">
        <x:f>'成本明细'!U141</x:f>
        <x:v>4561.705416384443</x:v>
      </x:c>
      <x:c r="I865" s="26" t="n">
        <x:f>'成本明细'!V141</x:f>
        <x:v>6898.5</x:v>
      </x:c>
      <x:c r="J865" s="22" t="n">
        <x:f>'参数'!$B$9</x:f>
        <x:v>300</x:v>
      </x:c>
      <x:c r="K865" s="26" t="n">
        <x:f>J865*(G865-H865)-I865*ROUNDUP(J865/F865,0)</x:f>
        <x:v>-705732.1211174995</x:v>
      </x:c>
      <x:c r="L865" s="10" t="str">
        <x:f>IF(G865-H865&lt;=0,"未回本",IF(ROUNDUP(I865/(G865-H865),0)&gt;MIN(F865,J865),"未回本",MAX(1,ROUNDUP(I865/(G865-H865),0))))</x:f>
        <x:v>未回本</x:v>
      </x:c>
    </x:row>
    <x:row r="866" ht="22" customHeight="1">
      <x:c r="A866" s="11" t="str">
        <x:v>lade_0825_20aoi</x:v>
      </x:c>
      <x:c r="B866" s="10" t="n">
        <x:v>20</x:v>
      </x:c>
      <x:c r="C866" s="10" t="n">
        <x:v>42</x:v>
      </x:c>
      <x:c r="D866" s="10" t="str">
        <x:v>M1 / M3</x:v>
      </x:c>
      <x:c r="E866" s="16" t="n">
        <x:v>3</x:v>
      </x:c>
      <x:c r="F866" s="14" t="n">
        <x:v>30</x:v>
      </x:c>
      <x:c r="G866" s="26" t="n">
        <x:f>'成本明细'!U132+'成本明细'!G132*(E866-'参数'!$B$6)</x:f>
        <x:v>2998.268107245</x:v>
      </x:c>
      <x:c r="H866" s="26" t="n">
        <x:f>'成本明细'!U138</x:f>
        <x:v>3614.175335178889</x:v>
      </x:c>
      <x:c r="I866" s="26" t="n">
        <x:f>'成本明细'!V138</x:f>
        <x:v>6898.5</x:v>
      </x:c>
      <x:c r="J866" s="22" t="n">
        <x:f>'参数'!$B$9</x:f>
        <x:v>300</x:v>
      </x:c>
      <x:c r="K866" s="26" t="n">
        <x:f>J866*(G866-H866)-I866*ROUNDUP(J866/F866,0)</x:f>
        <x:v>-253757.16838016667</x:v>
      </x:c>
      <x:c r="L866" s="10" t="str">
        <x:f>IF(G866-H866&lt;=0,"未回本",IF(ROUNDUP(I866/(G866-H866),0)&gt;MIN(F866,J866),"未回本",MAX(1,ROUNDUP(I866/(G866-H866),0))))</x:f>
        <x:v>未回本</x:v>
      </x:c>
    </x:row>
    <x:row r="867" ht="22" customHeight="1">
      <x:c r="A867" s="11" t="str">
        <x:v>lade_0825_20aoi</x:v>
      </x:c>
      <x:c r="B867" s="10" t="n">
        <x:v>20</x:v>
      </x:c>
      <x:c r="C867" s="10" t="n">
        <x:v>42</x:v>
      </x:c>
      <x:c r="D867" s="10" t="str">
        <x:v>M2 / M4</x:v>
      </x:c>
      <x:c r="E867" s="16" t="n">
        <x:v>3</x:v>
      </x:c>
      <x:c r="F867" s="14" t="n">
        <x:v>30</x:v>
      </x:c>
      <x:c r="G867" s="26" t="n">
        <x:f>'成本明细'!U135+'成本明细'!G135*(E867-'参数'!$B$6)</x:f>
        <x:v>2554.1900126594446</x:v>
      </x:c>
      <x:c r="H867" s="26" t="n">
        <x:f>'成本明细'!U141</x:f>
        <x:v>4561.705416384443</x:v>
      </x:c>
      <x:c r="I867" s="26" t="n">
        <x:f>'成本明细'!V141</x:f>
        <x:v>6898.5</x:v>
      </x:c>
      <x:c r="J867" s="22" t="n">
        <x:f>'参数'!$B$9</x:f>
        <x:v>300</x:v>
      </x:c>
      <x:c r="K867" s="26" t="n">
        <x:f>J867*(G867-H867)-I867*ROUNDUP(J867/F867,0)</x:f>
        <x:v>-671239.6211174995</x:v>
      </x:c>
      <x:c r="L867" s="10" t="str">
        <x:f>IF(G867-H867&lt;=0,"未回本",IF(ROUNDUP(I867/(G867-H867),0)&gt;MIN(F867,J867),"未回本",MAX(1,ROUNDUP(I867/(G867-H867),0))))</x:f>
        <x:v>未回本</x:v>
      </x:c>
    </x:row>
    <x:row r="868" ht="22" customHeight="1">
      <x:c r="A868" s="11" t="str">
        <x:v>lade_0825_20aoi</x:v>
      </x:c>
      <x:c r="B868" s="10" t="n">
        <x:v>20</x:v>
      </x:c>
      <x:c r="C868" s="10" t="n">
        <x:v>42</x:v>
      </x:c>
      <x:c r="D868" s="10" t="str">
        <x:v>M1 / M3</x:v>
      </x:c>
      <x:c r="E868" s="16" t="n">
        <x:v>3</x:v>
      </x:c>
      <x:c r="F868" s="14" t="n">
        <x:v>50</x:v>
      </x:c>
      <x:c r="G868" s="26" t="n">
        <x:f>'成本明细'!U132+'成本明细'!G132*(E868-'参数'!$B$6)</x:f>
        <x:v>2998.268107245</x:v>
      </x:c>
      <x:c r="H868" s="26" t="n">
        <x:f>'成本明细'!U138</x:f>
        <x:v>3614.175335178889</x:v>
      </x:c>
      <x:c r="I868" s="26" t="n">
        <x:f>'成本明细'!V138</x:f>
        <x:v>6898.5</x:v>
      </x:c>
      <x:c r="J868" s="22" t="n">
        <x:f>'参数'!$B$9</x:f>
        <x:v>300</x:v>
      </x:c>
      <x:c r="K868" s="26" t="n">
        <x:f>J868*(G868-H868)-I868*ROUNDUP(J868/F868,0)</x:f>
        <x:v>-226163.16838016667</x:v>
      </x:c>
      <x:c r="L868" s="10" t="str">
        <x:f>IF(G868-H868&lt;=0,"未回本",IF(ROUNDUP(I868/(G868-H868),0)&gt;MIN(F868,J868),"未回本",MAX(1,ROUNDUP(I868/(G868-H868),0))))</x:f>
        <x:v>未回本</x:v>
      </x:c>
    </x:row>
    <x:row r="869" ht="22" customHeight="1">
      <x:c r="A869" s="11" t="str">
        <x:v>lade_0825_20aoi</x:v>
      </x:c>
      <x:c r="B869" s="10" t="n">
        <x:v>20</x:v>
      </x:c>
      <x:c r="C869" s="10" t="n">
        <x:v>42</x:v>
      </x:c>
      <x:c r="D869" s="10" t="str">
        <x:v>M2 / M4</x:v>
      </x:c>
      <x:c r="E869" s="16" t="n">
        <x:v>3</x:v>
      </x:c>
      <x:c r="F869" s="14" t="n">
        <x:v>50</x:v>
      </x:c>
      <x:c r="G869" s="26" t="n">
        <x:f>'成本明细'!U135+'成本明细'!G135*(E869-'参数'!$B$6)</x:f>
        <x:v>2554.1900126594446</x:v>
      </x:c>
      <x:c r="H869" s="26" t="n">
        <x:f>'成本明细'!U141</x:f>
        <x:v>4561.705416384443</x:v>
      </x:c>
      <x:c r="I869" s="26" t="n">
        <x:f>'成本明细'!V141</x:f>
        <x:v>6898.5</x:v>
      </x:c>
      <x:c r="J869" s="22" t="n">
        <x:f>'参数'!$B$9</x:f>
        <x:v>300</x:v>
      </x:c>
      <x:c r="K869" s="26" t="n">
        <x:f>J869*(G869-H869)-I869*ROUNDUP(J869/F869,0)</x:f>
        <x:v>-643645.6211174995</x:v>
      </x:c>
      <x:c r="L869" s="10" t="str">
        <x:f>IF(G869-H869&lt;=0,"未回本",IF(ROUNDUP(I869/(G869-H869),0)&gt;MIN(F869,J869),"未回本",MAX(1,ROUNDUP(I869/(G869-H869),0))))</x:f>
        <x:v>未回本</x:v>
      </x:c>
    </x:row>
    <x:row r="870" ht="22" customHeight="1">
      <x:c r="A870" s="11" t="str">
        <x:v>lade_0825_20aoi</x:v>
      </x:c>
      <x:c r="B870" s="10" t="n">
        <x:v>20</x:v>
      </x:c>
      <x:c r="C870" s="10" t="n">
        <x:v>42</x:v>
      </x:c>
      <x:c r="D870" s="10" t="str">
        <x:v>M1 / M3</x:v>
      </x:c>
      <x:c r="E870" s="16" t="n">
        <x:v>4</x:v>
      </x:c>
      <x:c r="F870" s="14" t="n">
        <x:v>10</x:v>
      </x:c>
      <x:c r="G870" s="26" t="n">
        <x:f>'成本明细'!U132+'成本明细'!G132*(E870-'参数'!$B$6)</x:f>
        <x:v>3187.268107245</x:v>
      </x:c>
      <x:c r="H870" s="26" t="n">
        <x:f>'成本明细'!U138</x:f>
        <x:v>3614.175335178889</x:v>
      </x:c>
      <x:c r="I870" s="26" t="n">
        <x:f>'成本明细'!V138</x:f>
        <x:v>6898.5</x:v>
      </x:c>
      <x:c r="J870" s="22" t="n">
        <x:f>'参数'!$B$9</x:f>
        <x:v>300</x:v>
      </x:c>
      <x:c r="K870" s="26" t="n">
        <x:f>J870*(G870-H870)-I870*ROUNDUP(J870/F870,0)</x:f>
        <x:v>-335027.16838016664</x:v>
      </x:c>
      <x:c r="L870" s="10" t="str">
        <x:f>IF(G870-H870&lt;=0,"未回本",IF(ROUNDUP(I870/(G870-H870),0)&gt;MIN(F870,J870),"未回本",MAX(1,ROUNDUP(I870/(G870-H870),0))))</x:f>
        <x:v>未回本</x:v>
      </x:c>
    </x:row>
    <x:row r="871" ht="22" customHeight="1">
      <x:c r="A871" s="11" t="str">
        <x:v>lade_0825_20aoi</x:v>
      </x:c>
      <x:c r="B871" s="10" t="n">
        <x:v>20</x:v>
      </x:c>
      <x:c r="C871" s="10" t="n">
        <x:v>42</x:v>
      </x:c>
      <x:c r="D871" s="10" t="str">
        <x:v>M2 / M4</x:v>
      </x:c>
      <x:c r="E871" s="16" t="n">
        <x:v>4</x:v>
      </x:c>
      <x:c r="F871" s="14" t="n">
        <x:v>10</x:v>
      </x:c>
      <x:c r="G871" s="26" t="n">
        <x:f>'成本明细'!U135+'成本明细'!G135*(E871-'参数'!$B$6)</x:f>
        <x:v>2743.1900126594446</x:v>
      </x:c>
      <x:c r="H871" s="26" t="n">
        <x:f>'成本明细'!U141</x:f>
        <x:v>4561.705416384443</x:v>
      </x:c>
      <x:c r="I871" s="26" t="n">
        <x:f>'成本明细'!V141</x:f>
        <x:v>6898.5</x:v>
      </x:c>
      <x:c r="J871" s="22" t="n">
        <x:f>'参数'!$B$9</x:f>
        <x:v>300</x:v>
      </x:c>
      <x:c r="K871" s="26" t="n">
        <x:f>J871*(G871-H871)-I871*ROUNDUP(J871/F871,0)</x:f>
        <x:v>-752509.6211174995</x:v>
      </x:c>
      <x:c r="L871" s="10" t="str">
        <x:f>IF(G871-H871&lt;=0,"未回本",IF(ROUNDUP(I871/(G871-H871),0)&gt;MIN(F871,J871),"未回本",MAX(1,ROUNDUP(I871/(G871-H871),0))))</x:f>
        <x:v>未回本</x:v>
      </x:c>
    </x:row>
    <x:row r="872" ht="22" customHeight="1">
      <x:c r="A872" s="11" t="str">
        <x:v>lade_0825_20aoi</x:v>
      </x:c>
      <x:c r="B872" s="10" t="n">
        <x:v>20</x:v>
      </x:c>
      <x:c r="C872" s="10" t="n">
        <x:v>42</x:v>
      </x:c>
      <x:c r="D872" s="10" t="str">
        <x:v>M1 / M3</x:v>
      </x:c>
      <x:c r="E872" s="16" t="n">
        <x:v>4</x:v>
      </x:c>
      <x:c r="F872" s="14" t="n">
        <x:v>20</x:v>
      </x:c>
      <x:c r="G872" s="26" t="n">
        <x:f>'成本明细'!U132+'成本明细'!G132*(E872-'参数'!$B$6)</x:f>
        <x:v>3187.268107245</x:v>
      </x:c>
      <x:c r="H872" s="26" t="n">
        <x:f>'成本明细'!U138</x:f>
        <x:v>3614.175335178889</x:v>
      </x:c>
      <x:c r="I872" s="26" t="n">
        <x:f>'成本明细'!V138</x:f>
        <x:v>6898.5</x:v>
      </x:c>
      <x:c r="J872" s="22" t="n">
        <x:f>'参数'!$B$9</x:f>
        <x:v>300</x:v>
      </x:c>
      <x:c r="K872" s="26" t="n">
        <x:f>J872*(G872-H872)-I872*ROUNDUP(J872/F872,0)</x:f>
        <x:v>-231549.66838016667</x:v>
      </x:c>
      <x:c r="L872" s="10" t="str">
        <x:f>IF(G872-H872&lt;=0,"未回本",IF(ROUNDUP(I872/(G872-H872),0)&gt;MIN(F872,J872),"未回本",MAX(1,ROUNDUP(I872/(G872-H872),0))))</x:f>
        <x:v>未回本</x:v>
      </x:c>
    </x:row>
    <x:row r="873" ht="22" customHeight="1">
      <x:c r="A873" s="11" t="str">
        <x:v>lade_0825_20aoi</x:v>
      </x:c>
      <x:c r="B873" s="10" t="n">
        <x:v>20</x:v>
      </x:c>
      <x:c r="C873" s="10" t="n">
        <x:v>42</x:v>
      </x:c>
      <x:c r="D873" s="10" t="str">
        <x:v>M2 / M4</x:v>
      </x:c>
      <x:c r="E873" s="16" t="n">
        <x:v>4</x:v>
      </x:c>
      <x:c r="F873" s="14" t="n">
        <x:v>20</x:v>
      </x:c>
      <x:c r="G873" s="26" t="n">
        <x:f>'成本明细'!U135+'成本明细'!G135*(E873-'参数'!$B$6)</x:f>
        <x:v>2743.1900126594446</x:v>
      </x:c>
      <x:c r="H873" s="26" t="n">
        <x:f>'成本明细'!U141</x:f>
        <x:v>4561.705416384443</x:v>
      </x:c>
      <x:c r="I873" s="26" t="n">
        <x:f>'成本明细'!V141</x:f>
        <x:v>6898.5</x:v>
      </x:c>
      <x:c r="J873" s="22" t="n">
        <x:f>'参数'!$B$9</x:f>
        <x:v>300</x:v>
      </x:c>
      <x:c r="K873" s="26" t="n">
        <x:f>J873*(G873-H873)-I873*ROUNDUP(J873/F873,0)</x:f>
        <x:v>-649032.1211174995</x:v>
      </x:c>
      <x:c r="L873" s="10" t="str">
        <x:f>IF(G873-H873&lt;=0,"未回本",IF(ROUNDUP(I873/(G873-H873),0)&gt;MIN(F873,J873),"未回本",MAX(1,ROUNDUP(I873/(G873-H873),0))))</x:f>
        <x:v>未回本</x:v>
      </x:c>
    </x:row>
    <x:row r="874" ht="22" customHeight="1">
      <x:c r="A874" s="11" t="str">
        <x:v>lade_0825_20aoi</x:v>
      </x:c>
      <x:c r="B874" s="10" t="n">
        <x:v>20</x:v>
      </x:c>
      <x:c r="C874" s="10" t="n">
        <x:v>42</x:v>
      </x:c>
      <x:c r="D874" s="10" t="str">
        <x:v>M1 / M3</x:v>
      </x:c>
      <x:c r="E874" s="16" t="n">
        <x:v>4</x:v>
      </x:c>
      <x:c r="F874" s="14" t="n">
        <x:v>30</x:v>
      </x:c>
      <x:c r="G874" s="26" t="n">
        <x:f>'成本明细'!U132+'成本明细'!G132*(E874-'参数'!$B$6)</x:f>
        <x:v>3187.268107245</x:v>
      </x:c>
      <x:c r="H874" s="26" t="n">
        <x:f>'成本明细'!U138</x:f>
        <x:v>3614.175335178889</x:v>
      </x:c>
      <x:c r="I874" s="26" t="n">
        <x:f>'成本明细'!V138</x:f>
        <x:v>6898.5</x:v>
      </x:c>
      <x:c r="J874" s="22" t="n">
        <x:f>'参数'!$B$9</x:f>
        <x:v>300</x:v>
      </x:c>
      <x:c r="K874" s="26" t="n">
        <x:f>J874*(G874-H874)-I874*ROUNDUP(J874/F874,0)</x:f>
        <x:v>-197057.16838016667</x:v>
      </x:c>
      <x:c r="L874" s="10" t="str">
        <x:f>IF(G874-H874&lt;=0,"未回本",IF(ROUNDUP(I874/(G874-H874),0)&gt;MIN(F874,J874),"未回本",MAX(1,ROUNDUP(I874/(G874-H874),0))))</x:f>
        <x:v>未回本</x:v>
      </x:c>
    </x:row>
    <x:row r="875" ht="22" customHeight="1">
      <x:c r="A875" s="11" t="str">
        <x:v>lade_0825_20aoi</x:v>
      </x:c>
      <x:c r="B875" s="10" t="n">
        <x:v>20</x:v>
      </x:c>
      <x:c r="C875" s="10" t="n">
        <x:v>42</x:v>
      </x:c>
      <x:c r="D875" s="10" t="str">
        <x:v>M2 / M4</x:v>
      </x:c>
      <x:c r="E875" s="16" t="n">
        <x:v>4</x:v>
      </x:c>
      <x:c r="F875" s="14" t="n">
        <x:v>30</x:v>
      </x:c>
      <x:c r="G875" s="26" t="n">
        <x:f>'成本明细'!U135+'成本明细'!G135*(E875-'参数'!$B$6)</x:f>
        <x:v>2743.1900126594446</x:v>
      </x:c>
      <x:c r="H875" s="26" t="n">
        <x:f>'成本明细'!U141</x:f>
        <x:v>4561.705416384443</x:v>
      </x:c>
      <x:c r="I875" s="26" t="n">
        <x:f>'成本明细'!V141</x:f>
        <x:v>6898.5</x:v>
      </x:c>
      <x:c r="J875" s="22" t="n">
        <x:f>'参数'!$B$9</x:f>
        <x:v>300</x:v>
      </x:c>
      <x:c r="K875" s="26" t="n">
        <x:f>J875*(G875-H875)-I875*ROUNDUP(J875/F875,0)</x:f>
        <x:v>-614539.6211174995</x:v>
      </x:c>
      <x:c r="L875" s="10" t="str">
        <x:f>IF(G875-H875&lt;=0,"未回本",IF(ROUNDUP(I875/(G875-H875),0)&gt;MIN(F875,J875),"未回本",MAX(1,ROUNDUP(I875/(G875-H875),0))))</x:f>
        <x:v>未回本</x:v>
      </x:c>
    </x:row>
    <x:row r="876" ht="22" customHeight="1">
      <x:c r="A876" s="11" t="str">
        <x:v>lade_0825_20aoi</x:v>
      </x:c>
      <x:c r="B876" s="10" t="n">
        <x:v>20</x:v>
      </x:c>
      <x:c r="C876" s="10" t="n">
        <x:v>42</x:v>
      </x:c>
      <x:c r="D876" s="10" t="str">
        <x:v>M1 / M3</x:v>
      </x:c>
      <x:c r="E876" s="16" t="n">
        <x:v>4</x:v>
      </x:c>
      <x:c r="F876" s="14" t="n">
        <x:v>50</x:v>
      </x:c>
      <x:c r="G876" s="26" t="n">
        <x:f>'成本明细'!U132+'成本明细'!G132*(E876-'参数'!$B$6)</x:f>
        <x:v>3187.268107245</x:v>
      </x:c>
      <x:c r="H876" s="26" t="n">
        <x:f>'成本明细'!U138</x:f>
        <x:v>3614.175335178889</x:v>
      </x:c>
      <x:c r="I876" s="26" t="n">
        <x:f>'成本明细'!V138</x:f>
        <x:v>6898.5</x:v>
      </x:c>
      <x:c r="J876" s="22" t="n">
        <x:f>'参数'!$B$9</x:f>
        <x:v>300</x:v>
      </x:c>
      <x:c r="K876" s="26" t="n">
        <x:f>J876*(G876-H876)-I876*ROUNDUP(J876/F876,0)</x:f>
        <x:v>-169463.16838016667</x:v>
      </x:c>
      <x:c r="L876" s="10" t="str">
        <x:f>IF(G876-H876&lt;=0,"未回本",IF(ROUNDUP(I876/(G876-H876),0)&gt;MIN(F876,J876),"未回本",MAX(1,ROUNDUP(I876/(G876-H876),0))))</x:f>
        <x:v>未回本</x:v>
      </x:c>
    </x:row>
    <x:row r="877" ht="22" customHeight="1">
      <x:c r="A877" s="11" t="str">
        <x:v>lade_0825_20aoi</x:v>
      </x:c>
      <x:c r="B877" s="10" t="n">
        <x:v>20</x:v>
      </x:c>
      <x:c r="C877" s="10" t="n">
        <x:v>42</x:v>
      </x:c>
      <x:c r="D877" s="10" t="str">
        <x:v>M2 / M4</x:v>
      </x:c>
      <x:c r="E877" s="16" t="n">
        <x:v>4</x:v>
      </x:c>
      <x:c r="F877" s="14" t="n">
        <x:v>50</x:v>
      </x:c>
      <x:c r="G877" s="26" t="n">
        <x:f>'成本明细'!U135+'成本明细'!G135*(E877-'参数'!$B$6)</x:f>
        <x:v>2743.1900126594446</x:v>
      </x:c>
      <x:c r="H877" s="26" t="n">
        <x:f>'成本明细'!U141</x:f>
        <x:v>4561.705416384443</x:v>
      </x:c>
      <x:c r="I877" s="26" t="n">
        <x:f>'成本明细'!V141</x:f>
        <x:v>6898.5</x:v>
      </x:c>
      <x:c r="J877" s="22" t="n">
        <x:f>'参数'!$B$9</x:f>
        <x:v>300</x:v>
      </x:c>
      <x:c r="K877" s="26" t="n">
        <x:f>J877*(G877-H877)-I877*ROUNDUP(J877/F877,0)</x:f>
        <x:v>-586945.6211174995</x:v>
      </x:c>
      <x:c r="L877" s="10" t="str">
        <x:f>IF(G877-H877&lt;=0,"未回本",IF(ROUNDUP(I877/(G877-H877),0)&gt;MIN(F877,J877),"未回本",MAX(1,ROUNDUP(I877/(G877-H877),0))))</x:f>
        <x:v>未回本</x:v>
      </x:c>
    </x:row>
    <x:row r="878" ht="22" customHeight="1">
      <x:c r="A878" s="11" t="str">
        <x:v>lade_0825_20aoi</x:v>
      </x:c>
      <x:c r="B878" s="10" t="n">
        <x:v>20</x:v>
      </x:c>
      <x:c r="C878" s="10" t="n">
        <x:v>42</x:v>
      </x:c>
      <x:c r="D878" s="10" t="str">
        <x:v>M1 / M3</x:v>
      </x:c>
      <x:c r="E878" s="16" t="n">
        <x:v>5</x:v>
      </x:c>
      <x:c r="F878" s="14" t="n">
        <x:v>10</x:v>
      </x:c>
      <x:c r="G878" s="26" t="n">
        <x:f>'成本明细'!U132+'成本明细'!G132*(E878-'参数'!$B$6)</x:f>
        <x:v>3376.268107245</x:v>
      </x:c>
      <x:c r="H878" s="26" t="n">
        <x:f>'成本明细'!U138</x:f>
        <x:v>3614.175335178889</x:v>
      </x:c>
      <x:c r="I878" s="26" t="n">
        <x:f>'成本明细'!V138</x:f>
        <x:v>6898.5</x:v>
      </x:c>
      <x:c r="J878" s="22" t="n">
        <x:f>'参数'!$B$9</x:f>
        <x:v>300</x:v>
      </x:c>
      <x:c r="K878" s="26" t="n">
        <x:f>J878*(G878-H878)-I878*ROUNDUP(J878/F878,0)</x:f>
        <x:v>-278327.16838016664</x:v>
      </x:c>
      <x:c r="L878" s="10" t="str">
        <x:f>IF(G878-H878&lt;=0,"未回本",IF(ROUNDUP(I878/(G878-H878),0)&gt;MIN(F878,J878),"未回本",MAX(1,ROUNDUP(I878/(G878-H878),0))))</x:f>
        <x:v>未回本</x:v>
      </x:c>
    </x:row>
    <x:row r="879" ht="22" customHeight="1">
      <x:c r="A879" s="11" t="str">
        <x:v>lade_0825_20aoi</x:v>
      </x:c>
      <x:c r="B879" s="10" t="n">
        <x:v>20</x:v>
      </x:c>
      <x:c r="C879" s="10" t="n">
        <x:v>42</x:v>
      </x:c>
      <x:c r="D879" s="10" t="str">
        <x:v>M2 / M4</x:v>
      </x:c>
      <x:c r="E879" s="16" t="n">
        <x:v>5</x:v>
      </x:c>
      <x:c r="F879" s="14" t="n">
        <x:v>10</x:v>
      </x:c>
      <x:c r="G879" s="26" t="n">
        <x:f>'成本明细'!U135+'成本明细'!G135*(E879-'参数'!$B$6)</x:f>
        <x:v>2932.1900126594446</x:v>
      </x:c>
      <x:c r="H879" s="26" t="n">
        <x:f>'成本明细'!U141</x:f>
        <x:v>4561.705416384443</x:v>
      </x:c>
      <x:c r="I879" s="26" t="n">
        <x:f>'成本明细'!V141</x:f>
        <x:v>6898.5</x:v>
      </x:c>
      <x:c r="J879" s="22" t="n">
        <x:f>'参数'!$B$9</x:f>
        <x:v>300</x:v>
      </x:c>
      <x:c r="K879" s="26" t="n">
        <x:f>J879*(G879-H879)-I879*ROUNDUP(J879/F879,0)</x:f>
        <x:v>-695809.6211174997</x:v>
      </x:c>
      <x:c r="L879" s="10" t="str">
        <x:f>IF(G879-H879&lt;=0,"未回本",IF(ROUNDUP(I879/(G879-H879),0)&gt;MIN(F879,J879),"未回本",MAX(1,ROUNDUP(I879/(G879-H879),0))))</x:f>
        <x:v>未回本</x:v>
      </x:c>
    </x:row>
    <x:row r="880" ht="22" customHeight="1">
      <x:c r="A880" s="11" t="str">
        <x:v>lade_0825_20aoi</x:v>
      </x:c>
      <x:c r="B880" s="10" t="n">
        <x:v>20</x:v>
      </x:c>
      <x:c r="C880" s="10" t="n">
        <x:v>42</x:v>
      </x:c>
      <x:c r="D880" s="10" t="str">
        <x:v>M1 / M3</x:v>
      </x:c>
      <x:c r="E880" s="16" t="n">
        <x:v>5</x:v>
      </x:c>
      <x:c r="F880" s="14" t="n">
        <x:v>20</x:v>
      </x:c>
      <x:c r="G880" s="26" t="n">
        <x:f>'成本明细'!U132+'成本明细'!G132*(E880-'参数'!$B$6)</x:f>
        <x:v>3376.268107245</x:v>
      </x:c>
      <x:c r="H880" s="26" t="n">
        <x:f>'成本明细'!U138</x:f>
        <x:v>3614.175335178889</x:v>
      </x:c>
      <x:c r="I880" s="26" t="n">
        <x:f>'成本明细'!V138</x:f>
        <x:v>6898.5</x:v>
      </x:c>
      <x:c r="J880" s="22" t="n">
        <x:f>'参数'!$B$9</x:f>
        <x:v>300</x:v>
      </x:c>
      <x:c r="K880" s="26" t="n">
        <x:f>J880*(G880-H880)-I880*ROUNDUP(J880/F880,0)</x:f>
        <x:v>-174849.66838016667</x:v>
      </x:c>
      <x:c r="L880" s="10" t="str">
        <x:f>IF(G880-H880&lt;=0,"未回本",IF(ROUNDUP(I880/(G880-H880),0)&gt;MIN(F880,J880),"未回本",MAX(1,ROUNDUP(I880/(G880-H880),0))))</x:f>
        <x:v>未回本</x:v>
      </x:c>
    </x:row>
    <x:row r="881" ht="22" customHeight="1">
      <x:c r="A881" s="11" t="str">
        <x:v>lade_0825_20aoi</x:v>
      </x:c>
      <x:c r="B881" s="10" t="n">
        <x:v>20</x:v>
      </x:c>
      <x:c r="C881" s="10" t="n">
        <x:v>42</x:v>
      </x:c>
      <x:c r="D881" s="10" t="str">
        <x:v>M2 / M4</x:v>
      </x:c>
      <x:c r="E881" s="16" t="n">
        <x:v>5</x:v>
      </x:c>
      <x:c r="F881" s="14" t="n">
        <x:v>20</x:v>
      </x:c>
      <x:c r="G881" s="26" t="n">
        <x:f>'成本明细'!U135+'成本明细'!G135*(E881-'参数'!$B$6)</x:f>
        <x:v>2932.1900126594446</x:v>
      </x:c>
      <x:c r="H881" s="26" t="n">
        <x:f>'成本明细'!U141</x:f>
        <x:v>4561.705416384443</x:v>
      </x:c>
      <x:c r="I881" s="26" t="n">
        <x:f>'成本明细'!V141</x:f>
        <x:v>6898.5</x:v>
      </x:c>
      <x:c r="J881" s="22" t="n">
        <x:f>'参数'!$B$9</x:f>
        <x:v>300</x:v>
      </x:c>
      <x:c r="K881" s="26" t="n">
        <x:f>J881*(G881-H881)-I881*ROUNDUP(J881/F881,0)</x:f>
        <x:v>-592332.1211174997</x:v>
      </x:c>
      <x:c r="L881" s="10" t="str">
        <x:f>IF(G881-H881&lt;=0,"未回本",IF(ROUNDUP(I881/(G881-H881),0)&gt;MIN(F881,J881),"未回本",MAX(1,ROUNDUP(I881/(G881-H881),0))))</x:f>
        <x:v>未回本</x:v>
      </x:c>
    </x:row>
    <x:row r="882" ht="22" customHeight="1">
      <x:c r="A882" s="11" t="str">
        <x:v>lade_0825_20aoi</x:v>
      </x:c>
      <x:c r="B882" s="10" t="n">
        <x:v>20</x:v>
      </x:c>
      <x:c r="C882" s="10" t="n">
        <x:v>42</x:v>
      </x:c>
      <x:c r="D882" s="10" t="str">
        <x:v>M1 / M3</x:v>
      </x:c>
      <x:c r="E882" s="16" t="n">
        <x:v>5</x:v>
      </x:c>
      <x:c r="F882" s="14" t="n">
        <x:v>30</x:v>
      </x:c>
      <x:c r="G882" s="26" t="n">
        <x:f>'成本明细'!U132+'成本明细'!G132*(E882-'参数'!$B$6)</x:f>
        <x:v>3376.268107245</x:v>
      </x:c>
      <x:c r="H882" s="26" t="n">
        <x:f>'成本明细'!U138</x:f>
        <x:v>3614.175335178889</x:v>
      </x:c>
      <x:c r="I882" s="26" t="n">
        <x:f>'成本明细'!V138</x:f>
        <x:v>6898.5</x:v>
      </x:c>
      <x:c r="J882" s="22" t="n">
        <x:f>'参数'!$B$9</x:f>
        <x:v>300</x:v>
      </x:c>
      <x:c r="K882" s="26" t="n">
        <x:f>J882*(G882-H882)-I882*ROUNDUP(J882/F882,0)</x:f>
        <x:v>-140357.16838016667</x:v>
      </x:c>
      <x:c r="L882" s="10" t="str">
        <x:f>IF(G882-H882&lt;=0,"未回本",IF(ROUNDUP(I882/(G882-H882),0)&gt;MIN(F882,J882),"未回本",MAX(1,ROUNDUP(I882/(G882-H882),0))))</x:f>
        <x:v>未回本</x:v>
      </x:c>
    </x:row>
    <x:row r="883" ht="22" customHeight="1">
      <x:c r="A883" s="11" t="str">
        <x:v>lade_0825_20aoi</x:v>
      </x:c>
      <x:c r="B883" s="10" t="n">
        <x:v>20</x:v>
      </x:c>
      <x:c r="C883" s="10" t="n">
        <x:v>42</x:v>
      </x:c>
      <x:c r="D883" s="10" t="str">
        <x:v>M2 / M4</x:v>
      </x:c>
      <x:c r="E883" s="16" t="n">
        <x:v>5</x:v>
      </x:c>
      <x:c r="F883" s="14" t="n">
        <x:v>30</x:v>
      </x:c>
      <x:c r="G883" s="26" t="n">
        <x:f>'成本明细'!U135+'成本明细'!G135*(E883-'参数'!$B$6)</x:f>
        <x:v>2932.1900126594446</x:v>
      </x:c>
      <x:c r="H883" s="26" t="n">
        <x:f>'成本明细'!U141</x:f>
        <x:v>4561.705416384443</x:v>
      </x:c>
      <x:c r="I883" s="26" t="n">
        <x:f>'成本明细'!V141</x:f>
        <x:v>6898.5</x:v>
      </x:c>
      <x:c r="J883" s="22" t="n">
        <x:f>'参数'!$B$9</x:f>
        <x:v>300</x:v>
      </x:c>
      <x:c r="K883" s="26" t="n">
        <x:f>J883*(G883-H883)-I883*ROUNDUP(J883/F883,0)</x:f>
        <x:v>-557839.6211174997</x:v>
      </x:c>
      <x:c r="L883" s="10" t="str">
        <x:f>IF(G883-H883&lt;=0,"未回本",IF(ROUNDUP(I883/(G883-H883),0)&gt;MIN(F883,J883),"未回本",MAX(1,ROUNDUP(I883/(G883-H883),0))))</x:f>
        <x:v>未回本</x:v>
      </x:c>
    </x:row>
    <x:row r="884" ht="22" customHeight="1">
      <x:c r="A884" s="11" t="str">
        <x:v>lade_0825_20aoi</x:v>
      </x:c>
      <x:c r="B884" s="10" t="n">
        <x:v>20</x:v>
      </x:c>
      <x:c r="C884" s="10" t="n">
        <x:v>42</x:v>
      </x:c>
      <x:c r="D884" s="10" t="str">
        <x:v>M1 / M3</x:v>
      </x:c>
      <x:c r="E884" s="16" t="n">
        <x:v>5</x:v>
      </x:c>
      <x:c r="F884" s="14" t="n">
        <x:v>50</x:v>
      </x:c>
      <x:c r="G884" s="26" t="n">
        <x:f>'成本明细'!U132+'成本明细'!G132*(E884-'参数'!$B$6)</x:f>
        <x:v>3376.268107245</x:v>
      </x:c>
      <x:c r="H884" s="26" t="n">
        <x:f>'成本明细'!U138</x:f>
        <x:v>3614.175335178889</x:v>
      </x:c>
      <x:c r="I884" s="26" t="n">
        <x:f>'成本明细'!V138</x:f>
        <x:v>6898.5</x:v>
      </x:c>
      <x:c r="J884" s="22" t="n">
        <x:f>'参数'!$B$9</x:f>
        <x:v>300</x:v>
      </x:c>
      <x:c r="K884" s="26" t="n">
        <x:f>J884*(G884-H884)-I884*ROUNDUP(J884/F884,0)</x:f>
        <x:v>-112763.16838016667</x:v>
      </x:c>
      <x:c r="L884" s="10" t="str">
        <x:f>IF(G884-H884&lt;=0,"未回本",IF(ROUNDUP(I884/(G884-H884),0)&gt;MIN(F884,J884),"未回本",MAX(1,ROUNDUP(I884/(G884-H884),0))))</x:f>
        <x:v>未回本</x:v>
      </x:c>
    </x:row>
    <x:row r="885" ht="22" customHeight="1">
      <x:c r="A885" s="11" t="str">
        <x:v>lade_0825_20aoi</x:v>
      </x:c>
      <x:c r="B885" s="10" t="n">
        <x:v>20</x:v>
      </x:c>
      <x:c r="C885" s="10" t="n">
        <x:v>42</x:v>
      </x:c>
      <x:c r="D885" s="10" t="str">
        <x:v>M2 / M4</x:v>
      </x:c>
      <x:c r="E885" s="16" t="n">
        <x:v>5</x:v>
      </x:c>
      <x:c r="F885" s="14" t="n">
        <x:v>50</x:v>
      </x:c>
      <x:c r="G885" s="26" t="n">
        <x:f>'成本明细'!U135+'成本明细'!G135*(E885-'参数'!$B$6)</x:f>
        <x:v>2932.1900126594446</x:v>
      </x:c>
      <x:c r="H885" s="26" t="n">
        <x:f>'成本明细'!U141</x:f>
        <x:v>4561.705416384443</x:v>
      </x:c>
      <x:c r="I885" s="26" t="n">
        <x:f>'成本明细'!V141</x:f>
        <x:v>6898.5</x:v>
      </x:c>
      <x:c r="J885" s="22" t="n">
        <x:f>'参数'!$B$9</x:f>
        <x:v>300</x:v>
      </x:c>
      <x:c r="K885" s="26" t="n">
        <x:f>J885*(G885-H885)-I885*ROUNDUP(J885/F885,0)</x:f>
        <x:v>-530245.6211174997</x:v>
      </x:c>
      <x:c r="L885" s="10" t="str">
        <x:f>IF(G885-H885&lt;=0,"未回本",IF(ROUNDUP(I885/(G885-H885),0)&gt;MIN(F885,J885),"未回本",MAX(1,ROUNDUP(I885/(G885-H885),0))))</x:f>
        <x:v>未回本</x:v>
      </x:c>
    </x:row>
    <x:row r="886" ht="22" customHeight="1">
      <x:c r="A886" s="11" t="str">
        <x:v>lade_0825_20aoi</x:v>
      </x:c>
      <x:c r="B886" s="10" t="n">
        <x:v>20</x:v>
      </x:c>
      <x:c r="C886" s="10" t="n">
        <x:v>43</x:v>
      </x:c>
      <x:c r="D886" s="10" t="str">
        <x:v>M1 / M3</x:v>
      </x:c>
      <x:c r="E886" s="16" t="n">
        <x:v>1</x:v>
      </x:c>
      <x:c r="F886" s="14" t="n">
        <x:v>10</x:v>
      </x:c>
      <x:c r="G886" s="26" t="n">
        <x:f>'成本明细'!U133+'成本明细'!G133*(E886-'参数'!$B$6)</x:f>
        <x:v>2620.268107245</x:v>
      </x:c>
      <x:c r="H886" s="26" t="n">
        <x:f>'成本明细'!U139</x:f>
        <x:v>3614.175335178889</x:v>
      </x:c>
      <x:c r="I886" s="26" t="n">
        <x:f>'成本明细'!V139</x:f>
        <x:v>6898.5</x:v>
      </x:c>
      <x:c r="J886" s="22" t="n">
        <x:f>'参数'!$B$9</x:f>
        <x:v>300</x:v>
      </x:c>
      <x:c r="K886" s="26" t="n">
        <x:f>J886*(G886-H886)-I886*ROUNDUP(J886/F886,0)</x:f>
        <x:v>-505127.16838016664</x:v>
      </x:c>
      <x:c r="L886" s="10" t="str">
        <x:f>IF(G886-H886&lt;=0,"未回本",IF(ROUNDUP(I886/(G886-H886),0)&gt;MIN(F886,J886),"未回本",MAX(1,ROUNDUP(I886/(G886-H886),0))))</x:f>
        <x:v>未回本</x:v>
      </x:c>
    </x:row>
    <x:row r="887" ht="22" customHeight="1">
      <x:c r="A887" s="11" t="str">
        <x:v>lade_0825_20aoi</x:v>
      </x:c>
      <x:c r="B887" s="10" t="n">
        <x:v>20</x:v>
      </x:c>
      <x:c r="C887" s="10" t="n">
        <x:v>43</x:v>
      </x:c>
      <x:c r="D887" s="10" t="str">
        <x:v>M2 / M4</x:v>
      </x:c>
      <x:c r="E887" s="16" t="n">
        <x:v>1</x:v>
      </x:c>
      <x:c r="F887" s="14" t="n">
        <x:v>10</x:v>
      </x:c>
      <x:c r="G887" s="26" t="n">
        <x:f>'成本明细'!U136+'成本明细'!G136*(E887-'参数'!$B$6)</x:f>
        <x:v>1998.8918489844446</x:v>
      </x:c>
      <x:c r="H887" s="26" t="n">
        <x:f>'成本明细'!U142</x:f>
        <x:v>3792.689469988889</x:v>
      </x:c>
      <x:c r="I887" s="26" t="n">
        <x:f>'成本明细'!V142</x:f>
        <x:v>6898.5</x:v>
      </x:c>
      <x:c r="J887" s="22" t="n">
        <x:f>'参数'!$B$9</x:f>
        <x:v>300</x:v>
      </x:c>
      <x:c r="K887" s="26" t="n">
        <x:f>J887*(G887-H887)-I887*ROUNDUP(J887/F887,0)</x:f>
        <x:v>-745094.2863013333</x:v>
      </x:c>
      <x:c r="L887" s="10" t="str">
        <x:f>IF(G887-H887&lt;=0,"未回本",IF(ROUNDUP(I887/(G887-H887),0)&gt;MIN(F887,J887),"未回本",MAX(1,ROUNDUP(I887/(G887-H887),0))))</x:f>
        <x:v>未回本</x:v>
      </x:c>
    </x:row>
    <x:row r="888" ht="22" customHeight="1">
      <x:c r="A888" s="11" t="str">
        <x:v>lade_0825_20aoi</x:v>
      </x:c>
      <x:c r="B888" s="10" t="n">
        <x:v>20</x:v>
      </x:c>
      <x:c r="C888" s="10" t="n">
        <x:v>43</x:v>
      </x:c>
      <x:c r="D888" s="10" t="str">
        <x:v>M1 / M3</x:v>
      </x:c>
      <x:c r="E888" s="16" t="n">
        <x:v>1</x:v>
      </x:c>
      <x:c r="F888" s="14" t="n">
        <x:v>20</x:v>
      </x:c>
      <x:c r="G888" s="26" t="n">
        <x:f>'成本明细'!U133+'成本明细'!G133*(E888-'参数'!$B$6)</x:f>
        <x:v>2620.268107245</x:v>
      </x:c>
      <x:c r="H888" s="26" t="n">
        <x:f>'成本明细'!U139</x:f>
        <x:v>3614.175335178889</x:v>
      </x:c>
      <x:c r="I888" s="26" t="n">
        <x:f>'成本明细'!V139</x:f>
        <x:v>6898.5</x:v>
      </x:c>
      <x:c r="J888" s="22" t="n">
        <x:f>'参数'!$B$9</x:f>
        <x:v>300</x:v>
      </x:c>
      <x:c r="K888" s="26" t="n">
        <x:f>J888*(G888-H888)-I888*ROUNDUP(J888/F888,0)</x:f>
        <x:v>-401649.66838016664</x:v>
      </x:c>
      <x:c r="L888" s="10" t="str">
        <x:f>IF(G888-H888&lt;=0,"未回本",IF(ROUNDUP(I888/(G888-H888),0)&gt;MIN(F888,J888),"未回本",MAX(1,ROUNDUP(I888/(G888-H888),0))))</x:f>
        <x:v>未回本</x:v>
      </x:c>
    </x:row>
    <x:row r="889" ht="22" customHeight="1">
      <x:c r="A889" s="11" t="str">
        <x:v>lade_0825_20aoi</x:v>
      </x:c>
      <x:c r="B889" s="10" t="n">
        <x:v>20</x:v>
      </x:c>
      <x:c r="C889" s="10" t="n">
        <x:v>43</x:v>
      </x:c>
      <x:c r="D889" s="10" t="str">
        <x:v>M2 / M4</x:v>
      </x:c>
      <x:c r="E889" s="16" t="n">
        <x:v>1</x:v>
      </x:c>
      <x:c r="F889" s="14" t="n">
        <x:v>20</x:v>
      </x:c>
      <x:c r="G889" s="26" t="n">
        <x:f>'成本明细'!U136+'成本明细'!G136*(E889-'参数'!$B$6)</x:f>
        <x:v>1998.8918489844446</x:v>
      </x:c>
      <x:c r="H889" s="26" t="n">
        <x:f>'成本明细'!U142</x:f>
        <x:v>3792.689469988889</x:v>
      </x:c>
      <x:c r="I889" s="26" t="n">
        <x:f>'成本明细'!V142</x:f>
        <x:v>6898.5</x:v>
      </x:c>
      <x:c r="J889" s="22" t="n">
        <x:f>'参数'!$B$9</x:f>
        <x:v>300</x:v>
      </x:c>
      <x:c r="K889" s="26" t="n">
        <x:f>J889*(G889-H889)-I889*ROUNDUP(J889/F889,0)</x:f>
        <x:v>-641616.7863013333</x:v>
      </x:c>
      <x:c r="L889" s="10" t="str">
        <x:f>IF(G889-H889&lt;=0,"未回本",IF(ROUNDUP(I889/(G889-H889),0)&gt;MIN(F889,J889),"未回本",MAX(1,ROUNDUP(I889/(G889-H889),0))))</x:f>
        <x:v>未回本</x:v>
      </x:c>
    </x:row>
    <x:row r="890" ht="22" customHeight="1">
      <x:c r="A890" s="11" t="str">
        <x:v>lade_0825_20aoi</x:v>
      </x:c>
      <x:c r="B890" s="10" t="n">
        <x:v>20</x:v>
      </x:c>
      <x:c r="C890" s="10" t="n">
        <x:v>43</x:v>
      </x:c>
      <x:c r="D890" s="10" t="str">
        <x:v>M1 / M3</x:v>
      </x:c>
      <x:c r="E890" s="16" t="n">
        <x:v>1</x:v>
      </x:c>
      <x:c r="F890" s="14" t="n">
        <x:v>30</x:v>
      </x:c>
      <x:c r="G890" s="26" t="n">
        <x:f>'成本明细'!U133+'成本明细'!G133*(E890-'参数'!$B$6)</x:f>
        <x:v>2620.268107245</x:v>
      </x:c>
      <x:c r="H890" s="26" t="n">
        <x:f>'成本明细'!U139</x:f>
        <x:v>3614.175335178889</x:v>
      </x:c>
      <x:c r="I890" s="26" t="n">
        <x:f>'成本明细'!V139</x:f>
        <x:v>6898.5</x:v>
      </x:c>
      <x:c r="J890" s="22" t="n">
        <x:f>'参数'!$B$9</x:f>
        <x:v>300</x:v>
      </x:c>
      <x:c r="K890" s="26" t="n">
        <x:f>J890*(G890-H890)-I890*ROUNDUP(J890/F890,0)</x:f>
        <x:v>-367157.16838016664</x:v>
      </x:c>
      <x:c r="L890" s="10" t="str">
        <x:f>IF(G890-H890&lt;=0,"未回本",IF(ROUNDUP(I890/(G890-H890),0)&gt;MIN(F890,J890),"未回本",MAX(1,ROUNDUP(I890/(G890-H890),0))))</x:f>
        <x:v>未回本</x:v>
      </x:c>
    </x:row>
    <x:row r="891" ht="22" customHeight="1">
      <x:c r="A891" s="11" t="str">
        <x:v>lade_0825_20aoi</x:v>
      </x:c>
      <x:c r="B891" s="10" t="n">
        <x:v>20</x:v>
      </x:c>
      <x:c r="C891" s="10" t="n">
        <x:v>43</x:v>
      </x:c>
      <x:c r="D891" s="10" t="str">
        <x:v>M2 / M4</x:v>
      </x:c>
      <x:c r="E891" s="16" t="n">
        <x:v>1</x:v>
      </x:c>
      <x:c r="F891" s="14" t="n">
        <x:v>30</x:v>
      </x:c>
      <x:c r="G891" s="26" t="n">
        <x:f>'成本明细'!U136+'成本明细'!G136*(E891-'参数'!$B$6)</x:f>
        <x:v>1998.8918489844446</x:v>
      </x:c>
      <x:c r="H891" s="26" t="n">
        <x:f>'成本明细'!U142</x:f>
        <x:v>3792.689469988889</x:v>
      </x:c>
      <x:c r="I891" s="26" t="n">
        <x:f>'成本明细'!V142</x:f>
        <x:v>6898.5</x:v>
      </x:c>
      <x:c r="J891" s="22" t="n">
        <x:f>'参数'!$B$9</x:f>
        <x:v>300</x:v>
      </x:c>
      <x:c r="K891" s="26" t="n">
        <x:f>J891*(G891-H891)-I891*ROUNDUP(J891/F891,0)</x:f>
        <x:v>-607124.2863013333</x:v>
      </x:c>
      <x:c r="L891" s="10" t="str">
        <x:f>IF(G891-H891&lt;=0,"未回本",IF(ROUNDUP(I891/(G891-H891),0)&gt;MIN(F891,J891),"未回本",MAX(1,ROUNDUP(I891/(G891-H891),0))))</x:f>
        <x:v>未回本</x:v>
      </x:c>
    </x:row>
    <x:row r="892" ht="22" customHeight="1">
      <x:c r="A892" s="11" t="str">
        <x:v>lade_0825_20aoi</x:v>
      </x:c>
      <x:c r="B892" s="10" t="n">
        <x:v>20</x:v>
      </x:c>
      <x:c r="C892" s="10" t="n">
        <x:v>43</x:v>
      </x:c>
      <x:c r="D892" s="10" t="str">
        <x:v>M1 / M3</x:v>
      </x:c>
      <x:c r="E892" s="16" t="n">
        <x:v>1</x:v>
      </x:c>
      <x:c r="F892" s="14" t="n">
        <x:v>50</x:v>
      </x:c>
      <x:c r="G892" s="26" t="n">
        <x:f>'成本明细'!U133+'成本明细'!G133*(E892-'参数'!$B$6)</x:f>
        <x:v>2620.268107245</x:v>
      </x:c>
      <x:c r="H892" s="26" t="n">
        <x:f>'成本明细'!U139</x:f>
        <x:v>3614.175335178889</x:v>
      </x:c>
      <x:c r="I892" s="26" t="n">
        <x:f>'成本明细'!V139</x:f>
        <x:v>6898.5</x:v>
      </x:c>
      <x:c r="J892" s="22" t="n">
        <x:f>'参数'!$B$9</x:f>
        <x:v>300</x:v>
      </x:c>
      <x:c r="K892" s="26" t="n">
        <x:f>J892*(G892-H892)-I892*ROUNDUP(J892/F892,0)</x:f>
        <x:v>-339563.16838016664</x:v>
      </x:c>
      <x:c r="L892" s="10" t="str">
        <x:f>IF(G892-H892&lt;=0,"未回本",IF(ROUNDUP(I892/(G892-H892),0)&gt;MIN(F892,J892),"未回本",MAX(1,ROUNDUP(I892/(G892-H892),0))))</x:f>
        <x:v>未回本</x:v>
      </x:c>
    </x:row>
    <x:row r="893" ht="22" customHeight="1">
      <x:c r="A893" s="11" t="str">
        <x:v>lade_0825_20aoi</x:v>
      </x:c>
      <x:c r="B893" s="10" t="n">
        <x:v>20</x:v>
      </x:c>
      <x:c r="C893" s="10" t="n">
        <x:v>43</x:v>
      </x:c>
      <x:c r="D893" s="10" t="str">
        <x:v>M2 / M4</x:v>
      </x:c>
      <x:c r="E893" s="16" t="n">
        <x:v>1</x:v>
      </x:c>
      <x:c r="F893" s="14" t="n">
        <x:v>50</x:v>
      </x:c>
      <x:c r="G893" s="26" t="n">
        <x:f>'成本明细'!U136+'成本明细'!G136*(E893-'参数'!$B$6)</x:f>
        <x:v>1998.8918489844446</x:v>
      </x:c>
      <x:c r="H893" s="26" t="n">
        <x:f>'成本明细'!U142</x:f>
        <x:v>3792.689469988889</x:v>
      </x:c>
      <x:c r="I893" s="26" t="n">
        <x:f>'成本明细'!V142</x:f>
        <x:v>6898.5</x:v>
      </x:c>
      <x:c r="J893" s="22" t="n">
        <x:f>'参数'!$B$9</x:f>
        <x:v>300</x:v>
      </x:c>
      <x:c r="K893" s="26" t="n">
        <x:f>J893*(G893-H893)-I893*ROUNDUP(J893/F893,0)</x:f>
        <x:v>-579530.2863013333</x:v>
      </x:c>
      <x:c r="L893" s="10" t="str">
        <x:f>IF(G893-H893&lt;=0,"未回本",IF(ROUNDUP(I893/(G893-H893),0)&gt;MIN(F893,J893),"未回本",MAX(1,ROUNDUP(I893/(G893-H893),0))))</x:f>
        <x:v>未回本</x:v>
      </x:c>
    </x:row>
    <x:row r="894" ht="22" customHeight="1">
      <x:c r="A894" s="11" t="str">
        <x:v>lade_0825_20aoi</x:v>
      </x:c>
      <x:c r="B894" s="10" t="n">
        <x:v>20</x:v>
      </x:c>
      <x:c r="C894" s="10" t="n">
        <x:v>43</x:v>
      </x:c>
      <x:c r="D894" s="10" t="str">
        <x:v>M1 / M3</x:v>
      </x:c>
      <x:c r="E894" s="16" t="n">
        <x:v>2</x:v>
      </x:c>
      <x:c r="F894" s="14" t="n">
        <x:v>10</x:v>
      </x:c>
      <x:c r="G894" s="26" t="n">
        <x:f>'成本明细'!U133+'成本明细'!G133*(E894-'参数'!$B$6)</x:f>
        <x:v>2809.268107245</x:v>
      </x:c>
      <x:c r="H894" s="26" t="n">
        <x:f>'成本明细'!U139</x:f>
        <x:v>3614.175335178889</x:v>
      </x:c>
      <x:c r="I894" s="26" t="n">
        <x:f>'成本明细'!V139</x:f>
        <x:v>6898.5</x:v>
      </x:c>
      <x:c r="J894" s="22" t="n">
        <x:f>'参数'!$B$9</x:f>
        <x:v>300</x:v>
      </x:c>
      <x:c r="K894" s="26" t="n">
        <x:f>J894*(G894-H894)-I894*ROUNDUP(J894/F894,0)</x:f>
        <x:v>-448427.16838016664</x:v>
      </x:c>
      <x:c r="L894" s="10" t="str">
        <x:f>IF(G894-H894&lt;=0,"未回本",IF(ROUNDUP(I894/(G894-H894),0)&gt;MIN(F894,J894),"未回本",MAX(1,ROUNDUP(I894/(G894-H894),0))))</x:f>
        <x:v>未回本</x:v>
      </x:c>
    </x:row>
    <x:row r="895" ht="22" customHeight="1">
      <x:c r="A895" s="11" t="str">
        <x:v>lade_0825_20aoi</x:v>
      </x:c>
      <x:c r="B895" s="10" t="n">
        <x:v>20</x:v>
      </x:c>
      <x:c r="C895" s="10" t="n">
        <x:v>43</x:v>
      </x:c>
      <x:c r="D895" s="10" t="str">
        <x:v>M2 / M4</x:v>
      </x:c>
      <x:c r="E895" s="16" t="n">
        <x:v>2</x:v>
      </x:c>
      <x:c r="F895" s="14" t="n">
        <x:v>10</x:v>
      </x:c>
      <x:c r="G895" s="26" t="n">
        <x:f>'成本明细'!U136+'成本明细'!G136*(E895-'参数'!$B$6)</x:f>
        <x:v>2187.8918489844446</x:v>
      </x:c>
      <x:c r="H895" s="26" t="n">
        <x:f>'成本明细'!U142</x:f>
        <x:v>3792.689469988889</x:v>
      </x:c>
      <x:c r="I895" s="26" t="n">
        <x:f>'成本明细'!V142</x:f>
        <x:v>6898.5</x:v>
      </x:c>
      <x:c r="J895" s="22" t="n">
        <x:f>'参数'!$B$9</x:f>
        <x:v>300</x:v>
      </x:c>
      <x:c r="K895" s="26" t="n">
        <x:f>J895*(G895-H895)-I895*ROUNDUP(J895/F895,0)</x:f>
        <x:v>-688394.2863013333</x:v>
      </x:c>
      <x:c r="L895" s="10" t="str">
        <x:f>IF(G895-H895&lt;=0,"未回本",IF(ROUNDUP(I895/(G895-H895),0)&gt;MIN(F895,J895),"未回本",MAX(1,ROUNDUP(I895/(G895-H895),0))))</x:f>
        <x:v>未回本</x:v>
      </x:c>
    </x:row>
    <x:row r="896" ht="22" customHeight="1">
      <x:c r="A896" s="11" t="str">
        <x:v>lade_0825_20aoi</x:v>
      </x:c>
      <x:c r="B896" s="10" t="n">
        <x:v>20</x:v>
      </x:c>
      <x:c r="C896" s="10" t="n">
        <x:v>43</x:v>
      </x:c>
      <x:c r="D896" s="10" t="str">
        <x:v>M1 / M3</x:v>
      </x:c>
      <x:c r="E896" s="16" t="n">
        <x:v>2</x:v>
      </x:c>
      <x:c r="F896" s="14" t="n">
        <x:v>20</x:v>
      </x:c>
      <x:c r="G896" s="26" t="n">
        <x:f>'成本明细'!U133+'成本明细'!G133*(E896-'参数'!$B$6)</x:f>
        <x:v>2809.268107245</x:v>
      </x:c>
      <x:c r="H896" s="26" t="n">
        <x:f>'成本明细'!U139</x:f>
        <x:v>3614.175335178889</x:v>
      </x:c>
      <x:c r="I896" s="26" t="n">
        <x:f>'成本明细'!V139</x:f>
        <x:v>6898.5</x:v>
      </x:c>
      <x:c r="J896" s="22" t="n">
        <x:f>'参数'!$B$9</x:f>
        <x:v>300</x:v>
      </x:c>
      <x:c r="K896" s="26" t="n">
        <x:f>J896*(G896-H896)-I896*ROUNDUP(J896/F896,0)</x:f>
        <x:v>-344949.66838016664</x:v>
      </x:c>
      <x:c r="L896" s="10" t="str">
        <x:f>IF(G896-H896&lt;=0,"未回本",IF(ROUNDUP(I896/(G896-H896),0)&gt;MIN(F896,J896),"未回本",MAX(1,ROUNDUP(I896/(G896-H896),0))))</x:f>
        <x:v>未回本</x:v>
      </x:c>
    </x:row>
    <x:row r="897" ht="22" customHeight="1">
      <x:c r="A897" s="11" t="str">
        <x:v>lade_0825_20aoi</x:v>
      </x:c>
      <x:c r="B897" s="10" t="n">
        <x:v>20</x:v>
      </x:c>
      <x:c r="C897" s="10" t="n">
        <x:v>43</x:v>
      </x:c>
      <x:c r="D897" s="10" t="str">
        <x:v>M2 / M4</x:v>
      </x:c>
      <x:c r="E897" s="16" t="n">
        <x:v>2</x:v>
      </x:c>
      <x:c r="F897" s="14" t="n">
        <x:v>20</x:v>
      </x:c>
      <x:c r="G897" s="26" t="n">
        <x:f>'成本明细'!U136+'成本明细'!G136*(E897-'参数'!$B$6)</x:f>
        <x:v>2187.8918489844446</x:v>
      </x:c>
      <x:c r="H897" s="26" t="n">
        <x:f>'成本明细'!U142</x:f>
        <x:v>3792.689469988889</x:v>
      </x:c>
      <x:c r="I897" s="26" t="n">
        <x:f>'成本明细'!V142</x:f>
        <x:v>6898.5</x:v>
      </x:c>
      <x:c r="J897" s="22" t="n">
        <x:f>'参数'!$B$9</x:f>
        <x:v>300</x:v>
      </x:c>
      <x:c r="K897" s="26" t="n">
        <x:f>J897*(G897-H897)-I897*ROUNDUP(J897/F897,0)</x:f>
        <x:v>-584916.7863013333</x:v>
      </x:c>
      <x:c r="L897" s="10" t="str">
        <x:f>IF(G897-H897&lt;=0,"未回本",IF(ROUNDUP(I897/(G897-H897),0)&gt;MIN(F897,J897),"未回本",MAX(1,ROUNDUP(I897/(G897-H897),0))))</x:f>
        <x:v>未回本</x:v>
      </x:c>
    </x:row>
    <x:row r="898" ht="22" customHeight="1">
      <x:c r="A898" s="11" t="str">
        <x:v>lade_0825_20aoi</x:v>
      </x:c>
      <x:c r="B898" s="10" t="n">
        <x:v>20</x:v>
      </x:c>
      <x:c r="C898" s="10" t="n">
        <x:v>43</x:v>
      </x:c>
      <x:c r="D898" s="10" t="str">
        <x:v>M1 / M3</x:v>
      </x:c>
      <x:c r="E898" s="16" t="n">
        <x:v>2</x:v>
      </x:c>
      <x:c r="F898" s="14" t="n">
        <x:v>30</x:v>
      </x:c>
      <x:c r="G898" s="26" t="n">
        <x:f>'成本明细'!U133+'成本明细'!G133*(E898-'参数'!$B$6)</x:f>
        <x:v>2809.268107245</x:v>
      </x:c>
      <x:c r="H898" s="26" t="n">
        <x:f>'成本明细'!U139</x:f>
        <x:v>3614.175335178889</x:v>
      </x:c>
      <x:c r="I898" s="26" t="n">
        <x:f>'成本明细'!V139</x:f>
        <x:v>6898.5</x:v>
      </x:c>
      <x:c r="J898" s="22" t="n">
        <x:f>'参数'!$B$9</x:f>
        <x:v>300</x:v>
      </x:c>
      <x:c r="K898" s="26" t="n">
        <x:f>J898*(G898-H898)-I898*ROUNDUP(J898/F898,0)</x:f>
        <x:v>-310457.16838016664</x:v>
      </x:c>
      <x:c r="L898" s="10" t="str">
        <x:f>IF(G898-H898&lt;=0,"未回本",IF(ROUNDUP(I898/(G898-H898),0)&gt;MIN(F898,J898),"未回本",MAX(1,ROUNDUP(I898/(G898-H898),0))))</x:f>
        <x:v>未回本</x:v>
      </x:c>
    </x:row>
    <x:row r="899" ht="22" customHeight="1">
      <x:c r="A899" s="11" t="str">
        <x:v>lade_0825_20aoi</x:v>
      </x:c>
      <x:c r="B899" s="10" t="n">
        <x:v>20</x:v>
      </x:c>
      <x:c r="C899" s="10" t="n">
        <x:v>43</x:v>
      </x:c>
      <x:c r="D899" s="10" t="str">
        <x:v>M2 / M4</x:v>
      </x:c>
      <x:c r="E899" s="16" t="n">
        <x:v>2</x:v>
      </x:c>
      <x:c r="F899" s="14" t="n">
        <x:v>30</x:v>
      </x:c>
      <x:c r="G899" s="26" t="n">
        <x:f>'成本明细'!U136+'成本明细'!G136*(E899-'参数'!$B$6)</x:f>
        <x:v>2187.8918489844446</x:v>
      </x:c>
      <x:c r="H899" s="26" t="n">
        <x:f>'成本明细'!U142</x:f>
        <x:v>3792.689469988889</x:v>
      </x:c>
      <x:c r="I899" s="26" t="n">
        <x:f>'成本明细'!V142</x:f>
        <x:v>6898.5</x:v>
      </x:c>
      <x:c r="J899" s="22" t="n">
        <x:f>'参数'!$B$9</x:f>
        <x:v>300</x:v>
      </x:c>
      <x:c r="K899" s="26" t="n">
        <x:f>J899*(G899-H899)-I899*ROUNDUP(J899/F899,0)</x:f>
        <x:v>-550424.2863013333</x:v>
      </x:c>
      <x:c r="L899" s="10" t="str">
        <x:f>IF(G899-H899&lt;=0,"未回本",IF(ROUNDUP(I899/(G899-H899),0)&gt;MIN(F899,J899),"未回本",MAX(1,ROUNDUP(I899/(G899-H899),0))))</x:f>
        <x:v>未回本</x:v>
      </x:c>
    </x:row>
    <x:row r="900" ht="22" customHeight="1">
      <x:c r="A900" s="11" t="str">
        <x:v>lade_0825_20aoi</x:v>
      </x:c>
      <x:c r="B900" s="10" t="n">
        <x:v>20</x:v>
      </x:c>
      <x:c r="C900" s="10" t="n">
        <x:v>43</x:v>
      </x:c>
      <x:c r="D900" s="10" t="str">
        <x:v>M1 / M3</x:v>
      </x:c>
      <x:c r="E900" s="16" t="n">
        <x:v>2</x:v>
      </x:c>
      <x:c r="F900" s="14" t="n">
        <x:v>50</x:v>
      </x:c>
      <x:c r="G900" s="26" t="n">
        <x:f>'成本明细'!U133+'成本明细'!G133*(E900-'参数'!$B$6)</x:f>
        <x:v>2809.268107245</x:v>
      </x:c>
      <x:c r="H900" s="26" t="n">
        <x:f>'成本明细'!U139</x:f>
        <x:v>3614.175335178889</x:v>
      </x:c>
      <x:c r="I900" s="26" t="n">
        <x:f>'成本明细'!V139</x:f>
        <x:v>6898.5</x:v>
      </x:c>
      <x:c r="J900" s="22" t="n">
        <x:f>'参数'!$B$9</x:f>
        <x:v>300</x:v>
      </x:c>
      <x:c r="K900" s="26" t="n">
        <x:f>J900*(G900-H900)-I900*ROUNDUP(J900/F900,0)</x:f>
        <x:v>-282863.16838016664</x:v>
      </x:c>
      <x:c r="L900" s="10" t="str">
        <x:f>IF(G900-H900&lt;=0,"未回本",IF(ROUNDUP(I900/(G900-H900),0)&gt;MIN(F900,J900),"未回本",MAX(1,ROUNDUP(I900/(G900-H900),0))))</x:f>
        <x:v>未回本</x:v>
      </x:c>
    </x:row>
    <x:row r="901" ht="22" customHeight="1">
      <x:c r="A901" s="11" t="str">
        <x:v>lade_0825_20aoi</x:v>
      </x:c>
      <x:c r="B901" s="10" t="n">
        <x:v>20</x:v>
      </x:c>
      <x:c r="C901" s="10" t="n">
        <x:v>43</x:v>
      </x:c>
      <x:c r="D901" s="10" t="str">
        <x:v>M2 / M4</x:v>
      </x:c>
      <x:c r="E901" s="16" t="n">
        <x:v>2</x:v>
      </x:c>
      <x:c r="F901" s="14" t="n">
        <x:v>50</x:v>
      </x:c>
      <x:c r="G901" s="26" t="n">
        <x:f>'成本明细'!U136+'成本明细'!G136*(E901-'参数'!$B$6)</x:f>
        <x:v>2187.8918489844446</x:v>
      </x:c>
      <x:c r="H901" s="26" t="n">
        <x:f>'成本明细'!U142</x:f>
        <x:v>3792.689469988889</x:v>
      </x:c>
      <x:c r="I901" s="26" t="n">
        <x:f>'成本明细'!V142</x:f>
        <x:v>6898.5</x:v>
      </x:c>
      <x:c r="J901" s="22" t="n">
        <x:f>'参数'!$B$9</x:f>
        <x:v>300</x:v>
      </x:c>
      <x:c r="K901" s="26" t="n">
        <x:f>J901*(G901-H901)-I901*ROUNDUP(J901/F901,0)</x:f>
        <x:v>-522830.28630133334</x:v>
      </x:c>
      <x:c r="L901" s="10" t="str">
        <x:f>IF(G901-H901&lt;=0,"未回本",IF(ROUNDUP(I901/(G901-H901),0)&gt;MIN(F901,J901),"未回本",MAX(1,ROUNDUP(I901/(G901-H901),0))))</x:f>
        <x:v>未回本</x:v>
      </x:c>
    </x:row>
    <x:row r="902" ht="22" customHeight="1">
      <x:c r="A902" s="11" t="str">
        <x:v>lade_0825_20aoi</x:v>
      </x:c>
      <x:c r="B902" s="10" t="n">
        <x:v>20</x:v>
      </x:c>
      <x:c r="C902" s="10" t="n">
        <x:v>43</x:v>
      </x:c>
      <x:c r="D902" s="10" t="str">
        <x:v>M1 / M3</x:v>
      </x:c>
      <x:c r="E902" s="16" t="n">
        <x:v>3</x:v>
      </x:c>
      <x:c r="F902" s="14" t="n">
        <x:v>10</x:v>
      </x:c>
      <x:c r="G902" s="26" t="n">
        <x:f>'成本明细'!U133+'成本明细'!G133*(E902-'参数'!$B$6)</x:f>
        <x:v>2998.268107245</x:v>
      </x:c>
      <x:c r="H902" s="26" t="n">
        <x:f>'成本明细'!U139</x:f>
        <x:v>3614.175335178889</x:v>
      </x:c>
      <x:c r="I902" s="26" t="n">
        <x:f>'成本明细'!V139</x:f>
        <x:v>6898.5</x:v>
      </x:c>
      <x:c r="J902" s="22" t="n">
        <x:f>'参数'!$B$9</x:f>
        <x:v>300</x:v>
      </x:c>
      <x:c r="K902" s="26" t="n">
        <x:f>J902*(G902-H902)-I902*ROUNDUP(J902/F902,0)</x:f>
        <x:v>-391727.16838016664</x:v>
      </x:c>
      <x:c r="L902" s="10" t="str">
        <x:f>IF(G902-H902&lt;=0,"未回本",IF(ROUNDUP(I902/(G902-H902),0)&gt;MIN(F902,J902),"未回本",MAX(1,ROUNDUP(I902/(G902-H902),0))))</x:f>
        <x:v>未回本</x:v>
      </x:c>
    </x:row>
    <x:row r="903" ht="22" customHeight="1">
      <x:c r="A903" s="11" t="str">
        <x:v>lade_0825_20aoi</x:v>
      </x:c>
      <x:c r="B903" s="10" t="n">
        <x:v>20</x:v>
      </x:c>
      <x:c r="C903" s="10" t="n">
        <x:v>43</x:v>
      </x:c>
      <x:c r="D903" s="10" t="str">
        <x:v>M2 / M4</x:v>
      </x:c>
      <x:c r="E903" s="16" t="n">
        <x:v>3</x:v>
      </x:c>
      <x:c r="F903" s="14" t="n">
        <x:v>10</x:v>
      </x:c>
      <x:c r="G903" s="26" t="n">
        <x:f>'成本明细'!U136+'成本明细'!G136*(E903-'参数'!$B$6)</x:f>
        <x:v>2376.8918489844446</x:v>
      </x:c>
      <x:c r="H903" s="26" t="n">
        <x:f>'成本明细'!U142</x:f>
        <x:v>3792.689469988889</x:v>
      </x:c>
      <x:c r="I903" s="26" t="n">
        <x:f>'成本明细'!V142</x:f>
        <x:v>6898.5</x:v>
      </x:c>
      <x:c r="J903" s="22" t="n">
        <x:f>'参数'!$B$9</x:f>
        <x:v>300</x:v>
      </x:c>
      <x:c r="K903" s="26" t="n">
        <x:f>J903*(G903-H903)-I903*ROUNDUP(J903/F903,0)</x:f>
        <x:v>-631694.2863013333</x:v>
      </x:c>
      <x:c r="L903" s="10" t="str">
        <x:f>IF(G903-H903&lt;=0,"未回本",IF(ROUNDUP(I903/(G903-H903),0)&gt;MIN(F903,J903),"未回本",MAX(1,ROUNDUP(I903/(G903-H903),0))))</x:f>
        <x:v>未回本</x:v>
      </x:c>
    </x:row>
    <x:row r="904" ht="22" customHeight="1">
      <x:c r="A904" s="11" t="str">
        <x:v>lade_0825_20aoi</x:v>
      </x:c>
      <x:c r="B904" s="10" t="n">
        <x:v>20</x:v>
      </x:c>
      <x:c r="C904" s="10" t="n">
        <x:v>43</x:v>
      </x:c>
      <x:c r="D904" s="10" t="str">
        <x:v>M1 / M3</x:v>
      </x:c>
      <x:c r="E904" s="16" t="n">
        <x:v>3</x:v>
      </x:c>
      <x:c r="F904" s="14" t="n">
        <x:v>20</x:v>
      </x:c>
      <x:c r="G904" s="26" t="n">
        <x:f>'成本明细'!U133+'成本明细'!G133*(E904-'参数'!$B$6)</x:f>
        <x:v>2998.268107245</x:v>
      </x:c>
      <x:c r="H904" s="26" t="n">
        <x:f>'成本明细'!U139</x:f>
        <x:v>3614.175335178889</x:v>
      </x:c>
      <x:c r="I904" s="26" t="n">
        <x:f>'成本明细'!V139</x:f>
        <x:v>6898.5</x:v>
      </x:c>
      <x:c r="J904" s="22" t="n">
        <x:f>'参数'!$B$9</x:f>
        <x:v>300</x:v>
      </x:c>
      <x:c r="K904" s="26" t="n">
        <x:f>J904*(G904-H904)-I904*ROUNDUP(J904/F904,0)</x:f>
        <x:v>-288249.66838016664</x:v>
      </x:c>
      <x:c r="L904" s="10" t="str">
        <x:f>IF(G904-H904&lt;=0,"未回本",IF(ROUNDUP(I904/(G904-H904),0)&gt;MIN(F904,J904),"未回本",MAX(1,ROUNDUP(I904/(G904-H904),0))))</x:f>
        <x:v>未回本</x:v>
      </x:c>
    </x:row>
    <x:row r="905" ht="22" customHeight="1">
      <x:c r="A905" s="11" t="str">
        <x:v>lade_0825_20aoi</x:v>
      </x:c>
      <x:c r="B905" s="10" t="n">
        <x:v>20</x:v>
      </x:c>
      <x:c r="C905" s="10" t="n">
        <x:v>43</x:v>
      </x:c>
      <x:c r="D905" s="10" t="str">
        <x:v>M2 / M4</x:v>
      </x:c>
      <x:c r="E905" s="16" t="n">
        <x:v>3</x:v>
      </x:c>
      <x:c r="F905" s="14" t="n">
        <x:v>20</x:v>
      </x:c>
      <x:c r="G905" s="26" t="n">
        <x:f>'成本明细'!U136+'成本明细'!G136*(E905-'参数'!$B$6)</x:f>
        <x:v>2376.8918489844446</x:v>
      </x:c>
      <x:c r="H905" s="26" t="n">
        <x:f>'成本明细'!U142</x:f>
        <x:v>3792.689469988889</x:v>
      </x:c>
      <x:c r="I905" s="26" t="n">
        <x:f>'成本明细'!V142</x:f>
        <x:v>6898.5</x:v>
      </x:c>
      <x:c r="J905" s="22" t="n">
        <x:f>'参数'!$B$9</x:f>
        <x:v>300</x:v>
      </x:c>
      <x:c r="K905" s="26" t="n">
        <x:f>J905*(G905-H905)-I905*ROUNDUP(J905/F905,0)</x:f>
        <x:v>-528216.7863013333</x:v>
      </x:c>
      <x:c r="L905" s="10" t="str">
        <x:f>IF(G905-H905&lt;=0,"未回本",IF(ROUNDUP(I905/(G905-H905),0)&gt;MIN(F905,J905),"未回本",MAX(1,ROUNDUP(I905/(G905-H905),0))))</x:f>
        <x:v>未回本</x:v>
      </x:c>
    </x:row>
    <x:row r="906" ht="22" customHeight="1">
      <x:c r="A906" s="11" t="str">
        <x:v>lade_0825_20aoi</x:v>
      </x:c>
      <x:c r="B906" s="10" t="n">
        <x:v>20</x:v>
      </x:c>
      <x:c r="C906" s="10" t="n">
        <x:v>43</x:v>
      </x:c>
      <x:c r="D906" s="10" t="str">
        <x:v>M1 / M3</x:v>
      </x:c>
      <x:c r="E906" s="16" t="n">
        <x:v>3</x:v>
      </x:c>
      <x:c r="F906" s="14" t="n">
        <x:v>30</x:v>
      </x:c>
      <x:c r="G906" s="26" t="n">
        <x:f>'成本明细'!U133+'成本明细'!G133*(E906-'参数'!$B$6)</x:f>
        <x:v>2998.268107245</x:v>
      </x:c>
      <x:c r="H906" s="26" t="n">
        <x:f>'成本明细'!U139</x:f>
        <x:v>3614.175335178889</x:v>
      </x:c>
      <x:c r="I906" s="26" t="n">
        <x:f>'成本明细'!V139</x:f>
        <x:v>6898.5</x:v>
      </x:c>
      <x:c r="J906" s="22" t="n">
        <x:f>'参数'!$B$9</x:f>
        <x:v>300</x:v>
      </x:c>
      <x:c r="K906" s="26" t="n">
        <x:f>J906*(G906-H906)-I906*ROUNDUP(J906/F906,0)</x:f>
        <x:v>-253757.16838016667</x:v>
      </x:c>
      <x:c r="L906" s="10" t="str">
        <x:f>IF(G906-H906&lt;=0,"未回本",IF(ROUNDUP(I906/(G906-H906),0)&gt;MIN(F906,J906),"未回本",MAX(1,ROUNDUP(I906/(G906-H906),0))))</x:f>
        <x:v>未回本</x:v>
      </x:c>
    </x:row>
    <x:row r="907" ht="22" customHeight="1">
      <x:c r="A907" s="11" t="str">
        <x:v>lade_0825_20aoi</x:v>
      </x:c>
      <x:c r="B907" s="10" t="n">
        <x:v>20</x:v>
      </x:c>
      <x:c r="C907" s="10" t="n">
        <x:v>43</x:v>
      </x:c>
      <x:c r="D907" s="10" t="str">
        <x:v>M2 / M4</x:v>
      </x:c>
      <x:c r="E907" s="16" t="n">
        <x:v>3</x:v>
      </x:c>
      <x:c r="F907" s="14" t="n">
        <x:v>30</x:v>
      </x:c>
      <x:c r="G907" s="26" t="n">
        <x:f>'成本明细'!U136+'成本明细'!G136*(E907-'参数'!$B$6)</x:f>
        <x:v>2376.8918489844446</x:v>
      </x:c>
      <x:c r="H907" s="26" t="n">
        <x:f>'成本明细'!U142</x:f>
        <x:v>3792.689469988889</x:v>
      </x:c>
      <x:c r="I907" s="26" t="n">
        <x:f>'成本明细'!V142</x:f>
        <x:v>6898.5</x:v>
      </x:c>
      <x:c r="J907" s="22" t="n">
        <x:f>'参数'!$B$9</x:f>
        <x:v>300</x:v>
      </x:c>
      <x:c r="K907" s="26" t="n">
        <x:f>J907*(G907-H907)-I907*ROUNDUP(J907/F907,0)</x:f>
        <x:v>-493724.28630133334</x:v>
      </x:c>
      <x:c r="L907" s="10" t="str">
        <x:f>IF(G907-H907&lt;=0,"未回本",IF(ROUNDUP(I907/(G907-H907),0)&gt;MIN(F907,J907),"未回本",MAX(1,ROUNDUP(I907/(G907-H907),0))))</x:f>
        <x:v>未回本</x:v>
      </x:c>
    </x:row>
    <x:row r="908" ht="22" customHeight="1">
      <x:c r="A908" s="11" t="str">
        <x:v>lade_0825_20aoi</x:v>
      </x:c>
      <x:c r="B908" s="10" t="n">
        <x:v>20</x:v>
      </x:c>
      <x:c r="C908" s="10" t="n">
        <x:v>43</x:v>
      </x:c>
      <x:c r="D908" s="10" t="str">
        <x:v>M1 / M3</x:v>
      </x:c>
      <x:c r="E908" s="16" t="n">
        <x:v>3</x:v>
      </x:c>
      <x:c r="F908" s="14" t="n">
        <x:v>50</x:v>
      </x:c>
      <x:c r="G908" s="26" t="n">
        <x:f>'成本明细'!U133+'成本明细'!G133*(E908-'参数'!$B$6)</x:f>
        <x:v>2998.268107245</x:v>
      </x:c>
      <x:c r="H908" s="26" t="n">
        <x:f>'成本明细'!U139</x:f>
        <x:v>3614.175335178889</x:v>
      </x:c>
      <x:c r="I908" s="26" t="n">
        <x:f>'成本明细'!V139</x:f>
        <x:v>6898.5</x:v>
      </x:c>
      <x:c r="J908" s="22" t="n">
        <x:f>'参数'!$B$9</x:f>
        <x:v>300</x:v>
      </x:c>
      <x:c r="K908" s="26" t="n">
        <x:f>J908*(G908-H908)-I908*ROUNDUP(J908/F908,0)</x:f>
        <x:v>-226163.16838016667</x:v>
      </x:c>
      <x:c r="L908" s="10" t="str">
        <x:f>IF(G908-H908&lt;=0,"未回本",IF(ROUNDUP(I908/(G908-H908),0)&gt;MIN(F908,J908),"未回本",MAX(1,ROUNDUP(I908/(G908-H908),0))))</x:f>
        <x:v>未回本</x:v>
      </x:c>
    </x:row>
    <x:row r="909" ht="22" customHeight="1">
      <x:c r="A909" s="11" t="str">
        <x:v>lade_0825_20aoi</x:v>
      </x:c>
      <x:c r="B909" s="10" t="n">
        <x:v>20</x:v>
      </x:c>
      <x:c r="C909" s="10" t="n">
        <x:v>43</x:v>
      </x:c>
      <x:c r="D909" s="10" t="str">
        <x:v>M2 / M4</x:v>
      </x:c>
      <x:c r="E909" s="16" t="n">
        <x:v>3</x:v>
      </x:c>
      <x:c r="F909" s="14" t="n">
        <x:v>50</x:v>
      </x:c>
      <x:c r="G909" s="26" t="n">
        <x:f>'成本明细'!U136+'成本明细'!G136*(E909-'参数'!$B$6)</x:f>
        <x:v>2376.8918489844446</x:v>
      </x:c>
      <x:c r="H909" s="26" t="n">
        <x:f>'成本明细'!U142</x:f>
        <x:v>3792.689469988889</x:v>
      </x:c>
      <x:c r="I909" s="26" t="n">
        <x:f>'成本明细'!V142</x:f>
        <x:v>6898.5</x:v>
      </x:c>
      <x:c r="J909" s="22" t="n">
        <x:f>'参数'!$B$9</x:f>
        <x:v>300</x:v>
      </x:c>
      <x:c r="K909" s="26" t="n">
        <x:f>J909*(G909-H909)-I909*ROUNDUP(J909/F909,0)</x:f>
        <x:v>-466130.28630133334</x:v>
      </x:c>
      <x:c r="L909" s="10" t="str">
        <x:f>IF(G909-H909&lt;=0,"未回本",IF(ROUNDUP(I909/(G909-H909),0)&gt;MIN(F909,J909),"未回本",MAX(1,ROUNDUP(I909/(G909-H909),0))))</x:f>
        <x:v>未回本</x:v>
      </x:c>
    </x:row>
    <x:row r="910" ht="22" customHeight="1">
      <x:c r="A910" s="11" t="str">
        <x:v>lade_0825_20aoi</x:v>
      </x:c>
      <x:c r="B910" s="10" t="n">
        <x:v>20</x:v>
      </x:c>
      <x:c r="C910" s="10" t="n">
        <x:v>43</x:v>
      </x:c>
      <x:c r="D910" s="10" t="str">
        <x:v>M1 / M3</x:v>
      </x:c>
      <x:c r="E910" s="16" t="n">
        <x:v>4</x:v>
      </x:c>
      <x:c r="F910" s="14" t="n">
        <x:v>10</x:v>
      </x:c>
      <x:c r="G910" s="26" t="n">
        <x:f>'成本明细'!U133+'成本明细'!G133*(E910-'参数'!$B$6)</x:f>
        <x:v>3187.268107245</x:v>
      </x:c>
      <x:c r="H910" s="26" t="n">
        <x:f>'成本明细'!U139</x:f>
        <x:v>3614.175335178889</x:v>
      </x:c>
      <x:c r="I910" s="26" t="n">
        <x:f>'成本明细'!V139</x:f>
        <x:v>6898.5</x:v>
      </x:c>
      <x:c r="J910" s="22" t="n">
        <x:f>'参数'!$B$9</x:f>
        <x:v>300</x:v>
      </x:c>
      <x:c r="K910" s="26" t="n">
        <x:f>J910*(G910-H910)-I910*ROUNDUP(J910/F910,0)</x:f>
        <x:v>-335027.16838016664</x:v>
      </x:c>
      <x:c r="L910" s="10" t="str">
        <x:f>IF(G910-H910&lt;=0,"未回本",IF(ROUNDUP(I910/(G910-H910),0)&gt;MIN(F910,J910),"未回本",MAX(1,ROUNDUP(I910/(G910-H910),0))))</x:f>
        <x:v>未回本</x:v>
      </x:c>
    </x:row>
    <x:row r="911" ht="22" customHeight="1">
      <x:c r="A911" s="11" t="str">
        <x:v>lade_0825_20aoi</x:v>
      </x:c>
      <x:c r="B911" s="10" t="n">
        <x:v>20</x:v>
      </x:c>
      <x:c r="C911" s="10" t="n">
        <x:v>43</x:v>
      </x:c>
      <x:c r="D911" s="10" t="str">
        <x:v>M2 / M4</x:v>
      </x:c>
      <x:c r="E911" s="16" t="n">
        <x:v>4</x:v>
      </x:c>
      <x:c r="F911" s="14" t="n">
        <x:v>10</x:v>
      </x:c>
      <x:c r="G911" s="26" t="n">
        <x:f>'成本明细'!U136+'成本明细'!G136*(E911-'参数'!$B$6)</x:f>
        <x:v>2565.8918489844446</x:v>
      </x:c>
      <x:c r="H911" s="26" t="n">
        <x:f>'成本明细'!U142</x:f>
        <x:v>3792.689469988889</x:v>
      </x:c>
      <x:c r="I911" s="26" t="n">
        <x:f>'成本明细'!V142</x:f>
        <x:v>6898.5</x:v>
      </x:c>
      <x:c r="J911" s="22" t="n">
        <x:f>'参数'!$B$9</x:f>
        <x:v>300</x:v>
      </x:c>
      <x:c r="K911" s="26" t="n">
        <x:f>J911*(G911-H911)-I911*ROUNDUP(J911/F911,0)</x:f>
        <x:v>-574994.2863013333</x:v>
      </x:c>
      <x:c r="L911" s="10" t="str">
        <x:f>IF(G911-H911&lt;=0,"未回本",IF(ROUNDUP(I911/(G911-H911),0)&gt;MIN(F911,J911),"未回本",MAX(1,ROUNDUP(I911/(G911-H911),0))))</x:f>
        <x:v>未回本</x:v>
      </x:c>
    </x:row>
    <x:row r="912" ht="22" customHeight="1">
      <x:c r="A912" s="11" t="str">
        <x:v>lade_0825_20aoi</x:v>
      </x:c>
      <x:c r="B912" s="10" t="n">
        <x:v>20</x:v>
      </x:c>
      <x:c r="C912" s="10" t="n">
        <x:v>43</x:v>
      </x:c>
      <x:c r="D912" s="10" t="str">
        <x:v>M1 / M3</x:v>
      </x:c>
      <x:c r="E912" s="16" t="n">
        <x:v>4</x:v>
      </x:c>
      <x:c r="F912" s="14" t="n">
        <x:v>20</x:v>
      </x:c>
      <x:c r="G912" s="26" t="n">
        <x:f>'成本明细'!U133+'成本明细'!G133*(E912-'参数'!$B$6)</x:f>
        <x:v>3187.268107245</x:v>
      </x:c>
      <x:c r="H912" s="26" t="n">
        <x:f>'成本明细'!U139</x:f>
        <x:v>3614.175335178889</x:v>
      </x:c>
      <x:c r="I912" s="26" t="n">
        <x:f>'成本明细'!V139</x:f>
        <x:v>6898.5</x:v>
      </x:c>
      <x:c r="J912" s="22" t="n">
        <x:f>'参数'!$B$9</x:f>
        <x:v>300</x:v>
      </x:c>
      <x:c r="K912" s="26" t="n">
        <x:f>J912*(G912-H912)-I912*ROUNDUP(J912/F912,0)</x:f>
        <x:v>-231549.66838016667</x:v>
      </x:c>
      <x:c r="L912" s="10" t="str">
        <x:f>IF(G912-H912&lt;=0,"未回本",IF(ROUNDUP(I912/(G912-H912),0)&gt;MIN(F912,J912),"未回本",MAX(1,ROUNDUP(I912/(G912-H912),0))))</x:f>
        <x:v>未回本</x:v>
      </x:c>
    </x:row>
    <x:row r="913" ht="22" customHeight="1">
      <x:c r="A913" s="11" t="str">
        <x:v>lade_0825_20aoi</x:v>
      </x:c>
      <x:c r="B913" s="10" t="n">
        <x:v>20</x:v>
      </x:c>
      <x:c r="C913" s="10" t="n">
        <x:v>43</x:v>
      </x:c>
      <x:c r="D913" s="10" t="str">
        <x:v>M2 / M4</x:v>
      </x:c>
      <x:c r="E913" s="16" t="n">
        <x:v>4</x:v>
      </x:c>
      <x:c r="F913" s="14" t="n">
        <x:v>20</x:v>
      </x:c>
      <x:c r="G913" s="26" t="n">
        <x:f>'成本明细'!U136+'成本明细'!G136*(E913-'参数'!$B$6)</x:f>
        <x:v>2565.8918489844446</x:v>
      </x:c>
      <x:c r="H913" s="26" t="n">
        <x:f>'成本明细'!U142</x:f>
        <x:v>3792.689469988889</x:v>
      </x:c>
      <x:c r="I913" s="26" t="n">
        <x:f>'成本明细'!V142</x:f>
        <x:v>6898.5</x:v>
      </x:c>
      <x:c r="J913" s="22" t="n">
        <x:f>'参数'!$B$9</x:f>
        <x:v>300</x:v>
      </x:c>
      <x:c r="K913" s="26" t="n">
        <x:f>J913*(G913-H913)-I913*ROUNDUP(J913/F913,0)</x:f>
        <x:v>-471516.78630133334</x:v>
      </x:c>
      <x:c r="L913" s="10" t="str">
        <x:f>IF(G913-H913&lt;=0,"未回本",IF(ROUNDUP(I913/(G913-H913),0)&gt;MIN(F913,J913),"未回本",MAX(1,ROUNDUP(I913/(G913-H913),0))))</x:f>
        <x:v>未回本</x:v>
      </x:c>
    </x:row>
    <x:row r="914" ht="22" customHeight="1">
      <x:c r="A914" s="11" t="str">
        <x:v>lade_0825_20aoi</x:v>
      </x:c>
      <x:c r="B914" s="10" t="n">
        <x:v>20</x:v>
      </x:c>
      <x:c r="C914" s="10" t="n">
        <x:v>43</x:v>
      </x:c>
      <x:c r="D914" s="10" t="str">
        <x:v>M1 / M3</x:v>
      </x:c>
      <x:c r="E914" s="16" t="n">
        <x:v>4</x:v>
      </x:c>
      <x:c r="F914" s="14" t="n">
        <x:v>30</x:v>
      </x:c>
      <x:c r="G914" s="26" t="n">
        <x:f>'成本明细'!U133+'成本明细'!G133*(E914-'参数'!$B$6)</x:f>
        <x:v>3187.268107245</x:v>
      </x:c>
      <x:c r="H914" s="26" t="n">
        <x:f>'成本明细'!U139</x:f>
        <x:v>3614.175335178889</x:v>
      </x:c>
      <x:c r="I914" s="26" t="n">
        <x:f>'成本明细'!V139</x:f>
        <x:v>6898.5</x:v>
      </x:c>
      <x:c r="J914" s="22" t="n">
        <x:f>'参数'!$B$9</x:f>
        <x:v>300</x:v>
      </x:c>
      <x:c r="K914" s="26" t="n">
        <x:f>J914*(G914-H914)-I914*ROUNDUP(J914/F914,0)</x:f>
        <x:v>-197057.16838016667</x:v>
      </x:c>
      <x:c r="L914" s="10" t="str">
        <x:f>IF(G914-H914&lt;=0,"未回本",IF(ROUNDUP(I914/(G914-H914),0)&gt;MIN(F914,J914),"未回本",MAX(1,ROUNDUP(I914/(G914-H914),0))))</x:f>
        <x:v>未回本</x:v>
      </x:c>
    </x:row>
    <x:row r="915" ht="22" customHeight="1">
      <x:c r="A915" s="11" t="str">
        <x:v>lade_0825_20aoi</x:v>
      </x:c>
      <x:c r="B915" s="10" t="n">
        <x:v>20</x:v>
      </x:c>
      <x:c r="C915" s="10" t="n">
        <x:v>43</x:v>
      </x:c>
      <x:c r="D915" s="10" t="str">
        <x:v>M2 / M4</x:v>
      </x:c>
      <x:c r="E915" s="16" t="n">
        <x:v>4</x:v>
      </x:c>
      <x:c r="F915" s="14" t="n">
        <x:v>30</x:v>
      </x:c>
      <x:c r="G915" s="26" t="n">
        <x:f>'成本明细'!U136+'成本明细'!G136*(E915-'参数'!$B$6)</x:f>
        <x:v>2565.8918489844446</x:v>
      </x:c>
      <x:c r="H915" s="26" t="n">
        <x:f>'成本明细'!U142</x:f>
        <x:v>3792.689469988889</x:v>
      </x:c>
      <x:c r="I915" s="26" t="n">
        <x:f>'成本明细'!V142</x:f>
        <x:v>6898.5</x:v>
      </x:c>
      <x:c r="J915" s="22" t="n">
        <x:f>'参数'!$B$9</x:f>
        <x:v>300</x:v>
      </x:c>
      <x:c r="K915" s="26" t="n">
        <x:f>J915*(G915-H915)-I915*ROUNDUP(J915/F915,0)</x:f>
        <x:v>-437024.28630133334</x:v>
      </x:c>
      <x:c r="L915" s="10" t="str">
        <x:f>IF(G915-H915&lt;=0,"未回本",IF(ROUNDUP(I915/(G915-H915),0)&gt;MIN(F915,J915),"未回本",MAX(1,ROUNDUP(I915/(G915-H915),0))))</x:f>
        <x:v>未回本</x:v>
      </x:c>
    </x:row>
    <x:row r="916" ht="22" customHeight="1">
      <x:c r="A916" s="11" t="str">
        <x:v>lade_0825_20aoi</x:v>
      </x:c>
      <x:c r="B916" s="10" t="n">
        <x:v>20</x:v>
      </x:c>
      <x:c r="C916" s="10" t="n">
        <x:v>43</x:v>
      </x:c>
      <x:c r="D916" s="10" t="str">
        <x:v>M1 / M3</x:v>
      </x:c>
      <x:c r="E916" s="16" t="n">
        <x:v>4</x:v>
      </x:c>
      <x:c r="F916" s="14" t="n">
        <x:v>50</x:v>
      </x:c>
      <x:c r="G916" s="26" t="n">
        <x:f>'成本明细'!U133+'成本明细'!G133*(E916-'参数'!$B$6)</x:f>
        <x:v>3187.268107245</x:v>
      </x:c>
      <x:c r="H916" s="26" t="n">
        <x:f>'成本明细'!U139</x:f>
        <x:v>3614.175335178889</x:v>
      </x:c>
      <x:c r="I916" s="26" t="n">
        <x:f>'成本明细'!V139</x:f>
        <x:v>6898.5</x:v>
      </x:c>
      <x:c r="J916" s="22" t="n">
        <x:f>'参数'!$B$9</x:f>
        <x:v>300</x:v>
      </x:c>
      <x:c r="K916" s="26" t="n">
        <x:f>J916*(G916-H916)-I916*ROUNDUP(J916/F916,0)</x:f>
        <x:v>-169463.16838016667</x:v>
      </x:c>
      <x:c r="L916" s="10" t="str">
        <x:f>IF(G916-H916&lt;=0,"未回本",IF(ROUNDUP(I916/(G916-H916),0)&gt;MIN(F916,J916),"未回本",MAX(1,ROUNDUP(I916/(G916-H916),0))))</x:f>
        <x:v>未回本</x:v>
      </x:c>
    </x:row>
    <x:row r="917" ht="22" customHeight="1">
      <x:c r="A917" s="11" t="str">
        <x:v>lade_0825_20aoi</x:v>
      </x:c>
      <x:c r="B917" s="10" t="n">
        <x:v>20</x:v>
      </x:c>
      <x:c r="C917" s="10" t="n">
        <x:v>43</x:v>
      </x:c>
      <x:c r="D917" s="10" t="str">
        <x:v>M2 / M4</x:v>
      </x:c>
      <x:c r="E917" s="16" t="n">
        <x:v>4</x:v>
      </x:c>
      <x:c r="F917" s="14" t="n">
        <x:v>50</x:v>
      </x:c>
      <x:c r="G917" s="26" t="n">
        <x:f>'成本明细'!U136+'成本明细'!G136*(E917-'参数'!$B$6)</x:f>
        <x:v>2565.8918489844446</x:v>
      </x:c>
      <x:c r="H917" s="26" t="n">
        <x:f>'成本明细'!U142</x:f>
        <x:v>3792.689469988889</x:v>
      </x:c>
      <x:c r="I917" s="26" t="n">
        <x:f>'成本明细'!V142</x:f>
        <x:v>6898.5</x:v>
      </x:c>
      <x:c r="J917" s="22" t="n">
        <x:f>'参数'!$B$9</x:f>
        <x:v>300</x:v>
      </x:c>
      <x:c r="K917" s="26" t="n">
        <x:f>J917*(G917-H917)-I917*ROUNDUP(J917/F917,0)</x:f>
        <x:v>-409430.28630133334</x:v>
      </x:c>
      <x:c r="L917" s="10" t="str">
        <x:f>IF(G917-H917&lt;=0,"未回本",IF(ROUNDUP(I917/(G917-H917),0)&gt;MIN(F917,J917),"未回本",MAX(1,ROUNDUP(I917/(G917-H917),0))))</x:f>
        <x:v>未回本</x:v>
      </x:c>
    </x:row>
    <x:row r="918" ht="22" customHeight="1">
      <x:c r="A918" s="11" t="str">
        <x:v>lade_0825_20aoi</x:v>
      </x:c>
      <x:c r="B918" s="10" t="n">
        <x:v>20</x:v>
      </x:c>
      <x:c r="C918" s="10" t="n">
        <x:v>43</x:v>
      </x:c>
      <x:c r="D918" s="10" t="str">
        <x:v>M1 / M3</x:v>
      </x:c>
      <x:c r="E918" s="16" t="n">
        <x:v>5</x:v>
      </x:c>
      <x:c r="F918" s="14" t="n">
        <x:v>10</x:v>
      </x:c>
      <x:c r="G918" s="26" t="n">
        <x:f>'成本明细'!U133+'成本明细'!G133*(E918-'参数'!$B$6)</x:f>
        <x:v>3376.268107245</x:v>
      </x:c>
      <x:c r="H918" s="26" t="n">
        <x:f>'成本明细'!U139</x:f>
        <x:v>3614.175335178889</x:v>
      </x:c>
      <x:c r="I918" s="26" t="n">
        <x:f>'成本明细'!V139</x:f>
        <x:v>6898.5</x:v>
      </x:c>
      <x:c r="J918" s="22" t="n">
        <x:f>'参数'!$B$9</x:f>
        <x:v>300</x:v>
      </x:c>
      <x:c r="K918" s="26" t="n">
        <x:f>J918*(G918-H918)-I918*ROUNDUP(J918/F918,0)</x:f>
        <x:v>-278327.16838016664</x:v>
      </x:c>
      <x:c r="L918" s="10" t="str">
        <x:f>IF(G918-H918&lt;=0,"未回本",IF(ROUNDUP(I918/(G918-H918),0)&gt;MIN(F918,J918),"未回本",MAX(1,ROUNDUP(I918/(G918-H918),0))))</x:f>
        <x:v>未回本</x:v>
      </x:c>
    </x:row>
    <x:row r="919" ht="22" customHeight="1">
      <x:c r="A919" s="11" t="str">
        <x:v>lade_0825_20aoi</x:v>
      </x:c>
      <x:c r="B919" s="10" t="n">
        <x:v>20</x:v>
      </x:c>
      <x:c r="C919" s="10" t="n">
        <x:v>43</x:v>
      </x:c>
      <x:c r="D919" s="10" t="str">
        <x:v>M2 / M4</x:v>
      </x:c>
      <x:c r="E919" s="16" t="n">
        <x:v>5</x:v>
      </x:c>
      <x:c r="F919" s="14" t="n">
        <x:v>10</x:v>
      </x:c>
      <x:c r="G919" s="26" t="n">
        <x:f>'成本明细'!U136+'成本明细'!G136*(E919-'参数'!$B$6)</x:f>
        <x:v>2754.8918489844446</x:v>
      </x:c>
      <x:c r="H919" s="26" t="n">
        <x:f>'成本明细'!U142</x:f>
        <x:v>3792.689469988889</x:v>
      </x:c>
      <x:c r="I919" s="26" t="n">
        <x:f>'成本明细'!V142</x:f>
        <x:v>6898.5</x:v>
      </x:c>
      <x:c r="J919" s="22" t="n">
        <x:f>'参数'!$B$9</x:f>
        <x:v>300</x:v>
      </x:c>
      <x:c r="K919" s="26" t="n">
        <x:f>J919*(G919-H919)-I919*ROUNDUP(J919/F919,0)</x:f>
        <x:v>-518294.28630133334</x:v>
      </x:c>
      <x:c r="L919" s="10" t="str">
        <x:f>IF(G919-H919&lt;=0,"未回本",IF(ROUNDUP(I919/(G919-H919),0)&gt;MIN(F919,J919),"未回本",MAX(1,ROUNDUP(I919/(G919-H919),0))))</x:f>
        <x:v>未回本</x:v>
      </x:c>
    </x:row>
    <x:row r="920" ht="22" customHeight="1">
      <x:c r="A920" s="11" t="str">
        <x:v>lade_0825_20aoi</x:v>
      </x:c>
      <x:c r="B920" s="10" t="n">
        <x:v>20</x:v>
      </x:c>
      <x:c r="C920" s="10" t="n">
        <x:v>43</x:v>
      </x:c>
      <x:c r="D920" s="10" t="str">
        <x:v>M1 / M3</x:v>
      </x:c>
      <x:c r="E920" s="16" t="n">
        <x:v>5</x:v>
      </x:c>
      <x:c r="F920" s="14" t="n">
        <x:v>20</x:v>
      </x:c>
      <x:c r="G920" s="26" t="n">
        <x:f>'成本明细'!U133+'成本明细'!G133*(E920-'参数'!$B$6)</x:f>
        <x:v>3376.268107245</x:v>
      </x:c>
      <x:c r="H920" s="26" t="n">
        <x:f>'成本明细'!U139</x:f>
        <x:v>3614.175335178889</x:v>
      </x:c>
      <x:c r="I920" s="26" t="n">
        <x:f>'成本明细'!V139</x:f>
        <x:v>6898.5</x:v>
      </x:c>
      <x:c r="J920" s="22" t="n">
        <x:f>'参数'!$B$9</x:f>
        <x:v>300</x:v>
      </x:c>
      <x:c r="K920" s="26" t="n">
        <x:f>J920*(G920-H920)-I920*ROUNDUP(J920/F920,0)</x:f>
        <x:v>-174849.66838016667</x:v>
      </x:c>
      <x:c r="L920" s="10" t="str">
        <x:f>IF(G920-H920&lt;=0,"未回本",IF(ROUNDUP(I920/(G920-H920),0)&gt;MIN(F920,J920),"未回本",MAX(1,ROUNDUP(I920/(G920-H920),0))))</x:f>
        <x:v>未回本</x:v>
      </x:c>
    </x:row>
    <x:row r="921" ht="22" customHeight="1">
      <x:c r="A921" s="11" t="str">
        <x:v>lade_0825_20aoi</x:v>
      </x:c>
      <x:c r="B921" s="10" t="n">
        <x:v>20</x:v>
      </x:c>
      <x:c r="C921" s="10" t="n">
        <x:v>43</x:v>
      </x:c>
      <x:c r="D921" s="10" t="str">
        <x:v>M2 / M4</x:v>
      </x:c>
      <x:c r="E921" s="16" t="n">
        <x:v>5</x:v>
      </x:c>
      <x:c r="F921" s="14" t="n">
        <x:v>20</x:v>
      </x:c>
      <x:c r="G921" s="26" t="n">
        <x:f>'成本明细'!U136+'成本明细'!G136*(E921-'参数'!$B$6)</x:f>
        <x:v>2754.8918489844446</x:v>
      </x:c>
      <x:c r="H921" s="26" t="n">
        <x:f>'成本明细'!U142</x:f>
        <x:v>3792.689469988889</x:v>
      </x:c>
      <x:c r="I921" s="26" t="n">
        <x:f>'成本明细'!V142</x:f>
        <x:v>6898.5</x:v>
      </x:c>
      <x:c r="J921" s="22" t="n">
        <x:f>'参数'!$B$9</x:f>
        <x:v>300</x:v>
      </x:c>
      <x:c r="K921" s="26" t="n">
        <x:f>J921*(G921-H921)-I921*ROUNDUP(J921/F921,0)</x:f>
        <x:v>-414816.78630133334</x:v>
      </x:c>
      <x:c r="L921" s="10" t="str">
        <x:f>IF(G921-H921&lt;=0,"未回本",IF(ROUNDUP(I921/(G921-H921),0)&gt;MIN(F921,J921),"未回本",MAX(1,ROUNDUP(I921/(G921-H921),0))))</x:f>
        <x:v>未回本</x:v>
      </x:c>
    </x:row>
    <x:row r="922" ht="22" customHeight="1">
      <x:c r="A922" s="11" t="str">
        <x:v>lade_0825_20aoi</x:v>
      </x:c>
      <x:c r="B922" s="10" t="n">
        <x:v>20</x:v>
      </x:c>
      <x:c r="C922" s="10" t="n">
        <x:v>43</x:v>
      </x:c>
      <x:c r="D922" s="10" t="str">
        <x:v>M1 / M3</x:v>
      </x:c>
      <x:c r="E922" s="16" t="n">
        <x:v>5</x:v>
      </x:c>
      <x:c r="F922" s="14" t="n">
        <x:v>30</x:v>
      </x:c>
      <x:c r="G922" s="26" t="n">
        <x:f>'成本明细'!U133+'成本明细'!G133*(E922-'参数'!$B$6)</x:f>
        <x:v>3376.268107245</x:v>
      </x:c>
      <x:c r="H922" s="26" t="n">
        <x:f>'成本明细'!U139</x:f>
        <x:v>3614.175335178889</x:v>
      </x:c>
      <x:c r="I922" s="26" t="n">
        <x:f>'成本明细'!V139</x:f>
        <x:v>6898.5</x:v>
      </x:c>
      <x:c r="J922" s="22" t="n">
        <x:f>'参数'!$B$9</x:f>
        <x:v>300</x:v>
      </x:c>
      <x:c r="K922" s="26" t="n">
        <x:f>J922*(G922-H922)-I922*ROUNDUP(J922/F922,0)</x:f>
        <x:v>-140357.16838016667</x:v>
      </x:c>
      <x:c r="L922" s="10" t="str">
        <x:f>IF(G922-H922&lt;=0,"未回本",IF(ROUNDUP(I922/(G922-H922),0)&gt;MIN(F922,J922),"未回本",MAX(1,ROUNDUP(I922/(G922-H922),0))))</x:f>
        <x:v>未回本</x:v>
      </x:c>
    </x:row>
    <x:row r="923" ht="22" customHeight="1">
      <x:c r="A923" s="11" t="str">
        <x:v>lade_0825_20aoi</x:v>
      </x:c>
      <x:c r="B923" s="10" t="n">
        <x:v>20</x:v>
      </x:c>
      <x:c r="C923" s="10" t="n">
        <x:v>43</x:v>
      </x:c>
      <x:c r="D923" s="10" t="str">
        <x:v>M2 / M4</x:v>
      </x:c>
      <x:c r="E923" s="16" t="n">
        <x:v>5</x:v>
      </x:c>
      <x:c r="F923" s="14" t="n">
        <x:v>30</x:v>
      </x:c>
      <x:c r="G923" s="26" t="n">
        <x:f>'成本明细'!U136+'成本明细'!G136*(E923-'参数'!$B$6)</x:f>
        <x:v>2754.8918489844446</x:v>
      </x:c>
      <x:c r="H923" s="26" t="n">
        <x:f>'成本明细'!U142</x:f>
        <x:v>3792.689469988889</x:v>
      </x:c>
      <x:c r="I923" s="26" t="n">
        <x:f>'成本明细'!V142</x:f>
        <x:v>6898.5</x:v>
      </x:c>
      <x:c r="J923" s="22" t="n">
        <x:f>'参数'!$B$9</x:f>
        <x:v>300</x:v>
      </x:c>
      <x:c r="K923" s="26" t="n">
        <x:f>J923*(G923-H923)-I923*ROUNDUP(J923/F923,0)</x:f>
        <x:v>-380324.28630133334</x:v>
      </x:c>
      <x:c r="L923" s="10" t="str">
        <x:f>IF(G923-H923&lt;=0,"未回本",IF(ROUNDUP(I923/(G923-H923),0)&gt;MIN(F923,J923),"未回本",MAX(1,ROUNDUP(I923/(G923-H923),0))))</x:f>
        <x:v>未回本</x:v>
      </x:c>
    </x:row>
    <x:row r="924" ht="22" customHeight="1">
      <x:c r="A924" s="11" t="str">
        <x:v>lade_0825_20aoi</x:v>
      </x:c>
      <x:c r="B924" s="10" t="n">
        <x:v>20</x:v>
      </x:c>
      <x:c r="C924" s="10" t="n">
        <x:v>43</x:v>
      </x:c>
      <x:c r="D924" s="10" t="str">
        <x:v>M1 / M3</x:v>
      </x:c>
      <x:c r="E924" s="16" t="n">
        <x:v>5</x:v>
      </x:c>
      <x:c r="F924" s="14" t="n">
        <x:v>50</x:v>
      </x:c>
      <x:c r="G924" s="26" t="n">
        <x:f>'成本明细'!U133+'成本明细'!G133*(E924-'参数'!$B$6)</x:f>
        <x:v>3376.268107245</x:v>
      </x:c>
      <x:c r="H924" s="26" t="n">
        <x:f>'成本明细'!U139</x:f>
        <x:v>3614.175335178889</x:v>
      </x:c>
      <x:c r="I924" s="26" t="n">
        <x:f>'成本明细'!V139</x:f>
        <x:v>6898.5</x:v>
      </x:c>
      <x:c r="J924" s="22" t="n">
        <x:f>'参数'!$B$9</x:f>
        <x:v>300</x:v>
      </x:c>
      <x:c r="K924" s="26" t="n">
        <x:f>J924*(G924-H924)-I924*ROUNDUP(J924/F924,0)</x:f>
        <x:v>-112763.16838016667</x:v>
      </x:c>
      <x:c r="L924" s="10" t="str">
        <x:f>IF(G924-H924&lt;=0,"未回本",IF(ROUNDUP(I924/(G924-H924),0)&gt;MIN(F924,J924),"未回本",MAX(1,ROUNDUP(I924/(G924-H924),0))))</x:f>
        <x:v>未回本</x:v>
      </x:c>
    </x:row>
    <x:row r="925" ht="22" customHeight="1">
      <x:c r="A925" s="11" t="str">
        <x:v>lade_0825_20aoi</x:v>
      </x:c>
      <x:c r="B925" s="10" t="n">
        <x:v>20</x:v>
      </x:c>
      <x:c r="C925" s="10" t="n">
        <x:v>43</x:v>
      </x:c>
      <x:c r="D925" s="10" t="str">
        <x:v>M2 / M4</x:v>
      </x:c>
      <x:c r="E925" s="16" t="n">
        <x:v>5</x:v>
      </x:c>
      <x:c r="F925" s="14" t="n">
        <x:v>50</x:v>
      </x:c>
      <x:c r="G925" s="26" t="n">
        <x:f>'成本明细'!U136+'成本明细'!G136*(E925-'参数'!$B$6)</x:f>
        <x:v>2754.8918489844446</x:v>
      </x:c>
      <x:c r="H925" s="26" t="n">
        <x:f>'成本明细'!U142</x:f>
        <x:v>3792.689469988889</x:v>
      </x:c>
      <x:c r="I925" s="26" t="n">
        <x:f>'成本明细'!V142</x:f>
        <x:v>6898.5</x:v>
      </x:c>
      <x:c r="J925" s="22" t="n">
        <x:f>'参数'!$B$9</x:f>
        <x:v>300</x:v>
      </x:c>
      <x:c r="K925" s="26" t="n">
        <x:f>J925*(G925-H925)-I925*ROUNDUP(J925/F925,0)</x:f>
        <x:v>-352730.28630133334</x:v>
      </x:c>
      <x:c r="L925" s="10" t="str">
        <x:f>IF(G925-H925&lt;=0,"未回本",IF(ROUNDUP(I925/(G925-H925),0)&gt;MIN(F925,J925),"未回本",MAX(1,ROUNDUP(I925/(G925-H925),0))))</x:f>
        <x:v>未回本</x:v>
      </x:c>
    </x:row>
    <x:row r="926" ht="22" customHeight="1">
      <x:c r="A926" s="11" t="str">
        <x:v>lade_0825_20aoi</x:v>
      </x:c>
      <x:c r="B926" s="10" t="n">
        <x:v>20</x:v>
      </x:c>
      <x:c r="C926" s="10" t="n">
        <x:v>44</x:v>
      </x:c>
      <x:c r="D926" s="10" t="str">
        <x:v>M1 / M3</x:v>
      </x:c>
      <x:c r="E926" s="16" t="n">
        <x:v>1</x:v>
      </x:c>
      <x:c r="F926" s="14" t="n">
        <x:v>10</x:v>
      </x:c>
      <x:c r="G926" s="26" t="n">
        <x:f>'成本明细'!U134+'成本明细'!G134*(E926-'参数'!$B$6)</x:f>
        <x:v>2620.268107245</x:v>
      </x:c>
      <x:c r="H926" s="26" t="n">
        <x:f>'成本明细'!U140</x:f>
        <x:v>3779.775743611111</x:v>
      </x:c>
      <x:c r="I926" s="26" t="n">
        <x:f>'成本明细'!V140</x:f>
        <x:v>6898.5</x:v>
      </x:c>
      <x:c r="J926" s="22" t="n">
        <x:f>'参数'!$B$9</x:f>
        <x:v>300</x:v>
      </x:c>
      <x:c r="K926" s="26" t="n">
        <x:f>J926*(G926-H926)-I926*ROUNDUP(J926/F926,0)</x:f>
        <x:v>-554807.2909098333</x:v>
      </x:c>
      <x:c r="L926" s="10" t="str">
        <x:f>IF(G926-H926&lt;=0,"未回本",IF(ROUNDUP(I926/(G926-H926),0)&gt;MIN(F926,J926),"未回本",MAX(1,ROUNDUP(I926/(G926-H926),0))))</x:f>
        <x:v>未回本</x:v>
      </x:c>
    </x:row>
    <x:row r="927" ht="22" customHeight="1">
      <x:c r="A927" s="11" t="str">
        <x:v>lade_0825_20aoi</x:v>
      </x:c>
      <x:c r="B927" s="10" t="n">
        <x:v>20</x:v>
      </x:c>
      <x:c r="C927" s="10" t="n">
        <x:v>44</x:v>
      </x:c>
      <x:c r="D927" s="10" t="str">
        <x:v>M2 / M4</x:v>
      </x:c>
      <x:c r="E927" s="16" t="n">
        <x:v>1</x:v>
      </x:c>
      <x:c r="F927" s="14" t="n">
        <x:v>10</x:v>
      </x:c>
      <x:c r="G927" s="26" t="n">
        <x:f>'成本明细'!U137+'成本明细'!G137*(E927-'参数'!$B$6)</x:f>
        <x:v>2620.268107245</x:v>
      </x:c>
      <x:c r="H927" s="26" t="n">
        <x:f>'成本明细'!U143</x:f>
        <x:v>3793.9597484666665</x:v>
      </x:c>
      <x:c r="I927" s="26" t="n">
        <x:f>'成本明细'!V143</x:f>
        <x:v>6898.5</x:v>
      </x:c>
      <x:c r="J927" s="22" t="n">
        <x:f>'参数'!$B$9</x:f>
        <x:v>300</x:v>
      </x:c>
      <x:c r="K927" s="26" t="n">
        <x:f>J927*(G927-H927)-I927*ROUNDUP(J927/F927,0)</x:f>
        <x:v>-559062.4923665</x:v>
      </x:c>
      <x:c r="L927" s="10" t="str">
        <x:f>IF(G927-H927&lt;=0,"未回本",IF(ROUNDUP(I927/(G927-H927),0)&gt;MIN(F927,J927),"未回本",MAX(1,ROUNDUP(I927/(G927-H927),0))))</x:f>
        <x:v>未回本</x:v>
      </x:c>
    </x:row>
    <x:row r="928" ht="22" customHeight="1">
      <x:c r="A928" s="11" t="str">
        <x:v>lade_0825_20aoi</x:v>
      </x:c>
      <x:c r="B928" s="10" t="n">
        <x:v>20</x:v>
      </x:c>
      <x:c r="C928" s="10" t="n">
        <x:v>44</x:v>
      </x:c>
      <x:c r="D928" s="10" t="str">
        <x:v>M1 / M3</x:v>
      </x:c>
      <x:c r="E928" s="16" t="n">
        <x:v>1</x:v>
      </x:c>
      <x:c r="F928" s="14" t="n">
        <x:v>20</x:v>
      </x:c>
      <x:c r="G928" s="26" t="n">
        <x:f>'成本明细'!U134+'成本明细'!G134*(E928-'参数'!$B$6)</x:f>
        <x:v>2620.268107245</x:v>
      </x:c>
      <x:c r="H928" s="26" t="n">
        <x:f>'成本明细'!U140</x:f>
        <x:v>3779.775743611111</x:v>
      </x:c>
      <x:c r="I928" s="26" t="n">
        <x:f>'成本明细'!V140</x:f>
        <x:v>6898.5</x:v>
      </x:c>
      <x:c r="J928" s="22" t="n">
        <x:f>'参数'!$B$9</x:f>
        <x:v>300</x:v>
      </x:c>
      <x:c r="K928" s="26" t="n">
        <x:f>J928*(G928-H928)-I928*ROUNDUP(J928/F928,0)</x:f>
        <x:v>-451329.7909098333</x:v>
      </x:c>
      <x:c r="L928" s="10" t="str">
        <x:f>IF(G928-H928&lt;=0,"未回本",IF(ROUNDUP(I928/(G928-H928),0)&gt;MIN(F928,J928),"未回本",MAX(1,ROUNDUP(I928/(G928-H928),0))))</x:f>
        <x:v>未回本</x:v>
      </x:c>
    </x:row>
    <x:row r="929" ht="22" customHeight="1">
      <x:c r="A929" s="11" t="str">
        <x:v>lade_0825_20aoi</x:v>
      </x:c>
      <x:c r="B929" s="10" t="n">
        <x:v>20</x:v>
      </x:c>
      <x:c r="C929" s="10" t="n">
        <x:v>44</x:v>
      </x:c>
      <x:c r="D929" s="10" t="str">
        <x:v>M2 / M4</x:v>
      </x:c>
      <x:c r="E929" s="16" t="n">
        <x:v>1</x:v>
      </x:c>
      <x:c r="F929" s="14" t="n">
        <x:v>20</x:v>
      </x:c>
      <x:c r="G929" s="26" t="n">
        <x:f>'成本明细'!U137+'成本明细'!G137*(E929-'参数'!$B$6)</x:f>
        <x:v>2620.268107245</x:v>
      </x:c>
      <x:c r="H929" s="26" t="n">
        <x:f>'成本明细'!U143</x:f>
        <x:v>3793.9597484666665</x:v>
      </x:c>
      <x:c r="I929" s="26" t="n">
        <x:f>'成本明细'!V143</x:f>
        <x:v>6898.5</x:v>
      </x:c>
      <x:c r="J929" s="22" t="n">
        <x:f>'参数'!$B$9</x:f>
        <x:v>300</x:v>
      </x:c>
      <x:c r="K929" s="26" t="n">
        <x:f>J929*(G929-H929)-I929*ROUNDUP(J929/F929,0)</x:f>
        <x:v>-455584.99236649997</x:v>
      </x:c>
      <x:c r="L929" s="10" t="str">
        <x:f>IF(G929-H929&lt;=0,"未回本",IF(ROUNDUP(I929/(G929-H929),0)&gt;MIN(F929,J929),"未回本",MAX(1,ROUNDUP(I929/(G929-H929),0))))</x:f>
        <x:v>未回本</x:v>
      </x:c>
    </x:row>
    <x:row r="930" ht="22" customHeight="1">
      <x:c r="A930" s="11" t="str">
        <x:v>lade_0825_20aoi</x:v>
      </x:c>
      <x:c r="B930" s="10" t="n">
        <x:v>20</x:v>
      </x:c>
      <x:c r="C930" s="10" t="n">
        <x:v>44</x:v>
      </x:c>
      <x:c r="D930" s="10" t="str">
        <x:v>M1 / M3</x:v>
      </x:c>
      <x:c r="E930" s="16" t="n">
        <x:v>1</x:v>
      </x:c>
      <x:c r="F930" s="14" t="n">
        <x:v>30</x:v>
      </x:c>
      <x:c r="G930" s="26" t="n">
        <x:f>'成本明细'!U134+'成本明细'!G134*(E930-'参数'!$B$6)</x:f>
        <x:v>2620.268107245</x:v>
      </x:c>
      <x:c r="H930" s="26" t="n">
        <x:f>'成本明细'!U140</x:f>
        <x:v>3779.775743611111</x:v>
      </x:c>
      <x:c r="I930" s="26" t="n">
        <x:f>'成本明细'!V140</x:f>
        <x:v>6898.5</x:v>
      </x:c>
      <x:c r="J930" s="22" t="n">
        <x:f>'参数'!$B$9</x:f>
        <x:v>300</x:v>
      </x:c>
      <x:c r="K930" s="26" t="n">
        <x:f>J930*(G930-H930)-I930*ROUNDUP(J930/F930,0)</x:f>
        <x:v>-416837.2909098333</x:v>
      </x:c>
      <x:c r="L930" s="10" t="str">
        <x:f>IF(G930-H930&lt;=0,"未回本",IF(ROUNDUP(I930/(G930-H930),0)&gt;MIN(F930,J930),"未回本",MAX(1,ROUNDUP(I930/(G930-H930),0))))</x:f>
        <x:v>未回本</x:v>
      </x:c>
    </x:row>
    <x:row r="931" ht="22" customHeight="1">
      <x:c r="A931" s="11" t="str">
        <x:v>lade_0825_20aoi</x:v>
      </x:c>
      <x:c r="B931" s="10" t="n">
        <x:v>20</x:v>
      </x:c>
      <x:c r="C931" s="10" t="n">
        <x:v>44</x:v>
      </x:c>
      <x:c r="D931" s="10" t="str">
        <x:v>M2 / M4</x:v>
      </x:c>
      <x:c r="E931" s="16" t="n">
        <x:v>1</x:v>
      </x:c>
      <x:c r="F931" s="14" t="n">
        <x:v>30</x:v>
      </x:c>
      <x:c r="G931" s="26" t="n">
        <x:f>'成本明细'!U137+'成本明细'!G137*(E931-'参数'!$B$6)</x:f>
        <x:v>2620.268107245</x:v>
      </x:c>
      <x:c r="H931" s="26" t="n">
        <x:f>'成本明细'!U143</x:f>
        <x:v>3793.9597484666665</x:v>
      </x:c>
      <x:c r="I931" s="26" t="n">
        <x:f>'成本明细'!V143</x:f>
        <x:v>6898.5</x:v>
      </x:c>
      <x:c r="J931" s="22" t="n">
        <x:f>'参数'!$B$9</x:f>
        <x:v>300</x:v>
      </x:c>
      <x:c r="K931" s="26" t="n">
        <x:f>J931*(G931-H931)-I931*ROUNDUP(J931/F931,0)</x:f>
        <x:v>-421092.49236649997</x:v>
      </x:c>
      <x:c r="L931" s="10" t="str">
        <x:f>IF(G931-H931&lt;=0,"未回本",IF(ROUNDUP(I931/(G931-H931),0)&gt;MIN(F931,J931),"未回本",MAX(1,ROUNDUP(I931/(G931-H931),0))))</x:f>
        <x:v>未回本</x:v>
      </x:c>
    </x:row>
    <x:row r="932" ht="22" customHeight="1">
      <x:c r="A932" s="11" t="str">
        <x:v>lade_0825_20aoi</x:v>
      </x:c>
      <x:c r="B932" s="10" t="n">
        <x:v>20</x:v>
      </x:c>
      <x:c r="C932" s="10" t="n">
        <x:v>44</x:v>
      </x:c>
      <x:c r="D932" s="10" t="str">
        <x:v>M1 / M3</x:v>
      </x:c>
      <x:c r="E932" s="16" t="n">
        <x:v>1</x:v>
      </x:c>
      <x:c r="F932" s="14" t="n">
        <x:v>50</x:v>
      </x:c>
      <x:c r="G932" s="26" t="n">
        <x:f>'成本明细'!U134+'成本明细'!G134*(E932-'参数'!$B$6)</x:f>
        <x:v>2620.268107245</x:v>
      </x:c>
      <x:c r="H932" s="26" t="n">
        <x:f>'成本明细'!U140</x:f>
        <x:v>3779.775743611111</x:v>
      </x:c>
      <x:c r="I932" s="26" t="n">
        <x:f>'成本明细'!V140</x:f>
        <x:v>6898.5</x:v>
      </x:c>
      <x:c r="J932" s="22" t="n">
        <x:f>'参数'!$B$9</x:f>
        <x:v>300</x:v>
      </x:c>
      <x:c r="K932" s="26" t="n">
        <x:f>J932*(G932-H932)-I932*ROUNDUP(J932/F932,0)</x:f>
        <x:v>-389243.2909098333</x:v>
      </x:c>
      <x:c r="L932" s="10" t="str">
        <x:f>IF(G932-H932&lt;=0,"未回本",IF(ROUNDUP(I932/(G932-H932),0)&gt;MIN(F932,J932),"未回本",MAX(1,ROUNDUP(I932/(G932-H932),0))))</x:f>
        <x:v>未回本</x:v>
      </x:c>
    </x:row>
    <x:row r="933" ht="22" customHeight="1">
      <x:c r="A933" s="11" t="str">
        <x:v>lade_0825_20aoi</x:v>
      </x:c>
      <x:c r="B933" s="10" t="n">
        <x:v>20</x:v>
      </x:c>
      <x:c r="C933" s="10" t="n">
        <x:v>44</x:v>
      </x:c>
      <x:c r="D933" s="10" t="str">
        <x:v>M2 / M4</x:v>
      </x:c>
      <x:c r="E933" s="16" t="n">
        <x:v>1</x:v>
      </x:c>
      <x:c r="F933" s="14" t="n">
        <x:v>50</x:v>
      </x:c>
      <x:c r="G933" s="26" t="n">
        <x:f>'成本明细'!U137+'成本明细'!G137*(E933-'参数'!$B$6)</x:f>
        <x:v>2620.268107245</x:v>
      </x:c>
      <x:c r="H933" s="26" t="n">
        <x:f>'成本明细'!U143</x:f>
        <x:v>3793.9597484666665</x:v>
      </x:c>
      <x:c r="I933" s="26" t="n">
        <x:f>'成本明细'!V143</x:f>
        <x:v>6898.5</x:v>
      </x:c>
      <x:c r="J933" s="22" t="n">
        <x:f>'参数'!$B$9</x:f>
        <x:v>300</x:v>
      </x:c>
      <x:c r="K933" s="26" t="n">
        <x:f>J933*(G933-H933)-I933*ROUNDUP(J933/F933,0)</x:f>
        <x:v>-393498.49236649997</x:v>
      </x:c>
      <x:c r="L933" s="10" t="str">
        <x:f>IF(G933-H933&lt;=0,"未回本",IF(ROUNDUP(I933/(G933-H933),0)&gt;MIN(F933,J933),"未回本",MAX(1,ROUNDUP(I933/(G933-H933),0))))</x:f>
        <x:v>未回本</x:v>
      </x:c>
    </x:row>
    <x:row r="934" ht="22" customHeight="1">
      <x:c r="A934" s="11" t="str">
        <x:v>lade_0825_20aoi</x:v>
      </x:c>
      <x:c r="B934" s="10" t="n">
        <x:v>20</x:v>
      </x:c>
      <x:c r="C934" s="10" t="n">
        <x:v>44</x:v>
      </x:c>
      <x:c r="D934" s="10" t="str">
        <x:v>M1 / M3</x:v>
      </x:c>
      <x:c r="E934" s="16" t="n">
        <x:v>2</x:v>
      </x:c>
      <x:c r="F934" s="14" t="n">
        <x:v>10</x:v>
      </x:c>
      <x:c r="G934" s="26" t="n">
        <x:f>'成本明细'!U134+'成本明细'!G134*(E934-'参数'!$B$6)</x:f>
        <x:v>2809.268107245</x:v>
      </x:c>
      <x:c r="H934" s="26" t="n">
        <x:f>'成本明细'!U140</x:f>
        <x:v>3779.775743611111</x:v>
      </x:c>
      <x:c r="I934" s="26" t="n">
        <x:f>'成本明细'!V140</x:f>
        <x:v>6898.5</x:v>
      </x:c>
      <x:c r="J934" s="22" t="n">
        <x:f>'参数'!$B$9</x:f>
        <x:v>300</x:v>
      </x:c>
      <x:c r="K934" s="26" t="n">
        <x:f>J934*(G934-H934)-I934*ROUNDUP(J934/F934,0)</x:f>
        <x:v>-498107.2909098333</x:v>
      </x:c>
      <x:c r="L934" s="10" t="str">
        <x:f>IF(G934-H934&lt;=0,"未回本",IF(ROUNDUP(I934/(G934-H934),0)&gt;MIN(F934,J934),"未回本",MAX(1,ROUNDUP(I934/(G934-H934),0))))</x:f>
        <x:v>未回本</x:v>
      </x:c>
    </x:row>
    <x:row r="935" ht="22" customHeight="1">
      <x:c r="A935" s="11" t="str">
        <x:v>lade_0825_20aoi</x:v>
      </x:c>
      <x:c r="B935" s="10" t="n">
        <x:v>20</x:v>
      </x:c>
      <x:c r="C935" s="10" t="n">
        <x:v>44</x:v>
      </x:c>
      <x:c r="D935" s="10" t="str">
        <x:v>M2 / M4</x:v>
      </x:c>
      <x:c r="E935" s="16" t="n">
        <x:v>2</x:v>
      </x:c>
      <x:c r="F935" s="14" t="n">
        <x:v>10</x:v>
      </x:c>
      <x:c r="G935" s="26" t="n">
        <x:f>'成本明细'!U137+'成本明细'!G137*(E935-'参数'!$B$6)</x:f>
        <x:v>2809.268107245</x:v>
      </x:c>
      <x:c r="H935" s="26" t="n">
        <x:f>'成本明细'!U143</x:f>
        <x:v>3793.9597484666665</x:v>
      </x:c>
      <x:c r="I935" s="26" t="n">
        <x:f>'成本明细'!V143</x:f>
        <x:v>6898.5</x:v>
      </x:c>
      <x:c r="J935" s="22" t="n">
        <x:f>'参数'!$B$9</x:f>
        <x:v>300</x:v>
      </x:c>
      <x:c r="K935" s="26" t="n">
        <x:f>J935*(G935-H935)-I935*ROUNDUP(J935/F935,0)</x:f>
        <x:v>-502362.49236649997</x:v>
      </x:c>
      <x:c r="L935" s="10" t="str">
        <x:f>IF(G935-H935&lt;=0,"未回本",IF(ROUNDUP(I935/(G935-H935),0)&gt;MIN(F935,J935),"未回本",MAX(1,ROUNDUP(I935/(G935-H935),0))))</x:f>
        <x:v>未回本</x:v>
      </x:c>
    </x:row>
    <x:row r="936" ht="22" customHeight="1">
      <x:c r="A936" s="11" t="str">
        <x:v>lade_0825_20aoi</x:v>
      </x:c>
      <x:c r="B936" s="10" t="n">
        <x:v>20</x:v>
      </x:c>
      <x:c r="C936" s="10" t="n">
        <x:v>44</x:v>
      </x:c>
      <x:c r="D936" s="10" t="str">
        <x:v>M1 / M3</x:v>
      </x:c>
      <x:c r="E936" s="16" t="n">
        <x:v>2</x:v>
      </x:c>
      <x:c r="F936" s="14" t="n">
        <x:v>20</x:v>
      </x:c>
      <x:c r="G936" s="26" t="n">
        <x:f>'成本明细'!U134+'成本明细'!G134*(E936-'参数'!$B$6)</x:f>
        <x:v>2809.268107245</x:v>
      </x:c>
      <x:c r="H936" s="26" t="n">
        <x:f>'成本明细'!U140</x:f>
        <x:v>3779.775743611111</x:v>
      </x:c>
      <x:c r="I936" s="26" t="n">
        <x:f>'成本明细'!V140</x:f>
        <x:v>6898.5</x:v>
      </x:c>
      <x:c r="J936" s="22" t="n">
        <x:f>'参数'!$B$9</x:f>
        <x:v>300</x:v>
      </x:c>
      <x:c r="K936" s="26" t="n">
        <x:f>J936*(G936-H936)-I936*ROUNDUP(J936/F936,0)</x:f>
        <x:v>-394629.7909098333</x:v>
      </x:c>
      <x:c r="L936" s="10" t="str">
        <x:f>IF(G936-H936&lt;=0,"未回本",IF(ROUNDUP(I936/(G936-H936),0)&gt;MIN(F936,J936),"未回本",MAX(1,ROUNDUP(I936/(G936-H936),0))))</x:f>
        <x:v>未回本</x:v>
      </x:c>
    </x:row>
    <x:row r="937" ht="22" customHeight="1">
      <x:c r="A937" s="11" t="str">
        <x:v>lade_0825_20aoi</x:v>
      </x:c>
      <x:c r="B937" s="10" t="n">
        <x:v>20</x:v>
      </x:c>
      <x:c r="C937" s="10" t="n">
        <x:v>44</x:v>
      </x:c>
      <x:c r="D937" s="10" t="str">
        <x:v>M2 / M4</x:v>
      </x:c>
      <x:c r="E937" s="16" t="n">
        <x:v>2</x:v>
      </x:c>
      <x:c r="F937" s="14" t="n">
        <x:v>20</x:v>
      </x:c>
      <x:c r="G937" s="26" t="n">
        <x:f>'成本明细'!U137+'成本明细'!G137*(E937-'参数'!$B$6)</x:f>
        <x:v>2809.268107245</x:v>
      </x:c>
      <x:c r="H937" s="26" t="n">
        <x:f>'成本明细'!U143</x:f>
        <x:v>3793.9597484666665</x:v>
      </x:c>
      <x:c r="I937" s="26" t="n">
        <x:f>'成本明细'!V143</x:f>
        <x:v>6898.5</x:v>
      </x:c>
      <x:c r="J937" s="22" t="n">
        <x:f>'参数'!$B$9</x:f>
        <x:v>300</x:v>
      </x:c>
      <x:c r="K937" s="26" t="n">
        <x:f>J937*(G937-H937)-I937*ROUNDUP(J937/F937,0)</x:f>
        <x:v>-398884.99236649997</x:v>
      </x:c>
      <x:c r="L937" s="10" t="str">
        <x:f>IF(G937-H937&lt;=0,"未回本",IF(ROUNDUP(I937/(G937-H937),0)&gt;MIN(F937,J937),"未回本",MAX(1,ROUNDUP(I937/(G937-H937),0))))</x:f>
        <x:v>未回本</x:v>
      </x:c>
    </x:row>
    <x:row r="938" ht="22" customHeight="1">
      <x:c r="A938" s="11" t="str">
        <x:v>lade_0825_20aoi</x:v>
      </x:c>
      <x:c r="B938" s="10" t="n">
        <x:v>20</x:v>
      </x:c>
      <x:c r="C938" s="10" t="n">
        <x:v>44</x:v>
      </x:c>
      <x:c r="D938" s="10" t="str">
        <x:v>M1 / M3</x:v>
      </x:c>
      <x:c r="E938" s="16" t="n">
        <x:v>2</x:v>
      </x:c>
      <x:c r="F938" s="14" t="n">
        <x:v>30</x:v>
      </x:c>
      <x:c r="G938" s="26" t="n">
        <x:f>'成本明细'!U134+'成本明细'!G134*(E938-'参数'!$B$6)</x:f>
        <x:v>2809.268107245</x:v>
      </x:c>
      <x:c r="H938" s="26" t="n">
        <x:f>'成本明细'!U140</x:f>
        <x:v>3779.775743611111</x:v>
      </x:c>
      <x:c r="I938" s="26" t="n">
        <x:f>'成本明细'!V140</x:f>
        <x:v>6898.5</x:v>
      </x:c>
      <x:c r="J938" s="22" t="n">
        <x:f>'参数'!$B$9</x:f>
        <x:v>300</x:v>
      </x:c>
      <x:c r="K938" s="26" t="n">
        <x:f>J938*(G938-H938)-I938*ROUNDUP(J938/F938,0)</x:f>
        <x:v>-360137.2909098333</x:v>
      </x:c>
      <x:c r="L938" s="10" t="str">
        <x:f>IF(G938-H938&lt;=0,"未回本",IF(ROUNDUP(I938/(G938-H938),0)&gt;MIN(F938,J938),"未回本",MAX(1,ROUNDUP(I938/(G938-H938),0))))</x:f>
        <x:v>未回本</x:v>
      </x:c>
    </x:row>
    <x:row r="939" ht="22" customHeight="1">
      <x:c r="A939" s="11" t="str">
        <x:v>lade_0825_20aoi</x:v>
      </x:c>
      <x:c r="B939" s="10" t="n">
        <x:v>20</x:v>
      </x:c>
      <x:c r="C939" s="10" t="n">
        <x:v>44</x:v>
      </x:c>
      <x:c r="D939" s="10" t="str">
        <x:v>M2 / M4</x:v>
      </x:c>
      <x:c r="E939" s="16" t="n">
        <x:v>2</x:v>
      </x:c>
      <x:c r="F939" s="14" t="n">
        <x:v>30</x:v>
      </x:c>
      <x:c r="G939" s="26" t="n">
        <x:f>'成本明细'!U137+'成本明细'!G137*(E939-'参数'!$B$6)</x:f>
        <x:v>2809.268107245</x:v>
      </x:c>
      <x:c r="H939" s="26" t="n">
        <x:f>'成本明细'!U143</x:f>
        <x:v>3793.9597484666665</x:v>
      </x:c>
      <x:c r="I939" s="26" t="n">
        <x:f>'成本明细'!V143</x:f>
        <x:v>6898.5</x:v>
      </x:c>
      <x:c r="J939" s="22" t="n">
        <x:f>'参数'!$B$9</x:f>
        <x:v>300</x:v>
      </x:c>
      <x:c r="K939" s="26" t="n">
        <x:f>J939*(G939-H939)-I939*ROUNDUP(J939/F939,0)</x:f>
        <x:v>-364392.49236649997</x:v>
      </x:c>
      <x:c r="L939" s="10" t="str">
        <x:f>IF(G939-H939&lt;=0,"未回本",IF(ROUNDUP(I939/(G939-H939),0)&gt;MIN(F939,J939),"未回本",MAX(1,ROUNDUP(I939/(G939-H939),0))))</x:f>
        <x:v>未回本</x:v>
      </x:c>
    </x:row>
    <x:row r="940" ht="22" customHeight="1">
      <x:c r="A940" s="11" t="str">
        <x:v>lade_0825_20aoi</x:v>
      </x:c>
      <x:c r="B940" s="10" t="n">
        <x:v>20</x:v>
      </x:c>
      <x:c r="C940" s="10" t="n">
        <x:v>44</x:v>
      </x:c>
      <x:c r="D940" s="10" t="str">
        <x:v>M1 / M3</x:v>
      </x:c>
      <x:c r="E940" s="16" t="n">
        <x:v>2</x:v>
      </x:c>
      <x:c r="F940" s="14" t="n">
        <x:v>50</x:v>
      </x:c>
      <x:c r="G940" s="26" t="n">
        <x:f>'成本明细'!U134+'成本明细'!G134*(E940-'参数'!$B$6)</x:f>
        <x:v>2809.268107245</x:v>
      </x:c>
      <x:c r="H940" s="26" t="n">
        <x:f>'成本明细'!U140</x:f>
        <x:v>3779.775743611111</x:v>
      </x:c>
      <x:c r="I940" s="26" t="n">
        <x:f>'成本明细'!V140</x:f>
        <x:v>6898.5</x:v>
      </x:c>
      <x:c r="J940" s="22" t="n">
        <x:f>'参数'!$B$9</x:f>
        <x:v>300</x:v>
      </x:c>
      <x:c r="K940" s="26" t="n">
        <x:f>J940*(G940-H940)-I940*ROUNDUP(J940/F940,0)</x:f>
        <x:v>-332543.2909098333</x:v>
      </x:c>
      <x:c r="L940" s="10" t="str">
        <x:f>IF(G940-H940&lt;=0,"未回本",IF(ROUNDUP(I940/(G940-H940),0)&gt;MIN(F940,J940),"未回本",MAX(1,ROUNDUP(I940/(G940-H940),0))))</x:f>
        <x:v>未回本</x:v>
      </x:c>
    </x:row>
    <x:row r="941" ht="22" customHeight="1">
      <x:c r="A941" s="11" t="str">
        <x:v>lade_0825_20aoi</x:v>
      </x:c>
      <x:c r="B941" s="10" t="n">
        <x:v>20</x:v>
      </x:c>
      <x:c r="C941" s="10" t="n">
        <x:v>44</x:v>
      </x:c>
      <x:c r="D941" s="10" t="str">
        <x:v>M2 / M4</x:v>
      </x:c>
      <x:c r="E941" s="16" t="n">
        <x:v>2</x:v>
      </x:c>
      <x:c r="F941" s="14" t="n">
        <x:v>50</x:v>
      </x:c>
      <x:c r="G941" s="26" t="n">
        <x:f>'成本明细'!U137+'成本明细'!G137*(E941-'参数'!$B$6)</x:f>
        <x:v>2809.268107245</x:v>
      </x:c>
      <x:c r="H941" s="26" t="n">
        <x:f>'成本明细'!U143</x:f>
        <x:v>3793.9597484666665</x:v>
      </x:c>
      <x:c r="I941" s="26" t="n">
        <x:f>'成本明细'!V143</x:f>
        <x:v>6898.5</x:v>
      </x:c>
      <x:c r="J941" s="22" t="n">
        <x:f>'参数'!$B$9</x:f>
        <x:v>300</x:v>
      </x:c>
      <x:c r="K941" s="26" t="n">
        <x:f>J941*(G941-H941)-I941*ROUNDUP(J941/F941,0)</x:f>
        <x:v>-336798.49236649997</x:v>
      </x:c>
      <x:c r="L941" s="10" t="str">
        <x:f>IF(G941-H941&lt;=0,"未回本",IF(ROUNDUP(I941/(G941-H941),0)&gt;MIN(F941,J941),"未回本",MAX(1,ROUNDUP(I941/(G941-H941),0))))</x:f>
        <x:v>未回本</x:v>
      </x:c>
    </x:row>
    <x:row r="942" ht="22" customHeight="1">
      <x:c r="A942" s="11" t="str">
        <x:v>lade_0825_20aoi</x:v>
      </x:c>
      <x:c r="B942" s="10" t="n">
        <x:v>20</x:v>
      </x:c>
      <x:c r="C942" s="10" t="n">
        <x:v>44</x:v>
      </x:c>
      <x:c r="D942" s="10" t="str">
        <x:v>M1 / M3</x:v>
      </x:c>
      <x:c r="E942" s="16" t="n">
        <x:v>3</x:v>
      </x:c>
      <x:c r="F942" s="14" t="n">
        <x:v>10</x:v>
      </x:c>
      <x:c r="G942" s="26" t="n">
        <x:f>'成本明细'!U134+'成本明细'!G134*(E942-'参数'!$B$6)</x:f>
        <x:v>2998.268107245</x:v>
      </x:c>
      <x:c r="H942" s="26" t="n">
        <x:f>'成本明细'!U140</x:f>
        <x:v>3779.775743611111</x:v>
      </x:c>
      <x:c r="I942" s="26" t="n">
        <x:f>'成本明细'!V140</x:f>
        <x:v>6898.5</x:v>
      </x:c>
      <x:c r="J942" s="22" t="n">
        <x:f>'参数'!$B$9</x:f>
        <x:v>300</x:v>
      </x:c>
      <x:c r="K942" s="26" t="n">
        <x:f>J942*(G942-H942)-I942*ROUNDUP(J942/F942,0)</x:f>
        <x:v>-441407.2909098333</x:v>
      </x:c>
      <x:c r="L942" s="10" t="str">
        <x:f>IF(G942-H942&lt;=0,"未回本",IF(ROUNDUP(I942/(G942-H942),0)&gt;MIN(F942,J942),"未回本",MAX(1,ROUNDUP(I942/(G942-H942),0))))</x:f>
        <x:v>未回本</x:v>
      </x:c>
    </x:row>
    <x:row r="943" ht="22" customHeight="1">
      <x:c r="A943" s="11" t="str">
        <x:v>lade_0825_20aoi</x:v>
      </x:c>
      <x:c r="B943" s="10" t="n">
        <x:v>20</x:v>
      </x:c>
      <x:c r="C943" s="10" t="n">
        <x:v>44</x:v>
      </x:c>
      <x:c r="D943" s="10" t="str">
        <x:v>M2 / M4</x:v>
      </x:c>
      <x:c r="E943" s="16" t="n">
        <x:v>3</x:v>
      </x:c>
      <x:c r="F943" s="14" t="n">
        <x:v>10</x:v>
      </x:c>
      <x:c r="G943" s="26" t="n">
        <x:f>'成本明细'!U137+'成本明细'!G137*(E943-'参数'!$B$6)</x:f>
        <x:v>2998.268107245</x:v>
      </x:c>
      <x:c r="H943" s="26" t="n">
        <x:f>'成本明细'!U143</x:f>
        <x:v>3793.9597484666665</x:v>
      </x:c>
      <x:c r="I943" s="26" t="n">
        <x:f>'成本明细'!V143</x:f>
        <x:v>6898.5</x:v>
      </x:c>
      <x:c r="J943" s="22" t="n">
        <x:f>'参数'!$B$9</x:f>
        <x:v>300</x:v>
      </x:c>
      <x:c r="K943" s="26" t="n">
        <x:f>J943*(G943-H943)-I943*ROUNDUP(J943/F943,0)</x:f>
        <x:v>-445662.49236649997</x:v>
      </x:c>
      <x:c r="L943" s="10" t="str">
        <x:f>IF(G943-H943&lt;=0,"未回本",IF(ROUNDUP(I943/(G943-H943),0)&gt;MIN(F943,J943),"未回本",MAX(1,ROUNDUP(I943/(G943-H943),0))))</x:f>
        <x:v>未回本</x:v>
      </x:c>
    </x:row>
    <x:row r="944" ht="22" customHeight="1">
      <x:c r="A944" s="11" t="str">
        <x:v>lade_0825_20aoi</x:v>
      </x:c>
      <x:c r="B944" s="10" t="n">
        <x:v>20</x:v>
      </x:c>
      <x:c r="C944" s="10" t="n">
        <x:v>44</x:v>
      </x:c>
      <x:c r="D944" s="10" t="str">
        <x:v>M1 / M3</x:v>
      </x:c>
      <x:c r="E944" s="16" t="n">
        <x:v>3</x:v>
      </x:c>
      <x:c r="F944" s="14" t="n">
        <x:v>20</x:v>
      </x:c>
      <x:c r="G944" s="26" t="n">
        <x:f>'成本明细'!U134+'成本明细'!G134*(E944-'参数'!$B$6)</x:f>
        <x:v>2998.268107245</x:v>
      </x:c>
      <x:c r="H944" s="26" t="n">
        <x:f>'成本明细'!U140</x:f>
        <x:v>3779.775743611111</x:v>
      </x:c>
      <x:c r="I944" s="26" t="n">
        <x:f>'成本明细'!V140</x:f>
        <x:v>6898.5</x:v>
      </x:c>
      <x:c r="J944" s="22" t="n">
        <x:f>'参数'!$B$9</x:f>
        <x:v>300</x:v>
      </x:c>
      <x:c r="K944" s="26" t="n">
        <x:f>J944*(G944-H944)-I944*ROUNDUP(J944/F944,0)</x:f>
        <x:v>-337929.7909098333</x:v>
      </x:c>
      <x:c r="L944" s="10" t="str">
        <x:f>IF(G944-H944&lt;=0,"未回本",IF(ROUNDUP(I944/(G944-H944),0)&gt;MIN(F944,J944),"未回本",MAX(1,ROUNDUP(I944/(G944-H944),0))))</x:f>
        <x:v>未回本</x:v>
      </x:c>
    </x:row>
    <x:row r="945" ht="22" customHeight="1">
      <x:c r="A945" s="11" t="str">
        <x:v>lade_0825_20aoi</x:v>
      </x:c>
      <x:c r="B945" s="10" t="n">
        <x:v>20</x:v>
      </x:c>
      <x:c r="C945" s="10" t="n">
        <x:v>44</x:v>
      </x:c>
      <x:c r="D945" s="10" t="str">
        <x:v>M2 / M4</x:v>
      </x:c>
      <x:c r="E945" s="16" t="n">
        <x:v>3</x:v>
      </x:c>
      <x:c r="F945" s="14" t="n">
        <x:v>20</x:v>
      </x:c>
      <x:c r="G945" s="26" t="n">
        <x:f>'成本明细'!U137+'成本明细'!G137*(E945-'参数'!$B$6)</x:f>
        <x:v>2998.268107245</x:v>
      </x:c>
      <x:c r="H945" s="26" t="n">
        <x:f>'成本明细'!U143</x:f>
        <x:v>3793.9597484666665</x:v>
      </x:c>
      <x:c r="I945" s="26" t="n">
        <x:f>'成本明细'!V143</x:f>
        <x:v>6898.5</x:v>
      </x:c>
      <x:c r="J945" s="22" t="n">
        <x:f>'参数'!$B$9</x:f>
        <x:v>300</x:v>
      </x:c>
      <x:c r="K945" s="26" t="n">
        <x:f>J945*(G945-H945)-I945*ROUNDUP(J945/F945,0)</x:f>
        <x:v>-342184.99236649997</x:v>
      </x:c>
      <x:c r="L945" s="10" t="str">
        <x:f>IF(G945-H945&lt;=0,"未回本",IF(ROUNDUP(I945/(G945-H945),0)&gt;MIN(F945,J945),"未回本",MAX(1,ROUNDUP(I945/(G945-H945),0))))</x:f>
        <x:v>未回本</x:v>
      </x:c>
    </x:row>
    <x:row r="946" ht="22" customHeight="1">
      <x:c r="A946" s="11" t="str">
        <x:v>lade_0825_20aoi</x:v>
      </x:c>
      <x:c r="B946" s="10" t="n">
        <x:v>20</x:v>
      </x:c>
      <x:c r="C946" s="10" t="n">
        <x:v>44</x:v>
      </x:c>
      <x:c r="D946" s="10" t="str">
        <x:v>M1 / M3</x:v>
      </x:c>
      <x:c r="E946" s="16" t="n">
        <x:v>3</x:v>
      </x:c>
      <x:c r="F946" s="14" t="n">
        <x:v>30</x:v>
      </x:c>
      <x:c r="G946" s="26" t="n">
        <x:f>'成本明细'!U134+'成本明细'!G134*(E946-'参数'!$B$6)</x:f>
        <x:v>2998.268107245</x:v>
      </x:c>
      <x:c r="H946" s="26" t="n">
        <x:f>'成本明细'!U140</x:f>
        <x:v>3779.775743611111</x:v>
      </x:c>
      <x:c r="I946" s="26" t="n">
        <x:f>'成本明细'!V140</x:f>
        <x:v>6898.5</x:v>
      </x:c>
      <x:c r="J946" s="22" t="n">
        <x:f>'参数'!$B$9</x:f>
        <x:v>300</x:v>
      </x:c>
      <x:c r="K946" s="26" t="n">
        <x:f>J946*(G946-H946)-I946*ROUNDUP(J946/F946,0)</x:f>
        <x:v>-303437.2909098333</x:v>
      </x:c>
      <x:c r="L946" s="10" t="str">
        <x:f>IF(G946-H946&lt;=0,"未回本",IF(ROUNDUP(I946/(G946-H946),0)&gt;MIN(F946,J946),"未回本",MAX(1,ROUNDUP(I946/(G946-H946),0))))</x:f>
        <x:v>未回本</x:v>
      </x:c>
    </x:row>
    <x:row r="947" ht="22" customHeight="1">
      <x:c r="A947" s="11" t="str">
        <x:v>lade_0825_20aoi</x:v>
      </x:c>
      <x:c r="B947" s="10" t="n">
        <x:v>20</x:v>
      </x:c>
      <x:c r="C947" s="10" t="n">
        <x:v>44</x:v>
      </x:c>
      <x:c r="D947" s="10" t="str">
        <x:v>M2 / M4</x:v>
      </x:c>
      <x:c r="E947" s="16" t="n">
        <x:v>3</x:v>
      </x:c>
      <x:c r="F947" s="14" t="n">
        <x:v>30</x:v>
      </x:c>
      <x:c r="G947" s="26" t="n">
        <x:f>'成本明细'!U137+'成本明细'!G137*(E947-'参数'!$B$6)</x:f>
        <x:v>2998.268107245</x:v>
      </x:c>
      <x:c r="H947" s="26" t="n">
        <x:f>'成本明细'!U143</x:f>
        <x:v>3793.9597484666665</x:v>
      </x:c>
      <x:c r="I947" s="26" t="n">
        <x:f>'成本明细'!V143</x:f>
        <x:v>6898.5</x:v>
      </x:c>
      <x:c r="J947" s="22" t="n">
        <x:f>'参数'!$B$9</x:f>
        <x:v>300</x:v>
      </x:c>
      <x:c r="K947" s="26" t="n">
        <x:f>J947*(G947-H947)-I947*ROUNDUP(J947/F947,0)</x:f>
        <x:v>-307692.49236649997</x:v>
      </x:c>
      <x:c r="L947" s="10" t="str">
        <x:f>IF(G947-H947&lt;=0,"未回本",IF(ROUNDUP(I947/(G947-H947),0)&gt;MIN(F947,J947),"未回本",MAX(1,ROUNDUP(I947/(G947-H947),0))))</x:f>
        <x:v>未回本</x:v>
      </x:c>
    </x:row>
    <x:row r="948" ht="22" customHeight="1">
      <x:c r="A948" s="11" t="str">
        <x:v>lade_0825_20aoi</x:v>
      </x:c>
      <x:c r="B948" s="10" t="n">
        <x:v>20</x:v>
      </x:c>
      <x:c r="C948" s="10" t="n">
        <x:v>44</x:v>
      </x:c>
      <x:c r="D948" s="10" t="str">
        <x:v>M1 / M3</x:v>
      </x:c>
      <x:c r="E948" s="16" t="n">
        <x:v>3</x:v>
      </x:c>
      <x:c r="F948" s="14" t="n">
        <x:v>50</x:v>
      </x:c>
      <x:c r="G948" s="26" t="n">
        <x:f>'成本明细'!U134+'成本明细'!G134*(E948-'参数'!$B$6)</x:f>
        <x:v>2998.268107245</x:v>
      </x:c>
      <x:c r="H948" s="26" t="n">
        <x:f>'成本明细'!U140</x:f>
        <x:v>3779.775743611111</x:v>
      </x:c>
      <x:c r="I948" s="26" t="n">
        <x:f>'成本明细'!V140</x:f>
        <x:v>6898.5</x:v>
      </x:c>
      <x:c r="J948" s="22" t="n">
        <x:f>'参数'!$B$9</x:f>
        <x:v>300</x:v>
      </x:c>
      <x:c r="K948" s="26" t="n">
        <x:f>J948*(G948-H948)-I948*ROUNDUP(J948/F948,0)</x:f>
        <x:v>-275843.2909098333</x:v>
      </x:c>
      <x:c r="L948" s="10" t="str">
        <x:f>IF(G948-H948&lt;=0,"未回本",IF(ROUNDUP(I948/(G948-H948),0)&gt;MIN(F948,J948),"未回本",MAX(1,ROUNDUP(I948/(G948-H948),0))))</x:f>
        <x:v>未回本</x:v>
      </x:c>
    </x:row>
    <x:row r="949" ht="22" customHeight="1">
      <x:c r="A949" s="11" t="str">
        <x:v>lade_0825_20aoi</x:v>
      </x:c>
      <x:c r="B949" s="10" t="n">
        <x:v>20</x:v>
      </x:c>
      <x:c r="C949" s="10" t="n">
        <x:v>44</x:v>
      </x:c>
      <x:c r="D949" s="10" t="str">
        <x:v>M2 / M4</x:v>
      </x:c>
      <x:c r="E949" s="16" t="n">
        <x:v>3</x:v>
      </x:c>
      <x:c r="F949" s="14" t="n">
        <x:v>50</x:v>
      </x:c>
      <x:c r="G949" s="26" t="n">
        <x:f>'成本明细'!U137+'成本明细'!G137*(E949-'参数'!$B$6)</x:f>
        <x:v>2998.268107245</x:v>
      </x:c>
      <x:c r="H949" s="26" t="n">
        <x:f>'成本明细'!U143</x:f>
        <x:v>3793.9597484666665</x:v>
      </x:c>
      <x:c r="I949" s="26" t="n">
        <x:f>'成本明细'!V143</x:f>
        <x:v>6898.5</x:v>
      </x:c>
      <x:c r="J949" s="22" t="n">
        <x:f>'参数'!$B$9</x:f>
        <x:v>300</x:v>
      </x:c>
      <x:c r="K949" s="26" t="n">
        <x:f>J949*(G949-H949)-I949*ROUNDUP(J949/F949,0)</x:f>
        <x:v>-280098.49236649997</x:v>
      </x:c>
      <x:c r="L949" s="10" t="str">
        <x:f>IF(G949-H949&lt;=0,"未回本",IF(ROUNDUP(I949/(G949-H949),0)&gt;MIN(F949,J949),"未回本",MAX(1,ROUNDUP(I949/(G949-H949),0))))</x:f>
        <x:v>未回本</x:v>
      </x:c>
    </x:row>
    <x:row r="950" ht="22" customHeight="1">
      <x:c r="A950" s="11" t="str">
        <x:v>lade_0825_20aoi</x:v>
      </x:c>
      <x:c r="B950" s="10" t="n">
        <x:v>20</x:v>
      </x:c>
      <x:c r="C950" s="10" t="n">
        <x:v>44</x:v>
      </x:c>
      <x:c r="D950" s="10" t="str">
        <x:v>M1 / M3</x:v>
      </x:c>
      <x:c r="E950" s="16" t="n">
        <x:v>4</x:v>
      </x:c>
      <x:c r="F950" s="14" t="n">
        <x:v>10</x:v>
      </x:c>
      <x:c r="G950" s="26" t="n">
        <x:f>'成本明细'!U134+'成本明细'!G134*(E950-'参数'!$B$6)</x:f>
        <x:v>3187.268107245</x:v>
      </x:c>
      <x:c r="H950" s="26" t="n">
        <x:f>'成本明细'!U140</x:f>
        <x:v>3779.775743611111</x:v>
      </x:c>
      <x:c r="I950" s="26" t="n">
        <x:f>'成本明细'!V140</x:f>
        <x:v>6898.5</x:v>
      </x:c>
      <x:c r="J950" s="22" t="n">
        <x:f>'参数'!$B$9</x:f>
        <x:v>300</x:v>
      </x:c>
      <x:c r="K950" s="26" t="n">
        <x:f>J950*(G950-H950)-I950*ROUNDUP(J950/F950,0)</x:f>
        <x:v>-384707.2909098333</x:v>
      </x:c>
      <x:c r="L950" s="10" t="str">
        <x:f>IF(G950-H950&lt;=0,"未回本",IF(ROUNDUP(I950/(G950-H950),0)&gt;MIN(F950,J950),"未回本",MAX(1,ROUNDUP(I950/(G950-H950),0))))</x:f>
        <x:v>未回本</x:v>
      </x:c>
    </x:row>
    <x:row r="951" ht="22" customHeight="1">
      <x:c r="A951" s="11" t="str">
        <x:v>lade_0825_20aoi</x:v>
      </x:c>
      <x:c r="B951" s="10" t="n">
        <x:v>20</x:v>
      </x:c>
      <x:c r="C951" s="10" t="n">
        <x:v>44</x:v>
      </x:c>
      <x:c r="D951" s="10" t="str">
        <x:v>M2 / M4</x:v>
      </x:c>
      <x:c r="E951" s="16" t="n">
        <x:v>4</x:v>
      </x:c>
      <x:c r="F951" s="14" t="n">
        <x:v>10</x:v>
      </x:c>
      <x:c r="G951" s="26" t="n">
        <x:f>'成本明细'!U137+'成本明细'!G137*(E951-'参数'!$B$6)</x:f>
        <x:v>3187.268107245</x:v>
      </x:c>
      <x:c r="H951" s="26" t="n">
        <x:f>'成本明细'!U143</x:f>
        <x:v>3793.9597484666665</x:v>
      </x:c>
      <x:c r="I951" s="26" t="n">
        <x:f>'成本明细'!V143</x:f>
        <x:v>6898.5</x:v>
      </x:c>
      <x:c r="J951" s="22" t="n">
        <x:f>'参数'!$B$9</x:f>
        <x:v>300</x:v>
      </x:c>
      <x:c r="K951" s="26" t="n">
        <x:f>J951*(G951-H951)-I951*ROUNDUP(J951/F951,0)</x:f>
        <x:v>-388962.49236649997</x:v>
      </x:c>
      <x:c r="L951" s="10" t="str">
        <x:f>IF(G951-H951&lt;=0,"未回本",IF(ROUNDUP(I951/(G951-H951),0)&gt;MIN(F951,J951),"未回本",MAX(1,ROUNDUP(I951/(G951-H951),0))))</x:f>
        <x:v>未回本</x:v>
      </x:c>
    </x:row>
    <x:row r="952" ht="22" customHeight="1">
      <x:c r="A952" s="11" t="str">
        <x:v>lade_0825_20aoi</x:v>
      </x:c>
      <x:c r="B952" s="10" t="n">
        <x:v>20</x:v>
      </x:c>
      <x:c r="C952" s="10" t="n">
        <x:v>44</x:v>
      </x:c>
      <x:c r="D952" s="10" t="str">
        <x:v>M1 / M3</x:v>
      </x:c>
      <x:c r="E952" s="16" t="n">
        <x:v>4</x:v>
      </x:c>
      <x:c r="F952" s="14" t="n">
        <x:v>20</x:v>
      </x:c>
      <x:c r="G952" s="26" t="n">
        <x:f>'成本明细'!U134+'成本明细'!G134*(E952-'参数'!$B$6)</x:f>
        <x:v>3187.268107245</x:v>
      </x:c>
      <x:c r="H952" s="26" t="n">
        <x:f>'成本明细'!U140</x:f>
        <x:v>3779.775743611111</x:v>
      </x:c>
      <x:c r="I952" s="26" t="n">
        <x:f>'成本明细'!V140</x:f>
        <x:v>6898.5</x:v>
      </x:c>
      <x:c r="J952" s="22" t="n">
        <x:f>'参数'!$B$9</x:f>
        <x:v>300</x:v>
      </x:c>
      <x:c r="K952" s="26" t="n">
        <x:f>J952*(G952-H952)-I952*ROUNDUP(J952/F952,0)</x:f>
        <x:v>-281229.7909098333</x:v>
      </x:c>
      <x:c r="L952" s="10" t="str">
        <x:f>IF(G952-H952&lt;=0,"未回本",IF(ROUNDUP(I952/(G952-H952),0)&gt;MIN(F952,J952),"未回本",MAX(1,ROUNDUP(I952/(G952-H952),0))))</x:f>
        <x:v>未回本</x:v>
      </x:c>
    </x:row>
    <x:row r="953" ht="22" customHeight="1">
      <x:c r="A953" s="11" t="str">
        <x:v>lade_0825_20aoi</x:v>
      </x:c>
      <x:c r="B953" s="10" t="n">
        <x:v>20</x:v>
      </x:c>
      <x:c r="C953" s="10" t="n">
        <x:v>44</x:v>
      </x:c>
      <x:c r="D953" s="10" t="str">
        <x:v>M2 / M4</x:v>
      </x:c>
      <x:c r="E953" s="16" t="n">
        <x:v>4</x:v>
      </x:c>
      <x:c r="F953" s="14" t="n">
        <x:v>20</x:v>
      </x:c>
      <x:c r="G953" s="26" t="n">
        <x:f>'成本明细'!U137+'成本明细'!G137*(E953-'参数'!$B$6)</x:f>
        <x:v>3187.268107245</x:v>
      </x:c>
      <x:c r="H953" s="26" t="n">
        <x:f>'成本明细'!U143</x:f>
        <x:v>3793.9597484666665</x:v>
      </x:c>
      <x:c r="I953" s="26" t="n">
        <x:f>'成本明细'!V143</x:f>
        <x:v>6898.5</x:v>
      </x:c>
      <x:c r="J953" s="22" t="n">
        <x:f>'参数'!$B$9</x:f>
        <x:v>300</x:v>
      </x:c>
      <x:c r="K953" s="26" t="n">
        <x:f>J953*(G953-H953)-I953*ROUNDUP(J953/F953,0)</x:f>
        <x:v>-285484.99236649997</x:v>
      </x:c>
      <x:c r="L953" s="10" t="str">
        <x:f>IF(G953-H953&lt;=0,"未回本",IF(ROUNDUP(I953/(G953-H953),0)&gt;MIN(F953,J953),"未回本",MAX(1,ROUNDUP(I953/(G953-H953),0))))</x:f>
        <x:v>未回本</x:v>
      </x:c>
    </x:row>
    <x:row r="954" ht="22" customHeight="1">
      <x:c r="A954" s="11" t="str">
        <x:v>lade_0825_20aoi</x:v>
      </x:c>
      <x:c r="B954" s="10" t="n">
        <x:v>20</x:v>
      </x:c>
      <x:c r="C954" s="10" t="n">
        <x:v>44</x:v>
      </x:c>
      <x:c r="D954" s="10" t="str">
        <x:v>M1 / M3</x:v>
      </x:c>
      <x:c r="E954" s="16" t="n">
        <x:v>4</x:v>
      </x:c>
      <x:c r="F954" s="14" t="n">
        <x:v>30</x:v>
      </x:c>
      <x:c r="G954" s="26" t="n">
        <x:f>'成本明细'!U134+'成本明细'!G134*(E954-'参数'!$B$6)</x:f>
        <x:v>3187.268107245</x:v>
      </x:c>
      <x:c r="H954" s="26" t="n">
        <x:f>'成本明细'!U140</x:f>
        <x:v>3779.775743611111</x:v>
      </x:c>
      <x:c r="I954" s="26" t="n">
        <x:f>'成本明细'!V140</x:f>
        <x:v>6898.5</x:v>
      </x:c>
      <x:c r="J954" s="22" t="n">
        <x:f>'参数'!$B$9</x:f>
        <x:v>300</x:v>
      </x:c>
      <x:c r="K954" s="26" t="n">
        <x:f>J954*(G954-H954)-I954*ROUNDUP(J954/F954,0)</x:f>
        <x:v>-246737.2909098333</x:v>
      </x:c>
      <x:c r="L954" s="10" t="str">
        <x:f>IF(G954-H954&lt;=0,"未回本",IF(ROUNDUP(I954/(G954-H954),0)&gt;MIN(F954,J954),"未回本",MAX(1,ROUNDUP(I954/(G954-H954),0))))</x:f>
        <x:v>未回本</x:v>
      </x:c>
    </x:row>
    <x:row r="955" ht="22" customHeight="1">
      <x:c r="A955" s="11" t="str">
        <x:v>lade_0825_20aoi</x:v>
      </x:c>
      <x:c r="B955" s="10" t="n">
        <x:v>20</x:v>
      </x:c>
      <x:c r="C955" s="10" t="n">
        <x:v>44</x:v>
      </x:c>
      <x:c r="D955" s="10" t="str">
        <x:v>M2 / M4</x:v>
      </x:c>
      <x:c r="E955" s="16" t="n">
        <x:v>4</x:v>
      </x:c>
      <x:c r="F955" s="14" t="n">
        <x:v>30</x:v>
      </x:c>
      <x:c r="G955" s="26" t="n">
        <x:f>'成本明细'!U137+'成本明细'!G137*(E955-'参数'!$B$6)</x:f>
        <x:v>3187.268107245</x:v>
      </x:c>
      <x:c r="H955" s="26" t="n">
        <x:f>'成本明细'!U143</x:f>
        <x:v>3793.9597484666665</x:v>
      </x:c>
      <x:c r="I955" s="26" t="n">
        <x:f>'成本明细'!V143</x:f>
        <x:v>6898.5</x:v>
      </x:c>
      <x:c r="J955" s="22" t="n">
        <x:f>'参数'!$B$9</x:f>
        <x:v>300</x:v>
      </x:c>
      <x:c r="K955" s="26" t="n">
        <x:f>J955*(G955-H955)-I955*ROUNDUP(J955/F955,0)</x:f>
        <x:v>-250992.49236649994</x:v>
      </x:c>
      <x:c r="L955" s="10" t="str">
        <x:f>IF(G955-H955&lt;=0,"未回本",IF(ROUNDUP(I955/(G955-H955),0)&gt;MIN(F955,J955),"未回本",MAX(1,ROUNDUP(I955/(G955-H955),0))))</x:f>
        <x:v>未回本</x:v>
      </x:c>
    </x:row>
    <x:row r="956" ht="22" customHeight="1">
      <x:c r="A956" s="11" t="str">
        <x:v>lade_0825_20aoi</x:v>
      </x:c>
      <x:c r="B956" s="10" t="n">
        <x:v>20</x:v>
      </x:c>
      <x:c r="C956" s="10" t="n">
        <x:v>44</x:v>
      </x:c>
      <x:c r="D956" s="10" t="str">
        <x:v>M1 / M3</x:v>
      </x:c>
      <x:c r="E956" s="16" t="n">
        <x:v>4</x:v>
      </x:c>
      <x:c r="F956" s="14" t="n">
        <x:v>50</x:v>
      </x:c>
      <x:c r="G956" s="26" t="n">
        <x:f>'成本明细'!U134+'成本明细'!G134*(E956-'参数'!$B$6)</x:f>
        <x:v>3187.268107245</x:v>
      </x:c>
      <x:c r="H956" s="26" t="n">
        <x:f>'成本明细'!U140</x:f>
        <x:v>3779.775743611111</x:v>
      </x:c>
      <x:c r="I956" s="26" t="n">
        <x:f>'成本明细'!V140</x:f>
        <x:v>6898.5</x:v>
      </x:c>
      <x:c r="J956" s="22" t="n">
        <x:f>'参数'!$B$9</x:f>
        <x:v>300</x:v>
      </x:c>
      <x:c r="K956" s="26" t="n">
        <x:f>J956*(G956-H956)-I956*ROUNDUP(J956/F956,0)</x:f>
        <x:v>-219143.2909098333</x:v>
      </x:c>
      <x:c r="L956" s="10" t="str">
        <x:f>IF(G956-H956&lt;=0,"未回本",IF(ROUNDUP(I956/(G956-H956),0)&gt;MIN(F956,J956),"未回本",MAX(1,ROUNDUP(I956/(G956-H956),0))))</x:f>
        <x:v>未回本</x:v>
      </x:c>
    </x:row>
    <x:row r="957" ht="22" customHeight="1">
      <x:c r="A957" s="11" t="str">
        <x:v>lade_0825_20aoi</x:v>
      </x:c>
      <x:c r="B957" s="10" t="n">
        <x:v>20</x:v>
      </x:c>
      <x:c r="C957" s="10" t="n">
        <x:v>44</x:v>
      </x:c>
      <x:c r="D957" s="10" t="str">
        <x:v>M2 / M4</x:v>
      </x:c>
      <x:c r="E957" s="16" t="n">
        <x:v>4</x:v>
      </x:c>
      <x:c r="F957" s="14" t="n">
        <x:v>50</x:v>
      </x:c>
      <x:c r="G957" s="26" t="n">
        <x:f>'成本明细'!U137+'成本明细'!G137*(E957-'参数'!$B$6)</x:f>
        <x:v>3187.268107245</x:v>
      </x:c>
      <x:c r="H957" s="26" t="n">
        <x:f>'成本明细'!U143</x:f>
        <x:v>3793.9597484666665</x:v>
      </x:c>
      <x:c r="I957" s="26" t="n">
        <x:f>'成本明细'!V143</x:f>
        <x:v>6898.5</x:v>
      </x:c>
      <x:c r="J957" s="22" t="n">
        <x:f>'参数'!$B$9</x:f>
        <x:v>300</x:v>
      </x:c>
      <x:c r="K957" s="26" t="n">
        <x:f>J957*(G957-H957)-I957*ROUNDUP(J957/F957,0)</x:f>
        <x:v>-223398.49236649994</x:v>
      </x:c>
      <x:c r="L957" s="10" t="str">
        <x:f>IF(G957-H957&lt;=0,"未回本",IF(ROUNDUP(I957/(G957-H957),0)&gt;MIN(F957,J957),"未回本",MAX(1,ROUNDUP(I957/(G957-H957),0))))</x:f>
        <x:v>未回本</x:v>
      </x:c>
    </x:row>
    <x:row r="958" ht="22" customHeight="1">
      <x:c r="A958" s="11" t="str">
        <x:v>lade_0825_20aoi</x:v>
      </x:c>
      <x:c r="B958" s="10" t="n">
        <x:v>20</x:v>
      </x:c>
      <x:c r="C958" s="10" t="n">
        <x:v>44</x:v>
      </x:c>
      <x:c r="D958" s="10" t="str">
        <x:v>M1 / M3</x:v>
      </x:c>
      <x:c r="E958" s="16" t="n">
        <x:v>5</x:v>
      </x:c>
      <x:c r="F958" s="14" t="n">
        <x:v>10</x:v>
      </x:c>
      <x:c r="G958" s="26" t="n">
        <x:f>'成本明细'!U134+'成本明细'!G134*(E958-'参数'!$B$6)</x:f>
        <x:v>3376.268107245</x:v>
      </x:c>
      <x:c r="H958" s="26" t="n">
        <x:f>'成本明细'!U140</x:f>
        <x:v>3779.775743611111</x:v>
      </x:c>
      <x:c r="I958" s="26" t="n">
        <x:f>'成本明细'!V140</x:f>
        <x:v>6898.5</x:v>
      </x:c>
      <x:c r="J958" s="22" t="n">
        <x:f>'参数'!$B$9</x:f>
        <x:v>300</x:v>
      </x:c>
      <x:c r="K958" s="26" t="n">
        <x:f>J958*(G958-H958)-I958*ROUNDUP(J958/F958,0)</x:f>
        <x:v>-328007.2909098333</x:v>
      </x:c>
      <x:c r="L958" s="10" t="str">
        <x:f>IF(G958-H958&lt;=0,"未回本",IF(ROUNDUP(I958/(G958-H958),0)&gt;MIN(F958,J958),"未回本",MAX(1,ROUNDUP(I958/(G958-H958),0))))</x:f>
        <x:v>未回本</x:v>
      </x:c>
    </x:row>
    <x:row r="959" ht="22" customHeight="1">
      <x:c r="A959" s="11" t="str">
        <x:v>lade_0825_20aoi</x:v>
      </x:c>
      <x:c r="B959" s="10" t="n">
        <x:v>20</x:v>
      </x:c>
      <x:c r="C959" s="10" t="n">
        <x:v>44</x:v>
      </x:c>
      <x:c r="D959" s="10" t="str">
        <x:v>M2 / M4</x:v>
      </x:c>
      <x:c r="E959" s="16" t="n">
        <x:v>5</x:v>
      </x:c>
      <x:c r="F959" s="14" t="n">
        <x:v>10</x:v>
      </x:c>
      <x:c r="G959" s="26" t="n">
        <x:f>'成本明细'!U137+'成本明细'!G137*(E959-'参数'!$B$6)</x:f>
        <x:v>3376.268107245</x:v>
      </x:c>
      <x:c r="H959" s="26" t="n">
        <x:f>'成本明细'!U143</x:f>
        <x:v>3793.9597484666665</x:v>
      </x:c>
      <x:c r="I959" s="26" t="n">
        <x:f>'成本明细'!V143</x:f>
        <x:v>6898.5</x:v>
      </x:c>
      <x:c r="J959" s="22" t="n">
        <x:f>'参数'!$B$9</x:f>
        <x:v>300</x:v>
      </x:c>
      <x:c r="K959" s="26" t="n">
        <x:f>J959*(G959-H959)-I959*ROUNDUP(J959/F959,0)</x:f>
        <x:v>-332262.49236649997</x:v>
      </x:c>
      <x:c r="L959" s="10" t="str">
        <x:f>IF(G959-H959&lt;=0,"未回本",IF(ROUNDUP(I959/(G959-H959),0)&gt;MIN(F959,J959),"未回本",MAX(1,ROUNDUP(I959/(G959-H959),0))))</x:f>
        <x:v>未回本</x:v>
      </x:c>
    </x:row>
    <x:row r="960" ht="22" customHeight="1">
      <x:c r="A960" s="11" t="str">
        <x:v>lade_0825_20aoi</x:v>
      </x:c>
      <x:c r="B960" s="10" t="n">
        <x:v>20</x:v>
      </x:c>
      <x:c r="C960" s="10" t="n">
        <x:v>44</x:v>
      </x:c>
      <x:c r="D960" s="10" t="str">
        <x:v>M1 / M3</x:v>
      </x:c>
      <x:c r="E960" s="16" t="n">
        <x:v>5</x:v>
      </x:c>
      <x:c r="F960" s="14" t="n">
        <x:v>20</x:v>
      </x:c>
      <x:c r="G960" s="26" t="n">
        <x:f>'成本明细'!U134+'成本明细'!G134*(E960-'参数'!$B$6)</x:f>
        <x:v>3376.268107245</x:v>
      </x:c>
      <x:c r="H960" s="26" t="n">
        <x:f>'成本明细'!U140</x:f>
        <x:v>3779.775743611111</x:v>
      </x:c>
      <x:c r="I960" s="26" t="n">
        <x:f>'成本明细'!V140</x:f>
        <x:v>6898.5</x:v>
      </x:c>
      <x:c r="J960" s="22" t="n">
        <x:f>'参数'!$B$9</x:f>
        <x:v>300</x:v>
      </x:c>
      <x:c r="K960" s="26" t="n">
        <x:f>J960*(G960-H960)-I960*ROUNDUP(J960/F960,0)</x:f>
        <x:v>-224529.7909098333</x:v>
      </x:c>
      <x:c r="L960" s="10" t="str">
        <x:f>IF(G960-H960&lt;=0,"未回本",IF(ROUNDUP(I960/(G960-H960),0)&gt;MIN(F960,J960),"未回本",MAX(1,ROUNDUP(I960/(G960-H960),0))))</x:f>
        <x:v>未回本</x:v>
      </x:c>
    </x:row>
    <x:row r="961" ht="22" customHeight="1">
      <x:c r="A961" s="11" t="str">
        <x:v>lade_0825_20aoi</x:v>
      </x:c>
      <x:c r="B961" s="10" t="n">
        <x:v>20</x:v>
      </x:c>
      <x:c r="C961" s="10" t="n">
        <x:v>44</x:v>
      </x:c>
      <x:c r="D961" s="10" t="str">
        <x:v>M2 / M4</x:v>
      </x:c>
      <x:c r="E961" s="16" t="n">
        <x:v>5</x:v>
      </x:c>
      <x:c r="F961" s="14" t="n">
        <x:v>20</x:v>
      </x:c>
      <x:c r="G961" s="26" t="n">
        <x:f>'成本明细'!U137+'成本明细'!G137*(E961-'参数'!$B$6)</x:f>
        <x:v>3376.268107245</x:v>
      </x:c>
      <x:c r="H961" s="26" t="n">
        <x:f>'成本明细'!U143</x:f>
        <x:v>3793.9597484666665</x:v>
      </x:c>
      <x:c r="I961" s="26" t="n">
        <x:f>'成本明细'!V143</x:f>
        <x:v>6898.5</x:v>
      </x:c>
      <x:c r="J961" s="22" t="n">
        <x:f>'参数'!$B$9</x:f>
        <x:v>300</x:v>
      </x:c>
      <x:c r="K961" s="26" t="n">
        <x:f>J961*(G961-H961)-I961*ROUNDUP(J961/F961,0)</x:f>
        <x:v>-228784.99236649997</x:v>
      </x:c>
      <x:c r="L961" s="10" t="str">
        <x:f>IF(G961-H961&lt;=0,"未回本",IF(ROUNDUP(I961/(G961-H961),0)&gt;MIN(F961,J961),"未回本",MAX(1,ROUNDUP(I961/(G961-H961),0))))</x:f>
        <x:v>未回本</x:v>
      </x:c>
    </x:row>
    <x:row r="962" ht="22" customHeight="1">
      <x:c r="A962" s="11" t="str">
        <x:v>lade_0825_20aoi</x:v>
      </x:c>
      <x:c r="B962" s="10" t="n">
        <x:v>20</x:v>
      </x:c>
      <x:c r="C962" s="10" t="n">
        <x:v>44</x:v>
      </x:c>
      <x:c r="D962" s="10" t="str">
        <x:v>M1 / M3</x:v>
      </x:c>
      <x:c r="E962" s="16" t="n">
        <x:v>5</x:v>
      </x:c>
      <x:c r="F962" s="14" t="n">
        <x:v>30</x:v>
      </x:c>
      <x:c r="G962" s="26" t="n">
        <x:f>'成本明细'!U134+'成本明细'!G134*(E962-'参数'!$B$6)</x:f>
        <x:v>3376.268107245</x:v>
      </x:c>
      <x:c r="H962" s="26" t="n">
        <x:f>'成本明细'!U140</x:f>
        <x:v>3779.775743611111</x:v>
      </x:c>
      <x:c r="I962" s="26" t="n">
        <x:f>'成本明细'!V140</x:f>
        <x:v>6898.5</x:v>
      </x:c>
      <x:c r="J962" s="22" t="n">
        <x:f>'参数'!$B$9</x:f>
        <x:v>300</x:v>
      </x:c>
      <x:c r="K962" s="26" t="n">
        <x:f>J962*(G962-H962)-I962*ROUNDUP(J962/F962,0)</x:f>
        <x:v>-190037.2909098333</x:v>
      </x:c>
      <x:c r="L962" s="10" t="str">
        <x:f>IF(G962-H962&lt;=0,"未回本",IF(ROUNDUP(I962/(G962-H962),0)&gt;MIN(F962,J962),"未回本",MAX(1,ROUNDUP(I962/(G962-H962),0))))</x:f>
        <x:v>未回本</x:v>
      </x:c>
    </x:row>
    <x:row r="963" ht="22" customHeight="1">
      <x:c r="A963" s="11" t="str">
        <x:v>lade_0825_20aoi</x:v>
      </x:c>
      <x:c r="B963" s="10" t="n">
        <x:v>20</x:v>
      </x:c>
      <x:c r="C963" s="10" t="n">
        <x:v>44</x:v>
      </x:c>
      <x:c r="D963" s="10" t="str">
        <x:v>M2 / M4</x:v>
      </x:c>
      <x:c r="E963" s="16" t="n">
        <x:v>5</x:v>
      </x:c>
      <x:c r="F963" s="14" t="n">
        <x:v>30</x:v>
      </x:c>
      <x:c r="G963" s="26" t="n">
        <x:f>'成本明细'!U137+'成本明细'!G137*(E963-'参数'!$B$6)</x:f>
        <x:v>3376.268107245</x:v>
      </x:c>
      <x:c r="H963" s="26" t="n">
        <x:f>'成本明细'!U143</x:f>
        <x:v>3793.9597484666665</x:v>
      </x:c>
      <x:c r="I963" s="26" t="n">
        <x:f>'成本明细'!V143</x:f>
        <x:v>6898.5</x:v>
      </x:c>
      <x:c r="J963" s="22" t="n">
        <x:f>'参数'!$B$9</x:f>
        <x:v>300</x:v>
      </x:c>
      <x:c r="K963" s="26" t="n">
        <x:f>J963*(G963-H963)-I963*ROUNDUP(J963/F963,0)</x:f>
        <x:v>-194292.49236649997</x:v>
      </x:c>
      <x:c r="L963" s="10" t="str">
        <x:f>IF(G963-H963&lt;=0,"未回本",IF(ROUNDUP(I963/(G963-H963),0)&gt;MIN(F963,J963),"未回本",MAX(1,ROUNDUP(I963/(G963-H963),0))))</x:f>
        <x:v>未回本</x:v>
      </x:c>
    </x:row>
    <x:row r="964" ht="22" customHeight="1">
      <x:c r="A964" s="11" t="str">
        <x:v>lade_0825_20aoi</x:v>
      </x:c>
      <x:c r="B964" s="10" t="n">
        <x:v>20</x:v>
      </x:c>
      <x:c r="C964" s="10" t="n">
        <x:v>44</x:v>
      </x:c>
      <x:c r="D964" s="10" t="str">
        <x:v>M1 / M3</x:v>
      </x:c>
      <x:c r="E964" s="16" t="n">
        <x:v>5</x:v>
      </x:c>
      <x:c r="F964" s="14" t="n">
        <x:v>50</x:v>
      </x:c>
      <x:c r="G964" s="26" t="n">
        <x:f>'成本明细'!U134+'成本明细'!G134*(E964-'参数'!$B$6)</x:f>
        <x:v>3376.268107245</x:v>
      </x:c>
      <x:c r="H964" s="26" t="n">
        <x:f>'成本明细'!U140</x:f>
        <x:v>3779.775743611111</x:v>
      </x:c>
      <x:c r="I964" s="26" t="n">
        <x:f>'成本明细'!V140</x:f>
        <x:v>6898.5</x:v>
      </x:c>
      <x:c r="J964" s="22" t="n">
        <x:f>'参数'!$B$9</x:f>
        <x:v>300</x:v>
      </x:c>
      <x:c r="K964" s="26" t="n">
        <x:f>J964*(G964-H964)-I964*ROUNDUP(J964/F964,0)</x:f>
        <x:v>-162443.2909098333</x:v>
      </x:c>
      <x:c r="L964" s="10" t="str">
        <x:f>IF(G964-H964&lt;=0,"未回本",IF(ROUNDUP(I964/(G964-H964),0)&gt;MIN(F964,J964),"未回本",MAX(1,ROUNDUP(I964/(G964-H964),0))))</x:f>
        <x:v>未回本</x:v>
      </x:c>
    </x:row>
    <x:row r="965" ht="22" customHeight="1">
      <x:c r="A965" s="11" t="str">
        <x:v>lade_0825_20aoi</x:v>
      </x:c>
      <x:c r="B965" s="10" t="n">
        <x:v>20</x:v>
      </x:c>
      <x:c r="C965" s="10" t="n">
        <x:v>44</x:v>
      </x:c>
      <x:c r="D965" s="10" t="str">
        <x:v>M2 / M4</x:v>
      </x:c>
      <x:c r="E965" s="16" t="n">
        <x:v>5</x:v>
      </x:c>
      <x:c r="F965" s="14" t="n">
        <x:v>50</x:v>
      </x:c>
      <x:c r="G965" s="26" t="n">
        <x:f>'成本明细'!U137+'成本明细'!G137*(E965-'参数'!$B$6)</x:f>
        <x:v>3376.268107245</x:v>
      </x:c>
      <x:c r="H965" s="26" t="n">
        <x:f>'成本明细'!U143</x:f>
        <x:v>3793.9597484666665</x:v>
      </x:c>
      <x:c r="I965" s="26" t="n">
        <x:f>'成本明细'!V143</x:f>
        <x:v>6898.5</x:v>
      </x:c>
      <x:c r="J965" s="22" t="n">
        <x:f>'参数'!$B$9</x:f>
        <x:v>300</x:v>
      </x:c>
      <x:c r="K965" s="26" t="n">
        <x:f>J965*(G965-H965)-I965*ROUNDUP(J965/F965,0)</x:f>
        <x:v>-166698.49236649997</x:v>
      </x:c>
      <x:c r="L965" s="10" t="str">
        <x:f>IF(G965-H965&lt;=0,"未回本",IF(ROUNDUP(I965/(G965-H965),0)&gt;MIN(F965,J965),"未回本",MAX(1,ROUNDUP(I965/(G965-H965),0))))</x:f>
        <x:v>未回本</x:v>
      </x:c>
    </x:row>
    <x:row r="966" ht="22" customHeight="1">
      <x:c r="A966" s="11" t="str">
        <x:v>lade_0825_30aoi</x:v>
      </x:c>
      <x:c r="B966" s="10" t="n">
        <x:v>30</x:v>
      </x:c>
      <x:c r="C966" s="10" t="n">
        <x:v>42</x:v>
      </x:c>
      <x:c r="D966" s="10" t="str">
        <x:v>M1 / M3</x:v>
      </x:c>
      <x:c r="E966" s="16" t="n">
        <x:v>1</x:v>
      </x:c>
      <x:c r="F966" s="14" t="n">
        <x:v>10</x:v>
      </x:c>
      <x:c r="G966" s="26" t="n">
        <x:f>'成本明细'!U150+'成本明细'!G150*(E966-'参数'!$B$6)</x:f>
        <x:v>2845.477919171667</x:v>
      </x:c>
      <x:c r="H966" s="26" t="n">
        <x:f>'成本明细'!U156</x:f>
        <x:v>4048.196197667222</x:v>
      </x:c>
      <x:c r="I966" s="26" t="n">
        <x:f>'成本明细'!V156</x:f>
        <x:v>8285.5</x:v>
      </x:c>
      <x:c r="J966" s="22" t="n">
        <x:f>'参数'!$B$9</x:f>
        <x:v>300</x:v>
      </x:c>
      <x:c r="K966" s="26" t="n">
        <x:f>J966*(G966-H966)-I966*ROUNDUP(J966/F966,0)</x:f>
        <x:v>-609380.4835486665</x:v>
      </x:c>
      <x:c r="L966" s="10" t="str">
        <x:f>IF(G966-H966&lt;=0,"未回本",IF(ROUNDUP(I966/(G966-H966),0)&gt;MIN(F966,J966),"未回本",MAX(1,ROUNDUP(I966/(G966-H966),0))))</x:f>
        <x:v>未回本</x:v>
      </x:c>
    </x:row>
    <x:row r="967" ht="22" customHeight="1">
      <x:c r="A967" s="11" t="str">
        <x:v>lade_0825_30aoi</x:v>
      </x:c>
      <x:c r="B967" s="10" t="n">
        <x:v>30</x:v>
      </x:c>
      <x:c r="C967" s="10" t="n">
        <x:v>42</x:v>
      </x:c>
      <x:c r="D967" s="10" t="str">
        <x:v>M2 / M4</x:v>
      </x:c>
      <x:c r="E967" s="16" t="n">
        <x:v>1</x:v>
      </x:c>
      <x:c r="F967" s="14" t="n">
        <x:v>10</x:v>
      </x:c>
      <x:c r="G967" s="26" t="n">
        <x:f>'成本明细'!U153+'成本明细'!G153*(E967-'参数'!$B$6)</x:f>
        <x:v>2685.7777078872223</x:v>
      </x:c>
      <x:c r="H967" s="26" t="n">
        <x:f>'成本明细'!U159</x:f>
        <x:v>4979.783814402777</x:v>
      </x:c>
      <x:c r="I967" s="26" t="n">
        <x:f>'成本明细'!V159</x:f>
        <x:v>8285.5</x:v>
      </x:c>
      <x:c r="J967" s="22" t="n">
        <x:f>'参数'!$B$9</x:f>
        <x:v>300</x:v>
      </x:c>
      <x:c r="K967" s="26" t="n">
        <x:f>J967*(G967-H967)-I967*ROUNDUP(J967/F967,0)</x:f>
        <x:v>-936766.8319546665</x:v>
      </x:c>
      <x:c r="L967" s="10" t="str">
        <x:f>IF(G967-H967&lt;=0,"未回本",IF(ROUNDUP(I967/(G967-H967),0)&gt;MIN(F967,J967),"未回本",MAX(1,ROUNDUP(I967/(G967-H967),0))))</x:f>
        <x:v>未回本</x:v>
      </x:c>
    </x:row>
    <x:row r="968" ht="22" customHeight="1">
      <x:c r="A968" s="11" t="str">
        <x:v>lade_0825_30aoi</x:v>
      </x:c>
      <x:c r="B968" s="10" t="n">
        <x:v>30</x:v>
      </x:c>
      <x:c r="C968" s="10" t="n">
        <x:v>42</x:v>
      </x:c>
      <x:c r="D968" s="10" t="str">
        <x:v>M1 / M3</x:v>
      </x:c>
      <x:c r="E968" s="16" t="n">
        <x:v>1</x:v>
      </x:c>
      <x:c r="F968" s="14" t="n">
        <x:v>20</x:v>
      </x:c>
      <x:c r="G968" s="26" t="n">
        <x:f>'成本明细'!U150+'成本明细'!G150*(E968-'参数'!$B$6)</x:f>
        <x:v>2845.477919171667</x:v>
      </x:c>
      <x:c r="H968" s="26" t="n">
        <x:f>'成本明细'!U156</x:f>
        <x:v>4048.196197667222</x:v>
      </x:c>
      <x:c r="I968" s="26" t="n">
        <x:f>'成本明细'!V156</x:f>
        <x:v>8285.5</x:v>
      </x:c>
      <x:c r="J968" s="22" t="n">
        <x:f>'参数'!$B$9</x:f>
        <x:v>300</x:v>
      </x:c>
      <x:c r="K968" s="26" t="n">
        <x:f>J968*(G968-H968)-I968*ROUNDUP(J968/F968,0)</x:f>
        <x:v>-485097.98354866647</x:v>
      </x:c>
      <x:c r="L968" s="10" t="str">
        <x:f>IF(G968-H968&lt;=0,"未回本",IF(ROUNDUP(I968/(G968-H968),0)&gt;MIN(F968,J968),"未回本",MAX(1,ROUNDUP(I968/(G968-H968),0))))</x:f>
        <x:v>未回本</x:v>
      </x:c>
    </x:row>
    <x:row r="969" ht="22" customHeight="1">
      <x:c r="A969" s="11" t="str">
        <x:v>lade_0825_30aoi</x:v>
      </x:c>
      <x:c r="B969" s="10" t="n">
        <x:v>30</x:v>
      </x:c>
      <x:c r="C969" s="10" t="n">
        <x:v>42</x:v>
      </x:c>
      <x:c r="D969" s="10" t="str">
        <x:v>M2 / M4</x:v>
      </x:c>
      <x:c r="E969" s="16" t="n">
        <x:v>1</x:v>
      </x:c>
      <x:c r="F969" s="14" t="n">
        <x:v>20</x:v>
      </x:c>
      <x:c r="G969" s="26" t="n">
        <x:f>'成本明细'!U153+'成本明细'!G153*(E969-'参数'!$B$6)</x:f>
        <x:v>2685.7777078872223</x:v>
      </x:c>
      <x:c r="H969" s="26" t="n">
        <x:f>'成本明细'!U159</x:f>
        <x:v>4979.783814402777</x:v>
      </x:c>
      <x:c r="I969" s="26" t="n">
        <x:f>'成本明细'!V159</x:f>
        <x:v>8285.5</x:v>
      </x:c>
      <x:c r="J969" s="22" t="n">
        <x:f>'参数'!$B$9</x:f>
        <x:v>300</x:v>
      </x:c>
      <x:c r="K969" s="26" t="n">
        <x:f>J969*(G969-H969)-I969*ROUNDUP(J969/F969,0)</x:f>
        <x:v>-812484.3319546665</x:v>
      </x:c>
      <x:c r="L969" s="10" t="str">
        <x:f>IF(G969-H969&lt;=0,"未回本",IF(ROUNDUP(I969/(G969-H969),0)&gt;MIN(F969,J969),"未回本",MAX(1,ROUNDUP(I969/(G969-H969),0))))</x:f>
        <x:v>未回本</x:v>
      </x:c>
    </x:row>
    <x:row r="970" ht="22" customHeight="1">
      <x:c r="A970" s="11" t="str">
        <x:v>lade_0825_30aoi</x:v>
      </x:c>
      <x:c r="B970" s="10" t="n">
        <x:v>30</x:v>
      </x:c>
      <x:c r="C970" s="10" t="n">
        <x:v>42</x:v>
      </x:c>
      <x:c r="D970" s="10" t="str">
        <x:v>M1 / M3</x:v>
      </x:c>
      <x:c r="E970" s="16" t="n">
        <x:v>1</x:v>
      </x:c>
      <x:c r="F970" s="14" t="n">
        <x:v>30</x:v>
      </x:c>
      <x:c r="G970" s="26" t="n">
        <x:f>'成本明细'!U150+'成本明细'!G150*(E970-'参数'!$B$6)</x:f>
        <x:v>2845.477919171667</x:v>
      </x:c>
      <x:c r="H970" s="26" t="n">
        <x:f>'成本明细'!U156</x:f>
        <x:v>4048.196197667222</x:v>
      </x:c>
      <x:c r="I970" s="26" t="n">
        <x:f>'成本明细'!V156</x:f>
        <x:v>8285.5</x:v>
      </x:c>
      <x:c r="J970" s="22" t="n">
        <x:f>'参数'!$B$9</x:f>
        <x:v>300</x:v>
      </x:c>
      <x:c r="K970" s="26" t="n">
        <x:f>J970*(G970-H970)-I970*ROUNDUP(J970/F970,0)</x:f>
        <x:v>-443670.48354866647</x:v>
      </x:c>
      <x:c r="L970" s="10" t="str">
        <x:f>IF(G970-H970&lt;=0,"未回本",IF(ROUNDUP(I970/(G970-H970),0)&gt;MIN(F970,J970),"未回本",MAX(1,ROUNDUP(I970/(G970-H970),0))))</x:f>
        <x:v>未回本</x:v>
      </x:c>
    </x:row>
    <x:row r="971" ht="22" customHeight="1">
      <x:c r="A971" s="11" t="str">
        <x:v>lade_0825_30aoi</x:v>
      </x:c>
      <x:c r="B971" s="10" t="n">
        <x:v>30</x:v>
      </x:c>
      <x:c r="C971" s="10" t="n">
        <x:v>42</x:v>
      </x:c>
      <x:c r="D971" s="10" t="str">
        <x:v>M2 / M4</x:v>
      </x:c>
      <x:c r="E971" s="16" t="n">
        <x:v>1</x:v>
      </x:c>
      <x:c r="F971" s="14" t="n">
        <x:v>30</x:v>
      </x:c>
      <x:c r="G971" s="26" t="n">
        <x:f>'成本明细'!U153+'成本明细'!G153*(E971-'参数'!$B$6)</x:f>
        <x:v>2685.7777078872223</x:v>
      </x:c>
      <x:c r="H971" s="26" t="n">
        <x:f>'成本明细'!U159</x:f>
        <x:v>4979.783814402777</x:v>
      </x:c>
      <x:c r="I971" s="26" t="n">
        <x:f>'成本明细'!V159</x:f>
        <x:v>8285.5</x:v>
      </x:c>
      <x:c r="J971" s="22" t="n">
        <x:f>'参数'!$B$9</x:f>
        <x:v>300</x:v>
      </x:c>
      <x:c r="K971" s="26" t="n">
        <x:f>J971*(G971-H971)-I971*ROUNDUP(J971/F971,0)</x:f>
        <x:v>-771056.8319546665</x:v>
      </x:c>
      <x:c r="L971" s="10" t="str">
        <x:f>IF(G971-H971&lt;=0,"未回本",IF(ROUNDUP(I971/(G971-H971),0)&gt;MIN(F971,J971),"未回本",MAX(1,ROUNDUP(I971/(G971-H971),0))))</x:f>
        <x:v>未回本</x:v>
      </x:c>
    </x:row>
    <x:row r="972" ht="22" customHeight="1">
      <x:c r="A972" s="11" t="str">
        <x:v>lade_0825_30aoi</x:v>
      </x:c>
      <x:c r="B972" s="10" t="n">
        <x:v>30</x:v>
      </x:c>
      <x:c r="C972" s="10" t="n">
        <x:v>42</x:v>
      </x:c>
      <x:c r="D972" s="10" t="str">
        <x:v>M1 / M3</x:v>
      </x:c>
      <x:c r="E972" s="16" t="n">
        <x:v>1</x:v>
      </x:c>
      <x:c r="F972" s="14" t="n">
        <x:v>50</x:v>
      </x:c>
      <x:c r="G972" s="26" t="n">
        <x:f>'成本明细'!U150+'成本明细'!G150*(E972-'参数'!$B$6)</x:f>
        <x:v>2845.477919171667</x:v>
      </x:c>
      <x:c r="H972" s="26" t="n">
        <x:f>'成本明细'!U156</x:f>
        <x:v>4048.196197667222</x:v>
      </x:c>
      <x:c r="I972" s="26" t="n">
        <x:f>'成本明细'!V156</x:f>
        <x:v>8285.5</x:v>
      </x:c>
      <x:c r="J972" s="22" t="n">
        <x:f>'参数'!$B$9</x:f>
        <x:v>300</x:v>
      </x:c>
      <x:c r="K972" s="26" t="n">
        <x:f>J972*(G972-H972)-I972*ROUNDUP(J972/F972,0)</x:f>
        <x:v>-410528.48354866647</x:v>
      </x:c>
      <x:c r="L972" s="10" t="str">
        <x:f>IF(G972-H972&lt;=0,"未回本",IF(ROUNDUP(I972/(G972-H972),0)&gt;MIN(F972,J972),"未回本",MAX(1,ROUNDUP(I972/(G972-H972),0))))</x:f>
        <x:v>未回本</x:v>
      </x:c>
    </x:row>
    <x:row r="973" ht="22" customHeight="1">
      <x:c r="A973" s="11" t="str">
        <x:v>lade_0825_30aoi</x:v>
      </x:c>
      <x:c r="B973" s="10" t="n">
        <x:v>30</x:v>
      </x:c>
      <x:c r="C973" s="10" t="n">
        <x:v>42</x:v>
      </x:c>
      <x:c r="D973" s="10" t="str">
        <x:v>M2 / M4</x:v>
      </x:c>
      <x:c r="E973" s="16" t="n">
        <x:v>1</x:v>
      </x:c>
      <x:c r="F973" s="14" t="n">
        <x:v>50</x:v>
      </x:c>
      <x:c r="G973" s="26" t="n">
        <x:f>'成本明细'!U153+'成本明细'!G153*(E973-'参数'!$B$6)</x:f>
        <x:v>2685.7777078872223</x:v>
      </x:c>
      <x:c r="H973" s="26" t="n">
        <x:f>'成本明细'!U159</x:f>
        <x:v>4979.783814402777</x:v>
      </x:c>
      <x:c r="I973" s="26" t="n">
        <x:f>'成本明细'!V159</x:f>
        <x:v>8285.5</x:v>
      </x:c>
      <x:c r="J973" s="22" t="n">
        <x:f>'参数'!$B$9</x:f>
        <x:v>300</x:v>
      </x:c>
      <x:c r="K973" s="26" t="n">
        <x:f>J973*(G973-H973)-I973*ROUNDUP(J973/F973,0)</x:f>
        <x:v>-737914.8319546665</x:v>
      </x:c>
      <x:c r="L973" s="10" t="str">
        <x:f>IF(G973-H973&lt;=0,"未回本",IF(ROUNDUP(I973/(G973-H973),0)&gt;MIN(F973,J973),"未回本",MAX(1,ROUNDUP(I973/(G973-H973),0))))</x:f>
        <x:v>未回本</x:v>
      </x:c>
    </x:row>
    <x:row r="974" ht="22" customHeight="1">
      <x:c r="A974" s="11" t="str">
        <x:v>lade_0825_30aoi</x:v>
      </x:c>
      <x:c r="B974" s="10" t="n">
        <x:v>30</x:v>
      </x:c>
      <x:c r="C974" s="10" t="n">
        <x:v>42</x:v>
      </x:c>
      <x:c r="D974" s="10" t="str">
        <x:v>M1 / M3</x:v>
      </x:c>
      <x:c r="E974" s="16" t="n">
        <x:v>2</x:v>
      </x:c>
      <x:c r="F974" s="14" t="n">
        <x:v>10</x:v>
      </x:c>
      <x:c r="G974" s="26" t="n">
        <x:f>'成本明细'!U150+'成本明细'!G150*(E974-'参数'!$B$6)</x:f>
        <x:v>3072.477919171667</x:v>
      </x:c>
      <x:c r="H974" s="26" t="n">
        <x:f>'成本明细'!U156</x:f>
        <x:v>4048.196197667222</x:v>
      </x:c>
      <x:c r="I974" s="26" t="n">
        <x:f>'成本明细'!V156</x:f>
        <x:v>8285.5</x:v>
      </x:c>
      <x:c r="J974" s="22" t="n">
        <x:f>'参数'!$B$9</x:f>
        <x:v>300</x:v>
      </x:c>
      <x:c r="K974" s="26" t="n">
        <x:f>J974*(G974-H974)-I974*ROUNDUP(J974/F974,0)</x:f>
        <x:v>-541280.4835486665</x:v>
      </x:c>
      <x:c r="L974" s="10" t="str">
        <x:f>IF(G974-H974&lt;=0,"未回本",IF(ROUNDUP(I974/(G974-H974),0)&gt;MIN(F974,J974),"未回本",MAX(1,ROUNDUP(I974/(G974-H974),0))))</x:f>
        <x:v>未回本</x:v>
      </x:c>
    </x:row>
    <x:row r="975" ht="22" customHeight="1">
      <x:c r="A975" s="11" t="str">
        <x:v>lade_0825_30aoi</x:v>
      </x:c>
      <x:c r="B975" s="10" t="n">
        <x:v>30</x:v>
      </x:c>
      <x:c r="C975" s="10" t="n">
        <x:v>42</x:v>
      </x:c>
      <x:c r="D975" s="10" t="str">
        <x:v>M2 / M4</x:v>
      </x:c>
      <x:c r="E975" s="16" t="n">
        <x:v>2</x:v>
      </x:c>
      <x:c r="F975" s="14" t="n">
        <x:v>10</x:v>
      </x:c>
      <x:c r="G975" s="26" t="n">
        <x:f>'成本明细'!U153+'成本明细'!G153*(E975-'参数'!$B$6)</x:f>
        <x:v>2912.7777078872223</x:v>
      </x:c>
      <x:c r="H975" s="26" t="n">
        <x:f>'成本明细'!U159</x:f>
        <x:v>4979.783814402777</x:v>
      </x:c>
      <x:c r="I975" s="26" t="n">
        <x:f>'成本明细'!V159</x:f>
        <x:v>8285.5</x:v>
      </x:c>
      <x:c r="J975" s="22" t="n">
        <x:f>'参数'!$B$9</x:f>
        <x:v>300</x:v>
      </x:c>
      <x:c r="K975" s="26" t="n">
        <x:f>J975*(G975-H975)-I975*ROUNDUP(J975/F975,0)</x:f>
        <x:v>-868666.8319546665</x:v>
      </x:c>
      <x:c r="L975" s="10" t="str">
        <x:f>IF(G975-H975&lt;=0,"未回本",IF(ROUNDUP(I975/(G975-H975),0)&gt;MIN(F975,J975),"未回本",MAX(1,ROUNDUP(I975/(G975-H975),0))))</x:f>
        <x:v>未回本</x:v>
      </x:c>
    </x:row>
    <x:row r="976" ht="22" customHeight="1">
      <x:c r="A976" s="11" t="str">
        <x:v>lade_0825_30aoi</x:v>
      </x:c>
      <x:c r="B976" s="10" t="n">
        <x:v>30</x:v>
      </x:c>
      <x:c r="C976" s="10" t="n">
        <x:v>42</x:v>
      </x:c>
      <x:c r="D976" s="10" t="str">
        <x:v>M1 / M3</x:v>
      </x:c>
      <x:c r="E976" s="16" t="n">
        <x:v>2</x:v>
      </x:c>
      <x:c r="F976" s="14" t="n">
        <x:v>20</x:v>
      </x:c>
      <x:c r="G976" s="26" t="n">
        <x:f>'成本明细'!U150+'成本明细'!G150*(E976-'参数'!$B$6)</x:f>
        <x:v>3072.477919171667</x:v>
      </x:c>
      <x:c r="H976" s="26" t="n">
        <x:f>'成本明细'!U156</x:f>
        <x:v>4048.196197667222</x:v>
      </x:c>
      <x:c r="I976" s="26" t="n">
        <x:f>'成本明细'!V156</x:f>
        <x:v>8285.5</x:v>
      </x:c>
      <x:c r="J976" s="22" t="n">
        <x:f>'参数'!$B$9</x:f>
        <x:v>300</x:v>
      </x:c>
      <x:c r="K976" s="26" t="n">
        <x:f>J976*(G976-H976)-I976*ROUNDUP(J976/F976,0)</x:f>
        <x:v>-416997.98354866647</x:v>
      </x:c>
      <x:c r="L976" s="10" t="str">
        <x:f>IF(G976-H976&lt;=0,"未回本",IF(ROUNDUP(I976/(G976-H976),0)&gt;MIN(F976,J976),"未回本",MAX(1,ROUNDUP(I976/(G976-H976),0))))</x:f>
        <x:v>未回本</x:v>
      </x:c>
    </x:row>
    <x:row r="977" ht="22" customHeight="1">
      <x:c r="A977" s="11" t="str">
        <x:v>lade_0825_30aoi</x:v>
      </x:c>
      <x:c r="B977" s="10" t="n">
        <x:v>30</x:v>
      </x:c>
      <x:c r="C977" s="10" t="n">
        <x:v>42</x:v>
      </x:c>
      <x:c r="D977" s="10" t="str">
        <x:v>M2 / M4</x:v>
      </x:c>
      <x:c r="E977" s="16" t="n">
        <x:v>2</x:v>
      </x:c>
      <x:c r="F977" s="14" t="n">
        <x:v>20</x:v>
      </x:c>
      <x:c r="G977" s="26" t="n">
        <x:f>'成本明细'!U153+'成本明细'!G153*(E977-'参数'!$B$6)</x:f>
        <x:v>2912.7777078872223</x:v>
      </x:c>
      <x:c r="H977" s="26" t="n">
        <x:f>'成本明细'!U159</x:f>
        <x:v>4979.783814402777</x:v>
      </x:c>
      <x:c r="I977" s="26" t="n">
        <x:f>'成本明细'!V159</x:f>
        <x:v>8285.5</x:v>
      </x:c>
      <x:c r="J977" s="22" t="n">
        <x:f>'参数'!$B$9</x:f>
        <x:v>300</x:v>
      </x:c>
      <x:c r="K977" s="26" t="n">
        <x:f>J977*(G977-H977)-I977*ROUNDUP(J977/F977,0)</x:f>
        <x:v>-744384.3319546665</x:v>
      </x:c>
      <x:c r="L977" s="10" t="str">
        <x:f>IF(G977-H977&lt;=0,"未回本",IF(ROUNDUP(I977/(G977-H977),0)&gt;MIN(F977,J977),"未回本",MAX(1,ROUNDUP(I977/(G977-H977),0))))</x:f>
        <x:v>未回本</x:v>
      </x:c>
    </x:row>
    <x:row r="978" ht="22" customHeight="1">
      <x:c r="A978" s="11" t="str">
        <x:v>lade_0825_30aoi</x:v>
      </x:c>
      <x:c r="B978" s="10" t="n">
        <x:v>30</x:v>
      </x:c>
      <x:c r="C978" s="10" t="n">
        <x:v>42</x:v>
      </x:c>
      <x:c r="D978" s="10" t="str">
        <x:v>M1 / M3</x:v>
      </x:c>
      <x:c r="E978" s="16" t="n">
        <x:v>2</x:v>
      </x:c>
      <x:c r="F978" s="14" t="n">
        <x:v>30</x:v>
      </x:c>
      <x:c r="G978" s="26" t="n">
        <x:f>'成本明细'!U150+'成本明细'!G150*(E978-'参数'!$B$6)</x:f>
        <x:v>3072.477919171667</x:v>
      </x:c>
      <x:c r="H978" s="26" t="n">
        <x:f>'成本明细'!U156</x:f>
        <x:v>4048.196197667222</x:v>
      </x:c>
      <x:c r="I978" s="26" t="n">
        <x:f>'成本明细'!V156</x:f>
        <x:v>8285.5</x:v>
      </x:c>
      <x:c r="J978" s="22" t="n">
        <x:f>'参数'!$B$9</x:f>
        <x:v>300</x:v>
      </x:c>
      <x:c r="K978" s="26" t="n">
        <x:f>J978*(G978-H978)-I978*ROUNDUP(J978/F978,0)</x:f>
        <x:v>-375570.48354866647</x:v>
      </x:c>
      <x:c r="L978" s="10" t="str">
        <x:f>IF(G978-H978&lt;=0,"未回本",IF(ROUNDUP(I978/(G978-H978),0)&gt;MIN(F978,J978),"未回本",MAX(1,ROUNDUP(I978/(G978-H978),0))))</x:f>
        <x:v>未回本</x:v>
      </x:c>
    </x:row>
    <x:row r="979" ht="22" customHeight="1">
      <x:c r="A979" s="11" t="str">
        <x:v>lade_0825_30aoi</x:v>
      </x:c>
      <x:c r="B979" s="10" t="n">
        <x:v>30</x:v>
      </x:c>
      <x:c r="C979" s="10" t="n">
        <x:v>42</x:v>
      </x:c>
      <x:c r="D979" s="10" t="str">
        <x:v>M2 / M4</x:v>
      </x:c>
      <x:c r="E979" s="16" t="n">
        <x:v>2</x:v>
      </x:c>
      <x:c r="F979" s="14" t="n">
        <x:v>30</x:v>
      </x:c>
      <x:c r="G979" s="26" t="n">
        <x:f>'成本明细'!U153+'成本明细'!G153*(E979-'参数'!$B$6)</x:f>
        <x:v>2912.7777078872223</x:v>
      </x:c>
      <x:c r="H979" s="26" t="n">
        <x:f>'成本明细'!U159</x:f>
        <x:v>4979.783814402777</x:v>
      </x:c>
      <x:c r="I979" s="26" t="n">
        <x:f>'成本明细'!V159</x:f>
        <x:v>8285.5</x:v>
      </x:c>
      <x:c r="J979" s="22" t="n">
        <x:f>'参数'!$B$9</x:f>
        <x:v>300</x:v>
      </x:c>
      <x:c r="K979" s="26" t="n">
        <x:f>J979*(G979-H979)-I979*ROUNDUP(J979/F979,0)</x:f>
        <x:v>-702956.8319546665</x:v>
      </x:c>
      <x:c r="L979" s="10" t="str">
        <x:f>IF(G979-H979&lt;=0,"未回本",IF(ROUNDUP(I979/(G979-H979),0)&gt;MIN(F979,J979),"未回本",MAX(1,ROUNDUP(I979/(G979-H979),0))))</x:f>
        <x:v>未回本</x:v>
      </x:c>
    </x:row>
    <x:row r="980" ht="22" customHeight="1">
      <x:c r="A980" s="11" t="str">
        <x:v>lade_0825_30aoi</x:v>
      </x:c>
      <x:c r="B980" s="10" t="n">
        <x:v>30</x:v>
      </x:c>
      <x:c r="C980" s="10" t="n">
        <x:v>42</x:v>
      </x:c>
      <x:c r="D980" s="10" t="str">
        <x:v>M1 / M3</x:v>
      </x:c>
      <x:c r="E980" s="16" t="n">
        <x:v>2</x:v>
      </x:c>
      <x:c r="F980" s="14" t="n">
        <x:v>50</x:v>
      </x:c>
      <x:c r="G980" s="26" t="n">
        <x:f>'成本明细'!U150+'成本明细'!G150*(E980-'参数'!$B$6)</x:f>
        <x:v>3072.477919171667</x:v>
      </x:c>
      <x:c r="H980" s="26" t="n">
        <x:f>'成本明细'!U156</x:f>
        <x:v>4048.196197667222</x:v>
      </x:c>
      <x:c r="I980" s="26" t="n">
        <x:f>'成本明细'!V156</x:f>
        <x:v>8285.5</x:v>
      </x:c>
      <x:c r="J980" s="22" t="n">
        <x:f>'参数'!$B$9</x:f>
        <x:v>300</x:v>
      </x:c>
      <x:c r="K980" s="26" t="n">
        <x:f>J980*(G980-H980)-I980*ROUNDUP(J980/F980,0)</x:f>
        <x:v>-342428.48354866647</x:v>
      </x:c>
      <x:c r="L980" s="10" t="str">
        <x:f>IF(G980-H980&lt;=0,"未回本",IF(ROUNDUP(I980/(G980-H980),0)&gt;MIN(F980,J980),"未回本",MAX(1,ROUNDUP(I980/(G980-H980),0))))</x:f>
        <x:v>未回本</x:v>
      </x:c>
    </x:row>
    <x:row r="981" ht="22" customHeight="1">
      <x:c r="A981" s="11" t="str">
        <x:v>lade_0825_30aoi</x:v>
      </x:c>
      <x:c r="B981" s="10" t="n">
        <x:v>30</x:v>
      </x:c>
      <x:c r="C981" s="10" t="n">
        <x:v>42</x:v>
      </x:c>
      <x:c r="D981" s="10" t="str">
        <x:v>M2 / M4</x:v>
      </x:c>
      <x:c r="E981" s="16" t="n">
        <x:v>2</x:v>
      </x:c>
      <x:c r="F981" s="14" t="n">
        <x:v>50</x:v>
      </x:c>
      <x:c r="G981" s="26" t="n">
        <x:f>'成本明细'!U153+'成本明细'!G153*(E981-'参数'!$B$6)</x:f>
        <x:v>2912.7777078872223</x:v>
      </x:c>
      <x:c r="H981" s="26" t="n">
        <x:f>'成本明细'!U159</x:f>
        <x:v>4979.783814402777</x:v>
      </x:c>
      <x:c r="I981" s="26" t="n">
        <x:f>'成本明细'!V159</x:f>
        <x:v>8285.5</x:v>
      </x:c>
      <x:c r="J981" s="22" t="n">
        <x:f>'参数'!$B$9</x:f>
        <x:v>300</x:v>
      </x:c>
      <x:c r="K981" s="26" t="n">
        <x:f>J981*(G981-H981)-I981*ROUNDUP(J981/F981,0)</x:f>
        <x:v>-669814.8319546665</x:v>
      </x:c>
      <x:c r="L981" s="10" t="str">
        <x:f>IF(G981-H981&lt;=0,"未回本",IF(ROUNDUP(I981/(G981-H981),0)&gt;MIN(F981,J981),"未回本",MAX(1,ROUNDUP(I981/(G981-H981),0))))</x:f>
        <x:v>未回本</x:v>
      </x:c>
    </x:row>
    <x:row r="982" ht="22" customHeight="1">
      <x:c r="A982" s="11" t="str">
        <x:v>lade_0825_30aoi</x:v>
      </x:c>
      <x:c r="B982" s="10" t="n">
        <x:v>30</x:v>
      </x:c>
      <x:c r="C982" s="10" t="n">
        <x:v>42</x:v>
      </x:c>
      <x:c r="D982" s="10" t="str">
        <x:v>M1 / M3</x:v>
      </x:c>
      <x:c r="E982" s="16" t="n">
        <x:v>3</x:v>
      </x:c>
      <x:c r="F982" s="14" t="n">
        <x:v>10</x:v>
      </x:c>
      <x:c r="G982" s="26" t="n">
        <x:f>'成本明细'!U150+'成本明细'!G150*(E982-'参数'!$B$6)</x:f>
        <x:v>3299.477919171667</x:v>
      </x:c>
      <x:c r="H982" s="26" t="n">
        <x:f>'成本明细'!U156</x:f>
        <x:v>4048.196197667222</x:v>
      </x:c>
      <x:c r="I982" s="26" t="n">
        <x:f>'成本明细'!V156</x:f>
        <x:v>8285.5</x:v>
      </x:c>
      <x:c r="J982" s="22" t="n">
        <x:f>'参数'!$B$9</x:f>
        <x:v>300</x:v>
      </x:c>
      <x:c r="K982" s="26" t="n">
        <x:f>J982*(G982-H982)-I982*ROUNDUP(J982/F982,0)</x:f>
        <x:v>-473180.48354866647</x:v>
      </x:c>
      <x:c r="L982" s="10" t="str">
        <x:f>IF(G982-H982&lt;=0,"未回本",IF(ROUNDUP(I982/(G982-H982),0)&gt;MIN(F982,J982),"未回本",MAX(1,ROUNDUP(I982/(G982-H982),0))))</x:f>
        <x:v>未回本</x:v>
      </x:c>
    </x:row>
    <x:row r="983" ht="22" customHeight="1">
      <x:c r="A983" s="11" t="str">
        <x:v>lade_0825_30aoi</x:v>
      </x:c>
      <x:c r="B983" s="10" t="n">
        <x:v>30</x:v>
      </x:c>
      <x:c r="C983" s="10" t="n">
        <x:v>42</x:v>
      </x:c>
      <x:c r="D983" s="10" t="str">
        <x:v>M2 / M4</x:v>
      </x:c>
      <x:c r="E983" s="16" t="n">
        <x:v>3</x:v>
      </x:c>
      <x:c r="F983" s="14" t="n">
        <x:v>10</x:v>
      </x:c>
      <x:c r="G983" s="26" t="n">
        <x:f>'成本明细'!U153+'成本明细'!G153*(E983-'参数'!$B$6)</x:f>
        <x:v>3139.7777078872223</x:v>
      </x:c>
      <x:c r="H983" s="26" t="n">
        <x:f>'成本明细'!U159</x:f>
        <x:v>4979.783814402777</x:v>
      </x:c>
      <x:c r="I983" s="26" t="n">
        <x:f>'成本明细'!V159</x:f>
        <x:v>8285.5</x:v>
      </x:c>
      <x:c r="J983" s="22" t="n">
        <x:f>'参数'!$B$9</x:f>
        <x:v>300</x:v>
      </x:c>
      <x:c r="K983" s="26" t="n">
        <x:f>J983*(G983-H983)-I983*ROUNDUP(J983/F983,0)</x:f>
        <x:v>-800566.8319546665</x:v>
      </x:c>
      <x:c r="L983" s="10" t="str">
        <x:f>IF(G983-H983&lt;=0,"未回本",IF(ROUNDUP(I983/(G983-H983),0)&gt;MIN(F983,J983),"未回本",MAX(1,ROUNDUP(I983/(G983-H983),0))))</x:f>
        <x:v>未回本</x:v>
      </x:c>
    </x:row>
    <x:row r="984" ht="22" customHeight="1">
      <x:c r="A984" s="11" t="str">
        <x:v>lade_0825_30aoi</x:v>
      </x:c>
      <x:c r="B984" s="10" t="n">
        <x:v>30</x:v>
      </x:c>
      <x:c r="C984" s="10" t="n">
        <x:v>42</x:v>
      </x:c>
      <x:c r="D984" s="10" t="str">
        <x:v>M1 / M3</x:v>
      </x:c>
      <x:c r="E984" s="16" t="n">
        <x:v>3</x:v>
      </x:c>
      <x:c r="F984" s="14" t="n">
        <x:v>20</x:v>
      </x:c>
      <x:c r="G984" s="26" t="n">
        <x:f>'成本明细'!U150+'成本明细'!G150*(E984-'参数'!$B$6)</x:f>
        <x:v>3299.477919171667</x:v>
      </x:c>
      <x:c r="H984" s="26" t="n">
        <x:f>'成本明细'!U156</x:f>
        <x:v>4048.196197667222</x:v>
      </x:c>
      <x:c r="I984" s="26" t="n">
        <x:f>'成本明细'!V156</x:f>
        <x:v>8285.5</x:v>
      </x:c>
      <x:c r="J984" s="22" t="n">
        <x:f>'参数'!$B$9</x:f>
        <x:v>300</x:v>
      </x:c>
      <x:c r="K984" s="26" t="n">
        <x:f>J984*(G984-H984)-I984*ROUNDUP(J984/F984,0)</x:f>
        <x:v>-348897.98354866647</x:v>
      </x:c>
      <x:c r="L984" s="10" t="str">
        <x:f>IF(G984-H984&lt;=0,"未回本",IF(ROUNDUP(I984/(G984-H984),0)&gt;MIN(F984,J984),"未回本",MAX(1,ROUNDUP(I984/(G984-H984),0))))</x:f>
        <x:v>未回本</x:v>
      </x:c>
    </x:row>
    <x:row r="985" ht="22" customHeight="1">
      <x:c r="A985" s="11" t="str">
        <x:v>lade_0825_30aoi</x:v>
      </x:c>
      <x:c r="B985" s="10" t="n">
        <x:v>30</x:v>
      </x:c>
      <x:c r="C985" s="10" t="n">
        <x:v>42</x:v>
      </x:c>
      <x:c r="D985" s="10" t="str">
        <x:v>M2 / M4</x:v>
      </x:c>
      <x:c r="E985" s="16" t="n">
        <x:v>3</x:v>
      </x:c>
      <x:c r="F985" s="14" t="n">
        <x:v>20</x:v>
      </x:c>
      <x:c r="G985" s="26" t="n">
        <x:f>'成本明细'!U153+'成本明细'!G153*(E985-'参数'!$B$6)</x:f>
        <x:v>3139.7777078872223</x:v>
      </x:c>
      <x:c r="H985" s="26" t="n">
        <x:f>'成本明细'!U159</x:f>
        <x:v>4979.783814402777</x:v>
      </x:c>
      <x:c r="I985" s="26" t="n">
        <x:f>'成本明细'!V159</x:f>
        <x:v>8285.5</x:v>
      </x:c>
      <x:c r="J985" s="22" t="n">
        <x:f>'参数'!$B$9</x:f>
        <x:v>300</x:v>
      </x:c>
      <x:c r="K985" s="26" t="n">
        <x:f>J985*(G985-H985)-I985*ROUNDUP(J985/F985,0)</x:f>
        <x:v>-676284.3319546665</x:v>
      </x:c>
      <x:c r="L985" s="10" t="str">
        <x:f>IF(G985-H985&lt;=0,"未回本",IF(ROUNDUP(I985/(G985-H985),0)&gt;MIN(F985,J985),"未回本",MAX(1,ROUNDUP(I985/(G985-H985),0))))</x:f>
        <x:v>未回本</x:v>
      </x:c>
    </x:row>
    <x:row r="986" ht="22" customHeight="1">
      <x:c r="A986" s="11" t="str">
        <x:v>lade_0825_30aoi</x:v>
      </x:c>
      <x:c r="B986" s="10" t="n">
        <x:v>30</x:v>
      </x:c>
      <x:c r="C986" s="10" t="n">
        <x:v>42</x:v>
      </x:c>
      <x:c r="D986" s="10" t="str">
        <x:v>M1 / M3</x:v>
      </x:c>
      <x:c r="E986" s="16" t="n">
        <x:v>3</x:v>
      </x:c>
      <x:c r="F986" s="14" t="n">
        <x:v>30</x:v>
      </x:c>
      <x:c r="G986" s="26" t="n">
        <x:f>'成本明细'!U150+'成本明细'!G150*(E986-'参数'!$B$6)</x:f>
        <x:v>3299.477919171667</x:v>
      </x:c>
      <x:c r="H986" s="26" t="n">
        <x:f>'成本明细'!U156</x:f>
        <x:v>4048.196197667222</x:v>
      </x:c>
      <x:c r="I986" s="26" t="n">
        <x:f>'成本明细'!V156</x:f>
        <x:v>8285.5</x:v>
      </x:c>
      <x:c r="J986" s="22" t="n">
        <x:f>'参数'!$B$9</x:f>
        <x:v>300</x:v>
      </x:c>
      <x:c r="K986" s="26" t="n">
        <x:f>J986*(G986-H986)-I986*ROUNDUP(J986/F986,0)</x:f>
        <x:v>-307470.48354866647</x:v>
      </x:c>
      <x:c r="L986" s="10" t="str">
        <x:f>IF(G986-H986&lt;=0,"未回本",IF(ROUNDUP(I986/(G986-H986),0)&gt;MIN(F986,J986),"未回本",MAX(1,ROUNDUP(I986/(G986-H986),0))))</x:f>
        <x:v>未回本</x:v>
      </x:c>
    </x:row>
    <x:row r="987" ht="22" customHeight="1">
      <x:c r="A987" s="11" t="str">
        <x:v>lade_0825_30aoi</x:v>
      </x:c>
      <x:c r="B987" s="10" t="n">
        <x:v>30</x:v>
      </x:c>
      <x:c r="C987" s="10" t="n">
        <x:v>42</x:v>
      </x:c>
      <x:c r="D987" s="10" t="str">
        <x:v>M2 / M4</x:v>
      </x:c>
      <x:c r="E987" s="16" t="n">
        <x:v>3</x:v>
      </x:c>
      <x:c r="F987" s="14" t="n">
        <x:v>30</x:v>
      </x:c>
      <x:c r="G987" s="26" t="n">
        <x:f>'成本明细'!U153+'成本明细'!G153*(E987-'参数'!$B$6)</x:f>
        <x:v>3139.7777078872223</x:v>
      </x:c>
      <x:c r="H987" s="26" t="n">
        <x:f>'成本明细'!U159</x:f>
        <x:v>4979.783814402777</x:v>
      </x:c>
      <x:c r="I987" s="26" t="n">
        <x:f>'成本明细'!V159</x:f>
        <x:v>8285.5</x:v>
      </x:c>
      <x:c r="J987" s="22" t="n">
        <x:f>'参数'!$B$9</x:f>
        <x:v>300</x:v>
      </x:c>
      <x:c r="K987" s="26" t="n">
        <x:f>J987*(G987-H987)-I987*ROUNDUP(J987/F987,0)</x:f>
        <x:v>-634856.8319546665</x:v>
      </x:c>
      <x:c r="L987" s="10" t="str">
        <x:f>IF(G987-H987&lt;=0,"未回本",IF(ROUNDUP(I987/(G987-H987),0)&gt;MIN(F987,J987),"未回本",MAX(1,ROUNDUP(I987/(G987-H987),0))))</x:f>
        <x:v>未回本</x:v>
      </x:c>
    </x:row>
    <x:row r="988" ht="22" customHeight="1">
      <x:c r="A988" s="11" t="str">
        <x:v>lade_0825_30aoi</x:v>
      </x:c>
      <x:c r="B988" s="10" t="n">
        <x:v>30</x:v>
      </x:c>
      <x:c r="C988" s="10" t="n">
        <x:v>42</x:v>
      </x:c>
      <x:c r="D988" s="10" t="str">
        <x:v>M1 / M3</x:v>
      </x:c>
      <x:c r="E988" s="16" t="n">
        <x:v>3</x:v>
      </x:c>
      <x:c r="F988" s="14" t="n">
        <x:v>50</x:v>
      </x:c>
      <x:c r="G988" s="26" t="n">
        <x:f>'成本明细'!U150+'成本明细'!G150*(E988-'参数'!$B$6)</x:f>
        <x:v>3299.477919171667</x:v>
      </x:c>
      <x:c r="H988" s="26" t="n">
        <x:f>'成本明细'!U156</x:f>
        <x:v>4048.196197667222</x:v>
      </x:c>
      <x:c r="I988" s="26" t="n">
        <x:f>'成本明细'!V156</x:f>
        <x:v>8285.5</x:v>
      </x:c>
      <x:c r="J988" s="22" t="n">
        <x:f>'参数'!$B$9</x:f>
        <x:v>300</x:v>
      </x:c>
      <x:c r="K988" s="26" t="n">
        <x:f>J988*(G988-H988)-I988*ROUNDUP(J988/F988,0)</x:f>
        <x:v>-274328.48354866647</x:v>
      </x:c>
      <x:c r="L988" s="10" t="str">
        <x:f>IF(G988-H988&lt;=0,"未回本",IF(ROUNDUP(I988/(G988-H988),0)&gt;MIN(F988,J988),"未回本",MAX(1,ROUNDUP(I988/(G988-H988),0))))</x:f>
        <x:v>未回本</x:v>
      </x:c>
    </x:row>
    <x:row r="989" ht="22" customHeight="1">
      <x:c r="A989" s="11" t="str">
        <x:v>lade_0825_30aoi</x:v>
      </x:c>
      <x:c r="B989" s="10" t="n">
        <x:v>30</x:v>
      </x:c>
      <x:c r="C989" s="10" t="n">
        <x:v>42</x:v>
      </x:c>
      <x:c r="D989" s="10" t="str">
        <x:v>M2 / M4</x:v>
      </x:c>
      <x:c r="E989" s="16" t="n">
        <x:v>3</x:v>
      </x:c>
      <x:c r="F989" s="14" t="n">
        <x:v>50</x:v>
      </x:c>
      <x:c r="G989" s="26" t="n">
        <x:f>'成本明细'!U153+'成本明细'!G153*(E989-'参数'!$B$6)</x:f>
        <x:v>3139.7777078872223</x:v>
      </x:c>
      <x:c r="H989" s="26" t="n">
        <x:f>'成本明细'!U159</x:f>
        <x:v>4979.783814402777</x:v>
      </x:c>
      <x:c r="I989" s="26" t="n">
        <x:f>'成本明细'!V159</x:f>
        <x:v>8285.5</x:v>
      </x:c>
      <x:c r="J989" s="22" t="n">
        <x:f>'参数'!$B$9</x:f>
        <x:v>300</x:v>
      </x:c>
      <x:c r="K989" s="26" t="n">
        <x:f>J989*(G989-H989)-I989*ROUNDUP(J989/F989,0)</x:f>
        <x:v>-601714.8319546665</x:v>
      </x:c>
      <x:c r="L989" s="10" t="str">
        <x:f>IF(G989-H989&lt;=0,"未回本",IF(ROUNDUP(I989/(G989-H989),0)&gt;MIN(F989,J989),"未回本",MAX(1,ROUNDUP(I989/(G989-H989),0))))</x:f>
        <x:v>未回本</x:v>
      </x:c>
    </x:row>
    <x:row r="990" ht="22" customHeight="1">
      <x:c r="A990" s="11" t="str">
        <x:v>lade_0825_30aoi</x:v>
      </x:c>
      <x:c r="B990" s="10" t="n">
        <x:v>30</x:v>
      </x:c>
      <x:c r="C990" s="10" t="n">
        <x:v>42</x:v>
      </x:c>
      <x:c r="D990" s="10" t="str">
        <x:v>M1 / M3</x:v>
      </x:c>
      <x:c r="E990" s="16" t="n">
        <x:v>4</x:v>
      </x:c>
      <x:c r="F990" s="14" t="n">
        <x:v>10</x:v>
      </x:c>
      <x:c r="G990" s="26" t="n">
        <x:f>'成本明细'!U150+'成本明细'!G150*(E990-'参数'!$B$6)</x:f>
        <x:v>3526.477919171667</x:v>
      </x:c>
      <x:c r="H990" s="26" t="n">
        <x:f>'成本明细'!U156</x:f>
        <x:v>4048.196197667222</x:v>
      </x:c>
      <x:c r="I990" s="26" t="n">
        <x:f>'成本明细'!V156</x:f>
        <x:v>8285.5</x:v>
      </x:c>
      <x:c r="J990" s="22" t="n">
        <x:f>'参数'!$B$9</x:f>
        <x:v>300</x:v>
      </x:c>
      <x:c r="K990" s="26" t="n">
        <x:f>J990*(G990-H990)-I990*ROUNDUP(J990/F990,0)</x:f>
        <x:v>-405080.48354866647</x:v>
      </x:c>
      <x:c r="L990" s="10" t="str">
        <x:f>IF(G990-H990&lt;=0,"未回本",IF(ROUNDUP(I990/(G990-H990),0)&gt;MIN(F990,J990),"未回本",MAX(1,ROUNDUP(I990/(G990-H990),0))))</x:f>
        <x:v>未回本</x:v>
      </x:c>
    </x:row>
    <x:row r="991" ht="22" customHeight="1">
      <x:c r="A991" s="11" t="str">
        <x:v>lade_0825_30aoi</x:v>
      </x:c>
      <x:c r="B991" s="10" t="n">
        <x:v>30</x:v>
      </x:c>
      <x:c r="C991" s="10" t="n">
        <x:v>42</x:v>
      </x:c>
      <x:c r="D991" s="10" t="str">
        <x:v>M2 / M4</x:v>
      </x:c>
      <x:c r="E991" s="16" t="n">
        <x:v>4</x:v>
      </x:c>
      <x:c r="F991" s="14" t="n">
        <x:v>10</x:v>
      </x:c>
      <x:c r="G991" s="26" t="n">
        <x:f>'成本明细'!U153+'成本明细'!G153*(E991-'参数'!$B$6)</x:f>
        <x:v>3366.7777078872223</x:v>
      </x:c>
      <x:c r="H991" s="26" t="n">
        <x:f>'成本明细'!U159</x:f>
        <x:v>4979.783814402777</x:v>
      </x:c>
      <x:c r="I991" s="26" t="n">
        <x:f>'成本明细'!V159</x:f>
        <x:v>8285.5</x:v>
      </x:c>
      <x:c r="J991" s="22" t="n">
        <x:f>'参数'!$B$9</x:f>
        <x:v>300</x:v>
      </x:c>
      <x:c r="K991" s="26" t="n">
        <x:f>J991*(G991-H991)-I991*ROUNDUP(J991/F991,0)</x:f>
        <x:v>-732466.8319546665</x:v>
      </x:c>
      <x:c r="L991" s="10" t="str">
        <x:f>IF(G991-H991&lt;=0,"未回本",IF(ROUNDUP(I991/(G991-H991),0)&gt;MIN(F991,J991),"未回本",MAX(1,ROUNDUP(I991/(G991-H991),0))))</x:f>
        <x:v>未回本</x:v>
      </x:c>
    </x:row>
    <x:row r="992" ht="22" customHeight="1">
      <x:c r="A992" s="11" t="str">
        <x:v>lade_0825_30aoi</x:v>
      </x:c>
      <x:c r="B992" s="10" t="n">
        <x:v>30</x:v>
      </x:c>
      <x:c r="C992" s="10" t="n">
        <x:v>42</x:v>
      </x:c>
      <x:c r="D992" s="10" t="str">
        <x:v>M1 / M3</x:v>
      </x:c>
      <x:c r="E992" s="16" t="n">
        <x:v>4</x:v>
      </x:c>
      <x:c r="F992" s="14" t="n">
        <x:v>20</x:v>
      </x:c>
      <x:c r="G992" s="26" t="n">
        <x:f>'成本明细'!U150+'成本明细'!G150*(E992-'参数'!$B$6)</x:f>
        <x:v>3526.477919171667</x:v>
      </x:c>
      <x:c r="H992" s="26" t="n">
        <x:f>'成本明细'!U156</x:f>
        <x:v>4048.196197667222</x:v>
      </x:c>
      <x:c r="I992" s="26" t="n">
        <x:f>'成本明细'!V156</x:f>
        <x:v>8285.5</x:v>
      </x:c>
      <x:c r="J992" s="22" t="n">
        <x:f>'参数'!$B$9</x:f>
        <x:v>300</x:v>
      </x:c>
      <x:c r="K992" s="26" t="n">
        <x:f>J992*(G992-H992)-I992*ROUNDUP(J992/F992,0)</x:f>
        <x:v>-280797.98354866647</x:v>
      </x:c>
      <x:c r="L992" s="10" t="str">
        <x:f>IF(G992-H992&lt;=0,"未回本",IF(ROUNDUP(I992/(G992-H992),0)&gt;MIN(F992,J992),"未回本",MAX(1,ROUNDUP(I992/(G992-H992),0))))</x:f>
        <x:v>未回本</x:v>
      </x:c>
    </x:row>
    <x:row r="993" ht="22" customHeight="1">
      <x:c r="A993" s="11" t="str">
        <x:v>lade_0825_30aoi</x:v>
      </x:c>
      <x:c r="B993" s="10" t="n">
        <x:v>30</x:v>
      </x:c>
      <x:c r="C993" s="10" t="n">
        <x:v>42</x:v>
      </x:c>
      <x:c r="D993" s="10" t="str">
        <x:v>M2 / M4</x:v>
      </x:c>
      <x:c r="E993" s="16" t="n">
        <x:v>4</x:v>
      </x:c>
      <x:c r="F993" s="14" t="n">
        <x:v>20</x:v>
      </x:c>
      <x:c r="G993" s="26" t="n">
        <x:f>'成本明细'!U153+'成本明细'!G153*(E993-'参数'!$B$6)</x:f>
        <x:v>3366.7777078872223</x:v>
      </x:c>
      <x:c r="H993" s="26" t="n">
        <x:f>'成本明细'!U159</x:f>
        <x:v>4979.783814402777</x:v>
      </x:c>
      <x:c r="I993" s="26" t="n">
        <x:f>'成本明细'!V159</x:f>
        <x:v>8285.5</x:v>
      </x:c>
      <x:c r="J993" s="22" t="n">
        <x:f>'参数'!$B$9</x:f>
        <x:v>300</x:v>
      </x:c>
      <x:c r="K993" s="26" t="n">
        <x:f>J993*(G993-H993)-I993*ROUNDUP(J993/F993,0)</x:f>
        <x:v>-608184.3319546665</x:v>
      </x:c>
      <x:c r="L993" s="10" t="str">
        <x:f>IF(G993-H993&lt;=0,"未回本",IF(ROUNDUP(I993/(G993-H993),0)&gt;MIN(F993,J993),"未回本",MAX(1,ROUNDUP(I993/(G993-H993),0))))</x:f>
        <x:v>未回本</x:v>
      </x:c>
    </x:row>
    <x:row r="994" ht="22" customHeight="1">
      <x:c r="A994" s="11" t="str">
        <x:v>lade_0825_30aoi</x:v>
      </x:c>
      <x:c r="B994" s="10" t="n">
        <x:v>30</x:v>
      </x:c>
      <x:c r="C994" s="10" t="n">
        <x:v>42</x:v>
      </x:c>
      <x:c r="D994" s="10" t="str">
        <x:v>M1 / M3</x:v>
      </x:c>
      <x:c r="E994" s="16" t="n">
        <x:v>4</x:v>
      </x:c>
      <x:c r="F994" s="14" t="n">
        <x:v>30</x:v>
      </x:c>
      <x:c r="G994" s="26" t="n">
        <x:f>'成本明细'!U150+'成本明细'!G150*(E994-'参数'!$B$6)</x:f>
        <x:v>3526.477919171667</x:v>
      </x:c>
      <x:c r="H994" s="26" t="n">
        <x:f>'成本明细'!U156</x:f>
        <x:v>4048.196197667222</x:v>
      </x:c>
      <x:c r="I994" s="26" t="n">
        <x:f>'成本明细'!V156</x:f>
        <x:v>8285.5</x:v>
      </x:c>
      <x:c r="J994" s="22" t="n">
        <x:f>'参数'!$B$9</x:f>
        <x:v>300</x:v>
      </x:c>
      <x:c r="K994" s="26" t="n">
        <x:f>J994*(G994-H994)-I994*ROUNDUP(J994/F994,0)</x:f>
        <x:v>-239370.48354866647</x:v>
      </x:c>
      <x:c r="L994" s="10" t="str">
        <x:f>IF(G994-H994&lt;=0,"未回本",IF(ROUNDUP(I994/(G994-H994),0)&gt;MIN(F994,J994),"未回本",MAX(1,ROUNDUP(I994/(G994-H994),0))))</x:f>
        <x:v>未回本</x:v>
      </x:c>
    </x:row>
    <x:row r="995" ht="22" customHeight="1">
      <x:c r="A995" s="11" t="str">
        <x:v>lade_0825_30aoi</x:v>
      </x:c>
      <x:c r="B995" s="10" t="n">
        <x:v>30</x:v>
      </x:c>
      <x:c r="C995" s="10" t="n">
        <x:v>42</x:v>
      </x:c>
      <x:c r="D995" s="10" t="str">
        <x:v>M2 / M4</x:v>
      </x:c>
      <x:c r="E995" s="16" t="n">
        <x:v>4</x:v>
      </x:c>
      <x:c r="F995" s="14" t="n">
        <x:v>30</x:v>
      </x:c>
      <x:c r="G995" s="26" t="n">
        <x:f>'成本明细'!U153+'成本明细'!G153*(E995-'参数'!$B$6)</x:f>
        <x:v>3366.7777078872223</x:v>
      </x:c>
      <x:c r="H995" s="26" t="n">
        <x:f>'成本明细'!U159</x:f>
        <x:v>4979.783814402777</x:v>
      </x:c>
      <x:c r="I995" s="26" t="n">
        <x:f>'成本明细'!V159</x:f>
        <x:v>8285.5</x:v>
      </x:c>
      <x:c r="J995" s="22" t="n">
        <x:f>'参数'!$B$9</x:f>
        <x:v>300</x:v>
      </x:c>
      <x:c r="K995" s="26" t="n">
        <x:f>J995*(G995-H995)-I995*ROUNDUP(J995/F995,0)</x:f>
        <x:v>-566756.8319546665</x:v>
      </x:c>
      <x:c r="L995" s="10" t="str">
        <x:f>IF(G995-H995&lt;=0,"未回本",IF(ROUNDUP(I995/(G995-H995),0)&gt;MIN(F995,J995),"未回本",MAX(1,ROUNDUP(I995/(G995-H995),0))))</x:f>
        <x:v>未回本</x:v>
      </x:c>
    </x:row>
    <x:row r="996" ht="22" customHeight="1">
      <x:c r="A996" s="11" t="str">
        <x:v>lade_0825_30aoi</x:v>
      </x:c>
      <x:c r="B996" s="10" t="n">
        <x:v>30</x:v>
      </x:c>
      <x:c r="C996" s="10" t="n">
        <x:v>42</x:v>
      </x:c>
      <x:c r="D996" s="10" t="str">
        <x:v>M1 / M3</x:v>
      </x:c>
      <x:c r="E996" s="16" t="n">
        <x:v>4</x:v>
      </x:c>
      <x:c r="F996" s="14" t="n">
        <x:v>50</x:v>
      </x:c>
      <x:c r="G996" s="26" t="n">
        <x:f>'成本明细'!U150+'成本明细'!G150*(E996-'参数'!$B$6)</x:f>
        <x:v>3526.477919171667</x:v>
      </x:c>
      <x:c r="H996" s="26" t="n">
        <x:f>'成本明细'!U156</x:f>
        <x:v>4048.196197667222</x:v>
      </x:c>
      <x:c r="I996" s="26" t="n">
        <x:f>'成本明细'!V156</x:f>
        <x:v>8285.5</x:v>
      </x:c>
      <x:c r="J996" s="22" t="n">
        <x:f>'参数'!$B$9</x:f>
        <x:v>300</x:v>
      </x:c>
      <x:c r="K996" s="26" t="n">
        <x:f>J996*(G996-H996)-I996*ROUNDUP(J996/F996,0)</x:f>
        <x:v>-206228.48354866647</x:v>
      </x:c>
      <x:c r="L996" s="10" t="str">
        <x:f>IF(G996-H996&lt;=0,"未回本",IF(ROUNDUP(I996/(G996-H996),0)&gt;MIN(F996,J996),"未回本",MAX(1,ROUNDUP(I996/(G996-H996),0))))</x:f>
        <x:v>未回本</x:v>
      </x:c>
    </x:row>
    <x:row r="997" ht="22" customHeight="1">
      <x:c r="A997" s="11" t="str">
        <x:v>lade_0825_30aoi</x:v>
      </x:c>
      <x:c r="B997" s="10" t="n">
        <x:v>30</x:v>
      </x:c>
      <x:c r="C997" s="10" t="n">
        <x:v>42</x:v>
      </x:c>
      <x:c r="D997" s="10" t="str">
        <x:v>M2 / M4</x:v>
      </x:c>
      <x:c r="E997" s="16" t="n">
        <x:v>4</x:v>
      </x:c>
      <x:c r="F997" s="14" t="n">
        <x:v>50</x:v>
      </x:c>
      <x:c r="G997" s="26" t="n">
        <x:f>'成本明细'!U153+'成本明细'!G153*(E997-'参数'!$B$6)</x:f>
        <x:v>3366.7777078872223</x:v>
      </x:c>
      <x:c r="H997" s="26" t="n">
        <x:f>'成本明细'!U159</x:f>
        <x:v>4979.783814402777</x:v>
      </x:c>
      <x:c r="I997" s="26" t="n">
        <x:f>'成本明细'!V159</x:f>
        <x:v>8285.5</x:v>
      </x:c>
      <x:c r="J997" s="22" t="n">
        <x:f>'参数'!$B$9</x:f>
        <x:v>300</x:v>
      </x:c>
      <x:c r="K997" s="26" t="n">
        <x:f>J997*(G997-H997)-I997*ROUNDUP(J997/F997,0)</x:f>
        <x:v>-533614.8319546665</x:v>
      </x:c>
      <x:c r="L997" s="10" t="str">
        <x:f>IF(G997-H997&lt;=0,"未回本",IF(ROUNDUP(I997/(G997-H997),0)&gt;MIN(F997,J997),"未回本",MAX(1,ROUNDUP(I997/(G997-H997),0))))</x:f>
        <x:v>未回本</x:v>
      </x:c>
    </x:row>
    <x:row r="998" ht="22" customHeight="1">
      <x:c r="A998" s="11" t="str">
        <x:v>lade_0825_30aoi</x:v>
      </x:c>
      <x:c r="B998" s="10" t="n">
        <x:v>30</x:v>
      </x:c>
      <x:c r="C998" s="10" t="n">
        <x:v>42</x:v>
      </x:c>
      <x:c r="D998" s="10" t="str">
        <x:v>M1 / M3</x:v>
      </x:c>
      <x:c r="E998" s="16" t="n">
        <x:v>5</x:v>
      </x:c>
      <x:c r="F998" s="14" t="n">
        <x:v>10</x:v>
      </x:c>
      <x:c r="G998" s="26" t="n">
        <x:f>'成本明细'!U150+'成本明细'!G150*(E998-'参数'!$B$6)</x:f>
        <x:v>3753.477919171667</x:v>
      </x:c>
      <x:c r="H998" s="26" t="n">
        <x:f>'成本明细'!U156</x:f>
        <x:v>4048.196197667222</x:v>
      </x:c>
      <x:c r="I998" s="26" t="n">
        <x:f>'成本明细'!V156</x:f>
        <x:v>8285.5</x:v>
      </x:c>
      <x:c r="J998" s="22" t="n">
        <x:f>'参数'!$B$9</x:f>
        <x:v>300</x:v>
      </x:c>
      <x:c r="K998" s="26" t="n">
        <x:f>J998*(G998-H998)-I998*ROUNDUP(J998/F998,0)</x:f>
        <x:v>-336980.48354866647</x:v>
      </x:c>
      <x:c r="L998" s="10" t="str">
        <x:f>IF(G998-H998&lt;=0,"未回本",IF(ROUNDUP(I998/(G998-H998),0)&gt;MIN(F998,J998),"未回本",MAX(1,ROUNDUP(I998/(G998-H998),0))))</x:f>
        <x:v>未回本</x:v>
      </x:c>
    </x:row>
    <x:row r="999" ht="22" customHeight="1">
      <x:c r="A999" s="11" t="str">
        <x:v>lade_0825_30aoi</x:v>
      </x:c>
      <x:c r="B999" s="10" t="n">
        <x:v>30</x:v>
      </x:c>
      <x:c r="C999" s="10" t="n">
        <x:v>42</x:v>
      </x:c>
      <x:c r="D999" s="10" t="str">
        <x:v>M2 / M4</x:v>
      </x:c>
      <x:c r="E999" s="16" t="n">
        <x:v>5</x:v>
      </x:c>
      <x:c r="F999" s="14" t="n">
        <x:v>10</x:v>
      </x:c>
      <x:c r="G999" s="26" t="n">
        <x:f>'成本明细'!U153+'成本明细'!G153*(E999-'参数'!$B$6)</x:f>
        <x:v>3593.7777078872223</x:v>
      </x:c>
      <x:c r="H999" s="26" t="n">
        <x:f>'成本明细'!U159</x:f>
        <x:v>4979.783814402777</x:v>
      </x:c>
      <x:c r="I999" s="26" t="n">
        <x:f>'成本明细'!V159</x:f>
        <x:v>8285.5</x:v>
      </x:c>
      <x:c r="J999" s="22" t="n">
        <x:f>'参数'!$B$9</x:f>
        <x:v>300</x:v>
      </x:c>
      <x:c r="K999" s="26" t="n">
        <x:f>J999*(G999-H999)-I999*ROUNDUP(J999/F999,0)</x:f>
        <x:v>-664366.8319546665</x:v>
      </x:c>
      <x:c r="L999" s="10" t="str">
        <x:f>IF(G999-H999&lt;=0,"未回本",IF(ROUNDUP(I999/(G999-H999),0)&gt;MIN(F999,J999),"未回本",MAX(1,ROUNDUP(I999/(G999-H999),0))))</x:f>
        <x:v>未回本</x:v>
      </x:c>
    </x:row>
    <x:row r="1000" ht="22" customHeight="1">
      <x:c r="A1000" s="11" t="str">
        <x:v>lade_0825_30aoi</x:v>
      </x:c>
      <x:c r="B1000" s="10" t="n">
        <x:v>30</x:v>
      </x:c>
      <x:c r="C1000" s="10" t="n">
        <x:v>42</x:v>
      </x:c>
      <x:c r="D1000" s="10" t="str">
        <x:v>M1 / M3</x:v>
      </x:c>
      <x:c r="E1000" s="16" t="n">
        <x:v>5</x:v>
      </x:c>
      <x:c r="F1000" s="14" t="n">
        <x:v>20</x:v>
      </x:c>
      <x:c r="G1000" s="26" t="n">
        <x:f>'成本明细'!U150+'成本明细'!G150*(E1000-'参数'!$B$6)</x:f>
        <x:v>3753.477919171667</x:v>
      </x:c>
      <x:c r="H1000" s="26" t="n">
        <x:f>'成本明细'!U156</x:f>
        <x:v>4048.196197667222</x:v>
      </x:c>
      <x:c r="I1000" s="26" t="n">
        <x:f>'成本明细'!V156</x:f>
        <x:v>8285.5</x:v>
      </x:c>
      <x:c r="J1000" s="22" t="n">
        <x:f>'参数'!$B$9</x:f>
        <x:v>300</x:v>
      </x:c>
      <x:c r="K1000" s="26" t="n">
        <x:f>J1000*(G1000-H1000)-I1000*ROUNDUP(J1000/F1000,0)</x:f>
        <x:v>-212697.98354866647</x:v>
      </x:c>
      <x:c r="L1000" s="10" t="str">
        <x:f>IF(G1000-H1000&lt;=0,"未回本",IF(ROUNDUP(I1000/(G1000-H1000),0)&gt;MIN(F1000,J1000),"未回本",MAX(1,ROUNDUP(I1000/(G1000-H1000),0))))</x:f>
        <x:v>未回本</x:v>
      </x:c>
    </x:row>
    <x:row r="1001" ht="22" customHeight="1">
      <x:c r="A1001" s="11" t="str">
        <x:v>lade_0825_30aoi</x:v>
      </x:c>
      <x:c r="B1001" s="10" t="n">
        <x:v>30</x:v>
      </x:c>
      <x:c r="C1001" s="10" t="n">
        <x:v>42</x:v>
      </x:c>
      <x:c r="D1001" s="10" t="str">
        <x:v>M2 / M4</x:v>
      </x:c>
      <x:c r="E1001" s="16" t="n">
        <x:v>5</x:v>
      </x:c>
      <x:c r="F1001" s="14" t="n">
        <x:v>20</x:v>
      </x:c>
      <x:c r="G1001" s="26" t="n">
        <x:f>'成本明细'!U153+'成本明细'!G153*(E1001-'参数'!$B$6)</x:f>
        <x:v>3593.7777078872223</x:v>
      </x:c>
      <x:c r="H1001" s="26" t="n">
        <x:f>'成本明细'!U159</x:f>
        <x:v>4979.783814402777</x:v>
      </x:c>
      <x:c r="I1001" s="26" t="n">
        <x:f>'成本明细'!V159</x:f>
        <x:v>8285.5</x:v>
      </x:c>
      <x:c r="J1001" s="22" t="n">
        <x:f>'参数'!$B$9</x:f>
        <x:v>300</x:v>
      </x:c>
      <x:c r="K1001" s="26" t="n">
        <x:f>J1001*(G1001-H1001)-I1001*ROUNDUP(J1001/F1001,0)</x:f>
        <x:v>-540084.3319546665</x:v>
      </x:c>
      <x:c r="L1001" s="10" t="str">
        <x:f>IF(G1001-H1001&lt;=0,"未回本",IF(ROUNDUP(I1001/(G1001-H1001),0)&gt;MIN(F1001,J1001),"未回本",MAX(1,ROUNDUP(I1001/(G1001-H1001),0))))</x:f>
        <x:v>未回本</x:v>
      </x:c>
    </x:row>
    <x:row r="1002" ht="22" customHeight="1">
      <x:c r="A1002" s="11" t="str">
        <x:v>lade_0825_30aoi</x:v>
      </x:c>
      <x:c r="B1002" s="10" t="n">
        <x:v>30</x:v>
      </x:c>
      <x:c r="C1002" s="10" t="n">
        <x:v>42</x:v>
      </x:c>
      <x:c r="D1002" s="10" t="str">
        <x:v>M1 / M3</x:v>
      </x:c>
      <x:c r="E1002" s="16" t="n">
        <x:v>5</x:v>
      </x:c>
      <x:c r="F1002" s="14" t="n">
        <x:v>30</x:v>
      </x:c>
      <x:c r="G1002" s="26" t="n">
        <x:f>'成本明细'!U150+'成本明细'!G150*(E1002-'参数'!$B$6)</x:f>
        <x:v>3753.477919171667</x:v>
      </x:c>
      <x:c r="H1002" s="26" t="n">
        <x:f>'成本明细'!U156</x:f>
        <x:v>4048.196197667222</x:v>
      </x:c>
      <x:c r="I1002" s="26" t="n">
        <x:f>'成本明细'!V156</x:f>
        <x:v>8285.5</x:v>
      </x:c>
      <x:c r="J1002" s="22" t="n">
        <x:f>'参数'!$B$9</x:f>
        <x:v>300</x:v>
      </x:c>
      <x:c r="K1002" s="26" t="n">
        <x:f>J1002*(G1002-H1002)-I1002*ROUNDUP(J1002/F1002,0)</x:f>
        <x:v>-171270.48354866647</x:v>
      </x:c>
      <x:c r="L1002" s="10" t="str">
        <x:f>IF(G1002-H1002&lt;=0,"未回本",IF(ROUNDUP(I1002/(G1002-H1002),0)&gt;MIN(F1002,J1002),"未回本",MAX(1,ROUNDUP(I1002/(G1002-H1002),0))))</x:f>
        <x:v>未回本</x:v>
      </x:c>
    </x:row>
    <x:row r="1003" ht="22" customHeight="1">
      <x:c r="A1003" s="11" t="str">
        <x:v>lade_0825_30aoi</x:v>
      </x:c>
      <x:c r="B1003" s="10" t="n">
        <x:v>30</x:v>
      </x:c>
      <x:c r="C1003" s="10" t="n">
        <x:v>42</x:v>
      </x:c>
      <x:c r="D1003" s="10" t="str">
        <x:v>M2 / M4</x:v>
      </x:c>
      <x:c r="E1003" s="16" t="n">
        <x:v>5</x:v>
      </x:c>
      <x:c r="F1003" s="14" t="n">
        <x:v>30</x:v>
      </x:c>
      <x:c r="G1003" s="26" t="n">
        <x:f>'成本明细'!U153+'成本明细'!G153*(E1003-'参数'!$B$6)</x:f>
        <x:v>3593.7777078872223</x:v>
      </x:c>
      <x:c r="H1003" s="26" t="n">
        <x:f>'成本明细'!U159</x:f>
        <x:v>4979.783814402777</x:v>
      </x:c>
      <x:c r="I1003" s="26" t="n">
        <x:f>'成本明细'!V159</x:f>
        <x:v>8285.5</x:v>
      </x:c>
      <x:c r="J1003" s="22" t="n">
        <x:f>'参数'!$B$9</x:f>
        <x:v>300</x:v>
      </x:c>
      <x:c r="K1003" s="26" t="n">
        <x:f>J1003*(G1003-H1003)-I1003*ROUNDUP(J1003/F1003,0)</x:f>
        <x:v>-498656.83195466653</x:v>
      </x:c>
      <x:c r="L1003" s="10" t="str">
        <x:f>IF(G1003-H1003&lt;=0,"未回本",IF(ROUNDUP(I1003/(G1003-H1003),0)&gt;MIN(F1003,J1003),"未回本",MAX(1,ROUNDUP(I1003/(G1003-H1003),0))))</x:f>
        <x:v>未回本</x:v>
      </x:c>
    </x:row>
    <x:row r="1004" ht="22" customHeight="1">
      <x:c r="A1004" s="11" t="str">
        <x:v>lade_0825_30aoi</x:v>
      </x:c>
      <x:c r="B1004" s="10" t="n">
        <x:v>30</x:v>
      </x:c>
      <x:c r="C1004" s="10" t="n">
        <x:v>42</x:v>
      </x:c>
      <x:c r="D1004" s="10" t="str">
        <x:v>M1 / M3</x:v>
      </x:c>
      <x:c r="E1004" s="16" t="n">
        <x:v>5</x:v>
      </x:c>
      <x:c r="F1004" s="14" t="n">
        <x:v>50</x:v>
      </x:c>
      <x:c r="G1004" s="26" t="n">
        <x:f>'成本明细'!U150+'成本明细'!G150*(E1004-'参数'!$B$6)</x:f>
        <x:v>3753.477919171667</x:v>
      </x:c>
      <x:c r="H1004" s="26" t="n">
        <x:f>'成本明细'!U156</x:f>
        <x:v>4048.196197667222</x:v>
      </x:c>
      <x:c r="I1004" s="26" t="n">
        <x:f>'成本明细'!V156</x:f>
        <x:v>8285.5</x:v>
      </x:c>
      <x:c r="J1004" s="22" t="n">
        <x:f>'参数'!$B$9</x:f>
        <x:v>300</x:v>
      </x:c>
      <x:c r="K1004" s="26" t="n">
        <x:f>J1004*(G1004-H1004)-I1004*ROUNDUP(J1004/F1004,0)</x:f>
        <x:v>-138128.48354866647</x:v>
      </x:c>
      <x:c r="L1004" s="10" t="str">
        <x:f>IF(G1004-H1004&lt;=0,"未回本",IF(ROUNDUP(I1004/(G1004-H1004),0)&gt;MIN(F1004,J1004),"未回本",MAX(1,ROUNDUP(I1004/(G1004-H1004),0))))</x:f>
        <x:v>未回本</x:v>
      </x:c>
    </x:row>
    <x:row r="1005" ht="22" customHeight="1">
      <x:c r="A1005" s="11" t="str">
        <x:v>lade_0825_30aoi</x:v>
      </x:c>
      <x:c r="B1005" s="10" t="n">
        <x:v>30</x:v>
      </x:c>
      <x:c r="C1005" s="10" t="n">
        <x:v>42</x:v>
      </x:c>
      <x:c r="D1005" s="10" t="str">
        <x:v>M2 / M4</x:v>
      </x:c>
      <x:c r="E1005" s="16" t="n">
        <x:v>5</x:v>
      </x:c>
      <x:c r="F1005" s="14" t="n">
        <x:v>50</x:v>
      </x:c>
      <x:c r="G1005" s="26" t="n">
        <x:f>'成本明细'!U153+'成本明细'!G153*(E1005-'参数'!$B$6)</x:f>
        <x:v>3593.7777078872223</x:v>
      </x:c>
      <x:c r="H1005" s="26" t="n">
        <x:f>'成本明细'!U159</x:f>
        <x:v>4979.783814402777</x:v>
      </x:c>
      <x:c r="I1005" s="26" t="n">
        <x:f>'成本明细'!V159</x:f>
        <x:v>8285.5</x:v>
      </x:c>
      <x:c r="J1005" s="22" t="n">
        <x:f>'参数'!$B$9</x:f>
        <x:v>300</x:v>
      </x:c>
      <x:c r="K1005" s="26" t="n">
        <x:f>J1005*(G1005-H1005)-I1005*ROUNDUP(J1005/F1005,0)</x:f>
        <x:v>-465514.83195466653</x:v>
      </x:c>
      <x:c r="L1005" s="10" t="str">
        <x:f>IF(G1005-H1005&lt;=0,"未回本",IF(ROUNDUP(I1005/(G1005-H1005),0)&gt;MIN(F1005,J1005),"未回本",MAX(1,ROUNDUP(I1005/(G1005-H1005),0))))</x:f>
        <x:v>未回本</x:v>
      </x:c>
    </x:row>
    <x:row r="1006" ht="22" customHeight="1">
      <x:c r="A1006" s="11" t="str">
        <x:v>lade_0825_30aoi</x:v>
      </x:c>
      <x:c r="B1006" s="10" t="n">
        <x:v>30</x:v>
      </x:c>
      <x:c r="C1006" s="10" t="n">
        <x:v>43</x:v>
      </x:c>
      <x:c r="D1006" s="10" t="str">
        <x:v>M1 / M3</x:v>
      </x:c>
      <x:c r="E1006" s="16" t="n">
        <x:v>1</x:v>
      </x:c>
      <x:c r="F1006" s="14" t="n">
        <x:v>10</x:v>
      </x:c>
      <x:c r="G1006" s="26" t="n">
        <x:f>'成本明细'!U151+'成本明细'!G151*(E1006-'参数'!$B$6)</x:f>
        <x:v>2524.0335811511113</x:v>
      </x:c>
      <x:c r="H1006" s="26" t="n">
        <x:f>'成本明细'!U157</x:f>
        <x:v>4048.9650148822216</x:v>
      </x:c>
      <x:c r="I1006" s="26" t="n">
        <x:f>'成本明细'!V157</x:f>
        <x:v>8285.5</x:v>
      </x:c>
      <x:c r="J1006" s="22" t="n">
        <x:f>'参数'!$B$9</x:f>
        <x:v>300</x:v>
      </x:c>
      <x:c r="K1006" s="26" t="n">
        <x:f>J1006*(G1006-H1006)-I1006*ROUNDUP(J1006/F1006,0)</x:f>
        <x:v>-706044.4301193331</x:v>
      </x:c>
      <x:c r="L1006" s="10" t="str">
        <x:f>IF(G1006-H1006&lt;=0,"未回本",IF(ROUNDUP(I1006/(G1006-H1006),0)&gt;MIN(F1006,J1006),"未回本",MAX(1,ROUNDUP(I1006/(G1006-H1006),0))))</x:f>
        <x:v>未回本</x:v>
      </x:c>
    </x:row>
    <x:row r="1007" ht="22" customHeight="1">
      <x:c r="A1007" s="11" t="str">
        <x:v>lade_0825_30aoi</x:v>
      </x:c>
      <x:c r="B1007" s="10" t="n">
        <x:v>30</x:v>
      </x:c>
      <x:c r="C1007" s="10" t="n">
        <x:v>43</x:v>
      </x:c>
      <x:c r="D1007" s="10" t="str">
        <x:v>M2 / M4</x:v>
      </x:c>
      <x:c r="E1007" s="16" t="n">
        <x:v>1</x:v>
      </x:c>
      <x:c r="F1007" s="14" t="n">
        <x:v>10</x:v>
      </x:c>
      <x:c r="G1007" s="26" t="n">
        <x:f>'成本明细'!U154+'成本明细'!G154*(E1007-'参数'!$B$6)</x:f>
        <x:v>2680.369833321667</x:v>
      </x:c>
      <x:c r="H1007" s="26" t="n">
        <x:f>'成本明细'!U160</x:f>
        <x:v>4061.232175223333</x:v>
      </x:c>
      <x:c r="I1007" s="26" t="n">
        <x:f>'成本明细'!V160</x:f>
        <x:v>8285.5</x:v>
      </x:c>
      <x:c r="J1007" s="22" t="n">
        <x:f>'参数'!$B$9</x:f>
        <x:v>300</x:v>
      </x:c>
      <x:c r="K1007" s="26" t="n">
        <x:f>J1007*(G1007-H1007)-I1007*ROUNDUP(J1007/F1007,0)</x:f>
        <x:v>-662823.7025704997</x:v>
      </x:c>
      <x:c r="L1007" s="10" t="str">
        <x:f>IF(G1007-H1007&lt;=0,"未回本",IF(ROUNDUP(I1007/(G1007-H1007),0)&gt;MIN(F1007,J1007),"未回本",MAX(1,ROUNDUP(I1007/(G1007-H1007),0))))</x:f>
        <x:v>未回本</x:v>
      </x:c>
    </x:row>
    <x:row r="1008" ht="22" customHeight="1">
      <x:c r="A1008" s="11" t="str">
        <x:v>lade_0825_30aoi</x:v>
      </x:c>
      <x:c r="B1008" s="10" t="n">
        <x:v>30</x:v>
      </x:c>
      <x:c r="C1008" s="10" t="n">
        <x:v>43</x:v>
      </x:c>
      <x:c r="D1008" s="10" t="str">
        <x:v>M1 / M3</x:v>
      </x:c>
      <x:c r="E1008" s="16" t="n">
        <x:v>1</x:v>
      </x:c>
      <x:c r="F1008" s="14" t="n">
        <x:v>20</x:v>
      </x:c>
      <x:c r="G1008" s="26" t="n">
        <x:f>'成本明细'!U151+'成本明细'!G151*(E1008-'参数'!$B$6)</x:f>
        <x:v>2524.0335811511113</x:v>
      </x:c>
      <x:c r="H1008" s="26" t="n">
        <x:f>'成本明细'!U157</x:f>
        <x:v>4048.9650148822216</x:v>
      </x:c>
      <x:c r="I1008" s="26" t="n">
        <x:f>'成本明细'!V157</x:f>
        <x:v>8285.5</x:v>
      </x:c>
      <x:c r="J1008" s="22" t="n">
        <x:f>'参数'!$B$9</x:f>
        <x:v>300</x:v>
      </x:c>
      <x:c r="K1008" s="26" t="n">
        <x:f>J1008*(G1008-H1008)-I1008*ROUNDUP(J1008/F1008,0)</x:f>
        <x:v>-581761.9301193331</x:v>
      </x:c>
      <x:c r="L1008" s="10" t="str">
        <x:f>IF(G1008-H1008&lt;=0,"未回本",IF(ROUNDUP(I1008/(G1008-H1008),0)&gt;MIN(F1008,J1008),"未回本",MAX(1,ROUNDUP(I1008/(G1008-H1008),0))))</x:f>
        <x:v>未回本</x:v>
      </x:c>
    </x:row>
    <x:row r="1009" ht="22" customHeight="1">
      <x:c r="A1009" s="11" t="str">
        <x:v>lade_0825_30aoi</x:v>
      </x:c>
      <x:c r="B1009" s="10" t="n">
        <x:v>30</x:v>
      </x:c>
      <x:c r="C1009" s="10" t="n">
        <x:v>43</x:v>
      </x:c>
      <x:c r="D1009" s="10" t="str">
        <x:v>M2 / M4</x:v>
      </x:c>
      <x:c r="E1009" s="16" t="n">
        <x:v>1</x:v>
      </x:c>
      <x:c r="F1009" s="14" t="n">
        <x:v>20</x:v>
      </x:c>
      <x:c r="G1009" s="26" t="n">
        <x:f>'成本明细'!U154+'成本明细'!G154*(E1009-'参数'!$B$6)</x:f>
        <x:v>2680.369833321667</x:v>
      </x:c>
      <x:c r="H1009" s="26" t="n">
        <x:f>'成本明细'!U160</x:f>
        <x:v>4061.232175223333</x:v>
      </x:c>
      <x:c r="I1009" s="26" t="n">
        <x:f>'成本明细'!V160</x:f>
        <x:v>8285.5</x:v>
      </x:c>
      <x:c r="J1009" s="22" t="n">
        <x:f>'参数'!$B$9</x:f>
        <x:v>300</x:v>
      </x:c>
      <x:c r="K1009" s="26" t="n">
        <x:f>J1009*(G1009-H1009)-I1009*ROUNDUP(J1009/F1009,0)</x:f>
        <x:v>-538541.2025704997</x:v>
      </x:c>
      <x:c r="L1009" s="10" t="str">
        <x:f>IF(G1009-H1009&lt;=0,"未回本",IF(ROUNDUP(I1009/(G1009-H1009),0)&gt;MIN(F1009,J1009),"未回本",MAX(1,ROUNDUP(I1009/(G1009-H1009),0))))</x:f>
        <x:v>未回本</x:v>
      </x:c>
    </x:row>
    <x:row r="1010" ht="22" customHeight="1">
      <x:c r="A1010" s="11" t="str">
        <x:v>lade_0825_30aoi</x:v>
      </x:c>
      <x:c r="B1010" s="10" t="n">
        <x:v>30</x:v>
      </x:c>
      <x:c r="C1010" s="10" t="n">
        <x:v>43</x:v>
      </x:c>
      <x:c r="D1010" s="10" t="str">
        <x:v>M1 / M3</x:v>
      </x:c>
      <x:c r="E1010" s="16" t="n">
        <x:v>1</x:v>
      </x:c>
      <x:c r="F1010" s="14" t="n">
        <x:v>30</x:v>
      </x:c>
      <x:c r="G1010" s="26" t="n">
        <x:f>'成本明细'!U151+'成本明细'!G151*(E1010-'参数'!$B$6)</x:f>
        <x:v>2524.0335811511113</x:v>
      </x:c>
      <x:c r="H1010" s="26" t="n">
        <x:f>'成本明细'!U157</x:f>
        <x:v>4048.9650148822216</x:v>
      </x:c>
      <x:c r="I1010" s="26" t="n">
        <x:f>'成本明细'!V157</x:f>
        <x:v>8285.5</x:v>
      </x:c>
      <x:c r="J1010" s="22" t="n">
        <x:f>'参数'!$B$9</x:f>
        <x:v>300</x:v>
      </x:c>
      <x:c r="K1010" s="26" t="n">
        <x:f>J1010*(G1010-H1010)-I1010*ROUNDUP(J1010/F1010,0)</x:f>
        <x:v>-540334.4301193331</x:v>
      </x:c>
      <x:c r="L1010" s="10" t="str">
        <x:f>IF(G1010-H1010&lt;=0,"未回本",IF(ROUNDUP(I1010/(G1010-H1010),0)&gt;MIN(F1010,J1010),"未回本",MAX(1,ROUNDUP(I1010/(G1010-H1010),0))))</x:f>
        <x:v>未回本</x:v>
      </x:c>
    </x:row>
    <x:row r="1011" ht="22" customHeight="1">
      <x:c r="A1011" s="11" t="str">
        <x:v>lade_0825_30aoi</x:v>
      </x:c>
      <x:c r="B1011" s="10" t="n">
        <x:v>30</x:v>
      </x:c>
      <x:c r="C1011" s="10" t="n">
        <x:v>43</x:v>
      </x:c>
      <x:c r="D1011" s="10" t="str">
        <x:v>M2 / M4</x:v>
      </x:c>
      <x:c r="E1011" s="16" t="n">
        <x:v>1</x:v>
      </x:c>
      <x:c r="F1011" s="14" t="n">
        <x:v>30</x:v>
      </x:c>
      <x:c r="G1011" s="26" t="n">
        <x:f>'成本明细'!U154+'成本明细'!G154*(E1011-'参数'!$B$6)</x:f>
        <x:v>2680.369833321667</x:v>
      </x:c>
      <x:c r="H1011" s="26" t="n">
        <x:f>'成本明细'!U160</x:f>
        <x:v>4061.232175223333</x:v>
      </x:c>
      <x:c r="I1011" s="26" t="n">
        <x:f>'成本明细'!V160</x:f>
        <x:v>8285.5</x:v>
      </x:c>
      <x:c r="J1011" s="22" t="n">
        <x:f>'参数'!$B$9</x:f>
        <x:v>300</x:v>
      </x:c>
      <x:c r="K1011" s="26" t="n">
        <x:f>J1011*(G1011-H1011)-I1011*ROUNDUP(J1011/F1011,0)</x:f>
        <x:v>-497113.70257049974</x:v>
      </x:c>
      <x:c r="L1011" s="10" t="str">
        <x:f>IF(G1011-H1011&lt;=0,"未回本",IF(ROUNDUP(I1011/(G1011-H1011),0)&gt;MIN(F1011,J1011),"未回本",MAX(1,ROUNDUP(I1011/(G1011-H1011),0))))</x:f>
        <x:v>未回本</x:v>
      </x:c>
    </x:row>
    <x:row r="1012" ht="22" customHeight="1">
      <x:c r="A1012" s="11" t="str">
        <x:v>lade_0825_30aoi</x:v>
      </x:c>
      <x:c r="B1012" s="10" t="n">
        <x:v>30</x:v>
      </x:c>
      <x:c r="C1012" s="10" t="n">
        <x:v>43</x:v>
      </x:c>
      <x:c r="D1012" s="10" t="str">
        <x:v>M1 / M3</x:v>
      </x:c>
      <x:c r="E1012" s="16" t="n">
        <x:v>1</x:v>
      </x:c>
      <x:c r="F1012" s="14" t="n">
        <x:v>50</x:v>
      </x:c>
      <x:c r="G1012" s="26" t="n">
        <x:f>'成本明细'!U151+'成本明细'!G151*(E1012-'参数'!$B$6)</x:f>
        <x:v>2524.0335811511113</x:v>
      </x:c>
      <x:c r="H1012" s="26" t="n">
        <x:f>'成本明细'!U157</x:f>
        <x:v>4048.9650148822216</x:v>
      </x:c>
      <x:c r="I1012" s="26" t="n">
        <x:f>'成本明细'!V157</x:f>
        <x:v>8285.5</x:v>
      </x:c>
      <x:c r="J1012" s="22" t="n">
        <x:f>'参数'!$B$9</x:f>
        <x:v>300</x:v>
      </x:c>
      <x:c r="K1012" s="26" t="n">
        <x:f>J1012*(G1012-H1012)-I1012*ROUNDUP(J1012/F1012,0)</x:f>
        <x:v>-507192.4301193331</x:v>
      </x:c>
      <x:c r="L1012" s="10" t="str">
        <x:f>IF(G1012-H1012&lt;=0,"未回本",IF(ROUNDUP(I1012/(G1012-H1012),0)&gt;MIN(F1012,J1012),"未回本",MAX(1,ROUNDUP(I1012/(G1012-H1012),0))))</x:f>
        <x:v>未回本</x:v>
      </x:c>
    </x:row>
    <x:row r="1013" ht="22" customHeight="1">
      <x:c r="A1013" s="11" t="str">
        <x:v>lade_0825_30aoi</x:v>
      </x:c>
      <x:c r="B1013" s="10" t="n">
        <x:v>30</x:v>
      </x:c>
      <x:c r="C1013" s="10" t="n">
        <x:v>43</x:v>
      </x:c>
      <x:c r="D1013" s="10" t="str">
        <x:v>M2 / M4</x:v>
      </x:c>
      <x:c r="E1013" s="16" t="n">
        <x:v>1</x:v>
      </x:c>
      <x:c r="F1013" s="14" t="n">
        <x:v>50</x:v>
      </x:c>
      <x:c r="G1013" s="26" t="n">
        <x:f>'成本明细'!U154+'成本明细'!G154*(E1013-'参数'!$B$6)</x:f>
        <x:v>2680.369833321667</x:v>
      </x:c>
      <x:c r="H1013" s="26" t="n">
        <x:f>'成本明细'!U160</x:f>
        <x:v>4061.232175223333</x:v>
      </x:c>
      <x:c r="I1013" s="26" t="n">
        <x:f>'成本明细'!V160</x:f>
        <x:v>8285.5</x:v>
      </x:c>
      <x:c r="J1013" s="22" t="n">
        <x:f>'参数'!$B$9</x:f>
        <x:v>300</x:v>
      </x:c>
      <x:c r="K1013" s="26" t="n">
        <x:f>J1013*(G1013-H1013)-I1013*ROUNDUP(J1013/F1013,0)</x:f>
        <x:v>-463971.70257049974</x:v>
      </x:c>
      <x:c r="L1013" s="10" t="str">
        <x:f>IF(G1013-H1013&lt;=0,"未回本",IF(ROUNDUP(I1013/(G1013-H1013),0)&gt;MIN(F1013,J1013),"未回本",MAX(1,ROUNDUP(I1013/(G1013-H1013),0))))</x:f>
        <x:v>未回本</x:v>
      </x:c>
    </x:row>
    <x:row r="1014" ht="22" customHeight="1">
      <x:c r="A1014" s="11" t="str">
        <x:v>lade_0825_30aoi</x:v>
      </x:c>
      <x:c r="B1014" s="10" t="n">
        <x:v>30</x:v>
      </x:c>
      <x:c r="C1014" s="10" t="n">
        <x:v>43</x:v>
      </x:c>
      <x:c r="D1014" s="10" t="str">
        <x:v>M1 / M3</x:v>
      </x:c>
      <x:c r="E1014" s="16" t="n">
        <x:v>2</x:v>
      </x:c>
      <x:c r="F1014" s="14" t="n">
        <x:v>10</x:v>
      </x:c>
      <x:c r="G1014" s="26" t="n">
        <x:f>'成本明细'!U151+'成本明细'!G151*(E1014-'参数'!$B$6)</x:f>
        <x:v>2751.0335811511113</x:v>
      </x:c>
      <x:c r="H1014" s="26" t="n">
        <x:f>'成本明细'!U157</x:f>
        <x:v>4048.9650148822216</x:v>
      </x:c>
      <x:c r="I1014" s="26" t="n">
        <x:f>'成本明细'!V157</x:f>
        <x:v>8285.5</x:v>
      </x:c>
      <x:c r="J1014" s="22" t="n">
        <x:f>'参数'!$B$9</x:f>
        <x:v>300</x:v>
      </x:c>
      <x:c r="K1014" s="26" t="n">
        <x:f>J1014*(G1014-H1014)-I1014*ROUNDUP(J1014/F1014,0)</x:f>
        <x:v>-637944.4301193331</x:v>
      </x:c>
      <x:c r="L1014" s="10" t="str">
        <x:f>IF(G1014-H1014&lt;=0,"未回本",IF(ROUNDUP(I1014/(G1014-H1014),0)&gt;MIN(F1014,J1014),"未回本",MAX(1,ROUNDUP(I1014/(G1014-H1014),0))))</x:f>
        <x:v>未回本</x:v>
      </x:c>
    </x:row>
    <x:row r="1015" ht="22" customHeight="1">
      <x:c r="A1015" s="11" t="str">
        <x:v>lade_0825_30aoi</x:v>
      </x:c>
      <x:c r="B1015" s="10" t="n">
        <x:v>30</x:v>
      </x:c>
      <x:c r="C1015" s="10" t="n">
        <x:v>43</x:v>
      </x:c>
      <x:c r="D1015" s="10" t="str">
        <x:v>M2 / M4</x:v>
      </x:c>
      <x:c r="E1015" s="16" t="n">
        <x:v>2</x:v>
      </x:c>
      <x:c r="F1015" s="14" t="n">
        <x:v>10</x:v>
      </x:c>
      <x:c r="G1015" s="26" t="n">
        <x:f>'成本明细'!U154+'成本明细'!G154*(E1015-'参数'!$B$6)</x:f>
        <x:v>2907.369833321667</x:v>
      </x:c>
      <x:c r="H1015" s="26" t="n">
        <x:f>'成本明细'!U160</x:f>
        <x:v>4061.232175223333</x:v>
      </x:c>
      <x:c r="I1015" s="26" t="n">
        <x:f>'成本明细'!V160</x:f>
        <x:v>8285.5</x:v>
      </x:c>
      <x:c r="J1015" s="22" t="n">
        <x:f>'参数'!$B$9</x:f>
        <x:v>300</x:v>
      </x:c>
      <x:c r="K1015" s="26" t="n">
        <x:f>J1015*(G1015-H1015)-I1015*ROUNDUP(J1015/F1015,0)</x:f>
        <x:v>-594723.7025704997</x:v>
      </x:c>
      <x:c r="L1015" s="10" t="str">
        <x:f>IF(G1015-H1015&lt;=0,"未回本",IF(ROUNDUP(I1015/(G1015-H1015),0)&gt;MIN(F1015,J1015),"未回本",MAX(1,ROUNDUP(I1015/(G1015-H1015),0))))</x:f>
        <x:v>未回本</x:v>
      </x:c>
    </x:row>
    <x:row r="1016" ht="22" customHeight="1">
      <x:c r="A1016" s="11" t="str">
        <x:v>lade_0825_30aoi</x:v>
      </x:c>
      <x:c r="B1016" s="10" t="n">
        <x:v>30</x:v>
      </x:c>
      <x:c r="C1016" s="10" t="n">
        <x:v>43</x:v>
      </x:c>
      <x:c r="D1016" s="10" t="str">
        <x:v>M1 / M3</x:v>
      </x:c>
      <x:c r="E1016" s="16" t="n">
        <x:v>2</x:v>
      </x:c>
      <x:c r="F1016" s="14" t="n">
        <x:v>20</x:v>
      </x:c>
      <x:c r="G1016" s="26" t="n">
        <x:f>'成本明细'!U151+'成本明细'!G151*(E1016-'参数'!$B$6)</x:f>
        <x:v>2751.0335811511113</x:v>
      </x:c>
      <x:c r="H1016" s="26" t="n">
        <x:f>'成本明细'!U157</x:f>
        <x:v>4048.9650148822216</x:v>
      </x:c>
      <x:c r="I1016" s="26" t="n">
        <x:f>'成本明细'!V157</x:f>
        <x:v>8285.5</x:v>
      </x:c>
      <x:c r="J1016" s="22" t="n">
        <x:f>'参数'!$B$9</x:f>
        <x:v>300</x:v>
      </x:c>
      <x:c r="K1016" s="26" t="n">
        <x:f>J1016*(G1016-H1016)-I1016*ROUNDUP(J1016/F1016,0)</x:f>
        <x:v>-513661.9301193331</x:v>
      </x:c>
      <x:c r="L1016" s="10" t="str">
        <x:f>IF(G1016-H1016&lt;=0,"未回本",IF(ROUNDUP(I1016/(G1016-H1016),0)&gt;MIN(F1016,J1016),"未回本",MAX(1,ROUNDUP(I1016/(G1016-H1016),0))))</x:f>
        <x:v>未回本</x:v>
      </x:c>
    </x:row>
    <x:row r="1017" ht="22" customHeight="1">
      <x:c r="A1017" s="11" t="str">
        <x:v>lade_0825_30aoi</x:v>
      </x:c>
      <x:c r="B1017" s="10" t="n">
        <x:v>30</x:v>
      </x:c>
      <x:c r="C1017" s="10" t="n">
        <x:v>43</x:v>
      </x:c>
      <x:c r="D1017" s="10" t="str">
        <x:v>M2 / M4</x:v>
      </x:c>
      <x:c r="E1017" s="16" t="n">
        <x:v>2</x:v>
      </x:c>
      <x:c r="F1017" s="14" t="n">
        <x:v>20</x:v>
      </x:c>
      <x:c r="G1017" s="26" t="n">
        <x:f>'成本明细'!U154+'成本明细'!G154*(E1017-'参数'!$B$6)</x:f>
        <x:v>2907.369833321667</x:v>
      </x:c>
      <x:c r="H1017" s="26" t="n">
        <x:f>'成本明细'!U160</x:f>
        <x:v>4061.232175223333</x:v>
      </x:c>
      <x:c r="I1017" s="26" t="n">
        <x:f>'成本明细'!V160</x:f>
        <x:v>8285.5</x:v>
      </x:c>
      <x:c r="J1017" s="22" t="n">
        <x:f>'参数'!$B$9</x:f>
        <x:v>300</x:v>
      </x:c>
      <x:c r="K1017" s="26" t="n">
        <x:f>J1017*(G1017-H1017)-I1017*ROUNDUP(J1017/F1017,0)</x:f>
        <x:v>-470441.20257049974</x:v>
      </x:c>
      <x:c r="L1017" s="10" t="str">
        <x:f>IF(G1017-H1017&lt;=0,"未回本",IF(ROUNDUP(I1017/(G1017-H1017),0)&gt;MIN(F1017,J1017),"未回本",MAX(1,ROUNDUP(I1017/(G1017-H1017),0))))</x:f>
        <x:v>未回本</x:v>
      </x:c>
    </x:row>
    <x:row r="1018" ht="22" customHeight="1">
      <x:c r="A1018" s="11" t="str">
        <x:v>lade_0825_30aoi</x:v>
      </x:c>
      <x:c r="B1018" s="10" t="n">
        <x:v>30</x:v>
      </x:c>
      <x:c r="C1018" s="10" t="n">
        <x:v>43</x:v>
      </x:c>
      <x:c r="D1018" s="10" t="str">
        <x:v>M1 / M3</x:v>
      </x:c>
      <x:c r="E1018" s="16" t="n">
        <x:v>2</x:v>
      </x:c>
      <x:c r="F1018" s="14" t="n">
        <x:v>30</x:v>
      </x:c>
      <x:c r="G1018" s="26" t="n">
        <x:f>'成本明细'!U151+'成本明细'!G151*(E1018-'参数'!$B$6)</x:f>
        <x:v>2751.0335811511113</x:v>
      </x:c>
      <x:c r="H1018" s="26" t="n">
        <x:f>'成本明细'!U157</x:f>
        <x:v>4048.9650148822216</x:v>
      </x:c>
      <x:c r="I1018" s="26" t="n">
        <x:f>'成本明细'!V157</x:f>
        <x:v>8285.5</x:v>
      </x:c>
      <x:c r="J1018" s="22" t="n">
        <x:f>'参数'!$B$9</x:f>
        <x:v>300</x:v>
      </x:c>
      <x:c r="K1018" s="26" t="n">
        <x:f>J1018*(G1018-H1018)-I1018*ROUNDUP(J1018/F1018,0)</x:f>
        <x:v>-472234.4301193331</x:v>
      </x:c>
      <x:c r="L1018" s="10" t="str">
        <x:f>IF(G1018-H1018&lt;=0,"未回本",IF(ROUNDUP(I1018/(G1018-H1018),0)&gt;MIN(F1018,J1018),"未回本",MAX(1,ROUNDUP(I1018/(G1018-H1018),0))))</x:f>
        <x:v>未回本</x:v>
      </x:c>
    </x:row>
    <x:row r="1019" ht="22" customHeight="1">
      <x:c r="A1019" s="11" t="str">
        <x:v>lade_0825_30aoi</x:v>
      </x:c>
      <x:c r="B1019" s="10" t="n">
        <x:v>30</x:v>
      </x:c>
      <x:c r="C1019" s="10" t="n">
        <x:v>43</x:v>
      </x:c>
      <x:c r="D1019" s="10" t="str">
        <x:v>M2 / M4</x:v>
      </x:c>
      <x:c r="E1019" s="16" t="n">
        <x:v>2</x:v>
      </x:c>
      <x:c r="F1019" s="14" t="n">
        <x:v>30</x:v>
      </x:c>
      <x:c r="G1019" s="26" t="n">
        <x:f>'成本明细'!U154+'成本明细'!G154*(E1019-'参数'!$B$6)</x:f>
        <x:v>2907.369833321667</x:v>
      </x:c>
      <x:c r="H1019" s="26" t="n">
        <x:f>'成本明细'!U160</x:f>
        <x:v>4061.232175223333</x:v>
      </x:c>
      <x:c r="I1019" s="26" t="n">
        <x:f>'成本明细'!V160</x:f>
        <x:v>8285.5</x:v>
      </x:c>
      <x:c r="J1019" s="22" t="n">
        <x:f>'参数'!$B$9</x:f>
        <x:v>300</x:v>
      </x:c>
      <x:c r="K1019" s="26" t="n">
        <x:f>J1019*(G1019-H1019)-I1019*ROUNDUP(J1019/F1019,0)</x:f>
        <x:v>-429013.70257049974</x:v>
      </x:c>
      <x:c r="L1019" s="10" t="str">
        <x:f>IF(G1019-H1019&lt;=0,"未回本",IF(ROUNDUP(I1019/(G1019-H1019),0)&gt;MIN(F1019,J1019),"未回本",MAX(1,ROUNDUP(I1019/(G1019-H1019),0))))</x:f>
        <x:v>未回本</x:v>
      </x:c>
    </x:row>
    <x:row r="1020" ht="22" customHeight="1">
      <x:c r="A1020" s="11" t="str">
        <x:v>lade_0825_30aoi</x:v>
      </x:c>
      <x:c r="B1020" s="10" t="n">
        <x:v>30</x:v>
      </x:c>
      <x:c r="C1020" s="10" t="n">
        <x:v>43</x:v>
      </x:c>
      <x:c r="D1020" s="10" t="str">
        <x:v>M1 / M3</x:v>
      </x:c>
      <x:c r="E1020" s="16" t="n">
        <x:v>2</x:v>
      </x:c>
      <x:c r="F1020" s="14" t="n">
        <x:v>50</x:v>
      </x:c>
      <x:c r="G1020" s="26" t="n">
        <x:f>'成本明细'!U151+'成本明细'!G151*(E1020-'参数'!$B$6)</x:f>
        <x:v>2751.0335811511113</x:v>
      </x:c>
      <x:c r="H1020" s="26" t="n">
        <x:f>'成本明细'!U157</x:f>
        <x:v>4048.9650148822216</x:v>
      </x:c>
      <x:c r="I1020" s="26" t="n">
        <x:f>'成本明细'!V157</x:f>
        <x:v>8285.5</x:v>
      </x:c>
      <x:c r="J1020" s="22" t="n">
        <x:f>'参数'!$B$9</x:f>
        <x:v>300</x:v>
      </x:c>
      <x:c r="K1020" s="26" t="n">
        <x:f>J1020*(G1020-H1020)-I1020*ROUNDUP(J1020/F1020,0)</x:f>
        <x:v>-439092.4301193331</x:v>
      </x:c>
      <x:c r="L1020" s="10" t="str">
        <x:f>IF(G1020-H1020&lt;=0,"未回本",IF(ROUNDUP(I1020/(G1020-H1020),0)&gt;MIN(F1020,J1020),"未回本",MAX(1,ROUNDUP(I1020/(G1020-H1020),0))))</x:f>
        <x:v>未回本</x:v>
      </x:c>
    </x:row>
    <x:row r="1021" ht="22" customHeight="1">
      <x:c r="A1021" s="11" t="str">
        <x:v>lade_0825_30aoi</x:v>
      </x:c>
      <x:c r="B1021" s="10" t="n">
        <x:v>30</x:v>
      </x:c>
      <x:c r="C1021" s="10" t="n">
        <x:v>43</x:v>
      </x:c>
      <x:c r="D1021" s="10" t="str">
        <x:v>M2 / M4</x:v>
      </x:c>
      <x:c r="E1021" s="16" t="n">
        <x:v>2</x:v>
      </x:c>
      <x:c r="F1021" s="14" t="n">
        <x:v>50</x:v>
      </x:c>
      <x:c r="G1021" s="26" t="n">
        <x:f>'成本明细'!U154+'成本明细'!G154*(E1021-'参数'!$B$6)</x:f>
        <x:v>2907.369833321667</x:v>
      </x:c>
      <x:c r="H1021" s="26" t="n">
        <x:f>'成本明细'!U160</x:f>
        <x:v>4061.232175223333</x:v>
      </x:c>
      <x:c r="I1021" s="26" t="n">
        <x:f>'成本明细'!V160</x:f>
        <x:v>8285.5</x:v>
      </x:c>
      <x:c r="J1021" s="22" t="n">
        <x:f>'参数'!$B$9</x:f>
        <x:v>300</x:v>
      </x:c>
      <x:c r="K1021" s="26" t="n">
        <x:f>J1021*(G1021-H1021)-I1021*ROUNDUP(J1021/F1021,0)</x:f>
        <x:v>-395871.70257049974</x:v>
      </x:c>
      <x:c r="L1021" s="10" t="str">
        <x:f>IF(G1021-H1021&lt;=0,"未回本",IF(ROUNDUP(I1021/(G1021-H1021),0)&gt;MIN(F1021,J1021),"未回本",MAX(1,ROUNDUP(I1021/(G1021-H1021),0))))</x:f>
        <x:v>未回本</x:v>
      </x:c>
    </x:row>
    <x:row r="1022" ht="22" customHeight="1">
      <x:c r="A1022" s="11" t="str">
        <x:v>lade_0825_30aoi</x:v>
      </x:c>
      <x:c r="B1022" s="10" t="n">
        <x:v>30</x:v>
      </x:c>
      <x:c r="C1022" s="10" t="n">
        <x:v>43</x:v>
      </x:c>
      <x:c r="D1022" s="10" t="str">
        <x:v>M1 / M3</x:v>
      </x:c>
      <x:c r="E1022" s="16" t="n">
        <x:v>3</x:v>
      </x:c>
      <x:c r="F1022" s="14" t="n">
        <x:v>10</x:v>
      </x:c>
      <x:c r="G1022" s="26" t="n">
        <x:f>'成本明细'!U151+'成本明细'!G151*(E1022-'参数'!$B$6)</x:f>
        <x:v>2978.0335811511113</x:v>
      </x:c>
      <x:c r="H1022" s="26" t="n">
        <x:f>'成本明细'!U157</x:f>
        <x:v>4048.9650148822216</x:v>
      </x:c>
      <x:c r="I1022" s="26" t="n">
        <x:f>'成本明细'!V157</x:f>
        <x:v>8285.5</x:v>
      </x:c>
      <x:c r="J1022" s="22" t="n">
        <x:f>'参数'!$B$9</x:f>
        <x:v>300</x:v>
      </x:c>
      <x:c r="K1022" s="26" t="n">
        <x:f>J1022*(G1022-H1022)-I1022*ROUNDUP(J1022/F1022,0)</x:f>
        <x:v>-569844.4301193331</x:v>
      </x:c>
      <x:c r="L1022" s="10" t="str">
        <x:f>IF(G1022-H1022&lt;=0,"未回本",IF(ROUNDUP(I1022/(G1022-H1022),0)&gt;MIN(F1022,J1022),"未回本",MAX(1,ROUNDUP(I1022/(G1022-H1022),0))))</x:f>
        <x:v>未回本</x:v>
      </x:c>
    </x:row>
    <x:row r="1023" ht="22" customHeight="1">
      <x:c r="A1023" s="11" t="str">
        <x:v>lade_0825_30aoi</x:v>
      </x:c>
      <x:c r="B1023" s="10" t="n">
        <x:v>30</x:v>
      </x:c>
      <x:c r="C1023" s="10" t="n">
        <x:v>43</x:v>
      </x:c>
      <x:c r="D1023" s="10" t="str">
        <x:v>M2 / M4</x:v>
      </x:c>
      <x:c r="E1023" s="16" t="n">
        <x:v>3</x:v>
      </x:c>
      <x:c r="F1023" s="14" t="n">
        <x:v>10</x:v>
      </x:c>
      <x:c r="G1023" s="26" t="n">
        <x:f>'成本明细'!U154+'成本明细'!G154*(E1023-'参数'!$B$6)</x:f>
        <x:v>3134.369833321667</x:v>
      </x:c>
      <x:c r="H1023" s="26" t="n">
        <x:f>'成本明细'!U160</x:f>
        <x:v>4061.232175223333</x:v>
      </x:c>
      <x:c r="I1023" s="26" t="n">
        <x:f>'成本明细'!V160</x:f>
        <x:v>8285.5</x:v>
      </x:c>
      <x:c r="J1023" s="22" t="n">
        <x:f>'参数'!$B$9</x:f>
        <x:v>300</x:v>
      </x:c>
      <x:c r="K1023" s="26" t="n">
        <x:f>J1023*(G1023-H1023)-I1023*ROUNDUP(J1023/F1023,0)</x:f>
        <x:v>-526623.7025704997</x:v>
      </x:c>
      <x:c r="L1023" s="10" t="str">
        <x:f>IF(G1023-H1023&lt;=0,"未回本",IF(ROUNDUP(I1023/(G1023-H1023),0)&gt;MIN(F1023,J1023),"未回本",MAX(1,ROUNDUP(I1023/(G1023-H1023),0))))</x:f>
        <x:v>未回本</x:v>
      </x:c>
    </x:row>
    <x:row r="1024" ht="22" customHeight="1">
      <x:c r="A1024" s="11" t="str">
        <x:v>lade_0825_30aoi</x:v>
      </x:c>
      <x:c r="B1024" s="10" t="n">
        <x:v>30</x:v>
      </x:c>
      <x:c r="C1024" s="10" t="n">
        <x:v>43</x:v>
      </x:c>
      <x:c r="D1024" s="10" t="str">
        <x:v>M1 / M3</x:v>
      </x:c>
      <x:c r="E1024" s="16" t="n">
        <x:v>3</x:v>
      </x:c>
      <x:c r="F1024" s="14" t="n">
        <x:v>20</x:v>
      </x:c>
      <x:c r="G1024" s="26" t="n">
        <x:f>'成本明细'!U151+'成本明细'!G151*(E1024-'参数'!$B$6)</x:f>
        <x:v>2978.0335811511113</x:v>
      </x:c>
      <x:c r="H1024" s="26" t="n">
        <x:f>'成本明细'!U157</x:f>
        <x:v>4048.9650148822216</x:v>
      </x:c>
      <x:c r="I1024" s="26" t="n">
        <x:f>'成本明细'!V157</x:f>
        <x:v>8285.5</x:v>
      </x:c>
      <x:c r="J1024" s="22" t="n">
        <x:f>'参数'!$B$9</x:f>
        <x:v>300</x:v>
      </x:c>
      <x:c r="K1024" s="26" t="n">
        <x:f>J1024*(G1024-H1024)-I1024*ROUNDUP(J1024/F1024,0)</x:f>
        <x:v>-445561.9301193331</x:v>
      </x:c>
      <x:c r="L1024" s="10" t="str">
        <x:f>IF(G1024-H1024&lt;=0,"未回本",IF(ROUNDUP(I1024/(G1024-H1024),0)&gt;MIN(F1024,J1024),"未回本",MAX(1,ROUNDUP(I1024/(G1024-H1024),0))))</x:f>
        <x:v>未回本</x:v>
      </x:c>
    </x:row>
    <x:row r="1025" ht="22" customHeight="1">
      <x:c r="A1025" s="11" t="str">
        <x:v>lade_0825_30aoi</x:v>
      </x:c>
      <x:c r="B1025" s="10" t="n">
        <x:v>30</x:v>
      </x:c>
      <x:c r="C1025" s="10" t="n">
        <x:v>43</x:v>
      </x:c>
      <x:c r="D1025" s="10" t="str">
        <x:v>M2 / M4</x:v>
      </x:c>
      <x:c r="E1025" s="16" t="n">
        <x:v>3</x:v>
      </x:c>
      <x:c r="F1025" s="14" t="n">
        <x:v>20</x:v>
      </x:c>
      <x:c r="G1025" s="26" t="n">
        <x:f>'成本明细'!U154+'成本明细'!G154*(E1025-'参数'!$B$6)</x:f>
        <x:v>3134.369833321667</x:v>
      </x:c>
      <x:c r="H1025" s="26" t="n">
        <x:f>'成本明细'!U160</x:f>
        <x:v>4061.232175223333</x:v>
      </x:c>
      <x:c r="I1025" s="26" t="n">
        <x:f>'成本明细'!V160</x:f>
        <x:v>8285.5</x:v>
      </x:c>
      <x:c r="J1025" s="22" t="n">
        <x:f>'参数'!$B$9</x:f>
        <x:v>300</x:v>
      </x:c>
      <x:c r="K1025" s="26" t="n">
        <x:f>J1025*(G1025-H1025)-I1025*ROUNDUP(J1025/F1025,0)</x:f>
        <x:v>-402341.20257049974</x:v>
      </x:c>
      <x:c r="L1025" s="10" t="str">
        <x:f>IF(G1025-H1025&lt;=0,"未回本",IF(ROUNDUP(I1025/(G1025-H1025),0)&gt;MIN(F1025,J1025),"未回本",MAX(1,ROUNDUP(I1025/(G1025-H1025),0))))</x:f>
        <x:v>未回本</x:v>
      </x:c>
    </x:row>
    <x:row r="1026" ht="22" customHeight="1">
      <x:c r="A1026" s="11" t="str">
        <x:v>lade_0825_30aoi</x:v>
      </x:c>
      <x:c r="B1026" s="10" t="n">
        <x:v>30</x:v>
      </x:c>
      <x:c r="C1026" s="10" t="n">
        <x:v>43</x:v>
      </x:c>
      <x:c r="D1026" s="10" t="str">
        <x:v>M1 / M3</x:v>
      </x:c>
      <x:c r="E1026" s="16" t="n">
        <x:v>3</x:v>
      </x:c>
      <x:c r="F1026" s="14" t="n">
        <x:v>30</x:v>
      </x:c>
      <x:c r="G1026" s="26" t="n">
        <x:f>'成本明细'!U151+'成本明细'!G151*(E1026-'参数'!$B$6)</x:f>
        <x:v>2978.0335811511113</x:v>
      </x:c>
      <x:c r="H1026" s="26" t="n">
        <x:f>'成本明细'!U157</x:f>
        <x:v>4048.9650148822216</x:v>
      </x:c>
      <x:c r="I1026" s="26" t="n">
        <x:f>'成本明细'!V157</x:f>
        <x:v>8285.5</x:v>
      </x:c>
      <x:c r="J1026" s="22" t="n">
        <x:f>'参数'!$B$9</x:f>
        <x:v>300</x:v>
      </x:c>
      <x:c r="K1026" s="26" t="n">
        <x:f>J1026*(G1026-H1026)-I1026*ROUNDUP(J1026/F1026,0)</x:f>
        <x:v>-404134.4301193331</x:v>
      </x:c>
      <x:c r="L1026" s="10" t="str">
        <x:f>IF(G1026-H1026&lt;=0,"未回本",IF(ROUNDUP(I1026/(G1026-H1026),0)&gt;MIN(F1026,J1026),"未回本",MAX(1,ROUNDUP(I1026/(G1026-H1026),0))))</x:f>
        <x:v>未回本</x:v>
      </x:c>
    </x:row>
    <x:row r="1027" ht="22" customHeight="1">
      <x:c r="A1027" s="11" t="str">
        <x:v>lade_0825_30aoi</x:v>
      </x:c>
      <x:c r="B1027" s="10" t="n">
        <x:v>30</x:v>
      </x:c>
      <x:c r="C1027" s="10" t="n">
        <x:v>43</x:v>
      </x:c>
      <x:c r="D1027" s="10" t="str">
        <x:v>M2 / M4</x:v>
      </x:c>
      <x:c r="E1027" s="16" t="n">
        <x:v>3</x:v>
      </x:c>
      <x:c r="F1027" s="14" t="n">
        <x:v>30</x:v>
      </x:c>
      <x:c r="G1027" s="26" t="n">
        <x:f>'成本明细'!U154+'成本明细'!G154*(E1027-'参数'!$B$6)</x:f>
        <x:v>3134.369833321667</x:v>
      </x:c>
      <x:c r="H1027" s="26" t="n">
        <x:f>'成本明细'!U160</x:f>
        <x:v>4061.232175223333</x:v>
      </x:c>
      <x:c r="I1027" s="26" t="n">
        <x:f>'成本明细'!V160</x:f>
        <x:v>8285.5</x:v>
      </x:c>
      <x:c r="J1027" s="22" t="n">
        <x:f>'参数'!$B$9</x:f>
        <x:v>300</x:v>
      </x:c>
      <x:c r="K1027" s="26" t="n">
        <x:f>J1027*(G1027-H1027)-I1027*ROUNDUP(J1027/F1027,0)</x:f>
        <x:v>-360913.70257049974</x:v>
      </x:c>
      <x:c r="L1027" s="10" t="str">
        <x:f>IF(G1027-H1027&lt;=0,"未回本",IF(ROUNDUP(I1027/(G1027-H1027),0)&gt;MIN(F1027,J1027),"未回本",MAX(1,ROUNDUP(I1027/(G1027-H1027),0))))</x:f>
        <x:v>未回本</x:v>
      </x:c>
    </x:row>
    <x:row r="1028" ht="22" customHeight="1">
      <x:c r="A1028" s="11" t="str">
        <x:v>lade_0825_30aoi</x:v>
      </x:c>
      <x:c r="B1028" s="10" t="n">
        <x:v>30</x:v>
      </x:c>
      <x:c r="C1028" s="10" t="n">
        <x:v>43</x:v>
      </x:c>
      <x:c r="D1028" s="10" t="str">
        <x:v>M1 / M3</x:v>
      </x:c>
      <x:c r="E1028" s="16" t="n">
        <x:v>3</x:v>
      </x:c>
      <x:c r="F1028" s="14" t="n">
        <x:v>50</x:v>
      </x:c>
      <x:c r="G1028" s="26" t="n">
        <x:f>'成本明细'!U151+'成本明细'!G151*(E1028-'参数'!$B$6)</x:f>
        <x:v>2978.0335811511113</x:v>
      </x:c>
      <x:c r="H1028" s="26" t="n">
        <x:f>'成本明细'!U157</x:f>
        <x:v>4048.9650148822216</x:v>
      </x:c>
      <x:c r="I1028" s="26" t="n">
        <x:f>'成本明细'!V157</x:f>
        <x:v>8285.5</x:v>
      </x:c>
      <x:c r="J1028" s="22" t="n">
        <x:f>'参数'!$B$9</x:f>
        <x:v>300</x:v>
      </x:c>
      <x:c r="K1028" s="26" t="n">
        <x:f>J1028*(G1028-H1028)-I1028*ROUNDUP(J1028/F1028,0)</x:f>
        <x:v>-370992.4301193331</x:v>
      </x:c>
      <x:c r="L1028" s="10" t="str">
        <x:f>IF(G1028-H1028&lt;=0,"未回本",IF(ROUNDUP(I1028/(G1028-H1028),0)&gt;MIN(F1028,J1028),"未回本",MAX(1,ROUNDUP(I1028/(G1028-H1028),0))))</x:f>
        <x:v>未回本</x:v>
      </x:c>
    </x:row>
    <x:row r="1029" ht="22" customHeight="1">
      <x:c r="A1029" s="11" t="str">
        <x:v>lade_0825_30aoi</x:v>
      </x:c>
      <x:c r="B1029" s="10" t="n">
        <x:v>30</x:v>
      </x:c>
      <x:c r="C1029" s="10" t="n">
        <x:v>43</x:v>
      </x:c>
      <x:c r="D1029" s="10" t="str">
        <x:v>M2 / M4</x:v>
      </x:c>
      <x:c r="E1029" s="16" t="n">
        <x:v>3</x:v>
      </x:c>
      <x:c r="F1029" s="14" t="n">
        <x:v>50</x:v>
      </x:c>
      <x:c r="G1029" s="26" t="n">
        <x:f>'成本明细'!U154+'成本明细'!G154*(E1029-'参数'!$B$6)</x:f>
        <x:v>3134.369833321667</x:v>
      </x:c>
      <x:c r="H1029" s="26" t="n">
        <x:f>'成本明细'!U160</x:f>
        <x:v>4061.232175223333</x:v>
      </x:c>
      <x:c r="I1029" s="26" t="n">
        <x:f>'成本明细'!V160</x:f>
        <x:v>8285.5</x:v>
      </x:c>
      <x:c r="J1029" s="22" t="n">
        <x:f>'参数'!$B$9</x:f>
        <x:v>300</x:v>
      </x:c>
      <x:c r="K1029" s="26" t="n">
        <x:f>J1029*(G1029-H1029)-I1029*ROUNDUP(J1029/F1029,0)</x:f>
        <x:v>-327771.70257049974</x:v>
      </x:c>
      <x:c r="L1029" s="10" t="str">
        <x:f>IF(G1029-H1029&lt;=0,"未回本",IF(ROUNDUP(I1029/(G1029-H1029),0)&gt;MIN(F1029,J1029),"未回本",MAX(1,ROUNDUP(I1029/(G1029-H1029),0))))</x:f>
        <x:v>未回本</x:v>
      </x:c>
    </x:row>
    <x:row r="1030" ht="22" customHeight="1">
      <x:c r="A1030" s="11" t="str">
        <x:v>lade_0825_30aoi</x:v>
      </x:c>
      <x:c r="B1030" s="10" t="n">
        <x:v>30</x:v>
      </x:c>
      <x:c r="C1030" s="10" t="n">
        <x:v>43</x:v>
      </x:c>
      <x:c r="D1030" s="10" t="str">
        <x:v>M1 / M3</x:v>
      </x:c>
      <x:c r="E1030" s="16" t="n">
        <x:v>4</x:v>
      </x:c>
      <x:c r="F1030" s="14" t="n">
        <x:v>10</x:v>
      </x:c>
      <x:c r="G1030" s="26" t="n">
        <x:f>'成本明细'!U151+'成本明细'!G151*(E1030-'参数'!$B$6)</x:f>
        <x:v>3205.0335811511113</x:v>
      </x:c>
      <x:c r="H1030" s="26" t="n">
        <x:f>'成本明细'!U157</x:f>
        <x:v>4048.9650148822216</x:v>
      </x:c>
      <x:c r="I1030" s="26" t="n">
        <x:f>'成本明细'!V157</x:f>
        <x:v>8285.5</x:v>
      </x:c>
      <x:c r="J1030" s="22" t="n">
        <x:f>'参数'!$B$9</x:f>
        <x:v>300</x:v>
      </x:c>
      <x:c r="K1030" s="26" t="n">
        <x:f>J1030*(G1030-H1030)-I1030*ROUNDUP(J1030/F1030,0)</x:f>
        <x:v>-501744.4301193331</x:v>
      </x:c>
      <x:c r="L1030" s="10" t="str">
        <x:f>IF(G1030-H1030&lt;=0,"未回本",IF(ROUNDUP(I1030/(G1030-H1030),0)&gt;MIN(F1030,J1030),"未回本",MAX(1,ROUNDUP(I1030/(G1030-H1030),0))))</x:f>
        <x:v>未回本</x:v>
      </x:c>
    </x:row>
    <x:row r="1031" ht="22" customHeight="1">
      <x:c r="A1031" s="11" t="str">
        <x:v>lade_0825_30aoi</x:v>
      </x:c>
      <x:c r="B1031" s="10" t="n">
        <x:v>30</x:v>
      </x:c>
      <x:c r="C1031" s="10" t="n">
        <x:v>43</x:v>
      </x:c>
      <x:c r="D1031" s="10" t="str">
        <x:v>M2 / M4</x:v>
      </x:c>
      <x:c r="E1031" s="16" t="n">
        <x:v>4</x:v>
      </x:c>
      <x:c r="F1031" s="14" t="n">
        <x:v>10</x:v>
      </x:c>
      <x:c r="G1031" s="26" t="n">
        <x:f>'成本明细'!U154+'成本明细'!G154*(E1031-'参数'!$B$6)</x:f>
        <x:v>3361.369833321667</x:v>
      </x:c>
      <x:c r="H1031" s="26" t="n">
        <x:f>'成本明细'!U160</x:f>
        <x:v>4061.232175223333</x:v>
      </x:c>
      <x:c r="I1031" s="26" t="n">
        <x:f>'成本明细'!V160</x:f>
        <x:v>8285.5</x:v>
      </x:c>
      <x:c r="J1031" s="22" t="n">
        <x:f>'参数'!$B$9</x:f>
        <x:v>300</x:v>
      </x:c>
      <x:c r="K1031" s="26" t="n">
        <x:f>J1031*(G1031-H1031)-I1031*ROUNDUP(J1031/F1031,0)</x:f>
        <x:v>-458523.70257049974</x:v>
      </x:c>
      <x:c r="L1031" s="10" t="str">
        <x:f>IF(G1031-H1031&lt;=0,"未回本",IF(ROUNDUP(I1031/(G1031-H1031),0)&gt;MIN(F1031,J1031),"未回本",MAX(1,ROUNDUP(I1031/(G1031-H1031),0))))</x:f>
        <x:v>未回本</x:v>
      </x:c>
    </x:row>
    <x:row r="1032" ht="22" customHeight="1">
      <x:c r="A1032" s="11" t="str">
        <x:v>lade_0825_30aoi</x:v>
      </x:c>
      <x:c r="B1032" s="10" t="n">
        <x:v>30</x:v>
      </x:c>
      <x:c r="C1032" s="10" t="n">
        <x:v>43</x:v>
      </x:c>
      <x:c r="D1032" s="10" t="str">
        <x:v>M1 / M3</x:v>
      </x:c>
      <x:c r="E1032" s="16" t="n">
        <x:v>4</x:v>
      </x:c>
      <x:c r="F1032" s="14" t="n">
        <x:v>20</x:v>
      </x:c>
      <x:c r="G1032" s="26" t="n">
        <x:f>'成本明细'!U151+'成本明细'!G151*(E1032-'参数'!$B$6)</x:f>
        <x:v>3205.0335811511113</x:v>
      </x:c>
      <x:c r="H1032" s="26" t="n">
        <x:f>'成本明细'!U157</x:f>
        <x:v>4048.9650148822216</x:v>
      </x:c>
      <x:c r="I1032" s="26" t="n">
        <x:f>'成本明细'!V157</x:f>
        <x:v>8285.5</x:v>
      </x:c>
      <x:c r="J1032" s="22" t="n">
        <x:f>'参数'!$B$9</x:f>
        <x:v>300</x:v>
      </x:c>
      <x:c r="K1032" s="26" t="n">
        <x:f>J1032*(G1032-H1032)-I1032*ROUNDUP(J1032/F1032,0)</x:f>
        <x:v>-377461.9301193331</x:v>
      </x:c>
      <x:c r="L1032" s="10" t="str">
        <x:f>IF(G1032-H1032&lt;=0,"未回本",IF(ROUNDUP(I1032/(G1032-H1032),0)&gt;MIN(F1032,J1032),"未回本",MAX(1,ROUNDUP(I1032/(G1032-H1032),0))))</x:f>
        <x:v>未回本</x:v>
      </x:c>
    </x:row>
    <x:row r="1033" ht="22" customHeight="1">
      <x:c r="A1033" s="11" t="str">
        <x:v>lade_0825_30aoi</x:v>
      </x:c>
      <x:c r="B1033" s="10" t="n">
        <x:v>30</x:v>
      </x:c>
      <x:c r="C1033" s="10" t="n">
        <x:v>43</x:v>
      </x:c>
      <x:c r="D1033" s="10" t="str">
        <x:v>M2 / M4</x:v>
      </x:c>
      <x:c r="E1033" s="16" t="n">
        <x:v>4</x:v>
      </x:c>
      <x:c r="F1033" s="14" t="n">
        <x:v>20</x:v>
      </x:c>
      <x:c r="G1033" s="26" t="n">
        <x:f>'成本明细'!U154+'成本明细'!G154*(E1033-'参数'!$B$6)</x:f>
        <x:v>3361.369833321667</x:v>
      </x:c>
      <x:c r="H1033" s="26" t="n">
        <x:f>'成本明细'!U160</x:f>
        <x:v>4061.232175223333</x:v>
      </x:c>
      <x:c r="I1033" s="26" t="n">
        <x:f>'成本明细'!V160</x:f>
        <x:v>8285.5</x:v>
      </x:c>
      <x:c r="J1033" s="22" t="n">
        <x:f>'参数'!$B$9</x:f>
        <x:v>300</x:v>
      </x:c>
      <x:c r="K1033" s="26" t="n">
        <x:f>J1033*(G1033-H1033)-I1033*ROUNDUP(J1033/F1033,0)</x:f>
        <x:v>-334241.20257049974</x:v>
      </x:c>
      <x:c r="L1033" s="10" t="str">
        <x:f>IF(G1033-H1033&lt;=0,"未回本",IF(ROUNDUP(I1033/(G1033-H1033),0)&gt;MIN(F1033,J1033),"未回本",MAX(1,ROUNDUP(I1033/(G1033-H1033),0))))</x:f>
        <x:v>未回本</x:v>
      </x:c>
    </x:row>
    <x:row r="1034" ht="22" customHeight="1">
      <x:c r="A1034" s="11" t="str">
        <x:v>lade_0825_30aoi</x:v>
      </x:c>
      <x:c r="B1034" s="10" t="n">
        <x:v>30</x:v>
      </x:c>
      <x:c r="C1034" s="10" t="n">
        <x:v>43</x:v>
      </x:c>
      <x:c r="D1034" s="10" t="str">
        <x:v>M1 / M3</x:v>
      </x:c>
      <x:c r="E1034" s="16" t="n">
        <x:v>4</x:v>
      </x:c>
      <x:c r="F1034" s="14" t="n">
        <x:v>30</x:v>
      </x:c>
      <x:c r="G1034" s="26" t="n">
        <x:f>'成本明细'!U151+'成本明细'!G151*(E1034-'参数'!$B$6)</x:f>
        <x:v>3205.0335811511113</x:v>
      </x:c>
      <x:c r="H1034" s="26" t="n">
        <x:f>'成本明细'!U157</x:f>
        <x:v>4048.9650148822216</x:v>
      </x:c>
      <x:c r="I1034" s="26" t="n">
        <x:f>'成本明细'!V157</x:f>
        <x:v>8285.5</x:v>
      </x:c>
      <x:c r="J1034" s="22" t="n">
        <x:f>'参数'!$B$9</x:f>
        <x:v>300</x:v>
      </x:c>
      <x:c r="K1034" s="26" t="n">
        <x:f>J1034*(G1034-H1034)-I1034*ROUNDUP(J1034/F1034,0)</x:f>
        <x:v>-336034.4301193331</x:v>
      </x:c>
      <x:c r="L1034" s="10" t="str">
        <x:f>IF(G1034-H1034&lt;=0,"未回本",IF(ROUNDUP(I1034/(G1034-H1034),0)&gt;MIN(F1034,J1034),"未回本",MAX(1,ROUNDUP(I1034/(G1034-H1034),0))))</x:f>
        <x:v>未回本</x:v>
      </x:c>
    </x:row>
    <x:row r="1035" ht="22" customHeight="1">
      <x:c r="A1035" s="11" t="str">
        <x:v>lade_0825_30aoi</x:v>
      </x:c>
      <x:c r="B1035" s="10" t="n">
        <x:v>30</x:v>
      </x:c>
      <x:c r="C1035" s="10" t="n">
        <x:v>43</x:v>
      </x:c>
      <x:c r="D1035" s="10" t="str">
        <x:v>M2 / M4</x:v>
      </x:c>
      <x:c r="E1035" s="16" t="n">
        <x:v>4</x:v>
      </x:c>
      <x:c r="F1035" s="14" t="n">
        <x:v>30</x:v>
      </x:c>
      <x:c r="G1035" s="26" t="n">
        <x:f>'成本明细'!U154+'成本明细'!G154*(E1035-'参数'!$B$6)</x:f>
        <x:v>3361.369833321667</x:v>
      </x:c>
      <x:c r="H1035" s="26" t="n">
        <x:f>'成本明细'!U160</x:f>
        <x:v>4061.232175223333</x:v>
      </x:c>
      <x:c r="I1035" s="26" t="n">
        <x:f>'成本明细'!V160</x:f>
        <x:v>8285.5</x:v>
      </x:c>
      <x:c r="J1035" s="22" t="n">
        <x:f>'参数'!$B$9</x:f>
        <x:v>300</x:v>
      </x:c>
      <x:c r="K1035" s="26" t="n">
        <x:f>J1035*(G1035-H1035)-I1035*ROUNDUP(J1035/F1035,0)</x:f>
        <x:v>-292813.70257049974</x:v>
      </x:c>
      <x:c r="L1035" s="10" t="str">
        <x:f>IF(G1035-H1035&lt;=0,"未回本",IF(ROUNDUP(I1035/(G1035-H1035),0)&gt;MIN(F1035,J1035),"未回本",MAX(1,ROUNDUP(I1035/(G1035-H1035),0))))</x:f>
        <x:v>未回本</x:v>
      </x:c>
    </x:row>
    <x:row r="1036" ht="22" customHeight="1">
      <x:c r="A1036" s="11" t="str">
        <x:v>lade_0825_30aoi</x:v>
      </x:c>
      <x:c r="B1036" s="10" t="n">
        <x:v>30</x:v>
      </x:c>
      <x:c r="C1036" s="10" t="n">
        <x:v>43</x:v>
      </x:c>
      <x:c r="D1036" s="10" t="str">
        <x:v>M1 / M3</x:v>
      </x:c>
      <x:c r="E1036" s="16" t="n">
        <x:v>4</x:v>
      </x:c>
      <x:c r="F1036" s="14" t="n">
        <x:v>50</x:v>
      </x:c>
      <x:c r="G1036" s="26" t="n">
        <x:f>'成本明细'!U151+'成本明细'!G151*(E1036-'参数'!$B$6)</x:f>
        <x:v>3205.0335811511113</x:v>
      </x:c>
      <x:c r="H1036" s="26" t="n">
        <x:f>'成本明细'!U157</x:f>
        <x:v>4048.9650148822216</x:v>
      </x:c>
      <x:c r="I1036" s="26" t="n">
        <x:f>'成本明细'!V157</x:f>
        <x:v>8285.5</x:v>
      </x:c>
      <x:c r="J1036" s="22" t="n">
        <x:f>'参数'!$B$9</x:f>
        <x:v>300</x:v>
      </x:c>
      <x:c r="K1036" s="26" t="n">
        <x:f>J1036*(G1036-H1036)-I1036*ROUNDUP(J1036/F1036,0)</x:f>
        <x:v>-302892.4301193331</x:v>
      </x:c>
      <x:c r="L1036" s="10" t="str">
        <x:f>IF(G1036-H1036&lt;=0,"未回本",IF(ROUNDUP(I1036/(G1036-H1036),0)&gt;MIN(F1036,J1036),"未回本",MAX(1,ROUNDUP(I1036/(G1036-H1036),0))))</x:f>
        <x:v>未回本</x:v>
      </x:c>
    </x:row>
    <x:row r="1037" ht="22" customHeight="1">
      <x:c r="A1037" s="11" t="str">
        <x:v>lade_0825_30aoi</x:v>
      </x:c>
      <x:c r="B1037" s="10" t="n">
        <x:v>30</x:v>
      </x:c>
      <x:c r="C1037" s="10" t="n">
        <x:v>43</x:v>
      </x:c>
      <x:c r="D1037" s="10" t="str">
        <x:v>M2 / M4</x:v>
      </x:c>
      <x:c r="E1037" s="16" t="n">
        <x:v>4</x:v>
      </x:c>
      <x:c r="F1037" s="14" t="n">
        <x:v>50</x:v>
      </x:c>
      <x:c r="G1037" s="26" t="n">
        <x:f>'成本明细'!U154+'成本明细'!G154*(E1037-'参数'!$B$6)</x:f>
        <x:v>3361.369833321667</x:v>
      </x:c>
      <x:c r="H1037" s="26" t="n">
        <x:f>'成本明细'!U160</x:f>
        <x:v>4061.232175223333</x:v>
      </x:c>
      <x:c r="I1037" s="26" t="n">
        <x:f>'成本明细'!V160</x:f>
        <x:v>8285.5</x:v>
      </x:c>
      <x:c r="J1037" s="22" t="n">
        <x:f>'参数'!$B$9</x:f>
        <x:v>300</x:v>
      </x:c>
      <x:c r="K1037" s="26" t="n">
        <x:f>J1037*(G1037-H1037)-I1037*ROUNDUP(J1037/F1037,0)</x:f>
        <x:v>-259671.70257049974</x:v>
      </x:c>
      <x:c r="L1037" s="10" t="str">
        <x:f>IF(G1037-H1037&lt;=0,"未回本",IF(ROUNDUP(I1037/(G1037-H1037),0)&gt;MIN(F1037,J1037),"未回本",MAX(1,ROUNDUP(I1037/(G1037-H1037),0))))</x:f>
        <x:v>未回本</x:v>
      </x:c>
    </x:row>
    <x:row r="1038" ht="22" customHeight="1">
      <x:c r="A1038" s="11" t="str">
        <x:v>lade_0825_30aoi</x:v>
      </x:c>
      <x:c r="B1038" s="10" t="n">
        <x:v>30</x:v>
      </x:c>
      <x:c r="C1038" s="10" t="n">
        <x:v>43</x:v>
      </x:c>
      <x:c r="D1038" s="10" t="str">
        <x:v>M1 / M3</x:v>
      </x:c>
      <x:c r="E1038" s="16" t="n">
        <x:v>5</x:v>
      </x:c>
      <x:c r="F1038" s="14" t="n">
        <x:v>10</x:v>
      </x:c>
      <x:c r="G1038" s="26" t="n">
        <x:f>'成本明细'!U151+'成本明细'!G151*(E1038-'参数'!$B$6)</x:f>
        <x:v>3432.0335811511113</x:v>
      </x:c>
      <x:c r="H1038" s="26" t="n">
        <x:f>'成本明细'!U157</x:f>
        <x:v>4048.9650148822216</x:v>
      </x:c>
      <x:c r="I1038" s="26" t="n">
        <x:f>'成本明细'!V157</x:f>
        <x:v>8285.5</x:v>
      </x:c>
      <x:c r="J1038" s="22" t="n">
        <x:f>'参数'!$B$9</x:f>
        <x:v>300</x:v>
      </x:c>
      <x:c r="K1038" s="26" t="n">
        <x:f>J1038*(G1038-H1038)-I1038*ROUNDUP(J1038/F1038,0)</x:f>
        <x:v>-433644.4301193331</x:v>
      </x:c>
      <x:c r="L1038" s="10" t="str">
        <x:f>IF(G1038-H1038&lt;=0,"未回本",IF(ROUNDUP(I1038/(G1038-H1038),0)&gt;MIN(F1038,J1038),"未回本",MAX(1,ROUNDUP(I1038/(G1038-H1038),0))))</x:f>
        <x:v>未回本</x:v>
      </x:c>
    </x:row>
    <x:row r="1039" ht="22" customHeight="1">
      <x:c r="A1039" s="11" t="str">
        <x:v>lade_0825_30aoi</x:v>
      </x:c>
      <x:c r="B1039" s="10" t="n">
        <x:v>30</x:v>
      </x:c>
      <x:c r="C1039" s="10" t="n">
        <x:v>43</x:v>
      </x:c>
      <x:c r="D1039" s="10" t="str">
        <x:v>M2 / M4</x:v>
      </x:c>
      <x:c r="E1039" s="16" t="n">
        <x:v>5</x:v>
      </x:c>
      <x:c r="F1039" s="14" t="n">
        <x:v>10</x:v>
      </x:c>
      <x:c r="G1039" s="26" t="n">
        <x:f>'成本明细'!U154+'成本明细'!G154*(E1039-'参数'!$B$6)</x:f>
        <x:v>3588.369833321667</x:v>
      </x:c>
      <x:c r="H1039" s="26" t="n">
        <x:f>'成本明细'!U160</x:f>
        <x:v>4061.232175223333</x:v>
      </x:c>
      <x:c r="I1039" s="26" t="n">
        <x:f>'成本明细'!V160</x:f>
        <x:v>8285.5</x:v>
      </x:c>
      <x:c r="J1039" s="22" t="n">
        <x:f>'参数'!$B$9</x:f>
        <x:v>300</x:v>
      </x:c>
      <x:c r="K1039" s="26" t="n">
        <x:f>J1039*(G1039-H1039)-I1039*ROUNDUP(J1039/F1039,0)</x:f>
        <x:v>-390423.70257049974</x:v>
      </x:c>
      <x:c r="L1039" s="10" t="str">
        <x:f>IF(G1039-H1039&lt;=0,"未回本",IF(ROUNDUP(I1039/(G1039-H1039),0)&gt;MIN(F1039,J1039),"未回本",MAX(1,ROUNDUP(I1039/(G1039-H1039),0))))</x:f>
        <x:v>未回本</x:v>
      </x:c>
    </x:row>
    <x:row r="1040" ht="22" customHeight="1">
      <x:c r="A1040" s="11" t="str">
        <x:v>lade_0825_30aoi</x:v>
      </x:c>
      <x:c r="B1040" s="10" t="n">
        <x:v>30</x:v>
      </x:c>
      <x:c r="C1040" s="10" t="n">
        <x:v>43</x:v>
      </x:c>
      <x:c r="D1040" s="10" t="str">
        <x:v>M1 / M3</x:v>
      </x:c>
      <x:c r="E1040" s="16" t="n">
        <x:v>5</x:v>
      </x:c>
      <x:c r="F1040" s="14" t="n">
        <x:v>20</x:v>
      </x:c>
      <x:c r="G1040" s="26" t="n">
        <x:f>'成本明细'!U151+'成本明细'!G151*(E1040-'参数'!$B$6)</x:f>
        <x:v>3432.0335811511113</x:v>
      </x:c>
      <x:c r="H1040" s="26" t="n">
        <x:f>'成本明细'!U157</x:f>
        <x:v>4048.9650148822216</x:v>
      </x:c>
      <x:c r="I1040" s="26" t="n">
        <x:f>'成本明细'!V157</x:f>
        <x:v>8285.5</x:v>
      </x:c>
      <x:c r="J1040" s="22" t="n">
        <x:f>'参数'!$B$9</x:f>
        <x:v>300</x:v>
      </x:c>
      <x:c r="K1040" s="26" t="n">
        <x:f>J1040*(G1040-H1040)-I1040*ROUNDUP(J1040/F1040,0)</x:f>
        <x:v>-309361.9301193331</x:v>
      </x:c>
      <x:c r="L1040" s="10" t="str">
        <x:f>IF(G1040-H1040&lt;=0,"未回本",IF(ROUNDUP(I1040/(G1040-H1040),0)&gt;MIN(F1040,J1040),"未回本",MAX(1,ROUNDUP(I1040/(G1040-H1040),0))))</x:f>
        <x:v>未回本</x:v>
      </x:c>
    </x:row>
    <x:row r="1041" ht="22" customHeight="1">
      <x:c r="A1041" s="11" t="str">
        <x:v>lade_0825_30aoi</x:v>
      </x:c>
      <x:c r="B1041" s="10" t="n">
        <x:v>30</x:v>
      </x:c>
      <x:c r="C1041" s="10" t="n">
        <x:v>43</x:v>
      </x:c>
      <x:c r="D1041" s="10" t="str">
        <x:v>M2 / M4</x:v>
      </x:c>
      <x:c r="E1041" s="16" t="n">
        <x:v>5</x:v>
      </x:c>
      <x:c r="F1041" s="14" t="n">
        <x:v>20</x:v>
      </x:c>
      <x:c r="G1041" s="26" t="n">
        <x:f>'成本明细'!U154+'成本明细'!G154*(E1041-'参数'!$B$6)</x:f>
        <x:v>3588.369833321667</x:v>
      </x:c>
      <x:c r="H1041" s="26" t="n">
        <x:f>'成本明细'!U160</x:f>
        <x:v>4061.232175223333</x:v>
      </x:c>
      <x:c r="I1041" s="26" t="n">
        <x:f>'成本明细'!V160</x:f>
        <x:v>8285.5</x:v>
      </x:c>
      <x:c r="J1041" s="22" t="n">
        <x:f>'参数'!$B$9</x:f>
        <x:v>300</x:v>
      </x:c>
      <x:c r="K1041" s="26" t="n">
        <x:f>J1041*(G1041-H1041)-I1041*ROUNDUP(J1041/F1041,0)</x:f>
        <x:v>-266141.20257049974</x:v>
      </x:c>
      <x:c r="L1041" s="10" t="str">
        <x:f>IF(G1041-H1041&lt;=0,"未回本",IF(ROUNDUP(I1041/(G1041-H1041),0)&gt;MIN(F1041,J1041),"未回本",MAX(1,ROUNDUP(I1041/(G1041-H1041),0))))</x:f>
        <x:v>未回本</x:v>
      </x:c>
    </x:row>
    <x:row r="1042" ht="22" customHeight="1">
      <x:c r="A1042" s="11" t="str">
        <x:v>lade_0825_30aoi</x:v>
      </x:c>
      <x:c r="B1042" s="10" t="n">
        <x:v>30</x:v>
      </x:c>
      <x:c r="C1042" s="10" t="n">
        <x:v>43</x:v>
      </x:c>
      <x:c r="D1042" s="10" t="str">
        <x:v>M1 / M3</x:v>
      </x:c>
      <x:c r="E1042" s="16" t="n">
        <x:v>5</x:v>
      </x:c>
      <x:c r="F1042" s="14" t="n">
        <x:v>30</x:v>
      </x:c>
      <x:c r="G1042" s="26" t="n">
        <x:f>'成本明细'!U151+'成本明细'!G151*(E1042-'参数'!$B$6)</x:f>
        <x:v>3432.0335811511113</x:v>
      </x:c>
      <x:c r="H1042" s="26" t="n">
        <x:f>'成本明细'!U157</x:f>
        <x:v>4048.9650148822216</x:v>
      </x:c>
      <x:c r="I1042" s="26" t="n">
        <x:f>'成本明细'!V157</x:f>
        <x:v>8285.5</x:v>
      </x:c>
      <x:c r="J1042" s="22" t="n">
        <x:f>'参数'!$B$9</x:f>
        <x:v>300</x:v>
      </x:c>
      <x:c r="K1042" s="26" t="n">
        <x:f>J1042*(G1042-H1042)-I1042*ROUNDUP(J1042/F1042,0)</x:f>
        <x:v>-267934.4301193331</x:v>
      </x:c>
      <x:c r="L1042" s="10" t="str">
        <x:f>IF(G1042-H1042&lt;=0,"未回本",IF(ROUNDUP(I1042/(G1042-H1042),0)&gt;MIN(F1042,J1042),"未回本",MAX(1,ROUNDUP(I1042/(G1042-H1042),0))))</x:f>
        <x:v>未回本</x:v>
      </x:c>
    </x:row>
    <x:row r="1043" ht="22" customHeight="1">
      <x:c r="A1043" s="11" t="str">
        <x:v>lade_0825_30aoi</x:v>
      </x:c>
      <x:c r="B1043" s="10" t="n">
        <x:v>30</x:v>
      </x:c>
      <x:c r="C1043" s="10" t="n">
        <x:v>43</x:v>
      </x:c>
      <x:c r="D1043" s="10" t="str">
        <x:v>M2 / M4</x:v>
      </x:c>
      <x:c r="E1043" s="16" t="n">
        <x:v>5</x:v>
      </x:c>
      <x:c r="F1043" s="14" t="n">
        <x:v>30</x:v>
      </x:c>
      <x:c r="G1043" s="26" t="n">
        <x:f>'成本明细'!U154+'成本明细'!G154*(E1043-'参数'!$B$6)</x:f>
        <x:v>3588.369833321667</x:v>
      </x:c>
      <x:c r="H1043" s="26" t="n">
        <x:f>'成本明细'!U160</x:f>
        <x:v>4061.232175223333</x:v>
      </x:c>
      <x:c r="I1043" s="26" t="n">
        <x:f>'成本明细'!V160</x:f>
        <x:v>8285.5</x:v>
      </x:c>
      <x:c r="J1043" s="22" t="n">
        <x:f>'参数'!$B$9</x:f>
        <x:v>300</x:v>
      </x:c>
      <x:c r="K1043" s="26" t="n">
        <x:f>J1043*(G1043-H1043)-I1043*ROUNDUP(J1043/F1043,0)</x:f>
        <x:v>-224713.70257049974</x:v>
      </x:c>
      <x:c r="L1043" s="10" t="str">
        <x:f>IF(G1043-H1043&lt;=0,"未回本",IF(ROUNDUP(I1043/(G1043-H1043),0)&gt;MIN(F1043,J1043),"未回本",MAX(1,ROUNDUP(I1043/(G1043-H1043),0))))</x:f>
        <x:v>未回本</x:v>
      </x:c>
    </x:row>
    <x:row r="1044" ht="22" customHeight="1">
      <x:c r="A1044" s="11" t="str">
        <x:v>lade_0825_30aoi</x:v>
      </x:c>
      <x:c r="B1044" s="10" t="n">
        <x:v>30</x:v>
      </x:c>
      <x:c r="C1044" s="10" t="n">
        <x:v>43</x:v>
      </x:c>
      <x:c r="D1044" s="10" t="str">
        <x:v>M1 / M3</x:v>
      </x:c>
      <x:c r="E1044" s="16" t="n">
        <x:v>5</x:v>
      </x:c>
      <x:c r="F1044" s="14" t="n">
        <x:v>50</x:v>
      </x:c>
      <x:c r="G1044" s="26" t="n">
        <x:f>'成本明细'!U151+'成本明细'!G151*(E1044-'参数'!$B$6)</x:f>
        <x:v>3432.0335811511113</x:v>
      </x:c>
      <x:c r="H1044" s="26" t="n">
        <x:f>'成本明细'!U157</x:f>
        <x:v>4048.9650148822216</x:v>
      </x:c>
      <x:c r="I1044" s="26" t="n">
        <x:f>'成本明细'!V157</x:f>
        <x:v>8285.5</x:v>
      </x:c>
      <x:c r="J1044" s="22" t="n">
        <x:f>'参数'!$B$9</x:f>
        <x:v>300</x:v>
      </x:c>
      <x:c r="K1044" s="26" t="n">
        <x:f>J1044*(G1044-H1044)-I1044*ROUNDUP(J1044/F1044,0)</x:f>
        <x:v>-234792.43011933306</x:v>
      </x:c>
      <x:c r="L1044" s="10" t="str">
        <x:f>IF(G1044-H1044&lt;=0,"未回本",IF(ROUNDUP(I1044/(G1044-H1044),0)&gt;MIN(F1044,J1044),"未回本",MAX(1,ROUNDUP(I1044/(G1044-H1044),0))))</x:f>
        <x:v>未回本</x:v>
      </x:c>
    </x:row>
    <x:row r="1045" ht="22" customHeight="1">
      <x:c r="A1045" s="11" t="str">
        <x:v>lade_0825_30aoi</x:v>
      </x:c>
      <x:c r="B1045" s="10" t="n">
        <x:v>30</x:v>
      </x:c>
      <x:c r="C1045" s="10" t="n">
        <x:v>43</x:v>
      </x:c>
      <x:c r="D1045" s="10" t="str">
        <x:v>M2 / M4</x:v>
      </x:c>
      <x:c r="E1045" s="16" t="n">
        <x:v>5</x:v>
      </x:c>
      <x:c r="F1045" s="14" t="n">
        <x:v>50</x:v>
      </x:c>
      <x:c r="G1045" s="26" t="n">
        <x:f>'成本明细'!U154+'成本明细'!G154*(E1045-'参数'!$B$6)</x:f>
        <x:v>3588.369833321667</x:v>
      </x:c>
      <x:c r="H1045" s="26" t="n">
        <x:f>'成本明细'!U160</x:f>
        <x:v>4061.232175223333</x:v>
      </x:c>
      <x:c r="I1045" s="26" t="n">
        <x:f>'成本明细'!V160</x:f>
        <x:v>8285.5</x:v>
      </x:c>
      <x:c r="J1045" s="22" t="n">
        <x:f>'参数'!$B$9</x:f>
        <x:v>300</x:v>
      </x:c>
      <x:c r="K1045" s="26" t="n">
        <x:f>J1045*(G1045-H1045)-I1045*ROUNDUP(J1045/F1045,0)</x:f>
        <x:v>-191571.70257049974</x:v>
      </x:c>
      <x:c r="L1045" s="10" t="str">
        <x:f>IF(G1045-H1045&lt;=0,"未回本",IF(ROUNDUP(I1045/(G1045-H1045),0)&gt;MIN(F1045,J1045),"未回本",MAX(1,ROUNDUP(I1045/(G1045-H1045),0))))</x:f>
        <x:v>未回本</x:v>
      </x:c>
    </x:row>
    <x:row r="1046" ht="22" customHeight="1">
      <x:c r="A1046" s="11" t="str">
        <x:v>lade_0825_30aoi</x:v>
      </x:c>
      <x:c r="B1046" s="10" t="n">
        <x:v>30</x:v>
      </x:c>
      <x:c r="C1046" s="10" t="n">
        <x:v>44</x:v>
      </x:c>
      <x:c r="D1046" s="10" t="str">
        <x:v>M1 / M3</x:v>
      </x:c>
      <x:c r="E1046" s="16" t="n">
        <x:v>1</x:v>
      </x:c>
      <x:c r="F1046" s="14" t="n">
        <x:v>10</x:v>
      </x:c>
      <x:c r="G1046" s="26" t="n">
        <x:f>'成本明细'!U152+'成本明细'!G152*(E1046-'参数'!$B$6)</x:f>
        <x:v>2683.3537948661115</x:v>
      </x:c>
      <x:c r="H1046" s="26" t="n">
        <x:f>'成本明细'!U158</x:f>
        <x:v>4027.760423312777</x:v>
      </x:c>
      <x:c r="I1046" s="26" t="n">
        <x:f>'成本明细'!V158</x:f>
        <x:v>8285.5</x:v>
      </x:c>
      <x:c r="J1046" s="22" t="n">
        <x:f>'参数'!$B$9</x:f>
        <x:v>300</x:v>
      </x:c>
      <x:c r="K1046" s="26" t="n">
        <x:f>J1046*(G1046-H1046)-I1046*ROUNDUP(J1046/F1046,0)</x:f>
        <x:v>-651886.9885339998</x:v>
      </x:c>
      <x:c r="L1046" s="10" t="str">
        <x:f>IF(G1046-H1046&lt;=0,"未回本",IF(ROUNDUP(I1046/(G1046-H1046),0)&gt;MIN(F1046,J1046),"未回本",MAX(1,ROUNDUP(I1046/(G1046-H1046),0))))</x:f>
        <x:v>未回本</x:v>
      </x:c>
    </x:row>
    <x:row r="1047" ht="22" customHeight="1">
      <x:c r="A1047" s="11" t="str">
        <x:v>lade_0825_30aoi</x:v>
      </x:c>
      <x:c r="B1047" s="10" t="n">
        <x:v>30</x:v>
      </x:c>
      <x:c r="C1047" s="10" t="n">
        <x:v>44</x:v>
      </x:c>
      <x:c r="D1047" s="10" t="str">
        <x:v>M2 / M4</x:v>
      </x:c>
      <x:c r="E1047" s="16" t="n">
        <x:v>1</x:v>
      </x:c>
      <x:c r="F1047" s="14" t="n">
        <x:v>10</x:v>
      </x:c>
      <x:c r="G1047" s="26" t="n">
        <x:f>'成本明细'!U155+'成本明细'!G155*(E1047-'参数'!$B$6)</x:f>
        <x:v>2103.8442094744446</x:v>
      </x:c>
      <x:c r="H1047" s="26" t="n">
        <x:f>'成本明细'!U161</x:f>
        <x:v>3896.466895053333</x:v>
      </x:c>
      <x:c r="I1047" s="26" t="n">
        <x:f>'成本明细'!V161</x:f>
        <x:v>8285.5</x:v>
      </x:c>
      <x:c r="J1047" s="22" t="n">
        <x:f>'参数'!$B$9</x:f>
        <x:v>300</x:v>
      </x:c>
      <x:c r="K1047" s="26" t="n">
        <x:f>J1047*(G1047-H1047)-I1047*ROUNDUP(J1047/F1047,0)</x:f>
        <x:v>-786351.8056736664</x:v>
      </x:c>
      <x:c r="L1047" s="10" t="str">
        <x:f>IF(G1047-H1047&lt;=0,"未回本",IF(ROUNDUP(I1047/(G1047-H1047),0)&gt;MIN(F1047,J1047),"未回本",MAX(1,ROUNDUP(I1047/(G1047-H1047),0))))</x:f>
        <x:v>未回本</x:v>
      </x:c>
    </x:row>
    <x:row r="1048" ht="22" customHeight="1">
      <x:c r="A1048" s="11" t="str">
        <x:v>lade_0825_30aoi</x:v>
      </x:c>
      <x:c r="B1048" s="10" t="n">
        <x:v>30</x:v>
      </x:c>
      <x:c r="C1048" s="10" t="n">
        <x:v>44</x:v>
      </x:c>
      <x:c r="D1048" s="10" t="str">
        <x:v>M1 / M3</x:v>
      </x:c>
      <x:c r="E1048" s="16" t="n">
        <x:v>1</x:v>
      </x:c>
      <x:c r="F1048" s="14" t="n">
        <x:v>20</x:v>
      </x:c>
      <x:c r="G1048" s="26" t="n">
        <x:f>'成本明细'!U152+'成本明细'!G152*(E1048-'参数'!$B$6)</x:f>
        <x:v>2683.3537948661115</x:v>
      </x:c>
      <x:c r="H1048" s="26" t="n">
        <x:f>'成本明细'!U158</x:f>
        <x:v>4027.760423312777</x:v>
      </x:c>
      <x:c r="I1048" s="26" t="n">
        <x:f>'成本明细'!V158</x:f>
        <x:v>8285.5</x:v>
      </x:c>
      <x:c r="J1048" s="22" t="n">
        <x:f>'参数'!$B$9</x:f>
        <x:v>300</x:v>
      </x:c>
      <x:c r="K1048" s="26" t="n">
        <x:f>J1048*(G1048-H1048)-I1048*ROUNDUP(J1048/F1048,0)</x:f>
        <x:v>-527604.4885339998</x:v>
      </x:c>
      <x:c r="L1048" s="10" t="str">
        <x:f>IF(G1048-H1048&lt;=0,"未回本",IF(ROUNDUP(I1048/(G1048-H1048),0)&gt;MIN(F1048,J1048),"未回本",MAX(1,ROUNDUP(I1048/(G1048-H1048),0))))</x:f>
        <x:v>未回本</x:v>
      </x:c>
    </x:row>
    <x:row r="1049" ht="22" customHeight="1">
      <x:c r="A1049" s="11" t="str">
        <x:v>lade_0825_30aoi</x:v>
      </x:c>
      <x:c r="B1049" s="10" t="n">
        <x:v>30</x:v>
      </x:c>
      <x:c r="C1049" s="10" t="n">
        <x:v>44</x:v>
      </x:c>
      <x:c r="D1049" s="10" t="str">
        <x:v>M2 / M4</x:v>
      </x:c>
      <x:c r="E1049" s="16" t="n">
        <x:v>1</x:v>
      </x:c>
      <x:c r="F1049" s="14" t="n">
        <x:v>20</x:v>
      </x:c>
      <x:c r="G1049" s="26" t="n">
        <x:f>'成本明细'!U155+'成本明细'!G155*(E1049-'参数'!$B$6)</x:f>
        <x:v>2103.8442094744446</x:v>
      </x:c>
      <x:c r="H1049" s="26" t="n">
        <x:f>'成本明细'!U161</x:f>
        <x:v>3896.466895053333</x:v>
      </x:c>
      <x:c r="I1049" s="26" t="n">
        <x:f>'成本明细'!V161</x:f>
        <x:v>8285.5</x:v>
      </x:c>
      <x:c r="J1049" s="22" t="n">
        <x:f>'参数'!$B$9</x:f>
        <x:v>300</x:v>
      </x:c>
      <x:c r="K1049" s="26" t="n">
        <x:f>J1049*(G1049-H1049)-I1049*ROUNDUP(J1049/F1049,0)</x:f>
        <x:v>-662069.3056736664</x:v>
      </x:c>
      <x:c r="L1049" s="10" t="str">
        <x:f>IF(G1049-H1049&lt;=0,"未回本",IF(ROUNDUP(I1049/(G1049-H1049),0)&gt;MIN(F1049,J1049),"未回本",MAX(1,ROUNDUP(I1049/(G1049-H1049),0))))</x:f>
        <x:v>未回本</x:v>
      </x:c>
    </x:row>
    <x:row r="1050" ht="22" customHeight="1">
      <x:c r="A1050" s="11" t="str">
        <x:v>lade_0825_30aoi</x:v>
      </x:c>
      <x:c r="B1050" s="10" t="n">
        <x:v>30</x:v>
      </x:c>
      <x:c r="C1050" s="10" t="n">
        <x:v>44</x:v>
      </x:c>
      <x:c r="D1050" s="10" t="str">
        <x:v>M1 / M3</x:v>
      </x:c>
      <x:c r="E1050" s="16" t="n">
        <x:v>1</x:v>
      </x:c>
      <x:c r="F1050" s="14" t="n">
        <x:v>30</x:v>
      </x:c>
      <x:c r="G1050" s="26" t="n">
        <x:f>'成本明细'!U152+'成本明细'!G152*(E1050-'参数'!$B$6)</x:f>
        <x:v>2683.3537948661115</x:v>
      </x:c>
      <x:c r="H1050" s="26" t="n">
        <x:f>'成本明细'!U158</x:f>
        <x:v>4027.760423312777</x:v>
      </x:c>
      <x:c r="I1050" s="26" t="n">
        <x:f>'成本明细'!V158</x:f>
        <x:v>8285.5</x:v>
      </x:c>
      <x:c r="J1050" s="22" t="n">
        <x:f>'参数'!$B$9</x:f>
        <x:v>300</x:v>
      </x:c>
      <x:c r="K1050" s="26" t="n">
        <x:f>J1050*(G1050-H1050)-I1050*ROUNDUP(J1050/F1050,0)</x:f>
        <x:v>-486176.9885339997</x:v>
      </x:c>
      <x:c r="L1050" s="10" t="str">
        <x:f>IF(G1050-H1050&lt;=0,"未回本",IF(ROUNDUP(I1050/(G1050-H1050),0)&gt;MIN(F1050,J1050),"未回本",MAX(1,ROUNDUP(I1050/(G1050-H1050),0))))</x:f>
        <x:v>未回本</x:v>
      </x:c>
    </x:row>
    <x:row r="1051" ht="22" customHeight="1">
      <x:c r="A1051" s="11" t="str">
        <x:v>lade_0825_30aoi</x:v>
      </x:c>
      <x:c r="B1051" s="10" t="n">
        <x:v>30</x:v>
      </x:c>
      <x:c r="C1051" s="10" t="n">
        <x:v>44</x:v>
      </x:c>
      <x:c r="D1051" s="10" t="str">
        <x:v>M2 / M4</x:v>
      </x:c>
      <x:c r="E1051" s="16" t="n">
        <x:v>1</x:v>
      </x:c>
      <x:c r="F1051" s="14" t="n">
        <x:v>30</x:v>
      </x:c>
      <x:c r="G1051" s="26" t="n">
        <x:f>'成本明细'!U155+'成本明细'!G155*(E1051-'参数'!$B$6)</x:f>
        <x:v>2103.8442094744446</x:v>
      </x:c>
      <x:c r="H1051" s="26" t="n">
        <x:f>'成本明细'!U161</x:f>
        <x:v>3896.466895053333</x:v>
      </x:c>
      <x:c r="I1051" s="26" t="n">
        <x:f>'成本明细'!V161</x:f>
        <x:v>8285.5</x:v>
      </x:c>
      <x:c r="J1051" s="22" t="n">
        <x:f>'参数'!$B$9</x:f>
        <x:v>300</x:v>
      </x:c>
      <x:c r="K1051" s="26" t="n">
        <x:f>J1051*(G1051-H1051)-I1051*ROUNDUP(J1051/F1051,0)</x:f>
        <x:v>-620641.8056736664</x:v>
      </x:c>
      <x:c r="L1051" s="10" t="str">
        <x:f>IF(G1051-H1051&lt;=0,"未回本",IF(ROUNDUP(I1051/(G1051-H1051),0)&gt;MIN(F1051,J1051),"未回本",MAX(1,ROUNDUP(I1051/(G1051-H1051),0))))</x:f>
        <x:v>未回本</x:v>
      </x:c>
    </x:row>
    <x:row r="1052" ht="22" customHeight="1">
      <x:c r="A1052" s="11" t="str">
        <x:v>lade_0825_30aoi</x:v>
      </x:c>
      <x:c r="B1052" s="10" t="n">
        <x:v>30</x:v>
      </x:c>
      <x:c r="C1052" s="10" t="n">
        <x:v>44</x:v>
      </x:c>
      <x:c r="D1052" s="10" t="str">
        <x:v>M1 / M3</x:v>
      </x:c>
      <x:c r="E1052" s="16" t="n">
        <x:v>1</x:v>
      </x:c>
      <x:c r="F1052" s="14" t="n">
        <x:v>50</x:v>
      </x:c>
      <x:c r="G1052" s="26" t="n">
        <x:f>'成本明细'!U152+'成本明细'!G152*(E1052-'参数'!$B$6)</x:f>
        <x:v>2683.3537948661115</x:v>
      </x:c>
      <x:c r="H1052" s="26" t="n">
        <x:f>'成本明细'!U158</x:f>
        <x:v>4027.760423312777</x:v>
      </x:c>
      <x:c r="I1052" s="26" t="n">
        <x:f>'成本明细'!V158</x:f>
        <x:v>8285.5</x:v>
      </x:c>
      <x:c r="J1052" s="22" t="n">
        <x:f>'参数'!$B$9</x:f>
        <x:v>300</x:v>
      </x:c>
      <x:c r="K1052" s="26" t="n">
        <x:f>J1052*(G1052-H1052)-I1052*ROUNDUP(J1052/F1052,0)</x:f>
        <x:v>-453034.9885339997</x:v>
      </x:c>
      <x:c r="L1052" s="10" t="str">
        <x:f>IF(G1052-H1052&lt;=0,"未回本",IF(ROUNDUP(I1052/(G1052-H1052),0)&gt;MIN(F1052,J1052),"未回本",MAX(1,ROUNDUP(I1052/(G1052-H1052),0))))</x:f>
        <x:v>未回本</x:v>
      </x:c>
    </x:row>
    <x:row r="1053" ht="22" customHeight="1">
      <x:c r="A1053" s="11" t="str">
        <x:v>lade_0825_30aoi</x:v>
      </x:c>
      <x:c r="B1053" s="10" t="n">
        <x:v>30</x:v>
      </x:c>
      <x:c r="C1053" s="10" t="n">
        <x:v>44</x:v>
      </x:c>
      <x:c r="D1053" s="10" t="str">
        <x:v>M2 / M4</x:v>
      </x:c>
      <x:c r="E1053" s="16" t="n">
        <x:v>1</x:v>
      </x:c>
      <x:c r="F1053" s="14" t="n">
        <x:v>50</x:v>
      </x:c>
      <x:c r="G1053" s="26" t="n">
        <x:f>'成本明细'!U155+'成本明细'!G155*(E1053-'参数'!$B$6)</x:f>
        <x:v>2103.8442094744446</x:v>
      </x:c>
      <x:c r="H1053" s="26" t="n">
        <x:f>'成本明细'!U161</x:f>
        <x:v>3896.466895053333</x:v>
      </x:c>
      <x:c r="I1053" s="26" t="n">
        <x:f>'成本明细'!V161</x:f>
        <x:v>8285.5</x:v>
      </x:c>
      <x:c r="J1053" s="22" t="n">
        <x:f>'参数'!$B$9</x:f>
        <x:v>300</x:v>
      </x:c>
      <x:c r="K1053" s="26" t="n">
        <x:f>J1053*(G1053-H1053)-I1053*ROUNDUP(J1053/F1053,0)</x:f>
        <x:v>-587499.8056736664</x:v>
      </x:c>
      <x:c r="L1053" s="10" t="str">
        <x:f>IF(G1053-H1053&lt;=0,"未回本",IF(ROUNDUP(I1053/(G1053-H1053),0)&gt;MIN(F1053,J1053),"未回本",MAX(1,ROUNDUP(I1053/(G1053-H1053),0))))</x:f>
        <x:v>未回本</x:v>
      </x:c>
    </x:row>
    <x:row r="1054" ht="22" customHeight="1">
      <x:c r="A1054" s="11" t="str">
        <x:v>lade_0825_30aoi</x:v>
      </x:c>
      <x:c r="B1054" s="10" t="n">
        <x:v>30</x:v>
      </x:c>
      <x:c r="C1054" s="10" t="n">
        <x:v>44</x:v>
      </x:c>
      <x:c r="D1054" s="10" t="str">
        <x:v>M1 / M3</x:v>
      </x:c>
      <x:c r="E1054" s="16" t="n">
        <x:v>2</x:v>
      </x:c>
      <x:c r="F1054" s="14" t="n">
        <x:v>10</x:v>
      </x:c>
      <x:c r="G1054" s="26" t="n">
        <x:f>'成本明细'!U152+'成本明细'!G152*(E1054-'参数'!$B$6)</x:f>
        <x:v>2910.3537948661115</x:v>
      </x:c>
      <x:c r="H1054" s="26" t="n">
        <x:f>'成本明细'!U158</x:f>
        <x:v>4027.760423312777</x:v>
      </x:c>
      <x:c r="I1054" s="26" t="n">
        <x:f>'成本明细'!V158</x:f>
        <x:v>8285.5</x:v>
      </x:c>
      <x:c r="J1054" s="22" t="n">
        <x:f>'参数'!$B$9</x:f>
        <x:v>300</x:v>
      </x:c>
      <x:c r="K1054" s="26" t="n">
        <x:f>J1054*(G1054-H1054)-I1054*ROUNDUP(J1054/F1054,0)</x:f>
        <x:v>-583786.9885339998</x:v>
      </x:c>
      <x:c r="L1054" s="10" t="str">
        <x:f>IF(G1054-H1054&lt;=0,"未回本",IF(ROUNDUP(I1054/(G1054-H1054),0)&gt;MIN(F1054,J1054),"未回本",MAX(1,ROUNDUP(I1054/(G1054-H1054),0))))</x:f>
        <x:v>未回本</x:v>
      </x:c>
    </x:row>
    <x:row r="1055" ht="22" customHeight="1">
      <x:c r="A1055" s="11" t="str">
        <x:v>lade_0825_30aoi</x:v>
      </x:c>
      <x:c r="B1055" s="10" t="n">
        <x:v>30</x:v>
      </x:c>
      <x:c r="C1055" s="10" t="n">
        <x:v>44</x:v>
      </x:c>
      <x:c r="D1055" s="10" t="str">
        <x:v>M2 / M4</x:v>
      </x:c>
      <x:c r="E1055" s="16" t="n">
        <x:v>2</x:v>
      </x:c>
      <x:c r="F1055" s="14" t="n">
        <x:v>10</x:v>
      </x:c>
      <x:c r="G1055" s="26" t="n">
        <x:f>'成本明细'!U155+'成本明细'!G155*(E1055-'参数'!$B$6)</x:f>
        <x:v>2330.8442094744446</x:v>
      </x:c>
      <x:c r="H1055" s="26" t="n">
        <x:f>'成本明细'!U161</x:f>
        <x:v>3896.466895053333</x:v>
      </x:c>
      <x:c r="I1055" s="26" t="n">
        <x:f>'成本明细'!V161</x:f>
        <x:v>8285.5</x:v>
      </x:c>
      <x:c r="J1055" s="22" t="n">
        <x:f>'参数'!$B$9</x:f>
        <x:v>300</x:v>
      </x:c>
      <x:c r="K1055" s="26" t="n">
        <x:f>J1055*(G1055-H1055)-I1055*ROUNDUP(J1055/F1055,0)</x:f>
        <x:v>-718251.8056736665</x:v>
      </x:c>
      <x:c r="L1055" s="10" t="str">
        <x:f>IF(G1055-H1055&lt;=0,"未回本",IF(ROUNDUP(I1055/(G1055-H1055),0)&gt;MIN(F1055,J1055),"未回本",MAX(1,ROUNDUP(I1055/(G1055-H1055),0))))</x:f>
        <x:v>未回本</x:v>
      </x:c>
    </x:row>
    <x:row r="1056" ht="22" customHeight="1">
      <x:c r="A1056" s="11" t="str">
        <x:v>lade_0825_30aoi</x:v>
      </x:c>
      <x:c r="B1056" s="10" t="n">
        <x:v>30</x:v>
      </x:c>
      <x:c r="C1056" s="10" t="n">
        <x:v>44</x:v>
      </x:c>
      <x:c r="D1056" s="10" t="str">
        <x:v>M1 / M3</x:v>
      </x:c>
      <x:c r="E1056" s="16" t="n">
        <x:v>2</x:v>
      </x:c>
      <x:c r="F1056" s="14" t="n">
        <x:v>20</x:v>
      </x:c>
      <x:c r="G1056" s="26" t="n">
        <x:f>'成本明细'!U152+'成本明细'!G152*(E1056-'参数'!$B$6)</x:f>
        <x:v>2910.3537948661115</x:v>
      </x:c>
      <x:c r="H1056" s="26" t="n">
        <x:f>'成本明细'!U158</x:f>
        <x:v>4027.760423312777</x:v>
      </x:c>
      <x:c r="I1056" s="26" t="n">
        <x:f>'成本明细'!V158</x:f>
        <x:v>8285.5</x:v>
      </x:c>
      <x:c r="J1056" s="22" t="n">
        <x:f>'参数'!$B$9</x:f>
        <x:v>300</x:v>
      </x:c>
      <x:c r="K1056" s="26" t="n">
        <x:f>J1056*(G1056-H1056)-I1056*ROUNDUP(J1056/F1056,0)</x:f>
        <x:v>-459504.4885339997</x:v>
      </x:c>
      <x:c r="L1056" s="10" t="str">
        <x:f>IF(G1056-H1056&lt;=0,"未回本",IF(ROUNDUP(I1056/(G1056-H1056),0)&gt;MIN(F1056,J1056),"未回本",MAX(1,ROUNDUP(I1056/(G1056-H1056),0))))</x:f>
        <x:v>未回本</x:v>
      </x:c>
    </x:row>
    <x:row r="1057" ht="22" customHeight="1">
      <x:c r="A1057" s="11" t="str">
        <x:v>lade_0825_30aoi</x:v>
      </x:c>
      <x:c r="B1057" s="10" t="n">
        <x:v>30</x:v>
      </x:c>
      <x:c r="C1057" s="10" t="n">
        <x:v>44</x:v>
      </x:c>
      <x:c r="D1057" s="10" t="str">
        <x:v>M2 / M4</x:v>
      </x:c>
      <x:c r="E1057" s="16" t="n">
        <x:v>2</x:v>
      </x:c>
      <x:c r="F1057" s="14" t="n">
        <x:v>20</x:v>
      </x:c>
      <x:c r="G1057" s="26" t="n">
        <x:f>'成本明细'!U155+'成本明细'!G155*(E1057-'参数'!$B$6)</x:f>
        <x:v>2330.8442094744446</x:v>
      </x:c>
      <x:c r="H1057" s="26" t="n">
        <x:f>'成本明细'!U161</x:f>
        <x:v>3896.466895053333</x:v>
      </x:c>
      <x:c r="I1057" s="26" t="n">
        <x:f>'成本明细'!V161</x:f>
        <x:v>8285.5</x:v>
      </x:c>
      <x:c r="J1057" s="22" t="n">
        <x:f>'参数'!$B$9</x:f>
        <x:v>300</x:v>
      </x:c>
      <x:c r="K1057" s="26" t="n">
        <x:f>J1057*(G1057-H1057)-I1057*ROUNDUP(J1057/F1057,0)</x:f>
        <x:v>-593969.3056736665</x:v>
      </x:c>
      <x:c r="L1057" s="10" t="str">
        <x:f>IF(G1057-H1057&lt;=0,"未回本",IF(ROUNDUP(I1057/(G1057-H1057),0)&gt;MIN(F1057,J1057),"未回本",MAX(1,ROUNDUP(I1057/(G1057-H1057),0))))</x:f>
        <x:v>未回本</x:v>
      </x:c>
    </x:row>
    <x:row r="1058" ht="22" customHeight="1">
      <x:c r="A1058" s="11" t="str">
        <x:v>lade_0825_30aoi</x:v>
      </x:c>
      <x:c r="B1058" s="10" t="n">
        <x:v>30</x:v>
      </x:c>
      <x:c r="C1058" s="10" t="n">
        <x:v>44</x:v>
      </x:c>
      <x:c r="D1058" s="10" t="str">
        <x:v>M1 / M3</x:v>
      </x:c>
      <x:c r="E1058" s="16" t="n">
        <x:v>2</x:v>
      </x:c>
      <x:c r="F1058" s="14" t="n">
        <x:v>30</x:v>
      </x:c>
      <x:c r="G1058" s="26" t="n">
        <x:f>'成本明细'!U152+'成本明细'!G152*(E1058-'参数'!$B$6)</x:f>
        <x:v>2910.3537948661115</x:v>
      </x:c>
      <x:c r="H1058" s="26" t="n">
        <x:f>'成本明细'!U158</x:f>
        <x:v>4027.760423312777</x:v>
      </x:c>
      <x:c r="I1058" s="26" t="n">
        <x:f>'成本明细'!V158</x:f>
        <x:v>8285.5</x:v>
      </x:c>
      <x:c r="J1058" s="22" t="n">
        <x:f>'参数'!$B$9</x:f>
        <x:v>300</x:v>
      </x:c>
      <x:c r="K1058" s="26" t="n">
        <x:f>J1058*(G1058-H1058)-I1058*ROUNDUP(J1058/F1058,0)</x:f>
        <x:v>-418076.9885339997</x:v>
      </x:c>
      <x:c r="L1058" s="10" t="str">
        <x:f>IF(G1058-H1058&lt;=0,"未回本",IF(ROUNDUP(I1058/(G1058-H1058),0)&gt;MIN(F1058,J1058),"未回本",MAX(1,ROUNDUP(I1058/(G1058-H1058),0))))</x:f>
        <x:v>未回本</x:v>
      </x:c>
    </x:row>
    <x:row r="1059" ht="22" customHeight="1">
      <x:c r="A1059" s="11" t="str">
        <x:v>lade_0825_30aoi</x:v>
      </x:c>
      <x:c r="B1059" s="10" t="n">
        <x:v>30</x:v>
      </x:c>
      <x:c r="C1059" s="10" t="n">
        <x:v>44</x:v>
      </x:c>
      <x:c r="D1059" s="10" t="str">
        <x:v>M2 / M4</x:v>
      </x:c>
      <x:c r="E1059" s="16" t="n">
        <x:v>2</x:v>
      </x:c>
      <x:c r="F1059" s="14" t="n">
        <x:v>30</x:v>
      </x:c>
      <x:c r="G1059" s="26" t="n">
        <x:f>'成本明细'!U155+'成本明细'!G155*(E1059-'参数'!$B$6)</x:f>
        <x:v>2330.8442094744446</x:v>
      </x:c>
      <x:c r="H1059" s="26" t="n">
        <x:f>'成本明细'!U161</x:f>
        <x:v>3896.466895053333</x:v>
      </x:c>
      <x:c r="I1059" s="26" t="n">
        <x:f>'成本明细'!V161</x:f>
        <x:v>8285.5</x:v>
      </x:c>
      <x:c r="J1059" s="22" t="n">
        <x:f>'参数'!$B$9</x:f>
        <x:v>300</x:v>
      </x:c>
      <x:c r="K1059" s="26" t="n">
        <x:f>J1059*(G1059-H1059)-I1059*ROUNDUP(J1059/F1059,0)</x:f>
        <x:v>-552541.8056736665</x:v>
      </x:c>
      <x:c r="L1059" s="10" t="str">
        <x:f>IF(G1059-H1059&lt;=0,"未回本",IF(ROUNDUP(I1059/(G1059-H1059),0)&gt;MIN(F1059,J1059),"未回本",MAX(1,ROUNDUP(I1059/(G1059-H1059),0))))</x:f>
        <x:v>未回本</x:v>
      </x:c>
    </x:row>
    <x:row r="1060" ht="22" customHeight="1">
      <x:c r="A1060" s="11" t="str">
        <x:v>lade_0825_30aoi</x:v>
      </x:c>
      <x:c r="B1060" s="10" t="n">
        <x:v>30</x:v>
      </x:c>
      <x:c r="C1060" s="10" t="n">
        <x:v>44</x:v>
      </x:c>
      <x:c r="D1060" s="10" t="str">
        <x:v>M1 / M3</x:v>
      </x:c>
      <x:c r="E1060" s="16" t="n">
        <x:v>2</x:v>
      </x:c>
      <x:c r="F1060" s="14" t="n">
        <x:v>50</x:v>
      </x:c>
      <x:c r="G1060" s="26" t="n">
        <x:f>'成本明细'!U152+'成本明细'!G152*(E1060-'参数'!$B$6)</x:f>
        <x:v>2910.3537948661115</x:v>
      </x:c>
      <x:c r="H1060" s="26" t="n">
        <x:f>'成本明细'!U158</x:f>
        <x:v>4027.760423312777</x:v>
      </x:c>
      <x:c r="I1060" s="26" t="n">
        <x:f>'成本明细'!V158</x:f>
        <x:v>8285.5</x:v>
      </x:c>
      <x:c r="J1060" s="22" t="n">
        <x:f>'参数'!$B$9</x:f>
        <x:v>300</x:v>
      </x:c>
      <x:c r="K1060" s="26" t="n">
        <x:f>J1060*(G1060-H1060)-I1060*ROUNDUP(J1060/F1060,0)</x:f>
        <x:v>-384934.9885339997</x:v>
      </x:c>
      <x:c r="L1060" s="10" t="str">
        <x:f>IF(G1060-H1060&lt;=0,"未回本",IF(ROUNDUP(I1060/(G1060-H1060),0)&gt;MIN(F1060,J1060),"未回本",MAX(1,ROUNDUP(I1060/(G1060-H1060),0))))</x:f>
        <x:v>未回本</x:v>
      </x:c>
    </x:row>
    <x:row r="1061" ht="22" customHeight="1">
      <x:c r="A1061" s="11" t="str">
        <x:v>lade_0825_30aoi</x:v>
      </x:c>
      <x:c r="B1061" s="10" t="n">
        <x:v>30</x:v>
      </x:c>
      <x:c r="C1061" s="10" t="n">
        <x:v>44</x:v>
      </x:c>
      <x:c r="D1061" s="10" t="str">
        <x:v>M2 / M4</x:v>
      </x:c>
      <x:c r="E1061" s="16" t="n">
        <x:v>2</x:v>
      </x:c>
      <x:c r="F1061" s="14" t="n">
        <x:v>50</x:v>
      </x:c>
      <x:c r="G1061" s="26" t="n">
        <x:f>'成本明细'!U155+'成本明细'!G155*(E1061-'参数'!$B$6)</x:f>
        <x:v>2330.8442094744446</x:v>
      </x:c>
      <x:c r="H1061" s="26" t="n">
        <x:f>'成本明细'!U161</x:f>
        <x:v>3896.466895053333</x:v>
      </x:c>
      <x:c r="I1061" s="26" t="n">
        <x:f>'成本明细'!V161</x:f>
        <x:v>8285.5</x:v>
      </x:c>
      <x:c r="J1061" s="22" t="n">
        <x:f>'参数'!$B$9</x:f>
        <x:v>300</x:v>
      </x:c>
      <x:c r="K1061" s="26" t="n">
        <x:f>J1061*(G1061-H1061)-I1061*ROUNDUP(J1061/F1061,0)</x:f>
        <x:v>-519399.8056736665</x:v>
      </x:c>
      <x:c r="L1061" s="10" t="str">
        <x:f>IF(G1061-H1061&lt;=0,"未回本",IF(ROUNDUP(I1061/(G1061-H1061),0)&gt;MIN(F1061,J1061),"未回本",MAX(1,ROUNDUP(I1061/(G1061-H1061),0))))</x:f>
        <x:v>未回本</x:v>
      </x:c>
    </x:row>
    <x:row r="1062" ht="22" customHeight="1">
      <x:c r="A1062" s="11" t="str">
        <x:v>lade_0825_30aoi</x:v>
      </x:c>
      <x:c r="B1062" s="10" t="n">
        <x:v>30</x:v>
      </x:c>
      <x:c r="C1062" s="10" t="n">
        <x:v>44</x:v>
      </x:c>
      <x:c r="D1062" s="10" t="str">
        <x:v>M1 / M3</x:v>
      </x:c>
      <x:c r="E1062" s="16" t="n">
        <x:v>3</x:v>
      </x:c>
      <x:c r="F1062" s="14" t="n">
        <x:v>10</x:v>
      </x:c>
      <x:c r="G1062" s="26" t="n">
        <x:f>'成本明细'!U152+'成本明细'!G152*(E1062-'参数'!$B$6)</x:f>
        <x:v>3137.3537948661115</x:v>
      </x:c>
      <x:c r="H1062" s="26" t="n">
        <x:f>'成本明细'!U158</x:f>
        <x:v>4027.760423312777</x:v>
      </x:c>
      <x:c r="I1062" s="26" t="n">
        <x:f>'成本明细'!V158</x:f>
        <x:v>8285.5</x:v>
      </x:c>
      <x:c r="J1062" s="22" t="n">
        <x:f>'参数'!$B$9</x:f>
        <x:v>300</x:v>
      </x:c>
      <x:c r="K1062" s="26" t="n">
        <x:f>J1062*(G1062-H1062)-I1062*ROUNDUP(J1062/F1062,0)</x:f>
        <x:v>-515686.9885339997</x:v>
      </x:c>
      <x:c r="L1062" s="10" t="str">
        <x:f>IF(G1062-H1062&lt;=0,"未回本",IF(ROUNDUP(I1062/(G1062-H1062),0)&gt;MIN(F1062,J1062),"未回本",MAX(1,ROUNDUP(I1062/(G1062-H1062),0))))</x:f>
        <x:v>未回本</x:v>
      </x:c>
    </x:row>
    <x:row r="1063" ht="22" customHeight="1">
      <x:c r="A1063" s="11" t="str">
        <x:v>lade_0825_30aoi</x:v>
      </x:c>
      <x:c r="B1063" s="10" t="n">
        <x:v>30</x:v>
      </x:c>
      <x:c r="C1063" s="10" t="n">
        <x:v>44</x:v>
      </x:c>
      <x:c r="D1063" s="10" t="str">
        <x:v>M2 / M4</x:v>
      </x:c>
      <x:c r="E1063" s="16" t="n">
        <x:v>3</x:v>
      </x:c>
      <x:c r="F1063" s="14" t="n">
        <x:v>10</x:v>
      </x:c>
      <x:c r="G1063" s="26" t="n">
        <x:f>'成本明细'!U155+'成本明细'!G155*(E1063-'参数'!$B$6)</x:f>
        <x:v>2557.8442094744446</x:v>
      </x:c>
      <x:c r="H1063" s="26" t="n">
        <x:f>'成本明细'!U161</x:f>
        <x:v>3896.466895053333</x:v>
      </x:c>
      <x:c r="I1063" s="26" t="n">
        <x:f>'成本明细'!V161</x:f>
        <x:v>8285.5</x:v>
      </x:c>
      <x:c r="J1063" s="22" t="n">
        <x:f>'参数'!$B$9</x:f>
        <x:v>300</x:v>
      </x:c>
      <x:c r="K1063" s="26" t="n">
        <x:f>J1063*(G1063-H1063)-I1063*ROUNDUP(J1063/F1063,0)</x:f>
        <x:v>-650151.8056736665</x:v>
      </x:c>
      <x:c r="L1063" s="10" t="str">
        <x:f>IF(G1063-H1063&lt;=0,"未回本",IF(ROUNDUP(I1063/(G1063-H1063),0)&gt;MIN(F1063,J1063),"未回本",MAX(1,ROUNDUP(I1063/(G1063-H1063),0))))</x:f>
        <x:v>未回本</x:v>
      </x:c>
    </x:row>
    <x:row r="1064" ht="22" customHeight="1">
      <x:c r="A1064" s="11" t="str">
        <x:v>lade_0825_30aoi</x:v>
      </x:c>
      <x:c r="B1064" s="10" t="n">
        <x:v>30</x:v>
      </x:c>
      <x:c r="C1064" s="10" t="n">
        <x:v>44</x:v>
      </x:c>
      <x:c r="D1064" s="10" t="str">
        <x:v>M1 / M3</x:v>
      </x:c>
      <x:c r="E1064" s="16" t="n">
        <x:v>3</x:v>
      </x:c>
      <x:c r="F1064" s="14" t="n">
        <x:v>20</x:v>
      </x:c>
      <x:c r="G1064" s="26" t="n">
        <x:f>'成本明细'!U152+'成本明细'!G152*(E1064-'参数'!$B$6)</x:f>
        <x:v>3137.3537948661115</x:v>
      </x:c>
      <x:c r="H1064" s="26" t="n">
        <x:f>'成本明细'!U158</x:f>
        <x:v>4027.760423312777</x:v>
      </x:c>
      <x:c r="I1064" s="26" t="n">
        <x:f>'成本明细'!V158</x:f>
        <x:v>8285.5</x:v>
      </x:c>
      <x:c r="J1064" s="22" t="n">
        <x:f>'参数'!$B$9</x:f>
        <x:v>300</x:v>
      </x:c>
      <x:c r="K1064" s="26" t="n">
        <x:f>J1064*(G1064-H1064)-I1064*ROUNDUP(J1064/F1064,0)</x:f>
        <x:v>-391404.4885339997</x:v>
      </x:c>
      <x:c r="L1064" s="10" t="str">
        <x:f>IF(G1064-H1064&lt;=0,"未回本",IF(ROUNDUP(I1064/(G1064-H1064),0)&gt;MIN(F1064,J1064),"未回本",MAX(1,ROUNDUP(I1064/(G1064-H1064),0))))</x:f>
        <x:v>未回本</x:v>
      </x:c>
    </x:row>
    <x:row r="1065" ht="22" customHeight="1">
      <x:c r="A1065" s="11" t="str">
        <x:v>lade_0825_30aoi</x:v>
      </x:c>
      <x:c r="B1065" s="10" t="n">
        <x:v>30</x:v>
      </x:c>
      <x:c r="C1065" s="10" t="n">
        <x:v>44</x:v>
      </x:c>
      <x:c r="D1065" s="10" t="str">
        <x:v>M2 / M4</x:v>
      </x:c>
      <x:c r="E1065" s="16" t="n">
        <x:v>3</x:v>
      </x:c>
      <x:c r="F1065" s="14" t="n">
        <x:v>20</x:v>
      </x:c>
      <x:c r="G1065" s="26" t="n">
        <x:f>'成本明细'!U155+'成本明细'!G155*(E1065-'参数'!$B$6)</x:f>
        <x:v>2557.8442094744446</x:v>
      </x:c>
      <x:c r="H1065" s="26" t="n">
        <x:f>'成本明细'!U161</x:f>
        <x:v>3896.466895053333</x:v>
      </x:c>
      <x:c r="I1065" s="26" t="n">
        <x:f>'成本明细'!V161</x:f>
        <x:v>8285.5</x:v>
      </x:c>
      <x:c r="J1065" s="22" t="n">
        <x:f>'参数'!$B$9</x:f>
        <x:v>300</x:v>
      </x:c>
      <x:c r="K1065" s="26" t="n">
        <x:f>J1065*(G1065-H1065)-I1065*ROUNDUP(J1065/F1065,0)</x:f>
        <x:v>-525869.3056736665</x:v>
      </x:c>
      <x:c r="L1065" s="10" t="str">
        <x:f>IF(G1065-H1065&lt;=0,"未回本",IF(ROUNDUP(I1065/(G1065-H1065),0)&gt;MIN(F1065,J1065),"未回本",MAX(1,ROUNDUP(I1065/(G1065-H1065),0))))</x:f>
        <x:v>未回本</x:v>
      </x:c>
    </x:row>
    <x:row r="1066" ht="22" customHeight="1">
      <x:c r="A1066" s="11" t="str">
        <x:v>lade_0825_30aoi</x:v>
      </x:c>
      <x:c r="B1066" s="10" t="n">
        <x:v>30</x:v>
      </x:c>
      <x:c r="C1066" s="10" t="n">
        <x:v>44</x:v>
      </x:c>
      <x:c r="D1066" s="10" t="str">
        <x:v>M1 / M3</x:v>
      </x:c>
      <x:c r="E1066" s="16" t="n">
        <x:v>3</x:v>
      </x:c>
      <x:c r="F1066" s="14" t="n">
        <x:v>30</x:v>
      </x:c>
      <x:c r="G1066" s="26" t="n">
        <x:f>'成本明细'!U152+'成本明细'!G152*(E1066-'参数'!$B$6)</x:f>
        <x:v>3137.3537948661115</x:v>
      </x:c>
      <x:c r="H1066" s="26" t="n">
        <x:f>'成本明细'!U158</x:f>
        <x:v>4027.760423312777</x:v>
      </x:c>
      <x:c r="I1066" s="26" t="n">
        <x:f>'成本明细'!V158</x:f>
        <x:v>8285.5</x:v>
      </x:c>
      <x:c r="J1066" s="22" t="n">
        <x:f>'参数'!$B$9</x:f>
        <x:v>300</x:v>
      </x:c>
      <x:c r="K1066" s="26" t="n">
        <x:f>J1066*(G1066-H1066)-I1066*ROUNDUP(J1066/F1066,0)</x:f>
        <x:v>-349976.9885339997</x:v>
      </x:c>
      <x:c r="L1066" s="10" t="str">
        <x:f>IF(G1066-H1066&lt;=0,"未回本",IF(ROUNDUP(I1066/(G1066-H1066),0)&gt;MIN(F1066,J1066),"未回本",MAX(1,ROUNDUP(I1066/(G1066-H1066),0))))</x:f>
        <x:v>未回本</x:v>
      </x:c>
    </x:row>
    <x:row r="1067" ht="22" customHeight="1">
      <x:c r="A1067" s="11" t="str">
        <x:v>lade_0825_30aoi</x:v>
      </x:c>
      <x:c r="B1067" s="10" t="n">
        <x:v>30</x:v>
      </x:c>
      <x:c r="C1067" s="10" t="n">
        <x:v>44</x:v>
      </x:c>
      <x:c r="D1067" s="10" t="str">
        <x:v>M2 / M4</x:v>
      </x:c>
      <x:c r="E1067" s="16" t="n">
        <x:v>3</x:v>
      </x:c>
      <x:c r="F1067" s="14" t="n">
        <x:v>30</x:v>
      </x:c>
      <x:c r="G1067" s="26" t="n">
        <x:f>'成本明细'!U155+'成本明细'!G155*(E1067-'参数'!$B$6)</x:f>
        <x:v>2557.8442094744446</x:v>
      </x:c>
      <x:c r="H1067" s="26" t="n">
        <x:f>'成本明细'!U161</x:f>
        <x:v>3896.466895053333</x:v>
      </x:c>
      <x:c r="I1067" s="26" t="n">
        <x:f>'成本明细'!V161</x:f>
        <x:v>8285.5</x:v>
      </x:c>
      <x:c r="J1067" s="22" t="n">
        <x:f>'参数'!$B$9</x:f>
        <x:v>300</x:v>
      </x:c>
      <x:c r="K1067" s="26" t="n">
        <x:f>J1067*(G1067-H1067)-I1067*ROUNDUP(J1067/F1067,0)</x:f>
        <x:v>-484441.8056736665</x:v>
      </x:c>
      <x:c r="L1067" s="10" t="str">
        <x:f>IF(G1067-H1067&lt;=0,"未回本",IF(ROUNDUP(I1067/(G1067-H1067),0)&gt;MIN(F1067,J1067),"未回本",MAX(1,ROUNDUP(I1067/(G1067-H1067),0))))</x:f>
        <x:v>未回本</x:v>
      </x:c>
    </x:row>
    <x:row r="1068" ht="22" customHeight="1">
      <x:c r="A1068" s="11" t="str">
        <x:v>lade_0825_30aoi</x:v>
      </x:c>
      <x:c r="B1068" s="10" t="n">
        <x:v>30</x:v>
      </x:c>
      <x:c r="C1068" s="10" t="n">
        <x:v>44</x:v>
      </x:c>
      <x:c r="D1068" s="10" t="str">
        <x:v>M1 / M3</x:v>
      </x:c>
      <x:c r="E1068" s="16" t="n">
        <x:v>3</x:v>
      </x:c>
      <x:c r="F1068" s="14" t="n">
        <x:v>50</x:v>
      </x:c>
      <x:c r="G1068" s="26" t="n">
        <x:f>'成本明细'!U152+'成本明细'!G152*(E1068-'参数'!$B$6)</x:f>
        <x:v>3137.3537948661115</x:v>
      </x:c>
      <x:c r="H1068" s="26" t="n">
        <x:f>'成本明细'!U158</x:f>
        <x:v>4027.760423312777</x:v>
      </x:c>
      <x:c r="I1068" s="26" t="n">
        <x:f>'成本明细'!V158</x:f>
        <x:v>8285.5</x:v>
      </x:c>
      <x:c r="J1068" s="22" t="n">
        <x:f>'参数'!$B$9</x:f>
        <x:v>300</x:v>
      </x:c>
      <x:c r="K1068" s="26" t="n">
        <x:f>J1068*(G1068-H1068)-I1068*ROUNDUP(J1068/F1068,0)</x:f>
        <x:v>-316834.9885339997</x:v>
      </x:c>
      <x:c r="L1068" s="10" t="str">
        <x:f>IF(G1068-H1068&lt;=0,"未回本",IF(ROUNDUP(I1068/(G1068-H1068),0)&gt;MIN(F1068,J1068),"未回本",MAX(1,ROUNDUP(I1068/(G1068-H1068),0))))</x:f>
        <x:v>未回本</x:v>
      </x:c>
    </x:row>
    <x:row r="1069" ht="22" customHeight="1">
      <x:c r="A1069" s="11" t="str">
        <x:v>lade_0825_30aoi</x:v>
      </x:c>
      <x:c r="B1069" s="10" t="n">
        <x:v>30</x:v>
      </x:c>
      <x:c r="C1069" s="10" t="n">
        <x:v>44</x:v>
      </x:c>
      <x:c r="D1069" s="10" t="str">
        <x:v>M2 / M4</x:v>
      </x:c>
      <x:c r="E1069" s="16" t="n">
        <x:v>3</x:v>
      </x:c>
      <x:c r="F1069" s="14" t="n">
        <x:v>50</x:v>
      </x:c>
      <x:c r="G1069" s="26" t="n">
        <x:f>'成本明细'!U155+'成本明细'!G155*(E1069-'参数'!$B$6)</x:f>
        <x:v>2557.8442094744446</x:v>
      </x:c>
      <x:c r="H1069" s="26" t="n">
        <x:f>'成本明细'!U161</x:f>
        <x:v>3896.466895053333</x:v>
      </x:c>
      <x:c r="I1069" s="26" t="n">
        <x:f>'成本明细'!V161</x:f>
        <x:v>8285.5</x:v>
      </x:c>
      <x:c r="J1069" s="22" t="n">
        <x:f>'参数'!$B$9</x:f>
        <x:v>300</x:v>
      </x:c>
      <x:c r="K1069" s="26" t="n">
        <x:f>J1069*(G1069-H1069)-I1069*ROUNDUP(J1069/F1069,0)</x:f>
        <x:v>-451299.8056736665</x:v>
      </x:c>
      <x:c r="L1069" s="10" t="str">
        <x:f>IF(G1069-H1069&lt;=0,"未回本",IF(ROUNDUP(I1069/(G1069-H1069),0)&gt;MIN(F1069,J1069),"未回本",MAX(1,ROUNDUP(I1069/(G1069-H1069),0))))</x:f>
        <x:v>未回本</x:v>
      </x:c>
    </x:row>
    <x:row r="1070" ht="22" customHeight="1">
      <x:c r="A1070" s="11" t="str">
        <x:v>lade_0825_30aoi</x:v>
      </x:c>
      <x:c r="B1070" s="10" t="n">
        <x:v>30</x:v>
      </x:c>
      <x:c r="C1070" s="10" t="n">
        <x:v>44</x:v>
      </x:c>
      <x:c r="D1070" s="10" t="str">
        <x:v>M1 / M3</x:v>
      </x:c>
      <x:c r="E1070" s="16" t="n">
        <x:v>4</x:v>
      </x:c>
      <x:c r="F1070" s="14" t="n">
        <x:v>10</x:v>
      </x:c>
      <x:c r="G1070" s="26" t="n">
        <x:f>'成本明细'!U152+'成本明细'!G152*(E1070-'参数'!$B$6)</x:f>
        <x:v>3364.3537948661115</x:v>
      </x:c>
      <x:c r="H1070" s="26" t="n">
        <x:f>'成本明细'!U158</x:f>
        <x:v>4027.760423312777</x:v>
      </x:c>
      <x:c r="I1070" s="26" t="n">
        <x:f>'成本明细'!V158</x:f>
        <x:v>8285.5</x:v>
      </x:c>
      <x:c r="J1070" s="22" t="n">
        <x:f>'参数'!$B$9</x:f>
        <x:v>300</x:v>
      </x:c>
      <x:c r="K1070" s="26" t="n">
        <x:f>J1070*(G1070-H1070)-I1070*ROUNDUP(J1070/F1070,0)</x:f>
        <x:v>-447586.98853399977</x:v>
      </x:c>
      <x:c r="L1070" s="10" t="str">
        <x:f>IF(G1070-H1070&lt;=0,"未回本",IF(ROUNDUP(I1070/(G1070-H1070),0)&gt;MIN(F1070,J1070),"未回本",MAX(1,ROUNDUP(I1070/(G1070-H1070),0))))</x:f>
        <x:v>未回本</x:v>
      </x:c>
    </x:row>
    <x:row r="1071" ht="22" customHeight="1">
      <x:c r="A1071" s="11" t="str">
        <x:v>lade_0825_30aoi</x:v>
      </x:c>
      <x:c r="B1071" s="10" t="n">
        <x:v>30</x:v>
      </x:c>
      <x:c r="C1071" s="10" t="n">
        <x:v>44</x:v>
      </x:c>
      <x:c r="D1071" s="10" t="str">
        <x:v>M2 / M4</x:v>
      </x:c>
      <x:c r="E1071" s="16" t="n">
        <x:v>4</x:v>
      </x:c>
      <x:c r="F1071" s="14" t="n">
        <x:v>10</x:v>
      </x:c>
      <x:c r="G1071" s="26" t="n">
        <x:f>'成本明细'!U155+'成本明细'!G155*(E1071-'参数'!$B$6)</x:f>
        <x:v>2784.8442094744446</x:v>
      </x:c>
      <x:c r="H1071" s="26" t="n">
        <x:f>'成本明细'!U161</x:f>
        <x:v>3896.466895053333</x:v>
      </x:c>
      <x:c r="I1071" s="26" t="n">
        <x:f>'成本明细'!V161</x:f>
        <x:v>8285.5</x:v>
      </x:c>
      <x:c r="J1071" s="22" t="n">
        <x:f>'参数'!$B$9</x:f>
        <x:v>300</x:v>
      </x:c>
      <x:c r="K1071" s="26" t="n">
        <x:f>J1071*(G1071-H1071)-I1071*ROUNDUP(J1071/F1071,0)</x:f>
        <x:v>-582051.8056736665</x:v>
      </x:c>
      <x:c r="L1071" s="10" t="str">
        <x:f>IF(G1071-H1071&lt;=0,"未回本",IF(ROUNDUP(I1071/(G1071-H1071),0)&gt;MIN(F1071,J1071),"未回本",MAX(1,ROUNDUP(I1071/(G1071-H1071),0))))</x:f>
        <x:v>未回本</x:v>
      </x:c>
    </x:row>
    <x:row r="1072" ht="22" customHeight="1">
      <x:c r="A1072" s="11" t="str">
        <x:v>lade_0825_30aoi</x:v>
      </x:c>
      <x:c r="B1072" s="10" t="n">
        <x:v>30</x:v>
      </x:c>
      <x:c r="C1072" s="10" t="n">
        <x:v>44</x:v>
      </x:c>
      <x:c r="D1072" s="10" t="str">
        <x:v>M1 / M3</x:v>
      </x:c>
      <x:c r="E1072" s="16" t="n">
        <x:v>4</x:v>
      </x:c>
      <x:c r="F1072" s="14" t="n">
        <x:v>20</x:v>
      </x:c>
      <x:c r="G1072" s="26" t="n">
        <x:f>'成本明细'!U152+'成本明细'!G152*(E1072-'参数'!$B$6)</x:f>
        <x:v>3364.3537948661115</x:v>
      </x:c>
      <x:c r="H1072" s="26" t="n">
        <x:f>'成本明细'!U158</x:f>
        <x:v>4027.760423312777</x:v>
      </x:c>
      <x:c r="I1072" s="26" t="n">
        <x:f>'成本明细'!V158</x:f>
        <x:v>8285.5</x:v>
      </x:c>
      <x:c r="J1072" s="22" t="n">
        <x:f>'参数'!$B$9</x:f>
        <x:v>300</x:v>
      </x:c>
      <x:c r="K1072" s="26" t="n">
        <x:f>J1072*(G1072-H1072)-I1072*ROUNDUP(J1072/F1072,0)</x:f>
        <x:v>-323304.48853399977</x:v>
      </x:c>
      <x:c r="L1072" s="10" t="str">
        <x:f>IF(G1072-H1072&lt;=0,"未回本",IF(ROUNDUP(I1072/(G1072-H1072),0)&gt;MIN(F1072,J1072),"未回本",MAX(1,ROUNDUP(I1072/(G1072-H1072),0))))</x:f>
        <x:v>未回本</x:v>
      </x:c>
    </x:row>
    <x:row r="1073" ht="22" customHeight="1">
      <x:c r="A1073" s="11" t="str">
        <x:v>lade_0825_30aoi</x:v>
      </x:c>
      <x:c r="B1073" s="10" t="n">
        <x:v>30</x:v>
      </x:c>
      <x:c r="C1073" s="10" t="n">
        <x:v>44</x:v>
      </x:c>
      <x:c r="D1073" s="10" t="str">
        <x:v>M2 / M4</x:v>
      </x:c>
      <x:c r="E1073" s="16" t="n">
        <x:v>4</x:v>
      </x:c>
      <x:c r="F1073" s="14" t="n">
        <x:v>20</x:v>
      </x:c>
      <x:c r="G1073" s="26" t="n">
        <x:f>'成本明细'!U155+'成本明细'!G155*(E1073-'参数'!$B$6)</x:f>
        <x:v>2784.8442094744446</x:v>
      </x:c>
      <x:c r="H1073" s="26" t="n">
        <x:f>'成本明细'!U161</x:f>
        <x:v>3896.466895053333</x:v>
      </x:c>
      <x:c r="I1073" s="26" t="n">
        <x:f>'成本明细'!V161</x:f>
        <x:v>8285.5</x:v>
      </x:c>
      <x:c r="J1073" s="22" t="n">
        <x:f>'参数'!$B$9</x:f>
        <x:v>300</x:v>
      </x:c>
      <x:c r="K1073" s="26" t="n">
        <x:f>J1073*(G1073-H1073)-I1073*ROUNDUP(J1073/F1073,0)</x:f>
        <x:v>-457769.3056736665</x:v>
      </x:c>
      <x:c r="L1073" s="10" t="str">
        <x:f>IF(G1073-H1073&lt;=0,"未回本",IF(ROUNDUP(I1073/(G1073-H1073),0)&gt;MIN(F1073,J1073),"未回本",MAX(1,ROUNDUP(I1073/(G1073-H1073),0))))</x:f>
        <x:v>未回本</x:v>
      </x:c>
    </x:row>
    <x:row r="1074" ht="22" customHeight="1">
      <x:c r="A1074" s="11" t="str">
        <x:v>lade_0825_30aoi</x:v>
      </x:c>
      <x:c r="B1074" s="10" t="n">
        <x:v>30</x:v>
      </x:c>
      <x:c r="C1074" s="10" t="n">
        <x:v>44</x:v>
      </x:c>
      <x:c r="D1074" s="10" t="str">
        <x:v>M1 / M3</x:v>
      </x:c>
      <x:c r="E1074" s="16" t="n">
        <x:v>4</x:v>
      </x:c>
      <x:c r="F1074" s="14" t="n">
        <x:v>30</x:v>
      </x:c>
      <x:c r="G1074" s="26" t="n">
        <x:f>'成本明细'!U152+'成本明细'!G152*(E1074-'参数'!$B$6)</x:f>
        <x:v>3364.3537948661115</x:v>
      </x:c>
      <x:c r="H1074" s="26" t="n">
        <x:f>'成本明细'!U158</x:f>
        <x:v>4027.760423312777</x:v>
      </x:c>
      <x:c r="I1074" s="26" t="n">
        <x:f>'成本明细'!V158</x:f>
        <x:v>8285.5</x:v>
      </x:c>
      <x:c r="J1074" s="22" t="n">
        <x:f>'参数'!$B$9</x:f>
        <x:v>300</x:v>
      </x:c>
      <x:c r="K1074" s="26" t="n">
        <x:f>J1074*(G1074-H1074)-I1074*ROUNDUP(J1074/F1074,0)</x:f>
        <x:v>-281876.98853399977</x:v>
      </x:c>
      <x:c r="L1074" s="10" t="str">
        <x:f>IF(G1074-H1074&lt;=0,"未回本",IF(ROUNDUP(I1074/(G1074-H1074),0)&gt;MIN(F1074,J1074),"未回本",MAX(1,ROUNDUP(I1074/(G1074-H1074),0))))</x:f>
        <x:v>未回本</x:v>
      </x:c>
    </x:row>
    <x:row r="1075" ht="22" customHeight="1">
      <x:c r="A1075" s="11" t="str">
        <x:v>lade_0825_30aoi</x:v>
      </x:c>
      <x:c r="B1075" s="10" t="n">
        <x:v>30</x:v>
      </x:c>
      <x:c r="C1075" s="10" t="n">
        <x:v>44</x:v>
      </x:c>
      <x:c r="D1075" s="10" t="str">
        <x:v>M2 / M4</x:v>
      </x:c>
      <x:c r="E1075" s="16" t="n">
        <x:v>4</x:v>
      </x:c>
      <x:c r="F1075" s="14" t="n">
        <x:v>30</x:v>
      </x:c>
      <x:c r="G1075" s="26" t="n">
        <x:f>'成本明细'!U155+'成本明细'!G155*(E1075-'参数'!$B$6)</x:f>
        <x:v>2784.8442094744446</x:v>
      </x:c>
      <x:c r="H1075" s="26" t="n">
        <x:f>'成本明细'!U161</x:f>
        <x:v>3896.466895053333</x:v>
      </x:c>
      <x:c r="I1075" s="26" t="n">
        <x:f>'成本明细'!V161</x:f>
        <x:v>8285.5</x:v>
      </x:c>
      <x:c r="J1075" s="22" t="n">
        <x:f>'参数'!$B$9</x:f>
        <x:v>300</x:v>
      </x:c>
      <x:c r="K1075" s="26" t="n">
        <x:f>J1075*(G1075-H1075)-I1075*ROUNDUP(J1075/F1075,0)</x:f>
        <x:v>-416341.8056736665</x:v>
      </x:c>
      <x:c r="L1075" s="10" t="str">
        <x:f>IF(G1075-H1075&lt;=0,"未回本",IF(ROUNDUP(I1075/(G1075-H1075),0)&gt;MIN(F1075,J1075),"未回本",MAX(1,ROUNDUP(I1075/(G1075-H1075),0))))</x:f>
        <x:v>未回本</x:v>
      </x:c>
    </x:row>
    <x:row r="1076" ht="22" customHeight="1">
      <x:c r="A1076" s="11" t="str">
        <x:v>lade_0825_30aoi</x:v>
      </x:c>
      <x:c r="B1076" s="10" t="n">
        <x:v>30</x:v>
      </x:c>
      <x:c r="C1076" s="10" t="n">
        <x:v>44</x:v>
      </x:c>
      <x:c r="D1076" s="10" t="str">
        <x:v>M1 / M3</x:v>
      </x:c>
      <x:c r="E1076" s="16" t="n">
        <x:v>4</x:v>
      </x:c>
      <x:c r="F1076" s="14" t="n">
        <x:v>50</x:v>
      </x:c>
      <x:c r="G1076" s="26" t="n">
        <x:f>'成本明细'!U152+'成本明细'!G152*(E1076-'参数'!$B$6)</x:f>
        <x:v>3364.3537948661115</x:v>
      </x:c>
      <x:c r="H1076" s="26" t="n">
        <x:f>'成本明细'!U158</x:f>
        <x:v>4027.760423312777</x:v>
      </x:c>
      <x:c r="I1076" s="26" t="n">
        <x:f>'成本明细'!V158</x:f>
        <x:v>8285.5</x:v>
      </x:c>
      <x:c r="J1076" s="22" t="n">
        <x:f>'参数'!$B$9</x:f>
        <x:v>300</x:v>
      </x:c>
      <x:c r="K1076" s="26" t="n">
        <x:f>J1076*(G1076-H1076)-I1076*ROUNDUP(J1076/F1076,0)</x:f>
        <x:v>-248734.98853399974</x:v>
      </x:c>
      <x:c r="L1076" s="10" t="str">
        <x:f>IF(G1076-H1076&lt;=0,"未回本",IF(ROUNDUP(I1076/(G1076-H1076),0)&gt;MIN(F1076,J1076),"未回本",MAX(1,ROUNDUP(I1076/(G1076-H1076),0))))</x:f>
        <x:v>未回本</x:v>
      </x:c>
    </x:row>
    <x:row r="1077" ht="22" customHeight="1">
      <x:c r="A1077" s="11" t="str">
        <x:v>lade_0825_30aoi</x:v>
      </x:c>
      <x:c r="B1077" s="10" t="n">
        <x:v>30</x:v>
      </x:c>
      <x:c r="C1077" s="10" t="n">
        <x:v>44</x:v>
      </x:c>
      <x:c r="D1077" s="10" t="str">
        <x:v>M2 / M4</x:v>
      </x:c>
      <x:c r="E1077" s="16" t="n">
        <x:v>4</x:v>
      </x:c>
      <x:c r="F1077" s="14" t="n">
        <x:v>50</x:v>
      </x:c>
      <x:c r="G1077" s="26" t="n">
        <x:f>'成本明细'!U155+'成本明细'!G155*(E1077-'参数'!$B$6)</x:f>
        <x:v>2784.8442094744446</x:v>
      </x:c>
      <x:c r="H1077" s="26" t="n">
        <x:f>'成本明细'!U161</x:f>
        <x:v>3896.466895053333</x:v>
      </x:c>
      <x:c r="I1077" s="26" t="n">
        <x:f>'成本明细'!V161</x:f>
        <x:v>8285.5</x:v>
      </x:c>
      <x:c r="J1077" s="22" t="n">
        <x:f>'参数'!$B$9</x:f>
        <x:v>300</x:v>
      </x:c>
      <x:c r="K1077" s="26" t="n">
        <x:f>J1077*(G1077-H1077)-I1077*ROUNDUP(J1077/F1077,0)</x:f>
        <x:v>-383199.8056736665</x:v>
      </x:c>
      <x:c r="L1077" s="10" t="str">
        <x:f>IF(G1077-H1077&lt;=0,"未回本",IF(ROUNDUP(I1077/(G1077-H1077),0)&gt;MIN(F1077,J1077),"未回本",MAX(1,ROUNDUP(I1077/(G1077-H1077),0))))</x:f>
        <x:v>未回本</x:v>
      </x:c>
    </x:row>
    <x:row r="1078" ht="22" customHeight="1">
      <x:c r="A1078" s="11" t="str">
        <x:v>lade_0825_30aoi</x:v>
      </x:c>
      <x:c r="B1078" s="10" t="n">
        <x:v>30</x:v>
      </x:c>
      <x:c r="C1078" s="10" t="n">
        <x:v>44</x:v>
      </x:c>
      <x:c r="D1078" s="10" t="str">
        <x:v>M1 / M3</x:v>
      </x:c>
      <x:c r="E1078" s="16" t="n">
        <x:v>5</x:v>
      </x:c>
      <x:c r="F1078" s="14" t="n">
        <x:v>10</x:v>
      </x:c>
      <x:c r="G1078" s="26" t="n">
        <x:f>'成本明细'!U152+'成本明细'!G152*(E1078-'参数'!$B$6)</x:f>
        <x:v>3591.3537948661115</x:v>
      </x:c>
      <x:c r="H1078" s="26" t="n">
        <x:f>'成本明细'!U158</x:f>
        <x:v>4027.760423312777</x:v>
      </x:c>
      <x:c r="I1078" s="26" t="n">
        <x:f>'成本明细'!V158</x:f>
        <x:v>8285.5</x:v>
      </x:c>
      <x:c r="J1078" s="22" t="n">
        <x:f>'参数'!$B$9</x:f>
        <x:v>300</x:v>
      </x:c>
      <x:c r="K1078" s="26" t="n">
        <x:f>J1078*(G1078-H1078)-I1078*ROUNDUP(J1078/F1078,0)</x:f>
        <x:v>-379486.9885339997</x:v>
      </x:c>
      <x:c r="L1078" s="10" t="str">
        <x:f>IF(G1078-H1078&lt;=0,"未回本",IF(ROUNDUP(I1078/(G1078-H1078),0)&gt;MIN(F1078,J1078),"未回本",MAX(1,ROUNDUP(I1078/(G1078-H1078),0))))</x:f>
        <x:v>未回本</x:v>
      </x:c>
    </x:row>
    <x:row r="1079" ht="22" customHeight="1">
      <x:c r="A1079" s="11" t="str">
        <x:v>lade_0825_30aoi</x:v>
      </x:c>
      <x:c r="B1079" s="10" t="n">
        <x:v>30</x:v>
      </x:c>
      <x:c r="C1079" s="10" t="n">
        <x:v>44</x:v>
      </x:c>
      <x:c r="D1079" s="10" t="str">
        <x:v>M2 / M4</x:v>
      </x:c>
      <x:c r="E1079" s="16" t="n">
        <x:v>5</x:v>
      </x:c>
      <x:c r="F1079" s="14" t="n">
        <x:v>10</x:v>
      </x:c>
      <x:c r="G1079" s="26" t="n">
        <x:f>'成本明细'!U155+'成本明细'!G155*(E1079-'参数'!$B$6)</x:f>
        <x:v>3011.8442094744446</x:v>
      </x:c>
      <x:c r="H1079" s="26" t="n">
        <x:f>'成本明细'!U161</x:f>
        <x:v>3896.466895053333</x:v>
      </x:c>
      <x:c r="I1079" s="26" t="n">
        <x:f>'成本明细'!V161</x:f>
        <x:v>8285.5</x:v>
      </x:c>
      <x:c r="J1079" s="22" t="n">
        <x:f>'参数'!$B$9</x:f>
        <x:v>300</x:v>
      </x:c>
      <x:c r="K1079" s="26" t="n">
        <x:f>J1079*(G1079-H1079)-I1079*ROUNDUP(J1079/F1079,0)</x:f>
        <x:v>-513951.8056736665</x:v>
      </x:c>
      <x:c r="L1079" s="10" t="str">
        <x:f>IF(G1079-H1079&lt;=0,"未回本",IF(ROUNDUP(I1079/(G1079-H1079),0)&gt;MIN(F1079,J1079),"未回本",MAX(1,ROUNDUP(I1079/(G1079-H1079),0))))</x:f>
        <x:v>未回本</x:v>
      </x:c>
    </x:row>
    <x:row r="1080" ht="22" customHeight="1">
      <x:c r="A1080" s="11" t="str">
        <x:v>lade_0825_30aoi</x:v>
      </x:c>
      <x:c r="B1080" s="10" t="n">
        <x:v>30</x:v>
      </x:c>
      <x:c r="C1080" s="10" t="n">
        <x:v>44</x:v>
      </x:c>
      <x:c r="D1080" s="10" t="str">
        <x:v>M1 / M3</x:v>
      </x:c>
      <x:c r="E1080" s="16" t="n">
        <x:v>5</x:v>
      </x:c>
      <x:c r="F1080" s="14" t="n">
        <x:v>20</x:v>
      </x:c>
      <x:c r="G1080" s="26" t="n">
        <x:f>'成本明细'!U152+'成本明细'!G152*(E1080-'参数'!$B$6)</x:f>
        <x:v>3591.3537948661115</x:v>
      </x:c>
      <x:c r="H1080" s="26" t="n">
        <x:f>'成本明细'!U158</x:f>
        <x:v>4027.760423312777</x:v>
      </x:c>
      <x:c r="I1080" s="26" t="n">
        <x:f>'成本明细'!V158</x:f>
        <x:v>8285.5</x:v>
      </x:c>
      <x:c r="J1080" s="22" t="n">
        <x:f>'参数'!$B$9</x:f>
        <x:v>300</x:v>
      </x:c>
      <x:c r="K1080" s="26" t="n">
        <x:f>J1080*(G1080-H1080)-I1080*ROUNDUP(J1080/F1080,0)</x:f>
        <x:v>-255204.4885339997</x:v>
      </x:c>
      <x:c r="L1080" s="10" t="str">
        <x:f>IF(G1080-H1080&lt;=0,"未回本",IF(ROUNDUP(I1080/(G1080-H1080),0)&gt;MIN(F1080,J1080),"未回本",MAX(1,ROUNDUP(I1080/(G1080-H1080),0))))</x:f>
        <x:v>未回本</x:v>
      </x:c>
    </x:row>
    <x:row r="1081" ht="22" customHeight="1">
      <x:c r="A1081" s="11" t="str">
        <x:v>lade_0825_30aoi</x:v>
      </x:c>
      <x:c r="B1081" s="10" t="n">
        <x:v>30</x:v>
      </x:c>
      <x:c r="C1081" s="10" t="n">
        <x:v>44</x:v>
      </x:c>
      <x:c r="D1081" s="10" t="str">
        <x:v>M2 / M4</x:v>
      </x:c>
      <x:c r="E1081" s="16" t="n">
        <x:v>5</x:v>
      </x:c>
      <x:c r="F1081" s="14" t="n">
        <x:v>20</x:v>
      </x:c>
      <x:c r="G1081" s="26" t="n">
        <x:f>'成本明细'!U155+'成本明细'!G155*(E1081-'参数'!$B$6)</x:f>
        <x:v>3011.8442094744446</x:v>
      </x:c>
      <x:c r="H1081" s="26" t="n">
        <x:f>'成本明细'!U161</x:f>
        <x:v>3896.466895053333</x:v>
      </x:c>
      <x:c r="I1081" s="26" t="n">
        <x:f>'成本明细'!V161</x:f>
        <x:v>8285.5</x:v>
      </x:c>
      <x:c r="J1081" s="22" t="n">
        <x:f>'参数'!$B$9</x:f>
        <x:v>300</x:v>
      </x:c>
      <x:c r="K1081" s="26" t="n">
        <x:f>J1081*(G1081-H1081)-I1081*ROUNDUP(J1081/F1081,0)</x:f>
        <x:v>-389669.3056736665</x:v>
      </x:c>
      <x:c r="L1081" s="10" t="str">
        <x:f>IF(G1081-H1081&lt;=0,"未回本",IF(ROUNDUP(I1081/(G1081-H1081),0)&gt;MIN(F1081,J1081),"未回本",MAX(1,ROUNDUP(I1081/(G1081-H1081),0))))</x:f>
        <x:v>未回本</x:v>
      </x:c>
    </x:row>
    <x:row r="1082" ht="22" customHeight="1">
      <x:c r="A1082" s="11" t="str">
        <x:v>lade_0825_30aoi</x:v>
      </x:c>
      <x:c r="B1082" s="10" t="n">
        <x:v>30</x:v>
      </x:c>
      <x:c r="C1082" s="10" t="n">
        <x:v>44</x:v>
      </x:c>
      <x:c r="D1082" s="10" t="str">
        <x:v>M1 / M3</x:v>
      </x:c>
      <x:c r="E1082" s="16" t="n">
        <x:v>5</x:v>
      </x:c>
      <x:c r="F1082" s="14" t="n">
        <x:v>30</x:v>
      </x:c>
      <x:c r="G1082" s="26" t="n">
        <x:f>'成本明细'!U152+'成本明细'!G152*(E1082-'参数'!$B$6)</x:f>
        <x:v>3591.3537948661115</x:v>
      </x:c>
      <x:c r="H1082" s="26" t="n">
        <x:f>'成本明细'!U158</x:f>
        <x:v>4027.760423312777</x:v>
      </x:c>
      <x:c r="I1082" s="26" t="n">
        <x:f>'成本明细'!V158</x:f>
        <x:v>8285.5</x:v>
      </x:c>
      <x:c r="J1082" s="22" t="n">
        <x:f>'参数'!$B$9</x:f>
        <x:v>300</x:v>
      </x:c>
      <x:c r="K1082" s="26" t="n">
        <x:f>J1082*(G1082-H1082)-I1082*ROUNDUP(J1082/F1082,0)</x:f>
        <x:v>-213776.9885339997</x:v>
      </x:c>
      <x:c r="L1082" s="10" t="str">
        <x:f>IF(G1082-H1082&lt;=0,"未回本",IF(ROUNDUP(I1082/(G1082-H1082),0)&gt;MIN(F1082,J1082),"未回本",MAX(1,ROUNDUP(I1082/(G1082-H1082),0))))</x:f>
        <x:v>未回本</x:v>
      </x:c>
    </x:row>
    <x:row r="1083" ht="22" customHeight="1">
      <x:c r="A1083" s="11" t="str">
        <x:v>lade_0825_30aoi</x:v>
      </x:c>
      <x:c r="B1083" s="10" t="n">
        <x:v>30</x:v>
      </x:c>
      <x:c r="C1083" s="10" t="n">
        <x:v>44</x:v>
      </x:c>
      <x:c r="D1083" s="10" t="str">
        <x:v>M2 / M4</x:v>
      </x:c>
      <x:c r="E1083" s="16" t="n">
        <x:v>5</x:v>
      </x:c>
      <x:c r="F1083" s="14" t="n">
        <x:v>30</x:v>
      </x:c>
      <x:c r="G1083" s="26" t="n">
        <x:f>'成本明细'!U155+'成本明细'!G155*(E1083-'参数'!$B$6)</x:f>
        <x:v>3011.8442094744446</x:v>
      </x:c>
      <x:c r="H1083" s="26" t="n">
        <x:f>'成本明细'!U161</x:f>
        <x:v>3896.466895053333</x:v>
      </x:c>
      <x:c r="I1083" s="26" t="n">
        <x:f>'成本明细'!V161</x:f>
        <x:v>8285.5</x:v>
      </x:c>
      <x:c r="J1083" s="22" t="n">
        <x:f>'参数'!$B$9</x:f>
        <x:v>300</x:v>
      </x:c>
      <x:c r="K1083" s="26" t="n">
        <x:f>J1083*(G1083-H1083)-I1083*ROUNDUP(J1083/F1083,0)</x:f>
        <x:v>-348241.8056736665</x:v>
      </x:c>
      <x:c r="L1083" s="10" t="str">
        <x:f>IF(G1083-H1083&lt;=0,"未回本",IF(ROUNDUP(I1083/(G1083-H1083),0)&gt;MIN(F1083,J1083),"未回本",MAX(1,ROUNDUP(I1083/(G1083-H1083),0))))</x:f>
        <x:v>未回本</x:v>
      </x:c>
    </x:row>
    <x:row r="1084" ht="22" customHeight="1">
      <x:c r="A1084" s="11" t="str">
        <x:v>lade_0825_30aoi</x:v>
      </x:c>
      <x:c r="B1084" s="10" t="n">
        <x:v>30</x:v>
      </x:c>
      <x:c r="C1084" s="10" t="n">
        <x:v>44</x:v>
      </x:c>
      <x:c r="D1084" s="10" t="str">
        <x:v>M1 / M3</x:v>
      </x:c>
      <x:c r="E1084" s="16" t="n">
        <x:v>5</x:v>
      </x:c>
      <x:c r="F1084" s="14" t="n">
        <x:v>50</x:v>
      </x:c>
      <x:c r="G1084" s="26" t="n">
        <x:f>'成本明细'!U152+'成本明细'!G152*(E1084-'参数'!$B$6)</x:f>
        <x:v>3591.3537948661115</x:v>
      </x:c>
      <x:c r="H1084" s="26" t="n">
        <x:f>'成本明细'!U158</x:f>
        <x:v>4027.760423312777</x:v>
      </x:c>
      <x:c r="I1084" s="26" t="n">
        <x:f>'成本明细'!V158</x:f>
        <x:v>8285.5</x:v>
      </x:c>
      <x:c r="J1084" s="22" t="n">
        <x:f>'参数'!$B$9</x:f>
        <x:v>300</x:v>
      </x:c>
      <x:c r="K1084" s="26" t="n">
        <x:f>J1084*(G1084-H1084)-I1084*ROUNDUP(J1084/F1084,0)</x:f>
        <x:v>-180634.9885339997</x:v>
      </x:c>
      <x:c r="L1084" s="10" t="str">
        <x:f>IF(G1084-H1084&lt;=0,"未回本",IF(ROUNDUP(I1084/(G1084-H1084),0)&gt;MIN(F1084,J1084),"未回本",MAX(1,ROUNDUP(I1084/(G1084-H1084),0))))</x:f>
        <x:v>未回本</x:v>
      </x:c>
    </x:row>
    <x:row r="1085" ht="22" customHeight="1">
      <x:c r="A1085" s="11" t="str">
        <x:v>lade_0825_30aoi</x:v>
      </x:c>
      <x:c r="B1085" s="10" t="n">
        <x:v>30</x:v>
      </x:c>
      <x:c r="C1085" s="10" t="n">
        <x:v>44</x:v>
      </x:c>
      <x:c r="D1085" s="10" t="str">
        <x:v>M2 / M4</x:v>
      </x:c>
      <x:c r="E1085" s="16" t="n">
        <x:v>5</x:v>
      </x:c>
      <x:c r="F1085" s="14" t="n">
        <x:v>50</x:v>
      </x:c>
      <x:c r="G1085" s="26" t="n">
        <x:f>'成本明细'!U155+'成本明细'!G155*(E1085-'参数'!$B$6)</x:f>
        <x:v>3011.8442094744446</x:v>
      </x:c>
      <x:c r="H1085" s="26" t="n">
        <x:f>'成本明细'!U161</x:f>
        <x:v>3896.466895053333</x:v>
      </x:c>
      <x:c r="I1085" s="26" t="n">
        <x:f>'成本明细'!V161</x:f>
        <x:v>8285.5</x:v>
      </x:c>
      <x:c r="J1085" s="22" t="n">
        <x:f>'参数'!$B$9</x:f>
        <x:v>300</x:v>
      </x:c>
      <x:c r="K1085" s="26" t="n">
        <x:f>J1085*(G1085-H1085)-I1085*ROUNDUP(J1085/F1085,0)</x:f>
        <x:v>-315099.8056736665</x:v>
      </x:c>
      <x:c r="L1085" s="10" t="str">
        <x:f>IF(G1085-H1085&lt;=0,"未回本",IF(ROUNDUP(I1085/(G1085-H1085),0)&gt;MIN(F1085,J1085),"未回本",MAX(1,ROUNDUP(I1085/(G1085-H1085),0))))</x:f>
        <x:v>未回本</x:v>
      </x:c>
    </x:row>
    <x:row r="1086" ht="22" customHeight="1">
      <x:c r="A1086" s="11" t="str">
        <x:v>lade_0826_10aoi</x:v>
      </x:c>
      <x:c r="B1086" s="10" t="n">
        <x:v>10</x:v>
      </x:c>
      <x:c r="C1086" s="10" t="n">
        <x:v>42</x:v>
      </x:c>
      <x:c r="D1086" s="10" t="str">
        <x:v>M1 / M3</x:v>
      </x:c>
      <x:c r="E1086" s="16" t="n">
        <x:v>1</x:v>
      </x:c>
      <x:c r="F1086" s="14" t="n">
        <x:v>10</x:v>
      </x:c>
      <x:c r="G1086" s="26" t="n">
        <x:f>'成本明细'!U168+'成本明细'!G168*(E1086-'参数'!$B$6)</x:f>
        <x:v>1438.0146343094443</x:v>
      </x:c>
      <x:c r="H1086" s="26" t="n">
        <x:f>'成本明细'!U174</x:f>
        <x:v>2251.7219473711107</x:v>
      </x:c>
      <x:c r="I1086" s="26" t="n">
        <x:f>'成本明细'!V174</x:f>
        <x:v>4270.5</x:v>
      </x:c>
      <x:c r="J1086" s="22" t="n">
        <x:f>'参数'!$B$9</x:f>
        <x:v>300</x:v>
      </x:c>
      <x:c r="K1086" s="26" t="n">
        <x:f>J1086*(G1086-H1086)-I1086*ROUNDUP(J1086/F1086,0)</x:f>
        <x:v>-372227.1939184999</x:v>
      </x:c>
      <x:c r="L1086" s="10" t="str">
        <x:f>IF(G1086-H1086&lt;=0,"未回本",IF(ROUNDUP(I1086/(G1086-H1086),0)&gt;MIN(F1086,J1086),"未回本",MAX(1,ROUNDUP(I1086/(G1086-H1086),0))))</x:f>
        <x:v>未回本</x:v>
      </x:c>
    </x:row>
    <x:row r="1087" ht="22" customHeight="1">
      <x:c r="A1087" s="11" t="str">
        <x:v>lade_0826_10aoi</x:v>
      </x:c>
      <x:c r="B1087" s="10" t="n">
        <x:v>10</x:v>
      </x:c>
      <x:c r="C1087" s="10" t="n">
        <x:v>42</x:v>
      </x:c>
      <x:c r="D1087" s="10" t="str">
        <x:v>M2 / M4</x:v>
      </x:c>
      <x:c r="E1087" s="16" t="n">
        <x:v>1</x:v>
      </x:c>
      <x:c r="F1087" s="14" t="n">
        <x:v>10</x:v>
      </x:c>
      <x:c r="G1087" s="26" t="n">
        <x:f>'成本明细'!U171+'成本明细'!G171*(E1087-'参数'!$B$6)</x:f>
        <x:v>1095.279376625</x:v>
      </x:c>
      <x:c r="H1087" s="26" t="n">
        <x:f>'成本明细'!U177</x:f>
        <x:v>2247.262447918333</x:v>
      </x:c>
      <x:c r="I1087" s="26" t="n">
        <x:f>'成本明细'!V177</x:f>
        <x:v>4270.5</x:v>
      </x:c>
      <x:c r="J1087" s="22" t="n">
        <x:f>'参数'!$B$9</x:f>
        <x:v>300</x:v>
      </x:c>
      <x:c r="K1087" s="26" t="n">
        <x:f>J1087*(G1087-H1087)-I1087*ROUNDUP(J1087/F1087,0)</x:f>
        <x:v>-473709.92138799984</x:v>
      </x:c>
      <x:c r="L1087" s="10" t="str">
        <x:f>IF(G1087-H1087&lt;=0,"未回本",IF(ROUNDUP(I1087/(G1087-H1087),0)&gt;MIN(F1087,J1087),"未回本",MAX(1,ROUNDUP(I1087/(G1087-H1087),0))))</x:f>
        <x:v>未回本</x:v>
      </x:c>
    </x:row>
    <x:row r="1088" ht="22" customHeight="1">
      <x:c r="A1088" s="11" t="str">
        <x:v>lade_0826_10aoi</x:v>
      </x:c>
      <x:c r="B1088" s="10" t="n">
        <x:v>10</x:v>
      </x:c>
      <x:c r="C1088" s="10" t="n">
        <x:v>42</x:v>
      </x:c>
      <x:c r="D1088" s="10" t="str">
        <x:v>M1 / M3</x:v>
      </x:c>
      <x:c r="E1088" s="16" t="n">
        <x:v>1</x:v>
      </x:c>
      <x:c r="F1088" s="14" t="n">
        <x:v>20</x:v>
      </x:c>
      <x:c r="G1088" s="26" t="n">
        <x:f>'成本明细'!U168+'成本明细'!G168*(E1088-'参数'!$B$6)</x:f>
        <x:v>1438.0146343094443</x:v>
      </x:c>
      <x:c r="H1088" s="26" t="n">
        <x:f>'成本明细'!U174</x:f>
        <x:v>2251.7219473711107</x:v>
      </x:c>
      <x:c r="I1088" s="26" t="n">
        <x:f>'成本明细'!V174</x:f>
        <x:v>4270.5</x:v>
      </x:c>
      <x:c r="J1088" s="22" t="n">
        <x:f>'参数'!$B$9</x:f>
        <x:v>300</x:v>
      </x:c>
      <x:c r="K1088" s="26" t="n">
        <x:f>J1088*(G1088-H1088)-I1088*ROUNDUP(J1088/F1088,0)</x:f>
        <x:v>-308169.6939184999</x:v>
      </x:c>
      <x:c r="L1088" s="10" t="str">
        <x:f>IF(G1088-H1088&lt;=0,"未回本",IF(ROUNDUP(I1088/(G1088-H1088),0)&gt;MIN(F1088,J1088),"未回本",MAX(1,ROUNDUP(I1088/(G1088-H1088),0))))</x:f>
        <x:v>未回本</x:v>
      </x:c>
    </x:row>
    <x:row r="1089" ht="22" customHeight="1">
      <x:c r="A1089" s="11" t="str">
        <x:v>lade_0826_10aoi</x:v>
      </x:c>
      <x:c r="B1089" s="10" t="n">
        <x:v>10</x:v>
      </x:c>
      <x:c r="C1089" s="10" t="n">
        <x:v>42</x:v>
      </x:c>
      <x:c r="D1089" s="10" t="str">
        <x:v>M2 / M4</x:v>
      </x:c>
      <x:c r="E1089" s="16" t="n">
        <x:v>1</x:v>
      </x:c>
      <x:c r="F1089" s="14" t="n">
        <x:v>20</x:v>
      </x:c>
      <x:c r="G1089" s="26" t="n">
        <x:f>'成本明细'!U171+'成本明细'!G171*(E1089-'参数'!$B$6)</x:f>
        <x:v>1095.279376625</x:v>
      </x:c>
      <x:c r="H1089" s="26" t="n">
        <x:f>'成本明细'!U177</x:f>
        <x:v>2247.262447918333</x:v>
      </x:c>
      <x:c r="I1089" s="26" t="n">
        <x:f>'成本明细'!V177</x:f>
        <x:v>4270.5</x:v>
      </x:c>
      <x:c r="J1089" s="22" t="n">
        <x:f>'参数'!$B$9</x:f>
        <x:v>300</x:v>
      </x:c>
      <x:c r="K1089" s="26" t="n">
        <x:f>J1089*(G1089-H1089)-I1089*ROUNDUP(J1089/F1089,0)</x:f>
        <x:v>-409652.42138799984</x:v>
      </x:c>
      <x:c r="L1089" s="10" t="str">
        <x:f>IF(G1089-H1089&lt;=0,"未回本",IF(ROUNDUP(I1089/(G1089-H1089),0)&gt;MIN(F1089,J1089),"未回本",MAX(1,ROUNDUP(I1089/(G1089-H1089),0))))</x:f>
        <x:v>未回本</x:v>
      </x:c>
    </x:row>
    <x:row r="1090" ht="22" customHeight="1">
      <x:c r="A1090" s="11" t="str">
        <x:v>lade_0826_10aoi</x:v>
      </x:c>
      <x:c r="B1090" s="10" t="n">
        <x:v>10</x:v>
      </x:c>
      <x:c r="C1090" s="10" t="n">
        <x:v>42</x:v>
      </x:c>
      <x:c r="D1090" s="10" t="str">
        <x:v>M1 / M3</x:v>
      </x:c>
      <x:c r="E1090" s="16" t="n">
        <x:v>1</x:v>
      </x:c>
      <x:c r="F1090" s="14" t="n">
        <x:v>30</x:v>
      </x:c>
      <x:c r="G1090" s="26" t="n">
        <x:f>'成本明细'!U168+'成本明细'!G168*(E1090-'参数'!$B$6)</x:f>
        <x:v>1438.0146343094443</x:v>
      </x:c>
      <x:c r="H1090" s="26" t="n">
        <x:f>'成本明细'!U174</x:f>
        <x:v>2251.7219473711107</x:v>
      </x:c>
      <x:c r="I1090" s="26" t="n">
        <x:f>'成本明细'!V174</x:f>
        <x:v>4270.5</x:v>
      </x:c>
      <x:c r="J1090" s="22" t="n">
        <x:f>'参数'!$B$9</x:f>
        <x:v>300</x:v>
      </x:c>
      <x:c r="K1090" s="26" t="n">
        <x:f>J1090*(G1090-H1090)-I1090*ROUNDUP(J1090/F1090,0)</x:f>
        <x:v>-286817.1939184999</x:v>
      </x:c>
      <x:c r="L1090" s="10" t="str">
        <x:f>IF(G1090-H1090&lt;=0,"未回本",IF(ROUNDUP(I1090/(G1090-H1090),0)&gt;MIN(F1090,J1090),"未回本",MAX(1,ROUNDUP(I1090/(G1090-H1090),0))))</x:f>
        <x:v>未回本</x:v>
      </x:c>
    </x:row>
    <x:row r="1091" ht="22" customHeight="1">
      <x:c r="A1091" s="11" t="str">
        <x:v>lade_0826_10aoi</x:v>
      </x:c>
      <x:c r="B1091" s="10" t="n">
        <x:v>10</x:v>
      </x:c>
      <x:c r="C1091" s="10" t="n">
        <x:v>42</x:v>
      </x:c>
      <x:c r="D1091" s="10" t="str">
        <x:v>M2 / M4</x:v>
      </x:c>
      <x:c r="E1091" s="16" t="n">
        <x:v>1</x:v>
      </x:c>
      <x:c r="F1091" s="14" t="n">
        <x:v>30</x:v>
      </x:c>
      <x:c r="G1091" s="26" t="n">
        <x:f>'成本明细'!U171+'成本明细'!G171*(E1091-'参数'!$B$6)</x:f>
        <x:v>1095.279376625</x:v>
      </x:c>
      <x:c r="H1091" s="26" t="n">
        <x:f>'成本明细'!U177</x:f>
        <x:v>2247.262447918333</x:v>
      </x:c>
      <x:c r="I1091" s="26" t="n">
        <x:f>'成本明细'!V177</x:f>
        <x:v>4270.5</x:v>
      </x:c>
      <x:c r="J1091" s="22" t="n">
        <x:f>'参数'!$B$9</x:f>
        <x:v>300</x:v>
      </x:c>
      <x:c r="K1091" s="26" t="n">
        <x:f>J1091*(G1091-H1091)-I1091*ROUNDUP(J1091/F1091,0)</x:f>
        <x:v>-388299.92138799984</x:v>
      </x:c>
      <x:c r="L1091" s="10" t="str">
        <x:f>IF(G1091-H1091&lt;=0,"未回本",IF(ROUNDUP(I1091/(G1091-H1091),0)&gt;MIN(F1091,J1091),"未回本",MAX(1,ROUNDUP(I1091/(G1091-H1091),0))))</x:f>
        <x:v>未回本</x:v>
      </x:c>
    </x:row>
    <x:row r="1092" ht="22" customHeight="1">
      <x:c r="A1092" s="11" t="str">
        <x:v>lade_0826_10aoi</x:v>
      </x:c>
      <x:c r="B1092" s="10" t="n">
        <x:v>10</x:v>
      </x:c>
      <x:c r="C1092" s="10" t="n">
        <x:v>42</x:v>
      </x:c>
      <x:c r="D1092" s="10" t="str">
        <x:v>M1 / M3</x:v>
      </x:c>
      <x:c r="E1092" s="16" t="n">
        <x:v>1</x:v>
      </x:c>
      <x:c r="F1092" s="14" t="n">
        <x:v>50</x:v>
      </x:c>
      <x:c r="G1092" s="26" t="n">
        <x:f>'成本明细'!U168+'成本明细'!G168*(E1092-'参数'!$B$6)</x:f>
        <x:v>1438.0146343094443</x:v>
      </x:c>
      <x:c r="H1092" s="26" t="n">
        <x:f>'成本明细'!U174</x:f>
        <x:v>2251.7219473711107</x:v>
      </x:c>
      <x:c r="I1092" s="26" t="n">
        <x:f>'成本明细'!V174</x:f>
        <x:v>4270.5</x:v>
      </x:c>
      <x:c r="J1092" s="22" t="n">
        <x:f>'参数'!$B$9</x:f>
        <x:v>300</x:v>
      </x:c>
      <x:c r="K1092" s="26" t="n">
        <x:f>J1092*(G1092-H1092)-I1092*ROUNDUP(J1092/F1092,0)</x:f>
        <x:v>-269735.1939184999</x:v>
      </x:c>
      <x:c r="L1092" s="10" t="str">
        <x:f>IF(G1092-H1092&lt;=0,"未回本",IF(ROUNDUP(I1092/(G1092-H1092),0)&gt;MIN(F1092,J1092),"未回本",MAX(1,ROUNDUP(I1092/(G1092-H1092),0))))</x:f>
        <x:v>未回本</x:v>
      </x:c>
    </x:row>
    <x:row r="1093" ht="22" customHeight="1">
      <x:c r="A1093" s="11" t="str">
        <x:v>lade_0826_10aoi</x:v>
      </x:c>
      <x:c r="B1093" s="10" t="n">
        <x:v>10</x:v>
      </x:c>
      <x:c r="C1093" s="10" t="n">
        <x:v>42</x:v>
      </x:c>
      <x:c r="D1093" s="10" t="str">
        <x:v>M2 / M4</x:v>
      </x:c>
      <x:c r="E1093" s="16" t="n">
        <x:v>1</x:v>
      </x:c>
      <x:c r="F1093" s="14" t="n">
        <x:v>50</x:v>
      </x:c>
      <x:c r="G1093" s="26" t="n">
        <x:f>'成本明细'!U171+'成本明细'!G171*(E1093-'参数'!$B$6)</x:f>
        <x:v>1095.279376625</x:v>
      </x:c>
      <x:c r="H1093" s="26" t="n">
        <x:f>'成本明细'!U177</x:f>
        <x:v>2247.262447918333</x:v>
      </x:c>
      <x:c r="I1093" s="26" t="n">
        <x:f>'成本明细'!V177</x:f>
        <x:v>4270.5</x:v>
      </x:c>
      <x:c r="J1093" s="22" t="n">
        <x:f>'参数'!$B$9</x:f>
        <x:v>300</x:v>
      </x:c>
      <x:c r="K1093" s="26" t="n">
        <x:f>J1093*(G1093-H1093)-I1093*ROUNDUP(J1093/F1093,0)</x:f>
        <x:v>-371217.92138799984</x:v>
      </x:c>
      <x:c r="L1093" s="10" t="str">
        <x:f>IF(G1093-H1093&lt;=0,"未回本",IF(ROUNDUP(I1093/(G1093-H1093),0)&gt;MIN(F1093,J1093),"未回本",MAX(1,ROUNDUP(I1093/(G1093-H1093),0))))</x:f>
        <x:v>未回本</x:v>
      </x:c>
    </x:row>
    <x:row r="1094" ht="22" customHeight="1">
      <x:c r="A1094" s="11" t="str">
        <x:v>lade_0826_10aoi</x:v>
      </x:c>
      <x:c r="B1094" s="10" t="n">
        <x:v>10</x:v>
      </x:c>
      <x:c r="C1094" s="10" t="n">
        <x:v>42</x:v>
      </x:c>
      <x:c r="D1094" s="10" t="str">
        <x:v>M1 / M3</x:v>
      </x:c>
      <x:c r="E1094" s="16" t="n">
        <x:v>2</x:v>
      </x:c>
      <x:c r="F1094" s="14" t="n">
        <x:v>10</x:v>
      </x:c>
      <x:c r="G1094" s="26" t="n">
        <x:f>'成本明细'!U168+'成本明细'!G168*(E1094-'参数'!$B$6)</x:f>
        <x:v>1555.0146343094443</x:v>
      </x:c>
      <x:c r="H1094" s="26" t="n">
        <x:f>'成本明细'!U174</x:f>
        <x:v>2251.7219473711107</x:v>
      </x:c>
      <x:c r="I1094" s="26" t="n">
        <x:f>'成本明细'!V174</x:f>
        <x:v>4270.5</x:v>
      </x:c>
      <x:c r="J1094" s="22" t="n">
        <x:f>'参数'!$B$9</x:f>
        <x:v>300</x:v>
      </x:c>
      <x:c r="K1094" s="26" t="n">
        <x:f>J1094*(G1094-H1094)-I1094*ROUNDUP(J1094/F1094,0)</x:f>
        <x:v>-337127.1939184999</x:v>
      </x:c>
      <x:c r="L1094" s="10" t="str">
        <x:f>IF(G1094-H1094&lt;=0,"未回本",IF(ROUNDUP(I1094/(G1094-H1094),0)&gt;MIN(F1094,J1094),"未回本",MAX(1,ROUNDUP(I1094/(G1094-H1094),0))))</x:f>
        <x:v>未回本</x:v>
      </x:c>
    </x:row>
    <x:row r="1095" ht="22" customHeight="1">
      <x:c r="A1095" s="11" t="str">
        <x:v>lade_0826_10aoi</x:v>
      </x:c>
      <x:c r="B1095" s="10" t="n">
        <x:v>10</x:v>
      </x:c>
      <x:c r="C1095" s="10" t="n">
        <x:v>42</x:v>
      </x:c>
      <x:c r="D1095" s="10" t="str">
        <x:v>M2 / M4</x:v>
      </x:c>
      <x:c r="E1095" s="16" t="n">
        <x:v>2</x:v>
      </x:c>
      <x:c r="F1095" s="14" t="n">
        <x:v>10</x:v>
      </x:c>
      <x:c r="G1095" s="26" t="n">
        <x:f>'成本明细'!U171+'成本明细'!G171*(E1095-'参数'!$B$6)</x:f>
        <x:v>1212.279376625</x:v>
      </x:c>
      <x:c r="H1095" s="26" t="n">
        <x:f>'成本明细'!U177</x:f>
        <x:v>2247.262447918333</x:v>
      </x:c>
      <x:c r="I1095" s="26" t="n">
        <x:f>'成本明细'!V177</x:f>
        <x:v>4270.5</x:v>
      </x:c>
      <x:c r="J1095" s="22" t="n">
        <x:f>'参数'!$B$9</x:f>
        <x:v>300</x:v>
      </x:c>
      <x:c r="K1095" s="26" t="n">
        <x:f>J1095*(G1095-H1095)-I1095*ROUNDUP(J1095/F1095,0)</x:f>
        <x:v>-438609.92138799984</x:v>
      </x:c>
      <x:c r="L1095" s="10" t="str">
        <x:f>IF(G1095-H1095&lt;=0,"未回本",IF(ROUNDUP(I1095/(G1095-H1095),0)&gt;MIN(F1095,J1095),"未回本",MAX(1,ROUNDUP(I1095/(G1095-H1095),0))))</x:f>
        <x:v>未回本</x:v>
      </x:c>
    </x:row>
    <x:row r="1096" ht="22" customHeight="1">
      <x:c r="A1096" s="11" t="str">
        <x:v>lade_0826_10aoi</x:v>
      </x:c>
      <x:c r="B1096" s="10" t="n">
        <x:v>10</x:v>
      </x:c>
      <x:c r="C1096" s="10" t="n">
        <x:v>42</x:v>
      </x:c>
      <x:c r="D1096" s="10" t="str">
        <x:v>M1 / M3</x:v>
      </x:c>
      <x:c r="E1096" s="16" t="n">
        <x:v>2</x:v>
      </x:c>
      <x:c r="F1096" s="14" t="n">
        <x:v>20</x:v>
      </x:c>
      <x:c r="G1096" s="26" t="n">
        <x:f>'成本明细'!U168+'成本明细'!G168*(E1096-'参数'!$B$6)</x:f>
        <x:v>1555.0146343094443</x:v>
      </x:c>
      <x:c r="H1096" s="26" t="n">
        <x:f>'成本明细'!U174</x:f>
        <x:v>2251.7219473711107</x:v>
      </x:c>
      <x:c r="I1096" s="26" t="n">
        <x:f>'成本明细'!V174</x:f>
        <x:v>4270.5</x:v>
      </x:c>
      <x:c r="J1096" s="22" t="n">
        <x:f>'参数'!$B$9</x:f>
        <x:v>300</x:v>
      </x:c>
      <x:c r="K1096" s="26" t="n">
        <x:f>J1096*(G1096-H1096)-I1096*ROUNDUP(J1096/F1096,0)</x:f>
        <x:v>-273069.6939184999</x:v>
      </x:c>
      <x:c r="L1096" s="10" t="str">
        <x:f>IF(G1096-H1096&lt;=0,"未回本",IF(ROUNDUP(I1096/(G1096-H1096),0)&gt;MIN(F1096,J1096),"未回本",MAX(1,ROUNDUP(I1096/(G1096-H1096),0))))</x:f>
        <x:v>未回本</x:v>
      </x:c>
    </x:row>
    <x:row r="1097" ht="22" customHeight="1">
      <x:c r="A1097" s="11" t="str">
        <x:v>lade_0826_10aoi</x:v>
      </x:c>
      <x:c r="B1097" s="10" t="n">
        <x:v>10</x:v>
      </x:c>
      <x:c r="C1097" s="10" t="n">
        <x:v>42</x:v>
      </x:c>
      <x:c r="D1097" s="10" t="str">
        <x:v>M2 / M4</x:v>
      </x:c>
      <x:c r="E1097" s="16" t="n">
        <x:v>2</x:v>
      </x:c>
      <x:c r="F1097" s="14" t="n">
        <x:v>20</x:v>
      </x:c>
      <x:c r="G1097" s="26" t="n">
        <x:f>'成本明细'!U171+'成本明细'!G171*(E1097-'参数'!$B$6)</x:f>
        <x:v>1212.279376625</x:v>
      </x:c>
      <x:c r="H1097" s="26" t="n">
        <x:f>'成本明细'!U177</x:f>
        <x:v>2247.262447918333</x:v>
      </x:c>
      <x:c r="I1097" s="26" t="n">
        <x:f>'成本明细'!V177</x:f>
        <x:v>4270.5</x:v>
      </x:c>
      <x:c r="J1097" s="22" t="n">
        <x:f>'参数'!$B$9</x:f>
        <x:v>300</x:v>
      </x:c>
      <x:c r="K1097" s="26" t="n">
        <x:f>J1097*(G1097-H1097)-I1097*ROUNDUP(J1097/F1097,0)</x:f>
        <x:v>-374552.42138799984</x:v>
      </x:c>
      <x:c r="L1097" s="10" t="str">
        <x:f>IF(G1097-H1097&lt;=0,"未回本",IF(ROUNDUP(I1097/(G1097-H1097),0)&gt;MIN(F1097,J1097),"未回本",MAX(1,ROUNDUP(I1097/(G1097-H1097),0))))</x:f>
        <x:v>未回本</x:v>
      </x:c>
    </x:row>
    <x:row r="1098" ht="22" customHeight="1">
      <x:c r="A1098" s="11" t="str">
        <x:v>lade_0826_10aoi</x:v>
      </x:c>
      <x:c r="B1098" s="10" t="n">
        <x:v>10</x:v>
      </x:c>
      <x:c r="C1098" s="10" t="n">
        <x:v>42</x:v>
      </x:c>
      <x:c r="D1098" s="10" t="str">
        <x:v>M1 / M3</x:v>
      </x:c>
      <x:c r="E1098" s="16" t="n">
        <x:v>2</x:v>
      </x:c>
      <x:c r="F1098" s="14" t="n">
        <x:v>30</x:v>
      </x:c>
      <x:c r="G1098" s="26" t="n">
        <x:f>'成本明细'!U168+'成本明细'!G168*(E1098-'参数'!$B$6)</x:f>
        <x:v>1555.0146343094443</x:v>
      </x:c>
      <x:c r="H1098" s="26" t="n">
        <x:f>'成本明细'!U174</x:f>
        <x:v>2251.7219473711107</x:v>
      </x:c>
      <x:c r="I1098" s="26" t="n">
        <x:f>'成本明细'!V174</x:f>
        <x:v>4270.5</x:v>
      </x:c>
      <x:c r="J1098" s="22" t="n">
        <x:f>'参数'!$B$9</x:f>
        <x:v>300</x:v>
      </x:c>
      <x:c r="K1098" s="26" t="n">
        <x:f>J1098*(G1098-H1098)-I1098*ROUNDUP(J1098/F1098,0)</x:f>
        <x:v>-251717.19391849992</x:v>
      </x:c>
      <x:c r="L1098" s="10" t="str">
        <x:f>IF(G1098-H1098&lt;=0,"未回本",IF(ROUNDUP(I1098/(G1098-H1098),0)&gt;MIN(F1098,J1098),"未回本",MAX(1,ROUNDUP(I1098/(G1098-H1098),0))))</x:f>
        <x:v>未回本</x:v>
      </x:c>
    </x:row>
    <x:row r="1099" ht="22" customHeight="1">
      <x:c r="A1099" s="11" t="str">
        <x:v>lade_0826_10aoi</x:v>
      </x:c>
      <x:c r="B1099" s="10" t="n">
        <x:v>10</x:v>
      </x:c>
      <x:c r="C1099" s="10" t="n">
        <x:v>42</x:v>
      </x:c>
      <x:c r="D1099" s="10" t="str">
        <x:v>M2 / M4</x:v>
      </x:c>
      <x:c r="E1099" s="16" t="n">
        <x:v>2</x:v>
      </x:c>
      <x:c r="F1099" s="14" t="n">
        <x:v>30</x:v>
      </x:c>
      <x:c r="G1099" s="26" t="n">
        <x:f>'成本明细'!U171+'成本明细'!G171*(E1099-'参数'!$B$6)</x:f>
        <x:v>1212.279376625</x:v>
      </x:c>
      <x:c r="H1099" s="26" t="n">
        <x:f>'成本明细'!U177</x:f>
        <x:v>2247.262447918333</x:v>
      </x:c>
      <x:c r="I1099" s="26" t="n">
        <x:f>'成本明细'!V177</x:f>
        <x:v>4270.5</x:v>
      </x:c>
      <x:c r="J1099" s="22" t="n">
        <x:f>'参数'!$B$9</x:f>
        <x:v>300</x:v>
      </x:c>
      <x:c r="K1099" s="26" t="n">
        <x:f>J1099*(G1099-H1099)-I1099*ROUNDUP(J1099/F1099,0)</x:f>
        <x:v>-353199.92138799984</x:v>
      </x:c>
      <x:c r="L1099" s="10" t="str">
        <x:f>IF(G1099-H1099&lt;=0,"未回本",IF(ROUNDUP(I1099/(G1099-H1099),0)&gt;MIN(F1099,J1099),"未回本",MAX(1,ROUNDUP(I1099/(G1099-H1099),0))))</x:f>
        <x:v>未回本</x:v>
      </x:c>
    </x:row>
    <x:row r="1100" ht="22" customHeight="1">
      <x:c r="A1100" s="11" t="str">
        <x:v>lade_0826_10aoi</x:v>
      </x:c>
      <x:c r="B1100" s="10" t="n">
        <x:v>10</x:v>
      </x:c>
      <x:c r="C1100" s="10" t="n">
        <x:v>42</x:v>
      </x:c>
      <x:c r="D1100" s="10" t="str">
        <x:v>M1 / M3</x:v>
      </x:c>
      <x:c r="E1100" s="16" t="n">
        <x:v>2</x:v>
      </x:c>
      <x:c r="F1100" s="14" t="n">
        <x:v>50</x:v>
      </x:c>
      <x:c r="G1100" s="26" t="n">
        <x:f>'成本明细'!U168+'成本明细'!G168*(E1100-'参数'!$B$6)</x:f>
        <x:v>1555.0146343094443</x:v>
      </x:c>
      <x:c r="H1100" s="26" t="n">
        <x:f>'成本明细'!U174</x:f>
        <x:v>2251.7219473711107</x:v>
      </x:c>
      <x:c r="I1100" s="26" t="n">
        <x:f>'成本明细'!V174</x:f>
        <x:v>4270.5</x:v>
      </x:c>
      <x:c r="J1100" s="22" t="n">
        <x:f>'参数'!$B$9</x:f>
        <x:v>300</x:v>
      </x:c>
      <x:c r="K1100" s="26" t="n">
        <x:f>J1100*(G1100-H1100)-I1100*ROUNDUP(J1100/F1100,0)</x:f>
        <x:v>-234635.19391849992</x:v>
      </x:c>
      <x:c r="L1100" s="10" t="str">
        <x:f>IF(G1100-H1100&lt;=0,"未回本",IF(ROUNDUP(I1100/(G1100-H1100),0)&gt;MIN(F1100,J1100),"未回本",MAX(1,ROUNDUP(I1100/(G1100-H1100),0))))</x:f>
        <x:v>未回本</x:v>
      </x:c>
    </x:row>
    <x:row r="1101" ht="22" customHeight="1">
      <x:c r="A1101" s="11" t="str">
        <x:v>lade_0826_10aoi</x:v>
      </x:c>
      <x:c r="B1101" s="10" t="n">
        <x:v>10</x:v>
      </x:c>
      <x:c r="C1101" s="10" t="n">
        <x:v>42</x:v>
      </x:c>
      <x:c r="D1101" s="10" t="str">
        <x:v>M2 / M4</x:v>
      </x:c>
      <x:c r="E1101" s="16" t="n">
        <x:v>2</x:v>
      </x:c>
      <x:c r="F1101" s="14" t="n">
        <x:v>50</x:v>
      </x:c>
      <x:c r="G1101" s="26" t="n">
        <x:f>'成本明细'!U171+'成本明细'!G171*(E1101-'参数'!$B$6)</x:f>
        <x:v>1212.279376625</x:v>
      </x:c>
      <x:c r="H1101" s="26" t="n">
        <x:f>'成本明细'!U177</x:f>
        <x:v>2247.262447918333</x:v>
      </x:c>
      <x:c r="I1101" s="26" t="n">
        <x:f>'成本明细'!V177</x:f>
        <x:v>4270.5</x:v>
      </x:c>
      <x:c r="J1101" s="22" t="n">
        <x:f>'参数'!$B$9</x:f>
        <x:v>300</x:v>
      </x:c>
      <x:c r="K1101" s="26" t="n">
        <x:f>J1101*(G1101-H1101)-I1101*ROUNDUP(J1101/F1101,0)</x:f>
        <x:v>-336117.92138799984</x:v>
      </x:c>
      <x:c r="L1101" s="10" t="str">
        <x:f>IF(G1101-H1101&lt;=0,"未回本",IF(ROUNDUP(I1101/(G1101-H1101),0)&gt;MIN(F1101,J1101),"未回本",MAX(1,ROUNDUP(I1101/(G1101-H1101),0))))</x:f>
        <x:v>未回本</x:v>
      </x:c>
    </x:row>
    <x:row r="1102" ht="22" customHeight="1">
      <x:c r="A1102" s="11" t="str">
        <x:v>lade_0826_10aoi</x:v>
      </x:c>
      <x:c r="B1102" s="10" t="n">
        <x:v>10</x:v>
      </x:c>
      <x:c r="C1102" s="10" t="n">
        <x:v>42</x:v>
      </x:c>
      <x:c r="D1102" s="10" t="str">
        <x:v>M1 / M3</x:v>
      </x:c>
      <x:c r="E1102" s="16" t="n">
        <x:v>3</x:v>
      </x:c>
      <x:c r="F1102" s="14" t="n">
        <x:v>10</x:v>
      </x:c>
      <x:c r="G1102" s="26" t="n">
        <x:f>'成本明细'!U168+'成本明细'!G168*(E1102-'参数'!$B$6)</x:f>
        <x:v>1672.0146343094443</x:v>
      </x:c>
      <x:c r="H1102" s="26" t="n">
        <x:f>'成本明细'!U174</x:f>
        <x:v>2251.7219473711107</x:v>
      </x:c>
      <x:c r="I1102" s="26" t="n">
        <x:f>'成本明细'!V174</x:f>
        <x:v>4270.5</x:v>
      </x:c>
      <x:c r="J1102" s="22" t="n">
        <x:f>'参数'!$B$9</x:f>
        <x:v>300</x:v>
      </x:c>
      <x:c r="K1102" s="26" t="n">
        <x:f>J1102*(G1102-H1102)-I1102*ROUNDUP(J1102/F1102,0)</x:f>
        <x:v>-302027.1939184999</x:v>
      </x:c>
      <x:c r="L1102" s="10" t="str">
        <x:f>IF(G1102-H1102&lt;=0,"未回本",IF(ROUNDUP(I1102/(G1102-H1102),0)&gt;MIN(F1102,J1102),"未回本",MAX(1,ROUNDUP(I1102/(G1102-H1102),0))))</x:f>
        <x:v>未回本</x:v>
      </x:c>
    </x:row>
    <x:row r="1103" ht="22" customHeight="1">
      <x:c r="A1103" s="11" t="str">
        <x:v>lade_0826_10aoi</x:v>
      </x:c>
      <x:c r="B1103" s="10" t="n">
        <x:v>10</x:v>
      </x:c>
      <x:c r="C1103" s="10" t="n">
        <x:v>42</x:v>
      </x:c>
      <x:c r="D1103" s="10" t="str">
        <x:v>M2 / M4</x:v>
      </x:c>
      <x:c r="E1103" s="16" t="n">
        <x:v>3</x:v>
      </x:c>
      <x:c r="F1103" s="14" t="n">
        <x:v>10</x:v>
      </x:c>
      <x:c r="G1103" s="26" t="n">
        <x:f>'成本明细'!U171+'成本明细'!G171*(E1103-'参数'!$B$6)</x:f>
        <x:v>1329.279376625</x:v>
      </x:c>
      <x:c r="H1103" s="26" t="n">
        <x:f>'成本明细'!U177</x:f>
        <x:v>2247.262447918333</x:v>
      </x:c>
      <x:c r="I1103" s="26" t="n">
        <x:f>'成本明细'!V177</x:f>
        <x:v>4270.5</x:v>
      </x:c>
      <x:c r="J1103" s="22" t="n">
        <x:f>'参数'!$B$9</x:f>
        <x:v>300</x:v>
      </x:c>
      <x:c r="K1103" s="26" t="n">
        <x:f>J1103*(G1103-H1103)-I1103*ROUNDUP(J1103/F1103,0)</x:f>
        <x:v>-403509.92138799984</x:v>
      </x:c>
      <x:c r="L1103" s="10" t="str">
        <x:f>IF(G1103-H1103&lt;=0,"未回本",IF(ROUNDUP(I1103/(G1103-H1103),0)&gt;MIN(F1103,J1103),"未回本",MAX(1,ROUNDUP(I1103/(G1103-H1103),0))))</x:f>
        <x:v>未回本</x:v>
      </x:c>
    </x:row>
    <x:row r="1104" ht="22" customHeight="1">
      <x:c r="A1104" s="11" t="str">
        <x:v>lade_0826_10aoi</x:v>
      </x:c>
      <x:c r="B1104" s="10" t="n">
        <x:v>10</x:v>
      </x:c>
      <x:c r="C1104" s="10" t="n">
        <x:v>42</x:v>
      </x:c>
      <x:c r="D1104" s="10" t="str">
        <x:v>M1 / M3</x:v>
      </x:c>
      <x:c r="E1104" s="16" t="n">
        <x:v>3</x:v>
      </x:c>
      <x:c r="F1104" s="14" t="n">
        <x:v>20</x:v>
      </x:c>
      <x:c r="G1104" s="26" t="n">
        <x:f>'成本明细'!U168+'成本明细'!G168*(E1104-'参数'!$B$6)</x:f>
        <x:v>1672.0146343094443</x:v>
      </x:c>
      <x:c r="H1104" s="26" t="n">
        <x:f>'成本明细'!U174</x:f>
        <x:v>2251.7219473711107</x:v>
      </x:c>
      <x:c r="I1104" s="26" t="n">
        <x:f>'成本明细'!V174</x:f>
        <x:v>4270.5</x:v>
      </x:c>
      <x:c r="J1104" s="22" t="n">
        <x:f>'参数'!$B$9</x:f>
        <x:v>300</x:v>
      </x:c>
      <x:c r="K1104" s="26" t="n">
        <x:f>J1104*(G1104-H1104)-I1104*ROUNDUP(J1104/F1104,0)</x:f>
        <x:v>-237969.69391849992</x:v>
      </x:c>
      <x:c r="L1104" s="10" t="str">
        <x:f>IF(G1104-H1104&lt;=0,"未回本",IF(ROUNDUP(I1104/(G1104-H1104),0)&gt;MIN(F1104,J1104),"未回本",MAX(1,ROUNDUP(I1104/(G1104-H1104),0))))</x:f>
        <x:v>未回本</x:v>
      </x:c>
    </x:row>
    <x:row r="1105" ht="22" customHeight="1">
      <x:c r="A1105" s="11" t="str">
        <x:v>lade_0826_10aoi</x:v>
      </x:c>
      <x:c r="B1105" s="10" t="n">
        <x:v>10</x:v>
      </x:c>
      <x:c r="C1105" s="10" t="n">
        <x:v>42</x:v>
      </x:c>
      <x:c r="D1105" s="10" t="str">
        <x:v>M2 / M4</x:v>
      </x:c>
      <x:c r="E1105" s="16" t="n">
        <x:v>3</x:v>
      </x:c>
      <x:c r="F1105" s="14" t="n">
        <x:v>20</x:v>
      </x:c>
      <x:c r="G1105" s="26" t="n">
        <x:f>'成本明细'!U171+'成本明细'!G171*(E1105-'参数'!$B$6)</x:f>
        <x:v>1329.279376625</x:v>
      </x:c>
      <x:c r="H1105" s="26" t="n">
        <x:f>'成本明细'!U177</x:f>
        <x:v>2247.262447918333</x:v>
      </x:c>
      <x:c r="I1105" s="26" t="n">
        <x:f>'成本明细'!V177</x:f>
        <x:v>4270.5</x:v>
      </x:c>
      <x:c r="J1105" s="22" t="n">
        <x:f>'参数'!$B$9</x:f>
        <x:v>300</x:v>
      </x:c>
      <x:c r="K1105" s="26" t="n">
        <x:f>J1105*(G1105-H1105)-I1105*ROUNDUP(J1105/F1105,0)</x:f>
        <x:v>-339452.42138799984</x:v>
      </x:c>
      <x:c r="L1105" s="10" t="str">
        <x:f>IF(G1105-H1105&lt;=0,"未回本",IF(ROUNDUP(I1105/(G1105-H1105),0)&gt;MIN(F1105,J1105),"未回本",MAX(1,ROUNDUP(I1105/(G1105-H1105),0))))</x:f>
        <x:v>未回本</x:v>
      </x:c>
    </x:row>
    <x:row r="1106" ht="22" customHeight="1">
      <x:c r="A1106" s="11" t="str">
        <x:v>lade_0826_10aoi</x:v>
      </x:c>
      <x:c r="B1106" s="10" t="n">
        <x:v>10</x:v>
      </x:c>
      <x:c r="C1106" s="10" t="n">
        <x:v>42</x:v>
      </x:c>
      <x:c r="D1106" s="10" t="str">
        <x:v>M1 / M3</x:v>
      </x:c>
      <x:c r="E1106" s="16" t="n">
        <x:v>3</x:v>
      </x:c>
      <x:c r="F1106" s="14" t="n">
        <x:v>30</x:v>
      </x:c>
      <x:c r="G1106" s="26" t="n">
        <x:f>'成本明细'!U168+'成本明细'!G168*(E1106-'参数'!$B$6)</x:f>
        <x:v>1672.0146343094443</x:v>
      </x:c>
      <x:c r="H1106" s="26" t="n">
        <x:f>'成本明细'!U174</x:f>
        <x:v>2251.7219473711107</x:v>
      </x:c>
      <x:c r="I1106" s="26" t="n">
        <x:f>'成本明细'!V174</x:f>
        <x:v>4270.5</x:v>
      </x:c>
      <x:c r="J1106" s="22" t="n">
        <x:f>'参数'!$B$9</x:f>
        <x:v>300</x:v>
      </x:c>
      <x:c r="K1106" s="26" t="n">
        <x:f>J1106*(G1106-H1106)-I1106*ROUNDUP(J1106/F1106,0)</x:f>
        <x:v>-216617.19391849992</x:v>
      </x:c>
      <x:c r="L1106" s="10" t="str">
        <x:f>IF(G1106-H1106&lt;=0,"未回本",IF(ROUNDUP(I1106/(G1106-H1106),0)&gt;MIN(F1106,J1106),"未回本",MAX(1,ROUNDUP(I1106/(G1106-H1106),0))))</x:f>
        <x:v>未回本</x:v>
      </x:c>
    </x:row>
    <x:row r="1107" ht="22" customHeight="1">
      <x:c r="A1107" s="11" t="str">
        <x:v>lade_0826_10aoi</x:v>
      </x:c>
      <x:c r="B1107" s="10" t="n">
        <x:v>10</x:v>
      </x:c>
      <x:c r="C1107" s="10" t="n">
        <x:v>42</x:v>
      </x:c>
      <x:c r="D1107" s="10" t="str">
        <x:v>M2 / M4</x:v>
      </x:c>
      <x:c r="E1107" s="16" t="n">
        <x:v>3</x:v>
      </x:c>
      <x:c r="F1107" s="14" t="n">
        <x:v>30</x:v>
      </x:c>
      <x:c r="G1107" s="26" t="n">
        <x:f>'成本明细'!U171+'成本明细'!G171*(E1107-'参数'!$B$6)</x:f>
        <x:v>1329.279376625</x:v>
      </x:c>
      <x:c r="H1107" s="26" t="n">
        <x:f>'成本明细'!U177</x:f>
        <x:v>2247.262447918333</x:v>
      </x:c>
      <x:c r="I1107" s="26" t="n">
        <x:f>'成本明细'!V177</x:f>
        <x:v>4270.5</x:v>
      </x:c>
      <x:c r="J1107" s="22" t="n">
        <x:f>'参数'!$B$9</x:f>
        <x:v>300</x:v>
      </x:c>
      <x:c r="K1107" s="26" t="n">
        <x:f>J1107*(G1107-H1107)-I1107*ROUNDUP(J1107/F1107,0)</x:f>
        <x:v>-318099.92138799984</x:v>
      </x:c>
      <x:c r="L1107" s="10" t="str">
        <x:f>IF(G1107-H1107&lt;=0,"未回本",IF(ROUNDUP(I1107/(G1107-H1107),0)&gt;MIN(F1107,J1107),"未回本",MAX(1,ROUNDUP(I1107/(G1107-H1107),0))))</x:f>
        <x:v>未回本</x:v>
      </x:c>
    </x:row>
    <x:row r="1108" ht="22" customHeight="1">
      <x:c r="A1108" s="11" t="str">
        <x:v>lade_0826_10aoi</x:v>
      </x:c>
      <x:c r="B1108" s="10" t="n">
        <x:v>10</x:v>
      </x:c>
      <x:c r="C1108" s="10" t="n">
        <x:v>42</x:v>
      </x:c>
      <x:c r="D1108" s="10" t="str">
        <x:v>M1 / M3</x:v>
      </x:c>
      <x:c r="E1108" s="16" t="n">
        <x:v>3</x:v>
      </x:c>
      <x:c r="F1108" s="14" t="n">
        <x:v>50</x:v>
      </x:c>
      <x:c r="G1108" s="26" t="n">
        <x:f>'成本明细'!U168+'成本明细'!G168*(E1108-'参数'!$B$6)</x:f>
        <x:v>1672.0146343094443</x:v>
      </x:c>
      <x:c r="H1108" s="26" t="n">
        <x:f>'成本明细'!U174</x:f>
        <x:v>2251.7219473711107</x:v>
      </x:c>
      <x:c r="I1108" s="26" t="n">
        <x:f>'成本明细'!V174</x:f>
        <x:v>4270.5</x:v>
      </x:c>
      <x:c r="J1108" s="22" t="n">
        <x:f>'参数'!$B$9</x:f>
        <x:v>300</x:v>
      </x:c>
      <x:c r="K1108" s="26" t="n">
        <x:f>J1108*(G1108-H1108)-I1108*ROUNDUP(J1108/F1108,0)</x:f>
        <x:v>-199535.19391849992</x:v>
      </x:c>
      <x:c r="L1108" s="10" t="str">
        <x:f>IF(G1108-H1108&lt;=0,"未回本",IF(ROUNDUP(I1108/(G1108-H1108),0)&gt;MIN(F1108,J1108),"未回本",MAX(1,ROUNDUP(I1108/(G1108-H1108),0))))</x:f>
        <x:v>未回本</x:v>
      </x:c>
    </x:row>
    <x:row r="1109" ht="22" customHeight="1">
      <x:c r="A1109" s="11" t="str">
        <x:v>lade_0826_10aoi</x:v>
      </x:c>
      <x:c r="B1109" s="10" t="n">
        <x:v>10</x:v>
      </x:c>
      <x:c r="C1109" s="10" t="n">
        <x:v>42</x:v>
      </x:c>
      <x:c r="D1109" s="10" t="str">
        <x:v>M2 / M4</x:v>
      </x:c>
      <x:c r="E1109" s="16" t="n">
        <x:v>3</x:v>
      </x:c>
      <x:c r="F1109" s="14" t="n">
        <x:v>50</x:v>
      </x:c>
      <x:c r="G1109" s="26" t="n">
        <x:f>'成本明细'!U171+'成本明细'!G171*(E1109-'参数'!$B$6)</x:f>
        <x:v>1329.279376625</x:v>
      </x:c>
      <x:c r="H1109" s="26" t="n">
        <x:f>'成本明细'!U177</x:f>
        <x:v>2247.262447918333</x:v>
      </x:c>
      <x:c r="I1109" s="26" t="n">
        <x:f>'成本明细'!V177</x:f>
        <x:v>4270.5</x:v>
      </x:c>
      <x:c r="J1109" s="22" t="n">
        <x:f>'参数'!$B$9</x:f>
        <x:v>300</x:v>
      </x:c>
      <x:c r="K1109" s="26" t="n">
        <x:f>J1109*(G1109-H1109)-I1109*ROUNDUP(J1109/F1109,0)</x:f>
        <x:v>-301017.92138799984</x:v>
      </x:c>
      <x:c r="L1109" s="10" t="str">
        <x:f>IF(G1109-H1109&lt;=0,"未回本",IF(ROUNDUP(I1109/(G1109-H1109),0)&gt;MIN(F1109,J1109),"未回本",MAX(1,ROUNDUP(I1109/(G1109-H1109),0))))</x:f>
        <x:v>未回本</x:v>
      </x:c>
    </x:row>
    <x:row r="1110" ht="22" customHeight="1">
      <x:c r="A1110" s="11" t="str">
        <x:v>lade_0826_10aoi</x:v>
      </x:c>
      <x:c r="B1110" s="10" t="n">
        <x:v>10</x:v>
      </x:c>
      <x:c r="C1110" s="10" t="n">
        <x:v>42</x:v>
      </x:c>
      <x:c r="D1110" s="10" t="str">
        <x:v>M1 / M3</x:v>
      </x:c>
      <x:c r="E1110" s="16" t="n">
        <x:v>4</x:v>
      </x:c>
      <x:c r="F1110" s="14" t="n">
        <x:v>10</x:v>
      </x:c>
      <x:c r="G1110" s="26" t="n">
        <x:f>'成本明细'!U168+'成本明细'!G168*(E1110-'参数'!$B$6)</x:f>
        <x:v>1789.0146343094443</x:v>
      </x:c>
      <x:c r="H1110" s="26" t="n">
        <x:f>'成本明细'!U174</x:f>
        <x:v>2251.7219473711107</x:v>
      </x:c>
      <x:c r="I1110" s="26" t="n">
        <x:f>'成本明细'!V174</x:f>
        <x:v>4270.5</x:v>
      </x:c>
      <x:c r="J1110" s="22" t="n">
        <x:f>'参数'!$B$9</x:f>
        <x:v>300</x:v>
      </x:c>
      <x:c r="K1110" s="26" t="n">
        <x:f>J1110*(G1110-H1110)-I1110*ROUNDUP(J1110/F1110,0)</x:f>
        <x:v>-266927.1939184999</x:v>
      </x:c>
      <x:c r="L1110" s="10" t="str">
        <x:f>IF(G1110-H1110&lt;=0,"未回本",IF(ROUNDUP(I1110/(G1110-H1110),0)&gt;MIN(F1110,J1110),"未回本",MAX(1,ROUNDUP(I1110/(G1110-H1110),0))))</x:f>
        <x:v>未回本</x:v>
      </x:c>
    </x:row>
    <x:row r="1111" ht="22" customHeight="1">
      <x:c r="A1111" s="11" t="str">
        <x:v>lade_0826_10aoi</x:v>
      </x:c>
      <x:c r="B1111" s="10" t="n">
        <x:v>10</x:v>
      </x:c>
      <x:c r="C1111" s="10" t="n">
        <x:v>42</x:v>
      </x:c>
      <x:c r="D1111" s="10" t="str">
        <x:v>M2 / M4</x:v>
      </x:c>
      <x:c r="E1111" s="16" t="n">
        <x:v>4</x:v>
      </x:c>
      <x:c r="F1111" s="14" t="n">
        <x:v>10</x:v>
      </x:c>
      <x:c r="G1111" s="26" t="n">
        <x:f>'成本明细'!U171+'成本明细'!G171*(E1111-'参数'!$B$6)</x:f>
        <x:v>1446.279376625</x:v>
      </x:c>
      <x:c r="H1111" s="26" t="n">
        <x:f>'成本明细'!U177</x:f>
        <x:v>2247.262447918333</x:v>
      </x:c>
      <x:c r="I1111" s="26" t="n">
        <x:f>'成本明细'!V177</x:f>
        <x:v>4270.5</x:v>
      </x:c>
      <x:c r="J1111" s="22" t="n">
        <x:f>'参数'!$B$9</x:f>
        <x:v>300</x:v>
      </x:c>
      <x:c r="K1111" s="26" t="n">
        <x:f>J1111*(G1111-H1111)-I1111*ROUNDUP(J1111/F1111,0)</x:f>
        <x:v>-368409.92138799984</x:v>
      </x:c>
      <x:c r="L1111" s="10" t="str">
        <x:f>IF(G1111-H1111&lt;=0,"未回本",IF(ROUNDUP(I1111/(G1111-H1111),0)&gt;MIN(F1111,J1111),"未回本",MAX(1,ROUNDUP(I1111/(G1111-H1111),0))))</x:f>
        <x:v>未回本</x:v>
      </x:c>
    </x:row>
    <x:row r="1112" ht="22" customHeight="1">
      <x:c r="A1112" s="11" t="str">
        <x:v>lade_0826_10aoi</x:v>
      </x:c>
      <x:c r="B1112" s="10" t="n">
        <x:v>10</x:v>
      </x:c>
      <x:c r="C1112" s="10" t="n">
        <x:v>42</x:v>
      </x:c>
      <x:c r="D1112" s="10" t="str">
        <x:v>M1 / M3</x:v>
      </x:c>
      <x:c r="E1112" s="16" t="n">
        <x:v>4</x:v>
      </x:c>
      <x:c r="F1112" s="14" t="n">
        <x:v>20</x:v>
      </x:c>
      <x:c r="G1112" s="26" t="n">
        <x:f>'成本明细'!U168+'成本明细'!G168*(E1112-'参数'!$B$6)</x:f>
        <x:v>1789.0146343094443</x:v>
      </x:c>
      <x:c r="H1112" s="26" t="n">
        <x:f>'成本明细'!U174</x:f>
        <x:v>2251.7219473711107</x:v>
      </x:c>
      <x:c r="I1112" s="26" t="n">
        <x:f>'成本明细'!V174</x:f>
        <x:v>4270.5</x:v>
      </x:c>
      <x:c r="J1112" s="22" t="n">
        <x:f>'参数'!$B$9</x:f>
        <x:v>300</x:v>
      </x:c>
      <x:c r="K1112" s="26" t="n">
        <x:f>J1112*(G1112-H1112)-I1112*ROUNDUP(J1112/F1112,0)</x:f>
        <x:v>-202869.69391849992</x:v>
      </x:c>
      <x:c r="L1112" s="10" t="str">
        <x:f>IF(G1112-H1112&lt;=0,"未回本",IF(ROUNDUP(I1112/(G1112-H1112),0)&gt;MIN(F1112,J1112),"未回本",MAX(1,ROUNDUP(I1112/(G1112-H1112),0))))</x:f>
        <x:v>未回本</x:v>
      </x:c>
    </x:row>
    <x:row r="1113" ht="22" customHeight="1">
      <x:c r="A1113" s="11" t="str">
        <x:v>lade_0826_10aoi</x:v>
      </x:c>
      <x:c r="B1113" s="10" t="n">
        <x:v>10</x:v>
      </x:c>
      <x:c r="C1113" s="10" t="n">
        <x:v>42</x:v>
      </x:c>
      <x:c r="D1113" s="10" t="str">
        <x:v>M2 / M4</x:v>
      </x:c>
      <x:c r="E1113" s="16" t="n">
        <x:v>4</x:v>
      </x:c>
      <x:c r="F1113" s="14" t="n">
        <x:v>20</x:v>
      </x:c>
      <x:c r="G1113" s="26" t="n">
        <x:f>'成本明细'!U171+'成本明细'!G171*(E1113-'参数'!$B$6)</x:f>
        <x:v>1446.279376625</x:v>
      </x:c>
      <x:c r="H1113" s="26" t="n">
        <x:f>'成本明细'!U177</x:f>
        <x:v>2247.262447918333</x:v>
      </x:c>
      <x:c r="I1113" s="26" t="n">
        <x:f>'成本明细'!V177</x:f>
        <x:v>4270.5</x:v>
      </x:c>
      <x:c r="J1113" s="22" t="n">
        <x:f>'参数'!$B$9</x:f>
        <x:v>300</x:v>
      </x:c>
      <x:c r="K1113" s="26" t="n">
        <x:f>J1113*(G1113-H1113)-I1113*ROUNDUP(J1113/F1113,0)</x:f>
        <x:v>-304352.42138799984</x:v>
      </x:c>
      <x:c r="L1113" s="10" t="str">
        <x:f>IF(G1113-H1113&lt;=0,"未回本",IF(ROUNDUP(I1113/(G1113-H1113),0)&gt;MIN(F1113,J1113),"未回本",MAX(1,ROUNDUP(I1113/(G1113-H1113),0))))</x:f>
        <x:v>未回本</x:v>
      </x:c>
    </x:row>
    <x:row r="1114" ht="22" customHeight="1">
      <x:c r="A1114" s="11" t="str">
        <x:v>lade_0826_10aoi</x:v>
      </x:c>
      <x:c r="B1114" s="10" t="n">
        <x:v>10</x:v>
      </x:c>
      <x:c r="C1114" s="10" t="n">
        <x:v>42</x:v>
      </x:c>
      <x:c r="D1114" s="10" t="str">
        <x:v>M1 / M3</x:v>
      </x:c>
      <x:c r="E1114" s="16" t="n">
        <x:v>4</x:v>
      </x:c>
      <x:c r="F1114" s="14" t="n">
        <x:v>30</x:v>
      </x:c>
      <x:c r="G1114" s="26" t="n">
        <x:f>'成本明细'!U168+'成本明细'!G168*(E1114-'参数'!$B$6)</x:f>
        <x:v>1789.0146343094443</x:v>
      </x:c>
      <x:c r="H1114" s="26" t="n">
        <x:f>'成本明细'!U174</x:f>
        <x:v>2251.7219473711107</x:v>
      </x:c>
      <x:c r="I1114" s="26" t="n">
        <x:f>'成本明细'!V174</x:f>
        <x:v>4270.5</x:v>
      </x:c>
      <x:c r="J1114" s="22" t="n">
        <x:f>'参数'!$B$9</x:f>
        <x:v>300</x:v>
      </x:c>
      <x:c r="K1114" s="26" t="n">
        <x:f>J1114*(G1114-H1114)-I1114*ROUNDUP(J1114/F1114,0)</x:f>
        <x:v>-181517.19391849992</x:v>
      </x:c>
      <x:c r="L1114" s="10" t="str">
        <x:f>IF(G1114-H1114&lt;=0,"未回本",IF(ROUNDUP(I1114/(G1114-H1114),0)&gt;MIN(F1114,J1114),"未回本",MAX(1,ROUNDUP(I1114/(G1114-H1114),0))))</x:f>
        <x:v>未回本</x:v>
      </x:c>
    </x:row>
    <x:row r="1115" ht="22" customHeight="1">
      <x:c r="A1115" s="11" t="str">
        <x:v>lade_0826_10aoi</x:v>
      </x:c>
      <x:c r="B1115" s="10" t="n">
        <x:v>10</x:v>
      </x:c>
      <x:c r="C1115" s="10" t="n">
        <x:v>42</x:v>
      </x:c>
      <x:c r="D1115" s="10" t="str">
        <x:v>M2 / M4</x:v>
      </x:c>
      <x:c r="E1115" s="16" t="n">
        <x:v>4</x:v>
      </x:c>
      <x:c r="F1115" s="14" t="n">
        <x:v>30</x:v>
      </x:c>
      <x:c r="G1115" s="26" t="n">
        <x:f>'成本明细'!U171+'成本明细'!G171*(E1115-'参数'!$B$6)</x:f>
        <x:v>1446.279376625</x:v>
      </x:c>
      <x:c r="H1115" s="26" t="n">
        <x:f>'成本明细'!U177</x:f>
        <x:v>2247.262447918333</x:v>
      </x:c>
      <x:c r="I1115" s="26" t="n">
        <x:f>'成本明细'!V177</x:f>
        <x:v>4270.5</x:v>
      </x:c>
      <x:c r="J1115" s="22" t="n">
        <x:f>'参数'!$B$9</x:f>
        <x:v>300</x:v>
      </x:c>
      <x:c r="K1115" s="26" t="n">
        <x:f>J1115*(G1115-H1115)-I1115*ROUNDUP(J1115/F1115,0)</x:f>
        <x:v>-282999.92138799984</x:v>
      </x:c>
      <x:c r="L1115" s="10" t="str">
        <x:f>IF(G1115-H1115&lt;=0,"未回本",IF(ROUNDUP(I1115/(G1115-H1115),0)&gt;MIN(F1115,J1115),"未回本",MAX(1,ROUNDUP(I1115/(G1115-H1115),0))))</x:f>
        <x:v>未回本</x:v>
      </x:c>
    </x:row>
    <x:row r="1116" ht="22" customHeight="1">
      <x:c r="A1116" s="11" t="str">
        <x:v>lade_0826_10aoi</x:v>
      </x:c>
      <x:c r="B1116" s="10" t="n">
        <x:v>10</x:v>
      </x:c>
      <x:c r="C1116" s="10" t="n">
        <x:v>42</x:v>
      </x:c>
      <x:c r="D1116" s="10" t="str">
        <x:v>M1 / M3</x:v>
      </x:c>
      <x:c r="E1116" s="16" t="n">
        <x:v>4</x:v>
      </x:c>
      <x:c r="F1116" s="14" t="n">
        <x:v>50</x:v>
      </x:c>
      <x:c r="G1116" s="26" t="n">
        <x:f>'成本明细'!U168+'成本明细'!G168*(E1116-'参数'!$B$6)</x:f>
        <x:v>1789.0146343094443</x:v>
      </x:c>
      <x:c r="H1116" s="26" t="n">
        <x:f>'成本明细'!U174</x:f>
        <x:v>2251.7219473711107</x:v>
      </x:c>
      <x:c r="I1116" s="26" t="n">
        <x:f>'成本明细'!V174</x:f>
        <x:v>4270.5</x:v>
      </x:c>
      <x:c r="J1116" s="22" t="n">
        <x:f>'参数'!$B$9</x:f>
        <x:v>300</x:v>
      </x:c>
      <x:c r="K1116" s="26" t="n">
        <x:f>J1116*(G1116-H1116)-I1116*ROUNDUP(J1116/F1116,0)</x:f>
        <x:v>-164435.19391849992</x:v>
      </x:c>
      <x:c r="L1116" s="10" t="str">
        <x:f>IF(G1116-H1116&lt;=0,"未回本",IF(ROUNDUP(I1116/(G1116-H1116),0)&gt;MIN(F1116,J1116),"未回本",MAX(1,ROUNDUP(I1116/(G1116-H1116),0))))</x:f>
        <x:v>未回本</x:v>
      </x:c>
    </x:row>
    <x:row r="1117" ht="22" customHeight="1">
      <x:c r="A1117" s="11" t="str">
        <x:v>lade_0826_10aoi</x:v>
      </x:c>
      <x:c r="B1117" s="10" t="n">
        <x:v>10</x:v>
      </x:c>
      <x:c r="C1117" s="10" t="n">
        <x:v>42</x:v>
      </x:c>
      <x:c r="D1117" s="10" t="str">
        <x:v>M2 / M4</x:v>
      </x:c>
      <x:c r="E1117" s="16" t="n">
        <x:v>4</x:v>
      </x:c>
      <x:c r="F1117" s="14" t="n">
        <x:v>50</x:v>
      </x:c>
      <x:c r="G1117" s="26" t="n">
        <x:f>'成本明细'!U171+'成本明细'!G171*(E1117-'参数'!$B$6)</x:f>
        <x:v>1446.279376625</x:v>
      </x:c>
      <x:c r="H1117" s="26" t="n">
        <x:f>'成本明细'!U177</x:f>
        <x:v>2247.262447918333</x:v>
      </x:c>
      <x:c r="I1117" s="26" t="n">
        <x:f>'成本明细'!V177</x:f>
        <x:v>4270.5</x:v>
      </x:c>
      <x:c r="J1117" s="22" t="n">
        <x:f>'参数'!$B$9</x:f>
        <x:v>300</x:v>
      </x:c>
      <x:c r="K1117" s="26" t="n">
        <x:f>J1117*(G1117-H1117)-I1117*ROUNDUP(J1117/F1117,0)</x:f>
        <x:v>-265917.92138799984</x:v>
      </x:c>
      <x:c r="L1117" s="10" t="str">
        <x:f>IF(G1117-H1117&lt;=0,"未回本",IF(ROUNDUP(I1117/(G1117-H1117),0)&gt;MIN(F1117,J1117),"未回本",MAX(1,ROUNDUP(I1117/(G1117-H1117),0))))</x:f>
        <x:v>未回本</x:v>
      </x:c>
    </x:row>
    <x:row r="1118" ht="22" customHeight="1">
      <x:c r="A1118" s="11" t="str">
        <x:v>lade_0826_10aoi</x:v>
      </x:c>
      <x:c r="B1118" s="10" t="n">
        <x:v>10</x:v>
      </x:c>
      <x:c r="C1118" s="10" t="n">
        <x:v>42</x:v>
      </x:c>
      <x:c r="D1118" s="10" t="str">
        <x:v>M1 / M3</x:v>
      </x:c>
      <x:c r="E1118" s="16" t="n">
        <x:v>5</x:v>
      </x:c>
      <x:c r="F1118" s="14" t="n">
        <x:v>10</x:v>
      </x:c>
      <x:c r="G1118" s="26" t="n">
        <x:f>'成本明细'!U168+'成本明细'!G168*(E1118-'参数'!$B$6)</x:f>
        <x:v>1906.0146343094443</x:v>
      </x:c>
      <x:c r="H1118" s="26" t="n">
        <x:f>'成本明细'!U174</x:f>
        <x:v>2251.7219473711107</x:v>
      </x:c>
      <x:c r="I1118" s="26" t="n">
        <x:f>'成本明细'!V174</x:f>
        <x:v>4270.5</x:v>
      </x:c>
      <x:c r="J1118" s="22" t="n">
        <x:f>'参数'!$B$9</x:f>
        <x:v>300</x:v>
      </x:c>
      <x:c r="K1118" s="26" t="n">
        <x:f>J1118*(G1118-H1118)-I1118*ROUNDUP(J1118/F1118,0)</x:f>
        <x:v>-231827.19391849992</x:v>
      </x:c>
      <x:c r="L1118" s="10" t="str">
        <x:f>IF(G1118-H1118&lt;=0,"未回本",IF(ROUNDUP(I1118/(G1118-H1118),0)&gt;MIN(F1118,J1118),"未回本",MAX(1,ROUNDUP(I1118/(G1118-H1118),0))))</x:f>
        <x:v>未回本</x:v>
      </x:c>
    </x:row>
    <x:row r="1119" ht="22" customHeight="1">
      <x:c r="A1119" s="11" t="str">
        <x:v>lade_0826_10aoi</x:v>
      </x:c>
      <x:c r="B1119" s="10" t="n">
        <x:v>10</x:v>
      </x:c>
      <x:c r="C1119" s="10" t="n">
        <x:v>42</x:v>
      </x:c>
      <x:c r="D1119" s="10" t="str">
        <x:v>M2 / M4</x:v>
      </x:c>
      <x:c r="E1119" s="16" t="n">
        <x:v>5</x:v>
      </x:c>
      <x:c r="F1119" s="14" t="n">
        <x:v>10</x:v>
      </x:c>
      <x:c r="G1119" s="26" t="n">
        <x:f>'成本明细'!U171+'成本明细'!G171*(E1119-'参数'!$B$6)</x:f>
        <x:v>1563.279376625</x:v>
      </x:c>
      <x:c r="H1119" s="26" t="n">
        <x:f>'成本明细'!U177</x:f>
        <x:v>2247.262447918333</x:v>
      </x:c>
      <x:c r="I1119" s="26" t="n">
        <x:f>'成本明细'!V177</x:f>
        <x:v>4270.5</x:v>
      </x:c>
      <x:c r="J1119" s="22" t="n">
        <x:f>'参数'!$B$9</x:f>
        <x:v>300</x:v>
      </x:c>
      <x:c r="K1119" s="26" t="n">
        <x:f>J1119*(G1119-H1119)-I1119*ROUNDUP(J1119/F1119,0)</x:f>
        <x:v>-333309.92138799984</x:v>
      </x:c>
      <x:c r="L1119" s="10" t="str">
        <x:f>IF(G1119-H1119&lt;=0,"未回本",IF(ROUNDUP(I1119/(G1119-H1119),0)&gt;MIN(F1119,J1119),"未回本",MAX(1,ROUNDUP(I1119/(G1119-H1119),0))))</x:f>
        <x:v>未回本</x:v>
      </x:c>
    </x:row>
    <x:row r="1120" ht="22" customHeight="1">
      <x:c r="A1120" s="11" t="str">
        <x:v>lade_0826_10aoi</x:v>
      </x:c>
      <x:c r="B1120" s="10" t="n">
        <x:v>10</x:v>
      </x:c>
      <x:c r="C1120" s="10" t="n">
        <x:v>42</x:v>
      </x:c>
      <x:c r="D1120" s="10" t="str">
        <x:v>M1 / M3</x:v>
      </x:c>
      <x:c r="E1120" s="16" t="n">
        <x:v>5</x:v>
      </x:c>
      <x:c r="F1120" s="14" t="n">
        <x:v>20</x:v>
      </x:c>
      <x:c r="G1120" s="26" t="n">
        <x:f>'成本明细'!U168+'成本明细'!G168*(E1120-'参数'!$B$6)</x:f>
        <x:v>1906.0146343094443</x:v>
      </x:c>
      <x:c r="H1120" s="26" t="n">
        <x:f>'成本明细'!U174</x:f>
        <x:v>2251.7219473711107</x:v>
      </x:c>
      <x:c r="I1120" s="26" t="n">
        <x:f>'成本明细'!V174</x:f>
        <x:v>4270.5</x:v>
      </x:c>
      <x:c r="J1120" s="22" t="n">
        <x:f>'参数'!$B$9</x:f>
        <x:v>300</x:v>
      </x:c>
      <x:c r="K1120" s="26" t="n">
        <x:f>J1120*(G1120-H1120)-I1120*ROUNDUP(J1120/F1120,0)</x:f>
        <x:v>-167769.69391849992</x:v>
      </x:c>
      <x:c r="L1120" s="10" t="str">
        <x:f>IF(G1120-H1120&lt;=0,"未回本",IF(ROUNDUP(I1120/(G1120-H1120),0)&gt;MIN(F1120,J1120),"未回本",MAX(1,ROUNDUP(I1120/(G1120-H1120),0))))</x:f>
        <x:v>未回本</x:v>
      </x:c>
    </x:row>
    <x:row r="1121" ht="22" customHeight="1">
      <x:c r="A1121" s="11" t="str">
        <x:v>lade_0826_10aoi</x:v>
      </x:c>
      <x:c r="B1121" s="10" t="n">
        <x:v>10</x:v>
      </x:c>
      <x:c r="C1121" s="10" t="n">
        <x:v>42</x:v>
      </x:c>
      <x:c r="D1121" s="10" t="str">
        <x:v>M2 / M4</x:v>
      </x:c>
      <x:c r="E1121" s="16" t="n">
        <x:v>5</x:v>
      </x:c>
      <x:c r="F1121" s="14" t="n">
        <x:v>20</x:v>
      </x:c>
      <x:c r="G1121" s="26" t="n">
        <x:f>'成本明细'!U171+'成本明细'!G171*(E1121-'参数'!$B$6)</x:f>
        <x:v>1563.279376625</x:v>
      </x:c>
      <x:c r="H1121" s="26" t="n">
        <x:f>'成本明细'!U177</x:f>
        <x:v>2247.262447918333</x:v>
      </x:c>
      <x:c r="I1121" s="26" t="n">
        <x:f>'成本明细'!V177</x:f>
        <x:v>4270.5</x:v>
      </x:c>
      <x:c r="J1121" s="22" t="n">
        <x:f>'参数'!$B$9</x:f>
        <x:v>300</x:v>
      </x:c>
      <x:c r="K1121" s="26" t="n">
        <x:f>J1121*(G1121-H1121)-I1121*ROUNDUP(J1121/F1121,0)</x:f>
        <x:v>-269252.42138799984</x:v>
      </x:c>
      <x:c r="L1121" s="10" t="str">
        <x:f>IF(G1121-H1121&lt;=0,"未回本",IF(ROUNDUP(I1121/(G1121-H1121),0)&gt;MIN(F1121,J1121),"未回本",MAX(1,ROUNDUP(I1121/(G1121-H1121),0))))</x:f>
        <x:v>未回本</x:v>
      </x:c>
    </x:row>
    <x:row r="1122" ht="22" customHeight="1">
      <x:c r="A1122" s="11" t="str">
        <x:v>lade_0826_10aoi</x:v>
      </x:c>
      <x:c r="B1122" s="10" t="n">
        <x:v>10</x:v>
      </x:c>
      <x:c r="C1122" s="10" t="n">
        <x:v>42</x:v>
      </x:c>
      <x:c r="D1122" s="10" t="str">
        <x:v>M1 / M3</x:v>
      </x:c>
      <x:c r="E1122" s="16" t="n">
        <x:v>5</x:v>
      </x:c>
      <x:c r="F1122" s="14" t="n">
        <x:v>30</x:v>
      </x:c>
      <x:c r="G1122" s="26" t="n">
        <x:f>'成本明细'!U168+'成本明细'!G168*(E1122-'参数'!$B$6)</x:f>
        <x:v>1906.0146343094443</x:v>
      </x:c>
      <x:c r="H1122" s="26" t="n">
        <x:f>'成本明细'!U174</x:f>
        <x:v>2251.7219473711107</x:v>
      </x:c>
      <x:c r="I1122" s="26" t="n">
        <x:f>'成本明细'!V174</x:f>
        <x:v>4270.5</x:v>
      </x:c>
      <x:c r="J1122" s="22" t="n">
        <x:f>'参数'!$B$9</x:f>
        <x:v>300</x:v>
      </x:c>
      <x:c r="K1122" s="26" t="n">
        <x:f>J1122*(G1122-H1122)-I1122*ROUNDUP(J1122/F1122,0)</x:f>
        <x:v>-146417.19391849992</x:v>
      </x:c>
      <x:c r="L1122" s="10" t="str">
        <x:f>IF(G1122-H1122&lt;=0,"未回本",IF(ROUNDUP(I1122/(G1122-H1122),0)&gt;MIN(F1122,J1122),"未回本",MAX(1,ROUNDUP(I1122/(G1122-H1122),0))))</x:f>
        <x:v>未回本</x:v>
      </x:c>
    </x:row>
    <x:row r="1123" ht="22" customHeight="1">
      <x:c r="A1123" s="11" t="str">
        <x:v>lade_0826_10aoi</x:v>
      </x:c>
      <x:c r="B1123" s="10" t="n">
        <x:v>10</x:v>
      </x:c>
      <x:c r="C1123" s="10" t="n">
        <x:v>42</x:v>
      </x:c>
      <x:c r="D1123" s="10" t="str">
        <x:v>M2 / M4</x:v>
      </x:c>
      <x:c r="E1123" s="16" t="n">
        <x:v>5</x:v>
      </x:c>
      <x:c r="F1123" s="14" t="n">
        <x:v>30</x:v>
      </x:c>
      <x:c r="G1123" s="26" t="n">
        <x:f>'成本明细'!U171+'成本明细'!G171*(E1123-'参数'!$B$6)</x:f>
        <x:v>1563.279376625</x:v>
      </x:c>
      <x:c r="H1123" s="26" t="n">
        <x:f>'成本明细'!U177</x:f>
        <x:v>2247.262447918333</x:v>
      </x:c>
      <x:c r="I1123" s="26" t="n">
        <x:f>'成本明细'!V177</x:f>
        <x:v>4270.5</x:v>
      </x:c>
      <x:c r="J1123" s="22" t="n">
        <x:f>'参数'!$B$9</x:f>
        <x:v>300</x:v>
      </x:c>
      <x:c r="K1123" s="26" t="n">
        <x:f>J1123*(G1123-H1123)-I1123*ROUNDUP(J1123/F1123,0)</x:f>
        <x:v>-247899.92138799984</x:v>
      </x:c>
      <x:c r="L1123" s="10" t="str">
        <x:f>IF(G1123-H1123&lt;=0,"未回本",IF(ROUNDUP(I1123/(G1123-H1123),0)&gt;MIN(F1123,J1123),"未回本",MAX(1,ROUNDUP(I1123/(G1123-H1123),0))))</x:f>
        <x:v>未回本</x:v>
      </x:c>
    </x:row>
    <x:row r="1124" ht="22" customHeight="1">
      <x:c r="A1124" s="11" t="str">
        <x:v>lade_0826_10aoi</x:v>
      </x:c>
      <x:c r="B1124" s="10" t="n">
        <x:v>10</x:v>
      </x:c>
      <x:c r="C1124" s="10" t="n">
        <x:v>42</x:v>
      </x:c>
      <x:c r="D1124" s="10" t="str">
        <x:v>M1 / M3</x:v>
      </x:c>
      <x:c r="E1124" s="16" t="n">
        <x:v>5</x:v>
      </x:c>
      <x:c r="F1124" s="14" t="n">
        <x:v>50</x:v>
      </x:c>
      <x:c r="G1124" s="26" t="n">
        <x:f>'成本明细'!U168+'成本明细'!G168*(E1124-'参数'!$B$6)</x:f>
        <x:v>1906.0146343094443</x:v>
      </x:c>
      <x:c r="H1124" s="26" t="n">
        <x:f>'成本明细'!U174</x:f>
        <x:v>2251.7219473711107</x:v>
      </x:c>
      <x:c r="I1124" s="26" t="n">
        <x:f>'成本明细'!V174</x:f>
        <x:v>4270.5</x:v>
      </x:c>
      <x:c r="J1124" s="22" t="n">
        <x:f>'参数'!$B$9</x:f>
        <x:v>300</x:v>
      </x:c>
      <x:c r="K1124" s="26" t="n">
        <x:f>J1124*(G1124-H1124)-I1124*ROUNDUP(J1124/F1124,0)</x:f>
        <x:v>-129335.1939184999</x:v>
      </x:c>
      <x:c r="L1124" s="10" t="str">
        <x:f>IF(G1124-H1124&lt;=0,"未回本",IF(ROUNDUP(I1124/(G1124-H1124),0)&gt;MIN(F1124,J1124),"未回本",MAX(1,ROUNDUP(I1124/(G1124-H1124),0))))</x:f>
        <x:v>未回本</x:v>
      </x:c>
    </x:row>
    <x:row r="1125" ht="22" customHeight="1">
      <x:c r="A1125" s="11" t="str">
        <x:v>lade_0826_10aoi</x:v>
      </x:c>
      <x:c r="B1125" s="10" t="n">
        <x:v>10</x:v>
      </x:c>
      <x:c r="C1125" s="10" t="n">
        <x:v>42</x:v>
      </x:c>
      <x:c r="D1125" s="10" t="str">
        <x:v>M2 / M4</x:v>
      </x:c>
      <x:c r="E1125" s="16" t="n">
        <x:v>5</x:v>
      </x:c>
      <x:c r="F1125" s="14" t="n">
        <x:v>50</x:v>
      </x:c>
      <x:c r="G1125" s="26" t="n">
        <x:f>'成本明细'!U171+'成本明细'!G171*(E1125-'参数'!$B$6)</x:f>
        <x:v>1563.279376625</x:v>
      </x:c>
      <x:c r="H1125" s="26" t="n">
        <x:f>'成本明细'!U177</x:f>
        <x:v>2247.262447918333</x:v>
      </x:c>
      <x:c r="I1125" s="26" t="n">
        <x:f>'成本明细'!V177</x:f>
        <x:v>4270.5</x:v>
      </x:c>
      <x:c r="J1125" s="22" t="n">
        <x:f>'参数'!$B$9</x:f>
        <x:v>300</x:v>
      </x:c>
      <x:c r="K1125" s="26" t="n">
        <x:f>J1125*(G1125-H1125)-I1125*ROUNDUP(J1125/F1125,0)</x:f>
        <x:v>-230817.92138799984</x:v>
      </x:c>
      <x:c r="L1125" s="10" t="str">
        <x:f>IF(G1125-H1125&lt;=0,"未回本",IF(ROUNDUP(I1125/(G1125-H1125),0)&gt;MIN(F1125,J1125),"未回本",MAX(1,ROUNDUP(I1125/(G1125-H1125),0))))</x:f>
        <x:v>未回本</x:v>
      </x:c>
    </x:row>
    <x:row r="1126" ht="22" customHeight="1">
      <x:c r="A1126" s="11" t="str">
        <x:v>lade_0826_10aoi</x:v>
      </x:c>
      <x:c r="B1126" s="10" t="n">
        <x:v>10</x:v>
      </x:c>
      <x:c r="C1126" s="10" t="n">
        <x:v>43</x:v>
      </x:c>
      <x:c r="D1126" s="10" t="str">
        <x:v>M1 / M3</x:v>
      </x:c>
      <x:c r="E1126" s="16" t="n">
        <x:v>1</x:v>
      </x:c>
      <x:c r="F1126" s="14" t="n">
        <x:v>10</x:v>
      </x:c>
      <x:c r="G1126" s="26" t="n">
        <x:f>'成本明细'!U169+'成本明细'!G169*(E1126-'参数'!$B$6)</x:f>
        <x:v>1438.0146343094443</x:v>
      </x:c>
      <x:c r="H1126" s="26" t="n">
        <x:f>'成本明细'!U175</x:f>
        <x:v>2251.7219473711107</x:v>
      </x:c>
      <x:c r="I1126" s="26" t="n">
        <x:f>'成本明细'!V175</x:f>
        <x:v>4270.5</x:v>
      </x:c>
      <x:c r="J1126" s="22" t="n">
        <x:f>'参数'!$B$9</x:f>
        <x:v>300</x:v>
      </x:c>
      <x:c r="K1126" s="26" t="n">
        <x:f>J1126*(G1126-H1126)-I1126*ROUNDUP(J1126/F1126,0)</x:f>
        <x:v>-372227.1939184999</x:v>
      </x:c>
      <x:c r="L1126" s="10" t="str">
        <x:f>IF(G1126-H1126&lt;=0,"未回本",IF(ROUNDUP(I1126/(G1126-H1126),0)&gt;MIN(F1126,J1126),"未回本",MAX(1,ROUNDUP(I1126/(G1126-H1126),0))))</x:f>
        <x:v>未回本</x:v>
      </x:c>
    </x:row>
    <x:row r="1127" ht="22" customHeight="1">
      <x:c r="A1127" s="11" t="str">
        <x:v>lade_0826_10aoi</x:v>
      </x:c>
      <x:c r="B1127" s="10" t="n">
        <x:v>10</x:v>
      </x:c>
      <x:c r="C1127" s="10" t="n">
        <x:v>43</x:v>
      </x:c>
      <x:c r="D1127" s="10" t="str">
        <x:v>M2 / M4</x:v>
      </x:c>
      <x:c r="E1127" s="16" t="n">
        <x:v>1</x:v>
      </x:c>
      <x:c r="F1127" s="14" t="n">
        <x:v>10</x:v>
      </x:c>
      <x:c r="G1127" s="26" t="n">
        <x:f>'成本明细'!U172+'成本明细'!G172*(E1127-'参数'!$B$6)</x:f>
        <x:v>1012.8551957755553</x:v>
      </x:c>
      <x:c r="H1127" s="26" t="n">
        <x:f>'成本明细'!U178</x:f>
        <x:v>2244.9212120111106</x:v>
      </x:c>
      <x:c r="I1127" s="26" t="n">
        <x:f>'成本明细'!V178</x:f>
        <x:v>4270.5</x:v>
      </x:c>
      <x:c r="J1127" s="22" t="n">
        <x:f>'参数'!$B$9</x:f>
        <x:v>300</x:v>
      </x:c>
      <x:c r="K1127" s="26" t="n">
        <x:f>J1127*(G1127-H1127)-I1127*ROUNDUP(J1127/F1127,0)</x:f>
        <x:v>-497734.8048706666</x:v>
      </x:c>
      <x:c r="L1127" s="10" t="str">
        <x:f>IF(G1127-H1127&lt;=0,"未回本",IF(ROUNDUP(I1127/(G1127-H1127),0)&gt;MIN(F1127,J1127),"未回本",MAX(1,ROUNDUP(I1127/(G1127-H1127),0))))</x:f>
        <x:v>未回本</x:v>
      </x:c>
    </x:row>
    <x:row r="1128" ht="22" customHeight="1">
      <x:c r="A1128" s="11" t="str">
        <x:v>lade_0826_10aoi</x:v>
      </x:c>
      <x:c r="B1128" s="10" t="n">
        <x:v>10</x:v>
      </x:c>
      <x:c r="C1128" s="10" t="n">
        <x:v>43</x:v>
      </x:c>
      <x:c r="D1128" s="10" t="str">
        <x:v>M1 / M3</x:v>
      </x:c>
      <x:c r="E1128" s="16" t="n">
        <x:v>1</x:v>
      </x:c>
      <x:c r="F1128" s="14" t="n">
        <x:v>20</x:v>
      </x:c>
      <x:c r="G1128" s="26" t="n">
        <x:f>'成本明细'!U169+'成本明细'!G169*(E1128-'参数'!$B$6)</x:f>
        <x:v>1438.0146343094443</x:v>
      </x:c>
      <x:c r="H1128" s="26" t="n">
        <x:f>'成本明细'!U175</x:f>
        <x:v>2251.7219473711107</x:v>
      </x:c>
      <x:c r="I1128" s="26" t="n">
        <x:f>'成本明细'!V175</x:f>
        <x:v>4270.5</x:v>
      </x:c>
      <x:c r="J1128" s="22" t="n">
        <x:f>'参数'!$B$9</x:f>
        <x:v>300</x:v>
      </x:c>
      <x:c r="K1128" s="26" t="n">
        <x:f>J1128*(G1128-H1128)-I1128*ROUNDUP(J1128/F1128,0)</x:f>
        <x:v>-308169.6939184999</x:v>
      </x:c>
      <x:c r="L1128" s="10" t="str">
        <x:f>IF(G1128-H1128&lt;=0,"未回本",IF(ROUNDUP(I1128/(G1128-H1128),0)&gt;MIN(F1128,J1128),"未回本",MAX(1,ROUNDUP(I1128/(G1128-H1128),0))))</x:f>
        <x:v>未回本</x:v>
      </x:c>
    </x:row>
    <x:row r="1129" ht="22" customHeight="1">
      <x:c r="A1129" s="11" t="str">
        <x:v>lade_0826_10aoi</x:v>
      </x:c>
      <x:c r="B1129" s="10" t="n">
        <x:v>10</x:v>
      </x:c>
      <x:c r="C1129" s="10" t="n">
        <x:v>43</x:v>
      </x:c>
      <x:c r="D1129" s="10" t="str">
        <x:v>M2 / M4</x:v>
      </x:c>
      <x:c r="E1129" s="16" t="n">
        <x:v>1</x:v>
      </x:c>
      <x:c r="F1129" s="14" t="n">
        <x:v>20</x:v>
      </x:c>
      <x:c r="G1129" s="26" t="n">
        <x:f>'成本明细'!U172+'成本明细'!G172*(E1129-'参数'!$B$6)</x:f>
        <x:v>1012.8551957755553</x:v>
      </x:c>
      <x:c r="H1129" s="26" t="n">
        <x:f>'成本明细'!U178</x:f>
        <x:v>2244.9212120111106</x:v>
      </x:c>
      <x:c r="I1129" s="26" t="n">
        <x:f>'成本明细'!V178</x:f>
        <x:v>4270.5</x:v>
      </x:c>
      <x:c r="J1129" s="22" t="n">
        <x:f>'参数'!$B$9</x:f>
        <x:v>300</x:v>
      </x:c>
      <x:c r="K1129" s="26" t="n">
        <x:f>J1129*(G1129-H1129)-I1129*ROUNDUP(J1129/F1129,0)</x:f>
        <x:v>-433677.3048706666</x:v>
      </x:c>
      <x:c r="L1129" s="10" t="str">
        <x:f>IF(G1129-H1129&lt;=0,"未回本",IF(ROUNDUP(I1129/(G1129-H1129),0)&gt;MIN(F1129,J1129),"未回本",MAX(1,ROUNDUP(I1129/(G1129-H1129),0))))</x:f>
        <x:v>未回本</x:v>
      </x:c>
    </x:row>
    <x:row r="1130" ht="22" customHeight="1">
      <x:c r="A1130" s="11" t="str">
        <x:v>lade_0826_10aoi</x:v>
      </x:c>
      <x:c r="B1130" s="10" t="n">
        <x:v>10</x:v>
      </x:c>
      <x:c r="C1130" s="10" t="n">
        <x:v>43</x:v>
      </x:c>
      <x:c r="D1130" s="10" t="str">
        <x:v>M1 / M3</x:v>
      </x:c>
      <x:c r="E1130" s="16" t="n">
        <x:v>1</x:v>
      </x:c>
      <x:c r="F1130" s="14" t="n">
        <x:v>30</x:v>
      </x:c>
      <x:c r="G1130" s="26" t="n">
        <x:f>'成本明细'!U169+'成本明细'!G169*(E1130-'参数'!$B$6)</x:f>
        <x:v>1438.0146343094443</x:v>
      </x:c>
      <x:c r="H1130" s="26" t="n">
        <x:f>'成本明细'!U175</x:f>
        <x:v>2251.7219473711107</x:v>
      </x:c>
      <x:c r="I1130" s="26" t="n">
        <x:f>'成本明细'!V175</x:f>
        <x:v>4270.5</x:v>
      </x:c>
      <x:c r="J1130" s="22" t="n">
        <x:f>'参数'!$B$9</x:f>
        <x:v>300</x:v>
      </x:c>
      <x:c r="K1130" s="26" t="n">
        <x:f>J1130*(G1130-H1130)-I1130*ROUNDUP(J1130/F1130,0)</x:f>
        <x:v>-286817.1939184999</x:v>
      </x:c>
      <x:c r="L1130" s="10" t="str">
        <x:f>IF(G1130-H1130&lt;=0,"未回本",IF(ROUNDUP(I1130/(G1130-H1130),0)&gt;MIN(F1130,J1130),"未回本",MAX(1,ROUNDUP(I1130/(G1130-H1130),0))))</x:f>
        <x:v>未回本</x:v>
      </x:c>
    </x:row>
    <x:row r="1131" ht="22" customHeight="1">
      <x:c r="A1131" s="11" t="str">
        <x:v>lade_0826_10aoi</x:v>
      </x:c>
      <x:c r="B1131" s="10" t="n">
        <x:v>10</x:v>
      </x:c>
      <x:c r="C1131" s="10" t="n">
        <x:v>43</x:v>
      </x:c>
      <x:c r="D1131" s="10" t="str">
        <x:v>M2 / M4</x:v>
      </x:c>
      <x:c r="E1131" s="16" t="n">
        <x:v>1</x:v>
      </x:c>
      <x:c r="F1131" s="14" t="n">
        <x:v>30</x:v>
      </x:c>
      <x:c r="G1131" s="26" t="n">
        <x:f>'成本明细'!U172+'成本明细'!G172*(E1131-'参数'!$B$6)</x:f>
        <x:v>1012.8551957755553</x:v>
      </x:c>
      <x:c r="H1131" s="26" t="n">
        <x:f>'成本明细'!U178</x:f>
        <x:v>2244.9212120111106</x:v>
      </x:c>
      <x:c r="I1131" s="26" t="n">
        <x:f>'成本明细'!V178</x:f>
        <x:v>4270.5</x:v>
      </x:c>
      <x:c r="J1131" s="22" t="n">
        <x:f>'参数'!$B$9</x:f>
        <x:v>300</x:v>
      </x:c>
      <x:c r="K1131" s="26" t="n">
        <x:f>J1131*(G1131-H1131)-I1131*ROUNDUP(J1131/F1131,0)</x:f>
        <x:v>-412324.8048706666</x:v>
      </x:c>
      <x:c r="L1131" s="10" t="str">
        <x:f>IF(G1131-H1131&lt;=0,"未回本",IF(ROUNDUP(I1131/(G1131-H1131),0)&gt;MIN(F1131,J1131),"未回本",MAX(1,ROUNDUP(I1131/(G1131-H1131),0))))</x:f>
        <x:v>未回本</x:v>
      </x:c>
    </x:row>
    <x:row r="1132" ht="22" customHeight="1">
      <x:c r="A1132" s="11" t="str">
        <x:v>lade_0826_10aoi</x:v>
      </x:c>
      <x:c r="B1132" s="10" t="n">
        <x:v>10</x:v>
      </x:c>
      <x:c r="C1132" s="10" t="n">
        <x:v>43</x:v>
      </x:c>
      <x:c r="D1132" s="10" t="str">
        <x:v>M1 / M3</x:v>
      </x:c>
      <x:c r="E1132" s="16" t="n">
        <x:v>1</x:v>
      </x:c>
      <x:c r="F1132" s="14" t="n">
        <x:v>50</x:v>
      </x:c>
      <x:c r="G1132" s="26" t="n">
        <x:f>'成本明细'!U169+'成本明细'!G169*(E1132-'参数'!$B$6)</x:f>
        <x:v>1438.0146343094443</x:v>
      </x:c>
      <x:c r="H1132" s="26" t="n">
        <x:f>'成本明细'!U175</x:f>
        <x:v>2251.7219473711107</x:v>
      </x:c>
      <x:c r="I1132" s="26" t="n">
        <x:f>'成本明细'!V175</x:f>
        <x:v>4270.5</x:v>
      </x:c>
      <x:c r="J1132" s="22" t="n">
        <x:f>'参数'!$B$9</x:f>
        <x:v>300</x:v>
      </x:c>
      <x:c r="K1132" s="26" t="n">
        <x:f>J1132*(G1132-H1132)-I1132*ROUNDUP(J1132/F1132,0)</x:f>
        <x:v>-269735.1939184999</x:v>
      </x:c>
      <x:c r="L1132" s="10" t="str">
        <x:f>IF(G1132-H1132&lt;=0,"未回本",IF(ROUNDUP(I1132/(G1132-H1132),0)&gt;MIN(F1132,J1132),"未回本",MAX(1,ROUNDUP(I1132/(G1132-H1132),0))))</x:f>
        <x:v>未回本</x:v>
      </x:c>
    </x:row>
    <x:row r="1133" ht="22" customHeight="1">
      <x:c r="A1133" s="11" t="str">
        <x:v>lade_0826_10aoi</x:v>
      </x:c>
      <x:c r="B1133" s="10" t="n">
        <x:v>10</x:v>
      </x:c>
      <x:c r="C1133" s="10" t="n">
        <x:v>43</x:v>
      </x:c>
      <x:c r="D1133" s="10" t="str">
        <x:v>M2 / M4</x:v>
      </x:c>
      <x:c r="E1133" s="16" t="n">
        <x:v>1</x:v>
      </x:c>
      <x:c r="F1133" s="14" t="n">
        <x:v>50</x:v>
      </x:c>
      <x:c r="G1133" s="26" t="n">
        <x:f>'成本明细'!U172+'成本明细'!G172*(E1133-'参数'!$B$6)</x:f>
        <x:v>1012.8551957755553</x:v>
      </x:c>
      <x:c r="H1133" s="26" t="n">
        <x:f>'成本明细'!U178</x:f>
        <x:v>2244.9212120111106</x:v>
      </x:c>
      <x:c r="I1133" s="26" t="n">
        <x:f>'成本明细'!V178</x:f>
        <x:v>4270.5</x:v>
      </x:c>
      <x:c r="J1133" s="22" t="n">
        <x:f>'参数'!$B$9</x:f>
        <x:v>300</x:v>
      </x:c>
      <x:c r="K1133" s="26" t="n">
        <x:f>J1133*(G1133-H1133)-I1133*ROUNDUP(J1133/F1133,0)</x:f>
        <x:v>-395242.8048706666</x:v>
      </x:c>
      <x:c r="L1133" s="10" t="str">
        <x:f>IF(G1133-H1133&lt;=0,"未回本",IF(ROUNDUP(I1133/(G1133-H1133),0)&gt;MIN(F1133,J1133),"未回本",MAX(1,ROUNDUP(I1133/(G1133-H1133),0))))</x:f>
        <x:v>未回本</x:v>
      </x:c>
    </x:row>
    <x:row r="1134" ht="22" customHeight="1">
      <x:c r="A1134" s="11" t="str">
        <x:v>lade_0826_10aoi</x:v>
      </x:c>
      <x:c r="B1134" s="10" t="n">
        <x:v>10</x:v>
      </x:c>
      <x:c r="C1134" s="10" t="n">
        <x:v>43</x:v>
      </x:c>
      <x:c r="D1134" s="10" t="str">
        <x:v>M1 / M3</x:v>
      </x:c>
      <x:c r="E1134" s="16" t="n">
        <x:v>2</x:v>
      </x:c>
      <x:c r="F1134" s="14" t="n">
        <x:v>10</x:v>
      </x:c>
      <x:c r="G1134" s="26" t="n">
        <x:f>'成本明细'!U169+'成本明细'!G169*(E1134-'参数'!$B$6)</x:f>
        <x:v>1555.0146343094443</x:v>
      </x:c>
      <x:c r="H1134" s="26" t="n">
        <x:f>'成本明细'!U175</x:f>
        <x:v>2251.7219473711107</x:v>
      </x:c>
      <x:c r="I1134" s="26" t="n">
        <x:f>'成本明细'!V175</x:f>
        <x:v>4270.5</x:v>
      </x:c>
      <x:c r="J1134" s="22" t="n">
        <x:f>'参数'!$B$9</x:f>
        <x:v>300</x:v>
      </x:c>
      <x:c r="K1134" s="26" t="n">
        <x:f>J1134*(G1134-H1134)-I1134*ROUNDUP(J1134/F1134,0)</x:f>
        <x:v>-337127.1939184999</x:v>
      </x:c>
      <x:c r="L1134" s="10" t="str">
        <x:f>IF(G1134-H1134&lt;=0,"未回本",IF(ROUNDUP(I1134/(G1134-H1134),0)&gt;MIN(F1134,J1134),"未回本",MAX(1,ROUNDUP(I1134/(G1134-H1134),0))))</x:f>
        <x:v>未回本</x:v>
      </x:c>
    </x:row>
    <x:row r="1135" ht="22" customHeight="1">
      <x:c r="A1135" s="11" t="str">
        <x:v>lade_0826_10aoi</x:v>
      </x:c>
      <x:c r="B1135" s="10" t="n">
        <x:v>10</x:v>
      </x:c>
      <x:c r="C1135" s="10" t="n">
        <x:v>43</x:v>
      </x:c>
      <x:c r="D1135" s="10" t="str">
        <x:v>M2 / M4</x:v>
      </x:c>
      <x:c r="E1135" s="16" t="n">
        <x:v>2</x:v>
      </x:c>
      <x:c r="F1135" s="14" t="n">
        <x:v>10</x:v>
      </x:c>
      <x:c r="G1135" s="26" t="n">
        <x:f>'成本明细'!U172+'成本明细'!G172*(E1135-'参数'!$B$6)</x:f>
        <x:v>1129.8551957755553</x:v>
      </x:c>
      <x:c r="H1135" s="26" t="n">
        <x:f>'成本明细'!U178</x:f>
        <x:v>2244.9212120111106</x:v>
      </x:c>
      <x:c r="I1135" s="26" t="n">
        <x:f>'成本明细'!V178</x:f>
        <x:v>4270.5</x:v>
      </x:c>
      <x:c r="J1135" s="22" t="n">
        <x:f>'参数'!$B$9</x:f>
        <x:v>300</x:v>
      </x:c>
      <x:c r="K1135" s="26" t="n">
        <x:f>J1135*(G1135-H1135)-I1135*ROUNDUP(J1135/F1135,0)</x:f>
        <x:v>-462634.8048706666</x:v>
      </x:c>
      <x:c r="L1135" s="10" t="str">
        <x:f>IF(G1135-H1135&lt;=0,"未回本",IF(ROUNDUP(I1135/(G1135-H1135),0)&gt;MIN(F1135,J1135),"未回本",MAX(1,ROUNDUP(I1135/(G1135-H1135),0))))</x:f>
        <x:v>未回本</x:v>
      </x:c>
    </x:row>
    <x:row r="1136" ht="22" customHeight="1">
      <x:c r="A1136" s="11" t="str">
        <x:v>lade_0826_10aoi</x:v>
      </x:c>
      <x:c r="B1136" s="10" t="n">
        <x:v>10</x:v>
      </x:c>
      <x:c r="C1136" s="10" t="n">
        <x:v>43</x:v>
      </x:c>
      <x:c r="D1136" s="10" t="str">
        <x:v>M1 / M3</x:v>
      </x:c>
      <x:c r="E1136" s="16" t="n">
        <x:v>2</x:v>
      </x:c>
      <x:c r="F1136" s="14" t="n">
        <x:v>20</x:v>
      </x:c>
      <x:c r="G1136" s="26" t="n">
        <x:f>'成本明细'!U169+'成本明细'!G169*(E1136-'参数'!$B$6)</x:f>
        <x:v>1555.0146343094443</x:v>
      </x:c>
      <x:c r="H1136" s="26" t="n">
        <x:f>'成本明细'!U175</x:f>
        <x:v>2251.7219473711107</x:v>
      </x:c>
      <x:c r="I1136" s="26" t="n">
        <x:f>'成本明细'!V175</x:f>
        <x:v>4270.5</x:v>
      </x:c>
      <x:c r="J1136" s="22" t="n">
        <x:f>'参数'!$B$9</x:f>
        <x:v>300</x:v>
      </x:c>
      <x:c r="K1136" s="26" t="n">
        <x:f>J1136*(G1136-H1136)-I1136*ROUNDUP(J1136/F1136,0)</x:f>
        <x:v>-273069.6939184999</x:v>
      </x:c>
      <x:c r="L1136" s="10" t="str">
        <x:f>IF(G1136-H1136&lt;=0,"未回本",IF(ROUNDUP(I1136/(G1136-H1136),0)&gt;MIN(F1136,J1136),"未回本",MAX(1,ROUNDUP(I1136/(G1136-H1136),0))))</x:f>
        <x:v>未回本</x:v>
      </x:c>
    </x:row>
    <x:row r="1137" ht="22" customHeight="1">
      <x:c r="A1137" s="11" t="str">
        <x:v>lade_0826_10aoi</x:v>
      </x:c>
      <x:c r="B1137" s="10" t="n">
        <x:v>10</x:v>
      </x:c>
      <x:c r="C1137" s="10" t="n">
        <x:v>43</x:v>
      </x:c>
      <x:c r="D1137" s="10" t="str">
        <x:v>M2 / M4</x:v>
      </x:c>
      <x:c r="E1137" s="16" t="n">
        <x:v>2</x:v>
      </x:c>
      <x:c r="F1137" s="14" t="n">
        <x:v>20</x:v>
      </x:c>
      <x:c r="G1137" s="26" t="n">
        <x:f>'成本明细'!U172+'成本明细'!G172*(E1137-'参数'!$B$6)</x:f>
        <x:v>1129.8551957755553</x:v>
      </x:c>
      <x:c r="H1137" s="26" t="n">
        <x:f>'成本明细'!U178</x:f>
        <x:v>2244.9212120111106</x:v>
      </x:c>
      <x:c r="I1137" s="26" t="n">
        <x:f>'成本明细'!V178</x:f>
        <x:v>4270.5</x:v>
      </x:c>
      <x:c r="J1137" s="22" t="n">
        <x:f>'参数'!$B$9</x:f>
        <x:v>300</x:v>
      </x:c>
      <x:c r="K1137" s="26" t="n">
        <x:f>J1137*(G1137-H1137)-I1137*ROUNDUP(J1137/F1137,0)</x:f>
        <x:v>-398577.3048706666</x:v>
      </x:c>
      <x:c r="L1137" s="10" t="str">
        <x:f>IF(G1137-H1137&lt;=0,"未回本",IF(ROUNDUP(I1137/(G1137-H1137),0)&gt;MIN(F1137,J1137),"未回本",MAX(1,ROUNDUP(I1137/(G1137-H1137),0))))</x:f>
        <x:v>未回本</x:v>
      </x:c>
    </x:row>
    <x:row r="1138" ht="22" customHeight="1">
      <x:c r="A1138" s="11" t="str">
        <x:v>lade_0826_10aoi</x:v>
      </x:c>
      <x:c r="B1138" s="10" t="n">
        <x:v>10</x:v>
      </x:c>
      <x:c r="C1138" s="10" t="n">
        <x:v>43</x:v>
      </x:c>
      <x:c r="D1138" s="10" t="str">
        <x:v>M1 / M3</x:v>
      </x:c>
      <x:c r="E1138" s="16" t="n">
        <x:v>2</x:v>
      </x:c>
      <x:c r="F1138" s="14" t="n">
        <x:v>30</x:v>
      </x:c>
      <x:c r="G1138" s="26" t="n">
        <x:f>'成本明细'!U169+'成本明细'!G169*(E1138-'参数'!$B$6)</x:f>
        <x:v>1555.0146343094443</x:v>
      </x:c>
      <x:c r="H1138" s="26" t="n">
        <x:f>'成本明细'!U175</x:f>
        <x:v>2251.7219473711107</x:v>
      </x:c>
      <x:c r="I1138" s="26" t="n">
        <x:f>'成本明细'!V175</x:f>
        <x:v>4270.5</x:v>
      </x:c>
      <x:c r="J1138" s="22" t="n">
        <x:f>'参数'!$B$9</x:f>
        <x:v>300</x:v>
      </x:c>
      <x:c r="K1138" s="26" t="n">
        <x:f>J1138*(G1138-H1138)-I1138*ROUNDUP(J1138/F1138,0)</x:f>
        <x:v>-251717.19391849992</x:v>
      </x:c>
      <x:c r="L1138" s="10" t="str">
        <x:f>IF(G1138-H1138&lt;=0,"未回本",IF(ROUNDUP(I1138/(G1138-H1138),0)&gt;MIN(F1138,J1138),"未回本",MAX(1,ROUNDUP(I1138/(G1138-H1138),0))))</x:f>
        <x:v>未回本</x:v>
      </x:c>
    </x:row>
    <x:row r="1139" ht="22" customHeight="1">
      <x:c r="A1139" s="11" t="str">
        <x:v>lade_0826_10aoi</x:v>
      </x:c>
      <x:c r="B1139" s="10" t="n">
        <x:v>10</x:v>
      </x:c>
      <x:c r="C1139" s="10" t="n">
        <x:v>43</x:v>
      </x:c>
      <x:c r="D1139" s="10" t="str">
        <x:v>M2 / M4</x:v>
      </x:c>
      <x:c r="E1139" s="16" t="n">
        <x:v>2</x:v>
      </x:c>
      <x:c r="F1139" s="14" t="n">
        <x:v>30</x:v>
      </x:c>
      <x:c r="G1139" s="26" t="n">
        <x:f>'成本明细'!U172+'成本明细'!G172*(E1139-'参数'!$B$6)</x:f>
        <x:v>1129.8551957755553</x:v>
      </x:c>
      <x:c r="H1139" s="26" t="n">
        <x:f>'成本明细'!U178</x:f>
        <x:v>2244.9212120111106</x:v>
      </x:c>
      <x:c r="I1139" s="26" t="n">
        <x:f>'成本明细'!V178</x:f>
        <x:v>4270.5</x:v>
      </x:c>
      <x:c r="J1139" s="22" t="n">
        <x:f>'参数'!$B$9</x:f>
        <x:v>300</x:v>
      </x:c>
      <x:c r="K1139" s="26" t="n">
        <x:f>J1139*(G1139-H1139)-I1139*ROUNDUP(J1139/F1139,0)</x:f>
        <x:v>-377224.8048706666</x:v>
      </x:c>
      <x:c r="L1139" s="10" t="str">
        <x:f>IF(G1139-H1139&lt;=0,"未回本",IF(ROUNDUP(I1139/(G1139-H1139),0)&gt;MIN(F1139,J1139),"未回本",MAX(1,ROUNDUP(I1139/(G1139-H1139),0))))</x:f>
        <x:v>未回本</x:v>
      </x:c>
    </x:row>
    <x:row r="1140" ht="22" customHeight="1">
      <x:c r="A1140" s="11" t="str">
        <x:v>lade_0826_10aoi</x:v>
      </x:c>
      <x:c r="B1140" s="10" t="n">
        <x:v>10</x:v>
      </x:c>
      <x:c r="C1140" s="10" t="n">
        <x:v>43</x:v>
      </x:c>
      <x:c r="D1140" s="10" t="str">
        <x:v>M1 / M3</x:v>
      </x:c>
      <x:c r="E1140" s="16" t="n">
        <x:v>2</x:v>
      </x:c>
      <x:c r="F1140" s="14" t="n">
        <x:v>50</x:v>
      </x:c>
      <x:c r="G1140" s="26" t="n">
        <x:f>'成本明细'!U169+'成本明细'!G169*(E1140-'参数'!$B$6)</x:f>
        <x:v>1555.0146343094443</x:v>
      </x:c>
      <x:c r="H1140" s="26" t="n">
        <x:f>'成本明细'!U175</x:f>
        <x:v>2251.7219473711107</x:v>
      </x:c>
      <x:c r="I1140" s="26" t="n">
        <x:f>'成本明细'!V175</x:f>
        <x:v>4270.5</x:v>
      </x:c>
      <x:c r="J1140" s="22" t="n">
        <x:f>'参数'!$B$9</x:f>
        <x:v>300</x:v>
      </x:c>
      <x:c r="K1140" s="26" t="n">
        <x:f>J1140*(G1140-H1140)-I1140*ROUNDUP(J1140/F1140,0)</x:f>
        <x:v>-234635.19391849992</x:v>
      </x:c>
      <x:c r="L1140" s="10" t="str">
        <x:f>IF(G1140-H1140&lt;=0,"未回本",IF(ROUNDUP(I1140/(G1140-H1140),0)&gt;MIN(F1140,J1140),"未回本",MAX(1,ROUNDUP(I1140/(G1140-H1140),0))))</x:f>
        <x:v>未回本</x:v>
      </x:c>
    </x:row>
    <x:row r="1141" ht="22" customHeight="1">
      <x:c r="A1141" s="11" t="str">
        <x:v>lade_0826_10aoi</x:v>
      </x:c>
      <x:c r="B1141" s="10" t="n">
        <x:v>10</x:v>
      </x:c>
      <x:c r="C1141" s="10" t="n">
        <x:v>43</x:v>
      </x:c>
      <x:c r="D1141" s="10" t="str">
        <x:v>M2 / M4</x:v>
      </x:c>
      <x:c r="E1141" s="16" t="n">
        <x:v>2</x:v>
      </x:c>
      <x:c r="F1141" s="14" t="n">
        <x:v>50</x:v>
      </x:c>
      <x:c r="G1141" s="26" t="n">
        <x:f>'成本明细'!U172+'成本明细'!G172*(E1141-'参数'!$B$6)</x:f>
        <x:v>1129.8551957755553</x:v>
      </x:c>
      <x:c r="H1141" s="26" t="n">
        <x:f>'成本明细'!U178</x:f>
        <x:v>2244.9212120111106</x:v>
      </x:c>
      <x:c r="I1141" s="26" t="n">
        <x:f>'成本明细'!V178</x:f>
        <x:v>4270.5</x:v>
      </x:c>
      <x:c r="J1141" s="22" t="n">
        <x:f>'参数'!$B$9</x:f>
        <x:v>300</x:v>
      </x:c>
      <x:c r="K1141" s="26" t="n">
        <x:f>J1141*(G1141-H1141)-I1141*ROUNDUP(J1141/F1141,0)</x:f>
        <x:v>-360142.8048706666</x:v>
      </x:c>
      <x:c r="L1141" s="10" t="str">
        <x:f>IF(G1141-H1141&lt;=0,"未回本",IF(ROUNDUP(I1141/(G1141-H1141),0)&gt;MIN(F1141,J1141),"未回本",MAX(1,ROUNDUP(I1141/(G1141-H1141),0))))</x:f>
        <x:v>未回本</x:v>
      </x:c>
    </x:row>
    <x:row r="1142" ht="22" customHeight="1">
      <x:c r="A1142" s="11" t="str">
        <x:v>lade_0826_10aoi</x:v>
      </x:c>
      <x:c r="B1142" s="10" t="n">
        <x:v>10</x:v>
      </x:c>
      <x:c r="C1142" s="10" t="n">
        <x:v>43</x:v>
      </x:c>
      <x:c r="D1142" s="10" t="str">
        <x:v>M1 / M3</x:v>
      </x:c>
      <x:c r="E1142" s="16" t="n">
        <x:v>3</x:v>
      </x:c>
      <x:c r="F1142" s="14" t="n">
        <x:v>10</x:v>
      </x:c>
      <x:c r="G1142" s="26" t="n">
        <x:f>'成本明细'!U169+'成本明细'!G169*(E1142-'参数'!$B$6)</x:f>
        <x:v>1672.0146343094443</x:v>
      </x:c>
      <x:c r="H1142" s="26" t="n">
        <x:f>'成本明细'!U175</x:f>
        <x:v>2251.7219473711107</x:v>
      </x:c>
      <x:c r="I1142" s="26" t="n">
        <x:f>'成本明细'!V175</x:f>
        <x:v>4270.5</x:v>
      </x:c>
      <x:c r="J1142" s="22" t="n">
        <x:f>'参数'!$B$9</x:f>
        <x:v>300</x:v>
      </x:c>
      <x:c r="K1142" s="26" t="n">
        <x:f>J1142*(G1142-H1142)-I1142*ROUNDUP(J1142/F1142,0)</x:f>
        <x:v>-302027.1939184999</x:v>
      </x:c>
      <x:c r="L1142" s="10" t="str">
        <x:f>IF(G1142-H1142&lt;=0,"未回本",IF(ROUNDUP(I1142/(G1142-H1142),0)&gt;MIN(F1142,J1142),"未回本",MAX(1,ROUNDUP(I1142/(G1142-H1142),0))))</x:f>
        <x:v>未回本</x:v>
      </x:c>
    </x:row>
    <x:row r="1143" ht="22" customHeight="1">
      <x:c r="A1143" s="11" t="str">
        <x:v>lade_0826_10aoi</x:v>
      </x:c>
      <x:c r="B1143" s="10" t="n">
        <x:v>10</x:v>
      </x:c>
      <x:c r="C1143" s="10" t="n">
        <x:v>43</x:v>
      </x:c>
      <x:c r="D1143" s="10" t="str">
        <x:v>M2 / M4</x:v>
      </x:c>
      <x:c r="E1143" s="16" t="n">
        <x:v>3</x:v>
      </x:c>
      <x:c r="F1143" s="14" t="n">
        <x:v>10</x:v>
      </x:c>
      <x:c r="G1143" s="26" t="n">
        <x:f>'成本明细'!U172+'成本明细'!G172*(E1143-'参数'!$B$6)</x:f>
        <x:v>1246.8551957755553</x:v>
      </x:c>
      <x:c r="H1143" s="26" t="n">
        <x:f>'成本明细'!U178</x:f>
        <x:v>2244.9212120111106</x:v>
      </x:c>
      <x:c r="I1143" s="26" t="n">
        <x:f>'成本明细'!V178</x:f>
        <x:v>4270.5</x:v>
      </x:c>
      <x:c r="J1143" s="22" t="n">
        <x:f>'参数'!$B$9</x:f>
        <x:v>300</x:v>
      </x:c>
      <x:c r="K1143" s="26" t="n">
        <x:f>J1143*(G1143-H1143)-I1143*ROUNDUP(J1143/F1143,0)</x:f>
        <x:v>-427534.8048706666</x:v>
      </x:c>
      <x:c r="L1143" s="10" t="str">
        <x:f>IF(G1143-H1143&lt;=0,"未回本",IF(ROUNDUP(I1143/(G1143-H1143),0)&gt;MIN(F1143,J1143),"未回本",MAX(1,ROUNDUP(I1143/(G1143-H1143),0))))</x:f>
        <x:v>未回本</x:v>
      </x:c>
    </x:row>
    <x:row r="1144" ht="22" customHeight="1">
      <x:c r="A1144" s="11" t="str">
        <x:v>lade_0826_10aoi</x:v>
      </x:c>
      <x:c r="B1144" s="10" t="n">
        <x:v>10</x:v>
      </x:c>
      <x:c r="C1144" s="10" t="n">
        <x:v>43</x:v>
      </x:c>
      <x:c r="D1144" s="10" t="str">
        <x:v>M1 / M3</x:v>
      </x:c>
      <x:c r="E1144" s="16" t="n">
        <x:v>3</x:v>
      </x:c>
      <x:c r="F1144" s="14" t="n">
        <x:v>20</x:v>
      </x:c>
      <x:c r="G1144" s="26" t="n">
        <x:f>'成本明细'!U169+'成本明细'!G169*(E1144-'参数'!$B$6)</x:f>
        <x:v>1672.0146343094443</x:v>
      </x:c>
      <x:c r="H1144" s="26" t="n">
        <x:f>'成本明细'!U175</x:f>
        <x:v>2251.7219473711107</x:v>
      </x:c>
      <x:c r="I1144" s="26" t="n">
        <x:f>'成本明细'!V175</x:f>
        <x:v>4270.5</x:v>
      </x:c>
      <x:c r="J1144" s="22" t="n">
        <x:f>'参数'!$B$9</x:f>
        <x:v>300</x:v>
      </x:c>
      <x:c r="K1144" s="26" t="n">
        <x:f>J1144*(G1144-H1144)-I1144*ROUNDUP(J1144/F1144,0)</x:f>
        <x:v>-237969.69391849992</x:v>
      </x:c>
      <x:c r="L1144" s="10" t="str">
        <x:f>IF(G1144-H1144&lt;=0,"未回本",IF(ROUNDUP(I1144/(G1144-H1144),0)&gt;MIN(F1144,J1144),"未回本",MAX(1,ROUNDUP(I1144/(G1144-H1144),0))))</x:f>
        <x:v>未回本</x:v>
      </x:c>
    </x:row>
    <x:row r="1145" ht="22" customHeight="1">
      <x:c r="A1145" s="11" t="str">
        <x:v>lade_0826_10aoi</x:v>
      </x:c>
      <x:c r="B1145" s="10" t="n">
        <x:v>10</x:v>
      </x:c>
      <x:c r="C1145" s="10" t="n">
        <x:v>43</x:v>
      </x:c>
      <x:c r="D1145" s="10" t="str">
        <x:v>M2 / M4</x:v>
      </x:c>
      <x:c r="E1145" s="16" t="n">
        <x:v>3</x:v>
      </x:c>
      <x:c r="F1145" s="14" t="n">
        <x:v>20</x:v>
      </x:c>
      <x:c r="G1145" s="26" t="n">
        <x:f>'成本明细'!U172+'成本明细'!G172*(E1145-'参数'!$B$6)</x:f>
        <x:v>1246.8551957755553</x:v>
      </x:c>
      <x:c r="H1145" s="26" t="n">
        <x:f>'成本明细'!U178</x:f>
        <x:v>2244.9212120111106</x:v>
      </x:c>
      <x:c r="I1145" s="26" t="n">
        <x:f>'成本明细'!V178</x:f>
        <x:v>4270.5</x:v>
      </x:c>
      <x:c r="J1145" s="22" t="n">
        <x:f>'参数'!$B$9</x:f>
        <x:v>300</x:v>
      </x:c>
      <x:c r="K1145" s="26" t="n">
        <x:f>J1145*(G1145-H1145)-I1145*ROUNDUP(J1145/F1145,0)</x:f>
        <x:v>-363477.3048706666</x:v>
      </x:c>
      <x:c r="L1145" s="10" t="str">
        <x:f>IF(G1145-H1145&lt;=0,"未回本",IF(ROUNDUP(I1145/(G1145-H1145),0)&gt;MIN(F1145,J1145),"未回本",MAX(1,ROUNDUP(I1145/(G1145-H1145),0))))</x:f>
        <x:v>未回本</x:v>
      </x:c>
    </x:row>
    <x:row r="1146" ht="22" customHeight="1">
      <x:c r="A1146" s="11" t="str">
        <x:v>lade_0826_10aoi</x:v>
      </x:c>
      <x:c r="B1146" s="10" t="n">
        <x:v>10</x:v>
      </x:c>
      <x:c r="C1146" s="10" t="n">
        <x:v>43</x:v>
      </x:c>
      <x:c r="D1146" s="10" t="str">
        <x:v>M1 / M3</x:v>
      </x:c>
      <x:c r="E1146" s="16" t="n">
        <x:v>3</x:v>
      </x:c>
      <x:c r="F1146" s="14" t="n">
        <x:v>30</x:v>
      </x:c>
      <x:c r="G1146" s="26" t="n">
        <x:f>'成本明细'!U169+'成本明细'!G169*(E1146-'参数'!$B$6)</x:f>
        <x:v>1672.0146343094443</x:v>
      </x:c>
      <x:c r="H1146" s="26" t="n">
        <x:f>'成本明细'!U175</x:f>
        <x:v>2251.7219473711107</x:v>
      </x:c>
      <x:c r="I1146" s="26" t="n">
        <x:f>'成本明细'!V175</x:f>
        <x:v>4270.5</x:v>
      </x:c>
      <x:c r="J1146" s="22" t="n">
        <x:f>'参数'!$B$9</x:f>
        <x:v>300</x:v>
      </x:c>
      <x:c r="K1146" s="26" t="n">
        <x:f>J1146*(G1146-H1146)-I1146*ROUNDUP(J1146/F1146,0)</x:f>
        <x:v>-216617.19391849992</x:v>
      </x:c>
      <x:c r="L1146" s="10" t="str">
        <x:f>IF(G1146-H1146&lt;=0,"未回本",IF(ROUNDUP(I1146/(G1146-H1146),0)&gt;MIN(F1146,J1146),"未回本",MAX(1,ROUNDUP(I1146/(G1146-H1146),0))))</x:f>
        <x:v>未回本</x:v>
      </x:c>
    </x:row>
    <x:row r="1147" ht="22" customHeight="1">
      <x:c r="A1147" s="11" t="str">
        <x:v>lade_0826_10aoi</x:v>
      </x:c>
      <x:c r="B1147" s="10" t="n">
        <x:v>10</x:v>
      </x:c>
      <x:c r="C1147" s="10" t="n">
        <x:v>43</x:v>
      </x:c>
      <x:c r="D1147" s="10" t="str">
        <x:v>M2 / M4</x:v>
      </x:c>
      <x:c r="E1147" s="16" t="n">
        <x:v>3</x:v>
      </x:c>
      <x:c r="F1147" s="14" t="n">
        <x:v>30</x:v>
      </x:c>
      <x:c r="G1147" s="26" t="n">
        <x:f>'成本明细'!U172+'成本明细'!G172*(E1147-'参数'!$B$6)</x:f>
        <x:v>1246.8551957755553</x:v>
      </x:c>
      <x:c r="H1147" s="26" t="n">
        <x:f>'成本明细'!U178</x:f>
        <x:v>2244.9212120111106</x:v>
      </x:c>
      <x:c r="I1147" s="26" t="n">
        <x:f>'成本明细'!V178</x:f>
        <x:v>4270.5</x:v>
      </x:c>
      <x:c r="J1147" s="22" t="n">
        <x:f>'参数'!$B$9</x:f>
        <x:v>300</x:v>
      </x:c>
      <x:c r="K1147" s="26" t="n">
        <x:f>J1147*(G1147-H1147)-I1147*ROUNDUP(J1147/F1147,0)</x:f>
        <x:v>-342124.8048706666</x:v>
      </x:c>
      <x:c r="L1147" s="10" t="str">
        <x:f>IF(G1147-H1147&lt;=0,"未回本",IF(ROUNDUP(I1147/(G1147-H1147),0)&gt;MIN(F1147,J1147),"未回本",MAX(1,ROUNDUP(I1147/(G1147-H1147),0))))</x:f>
        <x:v>未回本</x:v>
      </x:c>
    </x:row>
    <x:row r="1148" ht="22" customHeight="1">
      <x:c r="A1148" s="11" t="str">
        <x:v>lade_0826_10aoi</x:v>
      </x:c>
      <x:c r="B1148" s="10" t="n">
        <x:v>10</x:v>
      </x:c>
      <x:c r="C1148" s="10" t="n">
        <x:v>43</x:v>
      </x:c>
      <x:c r="D1148" s="10" t="str">
        <x:v>M1 / M3</x:v>
      </x:c>
      <x:c r="E1148" s="16" t="n">
        <x:v>3</x:v>
      </x:c>
      <x:c r="F1148" s="14" t="n">
        <x:v>50</x:v>
      </x:c>
      <x:c r="G1148" s="26" t="n">
        <x:f>'成本明细'!U169+'成本明细'!G169*(E1148-'参数'!$B$6)</x:f>
        <x:v>1672.0146343094443</x:v>
      </x:c>
      <x:c r="H1148" s="26" t="n">
        <x:f>'成本明细'!U175</x:f>
        <x:v>2251.7219473711107</x:v>
      </x:c>
      <x:c r="I1148" s="26" t="n">
        <x:f>'成本明细'!V175</x:f>
        <x:v>4270.5</x:v>
      </x:c>
      <x:c r="J1148" s="22" t="n">
        <x:f>'参数'!$B$9</x:f>
        <x:v>300</x:v>
      </x:c>
      <x:c r="K1148" s="26" t="n">
        <x:f>J1148*(G1148-H1148)-I1148*ROUNDUP(J1148/F1148,0)</x:f>
        <x:v>-199535.19391849992</x:v>
      </x:c>
      <x:c r="L1148" s="10" t="str">
        <x:f>IF(G1148-H1148&lt;=0,"未回本",IF(ROUNDUP(I1148/(G1148-H1148),0)&gt;MIN(F1148,J1148),"未回本",MAX(1,ROUNDUP(I1148/(G1148-H1148),0))))</x:f>
        <x:v>未回本</x:v>
      </x:c>
    </x:row>
    <x:row r="1149" ht="22" customHeight="1">
      <x:c r="A1149" s="11" t="str">
        <x:v>lade_0826_10aoi</x:v>
      </x:c>
      <x:c r="B1149" s="10" t="n">
        <x:v>10</x:v>
      </x:c>
      <x:c r="C1149" s="10" t="n">
        <x:v>43</x:v>
      </x:c>
      <x:c r="D1149" s="10" t="str">
        <x:v>M2 / M4</x:v>
      </x:c>
      <x:c r="E1149" s="16" t="n">
        <x:v>3</x:v>
      </x:c>
      <x:c r="F1149" s="14" t="n">
        <x:v>50</x:v>
      </x:c>
      <x:c r="G1149" s="26" t="n">
        <x:f>'成本明细'!U172+'成本明细'!G172*(E1149-'参数'!$B$6)</x:f>
        <x:v>1246.8551957755553</x:v>
      </x:c>
      <x:c r="H1149" s="26" t="n">
        <x:f>'成本明细'!U178</x:f>
        <x:v>2244.9212120111106</x:v>
      </x:c>
      <x:c r="I1149" s="26" t="n">
        <x:f>'成本明细'!V178</x:f>
        <x:v>4270.5</x:v>
      </x:c>
      <x:c r="J1149" s="22" t="n">
        <x:f>'参数'!$B$9</x:f>
        <x:v>300</x:v>
      </x:c>
      <x:c r="K1149" s="26" t="n">
        <x:f>J1149*(G1149-H1149)-I1149*ROUNDUP(J1149/F1149,0)</x:f>
        <x:v>-325042.8048706666</x:v>
      </x:c>
      <x:c r="L1149" s="10" t="str">
        <x:f>IF(G1149-H1149&lt;=0,"未回本",IF(ROUNDUP(I1149/(G1149-H1149),0)&gt;MIN(F1149,J1149),"未回本",MAX(1,ROUNDUP(I1149/(G1149-H1149),0))))</x:f>
        <x:v>未回本</x:v>
      </x:c>
    </x:row>
    <x:row r="1150" ht="22" customHeight="1">
      <x:c r="A1150" s="11" t="str">
        <x:v>lade_0826_10aoi</x:v>
      </x:c>
      <x:c r="B1150" s="10" t="n">
        <x:v>10</x:v>
      </x:c>
      <x:c r="C1150" s="10" t="n">
        <x:v>43</x:v>
      </x:c>
      <x:c r="D1150" s="10" t="str">
        <x:v>M1 / M3</x:v>
      </x:c>
      <x:c r="E1150" s="16" t="n">
        <x:v>4</x:v>
      </x:c>
      <x:c r="F1150" s="14" t="n">
        <x:v>10</x:v>
      </x:c>
      <x:c r="G1150" s="26" t="n">
        <x:f>'成本明细'!U169+'成本明细'!G169*(E1150-'参数'!$B$6)</x:f>
        <x:v>1789.0146343094443</x:v>
      </x:c>
      <x:c r="H1150" s="26" t="n">
        <x:f>'成本明细'!U175</x:f>
        <x:v>2251.7219473711107</x:v>
      </x:c>
      <x:c r="I1150" s="26" t="n">
        <x:f>'成本明细'!V175</x:f>
        <x:v>4270.5</x:v>
      </x:c>
      <x:c r="J1150" s="22" t="n">
        <x:f>'参数'!$B$9</x:f>
        <x:v>300</x:v>
      </x:c>
      <x:c r="K1150" s="26" t="n">
        <x:f>J1150*(G1150-H1150)-I1150*ROUNDUP(J1150/F1150,0)</x:f>
        <x:v>-266927.1939184999</x:v>
      </x:c>
      <x:c r="L1150" s="10" t="str">
        <x:f>IF(G1150-H1150&lt;=0,"未回本",IF(ROUNDUP(I1150/(G1150-H1150),0)&gt;MIN(F1150,J1150),"未回本",MAX(1,ROUNDUP(I1150/(G1150-H1150),0))))</x:f>
        <x:v>未回本</x:v>
      </x:c>
    </x:row>
    <x:row r="1151" ht="22" customHeight="1">
      <x:c r="A1151" s="11" t="str">
        <x:v>lade_0826_10aoi</x:v>
      </x:c>
      <x:c r="B1151" s="10" t="n">
        <x:v>10</x:v>
      </x:c>
      <x:c r="C1151" s="10" t="n">
        <x:v>43</x:v>
      </x:c>
      <x:c r="D1151" s="10" t="str">
        <x:v>M2 / M4</x:v>
      </x:c>
      <x:c r="E1151" s="16" t="n">
        <x:v>4</x:v>
      </x:c>
      <x:c r="F1151" s="14" t="n">
        <x:v>10</x:v>
      </x:c>
      <x:c r="G1151" s="26" t="n">
        <x:f>'成本明细'!U172+'成本明细'!G172*(E1151-'参数'!$B$6)</x:f>
        <x:v>1363.8551957755553</x:v>
      </x:c>
      <x:c r="H1151" s="26" t="n">
        <x:f>'成本明细'!U178</x:f>
        <x:v>2244.9212120111106</x:v>
      </x:c>
      <x:c r="I1151" s="26" t="n">
        <x:f>'成本明细'!V178</x:f>
        <x:v>4270.5</x:v>
      </x:c>
      <x:c r="J1151" s="22" t="n">
        <x:f>'参数'!$B$9</x:f>
        <x:v>300</x:v>
      </x:c>
      <x:c r="K1151" s="26" t="n">
        <x:f>J1151*(G1151-H1151)-I1151*ROUNDUP(J1151/F1151,0)</x:f>
        <x:v>-392434.8048706666</x:v>
      </x:c>
      <x:c r="L1151" s="10" t="str">
        <x:f>IF(G1151-H1151&lt;=0,"未回本",IF(ROUNDUP(I1151/(G1151-H1151),0)&gt;MIN(F1151,J1151),"未回本",MAX(1,ROUNDUP(I1151/(G1151-H1151),0))))</x:f>
        <x:v>未回本</x:v>
      </x:c>
    </x:row>
    <x:row r="1152" ht="22" customHeight="1">
      <x:c r="A1152" s="11" t="str">
        <x:v>lade_0826_10aoi</x:v>
      </x:c>
      <x:c r="B1152" s="10" t="n">
        <x:v>10</x:v>
      </x:c>
      <x:c r="C1152" s="10" t="n">
        <x:v>43</x:v>
      </x:c>
      <x:c r="D1152" s="10" t="str">
        <x:v>M1 / M3</x:v>
      </x:c>
      <x:c r="E1152" s="16" t="n">
        <x:v>4</x:v>
      </x:c>
      <x:c r="F1152" s="14" t="n">
        <x:v>20</x:v>
      </x:c>
      <x:c r="G1152" s="26" t="n">
        <x:f>'成本明细'!U169+'成本明细'!G169*(E1152-'参数'!$B$6)</x:f>
        <x:v>1789.0146343094443</x:v>
      </x:c>
      <x:c r="H1152" s="26" t="n">
        <x:f>'成本明细'!U175</x:f>
        <x:v>2251.7219473711107</x:v>
      </x:c>
      <x:c r="I1152" s="26" t="n">
        <x:f>'成本明细'!V175</x:f>
        <x:v>4270.5</x:v>
      </x:c>
      <x:c r="J1152" s="22" t="n">
        <x:f>'参数'!$B$9</x:f>
        <x:v>300</x:v>
      </x:c>
      <x:c r="K1152" s="26" t="n">
        <x:f>J1152*(G1152-H1152)-I1152*ROUNDUP(J1152/F1152,0)</x:f>
        <x:v>-202869.69391849992</x:v>
      </x:c>
      <x:c r="L1152" s="10" t="str">
        <x:f>IF(G1152-H1152&lt;=0,"未回本",IF(ROUNDUP(I1152/(G1152-H1152),0)&gt;MIN(F1152,J1152),"未回本",MAX(1,ROUNDUP(I1152/(G1152-H1152),0))))</x:f>
        <x:v>未回本</x:v>
      </x:c>
    </x:row>
    <x:row r="1153" ht="22" customHeight="1">
      <x:c r="A1153" s="11" t="str">
        <x:v>lade_0826_10aoi</x:v>
      </x:c>
      <x:c r="B1153" s="10" t="n">
        <x:v>10</x:v>
      </x:c>
      <x:c r="C1153" s="10" t="n">
        <x:v>43</x:v>
      </x:c>
      <x:c r="D1153" s="10" t="str">
        <x:v>M2 / M4</x:v>
      </x:c>
      <x:c r="E1153" s="16" t="n">
        <x:v>4</x:v>
      </x:c>
      <x:c r="F1153" s="14" t="n">
        <x:v>20</x:v>
      </x:c>
      <x:c r="G1153" s="26" t="n">
        <x:f>'成本明细'!U172+'成本明细'!G172*(E1153-'参数'!$B$6)</x:f>
        <x:v>1363.8551957755553</x:v>
      </x:c>
      <x:c r="H1153" s="26" t="n">
        <x:f>'成本明细'!U178</x:f>
        <x:v>2244.9212120111106</x:v>
      </x:c>
      <x:c r="I1153" s="26" t="n">
        <x:f>'成本明细'!V178</x:f>
        <x:v>4270.5</x:v>
      </x:c>
      <x:c r="J1153" s="22" t="n">
        <x:f>'参数'!$B$9</x:f>
        <x:v>300</x:v>
      </x:c>
      <x:c r="K1153" s="26" t="n">
        <x:f>J1153*(G1153-H1153)-I1153*ROUNDUP(J1153/F1153,0)</x:f>
        <x:v>-328377.3048706666</x:v>
      </x:c>
      <x:c r="L1153" s="10" t="str">
        <x:f>IF(G1153-H1153&lt;=0,"未回本",IF(ROUNDUP(I1153/(G1153-H1153),0)&gt;MIN(F1153,J1153),"未回本",MAX(1,ROUNDUP(I1153/(G1153-H1153),0))))</x:f>
        <x:v>未回本</x:v>
      </x:c>
    </x:row>
    <x:row r="1154" ht="22" customHeight="1">
      <x:c r="A1154" s="11" t="str">
        <x:v>lade_0826_10aoi</x:v>
      </x:c>
      <x:c r="B1154" s="10" t="n">
        <x:v>10</x:v>
      </x:c>
      <x:c r="C1154" s="10" t="n">
        <x:v>43</x:v>
      </x:c>
      <x:c r="D1154" s="10" t="str">
        <x:v>M1 / M3</x:v>
      </x:c>
      <x:c r="E1154" s="16" t="n">
        <x:v>4</x:v>
      </x:c>
      <x:c r="F1154" s="14" t="n">
        <x:v>30</x:v>
      </x:c>
      <x:c r="G1154" s="26" t="n">
        <x:f>'成本明细'!U169+'成本明细'!G169*(E1154-'参数'!$B$6)</x:f>
        <x:v>1789.0146343094443</x:v>
      </x:c>
      <x:c r="H1154" s="26" t="n">
        <x:f>'成本明细'!U175</x:f>
        <x:v>2251.7219473711107</x:v>
      </x:c>
      <x:c r="I1154" s="26" t="n">
        <x:f>'成本明细'!V175</x:f>
        <x:v>4270.5</x:v>
      </x:c>
      <x:c r="J1154" s="22" t="n">
        <x:f>'参数'!$B$9</x:f>
        <x:v>300</x:v>
      </x:c>
      <x:c r="K1154" s="26" t="n">
        <x:f>J1154*(G1154-H1154)-I1154*ROUNDUP(J1154/F1154,0)</x:f>
        <x:v>-181517.19391849992</x:v>
      </x:c>
      <x:c r="L1154" s="10" t="str">
        <x:f>IF(G1154-H1154&lt;=0,"未回本",IF(ROUNDUP(I1154/(G1154-H1154),0)&gt;MIN(F1154,J1154),"未回本",MAX(1,ROUNDUP(I1154/(G1154-H1154),0))))</x:f>
        <x:v>未回本</x:v>
      </x:c>
    </x:row>
    <x:row r="1155" ht="22" customHeight="1">
      <x:c r="A1155" s="11" t="str">
        <x:v>lade_0826_10aoi</x:v>
      </x:c>
      <x:c r="B1155" s="10" t="n">
        <x:v>10</x:v>
      </x:c>
      <x:c r="C1155" s="10" t="n">
        <x:v>43</x:v>
      </x:c>
      <x:c r="D1155" s="10" t="str">
        <x:v>M2 / M4</x:v>
      </x:c>
      <x:c r="E1155" s="16" t="n">
        <x:v>4</x:v>
      </x:c>
      <x:c r="F1155" s="14" t="n">
        <x:v>30</x:v>
      </x:c>
      <x:c r="G1155" s="26" t="n">
        <x:f>'成本明细'!U172+'成本明细'!G172*(E1155-'参数'!$B$6)</x:f>
        <x:v>1363.8551957755553</x:v>
      </x:c>
      <x:c r="H1155" s="26" t="n">
        <x:f>'成本明细'!U178</x:f>
        <x:v>2244.9212120111106</x:v>
      </x:c>
      <x:c r="I1155" s="26" t="n">
        <x:f>'成本明细'!V178</x:f>
        <x:v>4270.5</x:v>
      </x:c>
      <x:c r="J1155" s="22" t="n">
        <x:f>'参数'!$B$9</x:f>
        <x:v>300</x:v>
      </x:c>
      <x:c r="K1155" s="26" t="n">
        <x:f>J1155*(G1155-H1155)-I1155*ROUNDUP(J1155/F1155,0)</x:f>
        <x:v>-307024.8048706666</x:v>
      </x:c>
      <x:c r="L1155" s="10" t="str">
        <x:f>IF(G1155-H1155&lt;=0,"未回本",IF(ROUNDUP(I1155/(G1155-H1155),0)&gt;MIN(F1155,J1155),"未回本",MAX(1,ROUNDUP(I1155/(G1155-H1155),0))))</x:f>
        <x:v>未回本</x:v>
      </x:c>
    </x:row>
    <x:row r="1156" ht="22" customHeight="1">
      <x:c r="A1156" s="11" t="str">
        <x:v>lade_0826_10aoi</x:v>
      </x:c>
      <x:c r="B1156" s="10" t="n">
        <x:v>10</x:v>
      </x:c>
      <x:c r="C1156" s="10" t="n">
        <x:v>43</x:v>
      </x:c>
      <x:c r="D1156" s="10" t="str">
        <x:v>M1 / M3</x:v>
      </x:c>
      <x:c r="E1156" s="16" t="n">
        <x:v>4</x:v>
      </x:c>
      <x:c r="F1156" s="14" t="n">
        <x:v>50</x:v>
      </x:c>
      <x:c r="G1156" s="26" t="n">
        <x:f>'成本明细'!U169+'成本明细'!G169*(E1156-'参数'!$B$6)</x:f>
        <x:v>1789.0146343094443</x:v>
      </x:c>
      <x:c r="H1156" s="26" t="n">
        <x:f>'成本明细'!U175</x:f>
        <x:v>2251.7219473711107</x:v>
      </x:c>
      <x:c r="I1156" s="26" t="n">
        <x:f>'成本明细'!V175</x:f>
        <x:v>4270.5</x:v>
      </x:c>
      <x:c r="J1156" s="22" t="n">
        <x:f>'参数'!$B$9</x:f>
        <x:v>300</x:v>
      </x:c>
      <x:c r="K1156" s="26" t="n">
        <x:f>J1156*(G1156-H1156)-I1156*ROUNDUP(J1156/F1156,0)</x:f>
        <x:v>-164435.19391849992</x:v>
      </x:c>
      <x:c r="L1156" s="10" t="str">
        <x:f>IF(G1156-H1156&lt;=0,"未回本",IF(ROUNDUP(I1156/(G1156-H1156),0)&gt;MIN(F1156,J1156),"未回本",MAX(1,ROUNDUP(I1156/(G1156-H1156),0))))</x:f>
        <x:v>未回本</x:v>
      </x:c>
    </x:row>
    <x:row r="1157" ht="22" customHeight="1">
      <x:c r="A1157" s="11" t="str">
        <x:v>lade_0826_10aoi</x:v>
      </x:c>
      <x:c r="B1157" s="10" t="n">
        <x:v>10</x:v>
      </x:c>
      <x:c r="C1157" s="10" t="n">
        <x:v>43</x:v>
      </x:c>
      <x:c r="D1157" s="10" t="str">
        <x:v>M2 / M4</x:v>
      </x:c>
      <x:c r="E1157" s="16" t="n">
        <x:v>4</x:v>
      </x:c>
      <x:c r="F1157" s="14" t="n">
        <x:v>50</x:v>
      </x:c>
      <x:c r="G1157" s="26" t="n">
        <x:f>'成本明细'!U172+'成本明细'!G172*(E1157-'参数'!$B$6)</x:f>
        <x:v>1363.8551957755553</x:v>
      </x:c>
      <x:c r="H1157" s="26" t="n">
        <x:f>'成本明细'!U178</x:f>
        <x:v>2244.9212120111106</x:v>
      </x:c>
      <x:c r="I1157" s="26" t="n">
        <x:f>'成本明细'!V178</x:f>
        <x:v>4270.5</x:v>
      </x:c>
      <x:c r="J1157" s="22" t="n">
        <x:f>'参数'!$B$9</x:f>
        <x:v>300</x:v>
      </x:c>
      <x:c r="K1157" s="26" t="n">
        <x:f>J1157*(G1157-H1157)-I1157*ROUNDUP(J1157/F1157,0)</x:f>
        <x:v>-289942.8048706666</x:v>
      </x:c>
      <x:c r="L1157" s="10" t="str">
        <x:f>IF(G1157-H1157&lt;=0,"未回本",IF(ROUNDUP(I1157/(G1157-H1157),0)&gt;MIN(F1157,J1157),"未回本",MAX(1,ROUNDUP(I1157/(G1157-H1157),0))))</x:f>
        <x:v>未回本</x:v>
      </x:c>
    </x:row>
    <x:row r="1158" ht="22" customHeight="1">
      <x:c r="A1158" s="11" t="str">
        <x:v>lade_0826_10aoi</x:v>
      </x:c>
      <x:c r="B1158" s="10" t="n">
        <x:v>10</x:v>
      </x:c>
      <x:c r="C1158" s="10" t="n">
        <x:v>43</x:v>
      </x:c>
      <x:c r="D1158" s="10" t="str">
        <x:v>M1 / M3</x:v>
      </x:c>
      <x:c r="E1158" s="16" t="n">
        <x:v>5</x:v>
      </x:c>
      <x:c r="F1158" s="14" t="n">
        <x:v>10</x:v>
      </x:c>
      <x:c r="G1158" s="26" t="n">
        <x:f>'成本明细'!U169+'成本明细'!G169*(E1158-'参数'!$B$6)</x:f>
        <x:v>1906.0146343094443</x:v>
      </x:c>
      <x:c r="H1158" s="26" t="n">
        <x:f>'成本明细'!U175</x:f>
        <x:v>2251.7219473711107</x:v>
      </x:c>
      <x:c r="I1158" s="26" t="n">
        <x:f>'成本明细'!V175</x:f>
        <x:v>4270.5</x:v>
      </x:c>
      <x:c r="J1158" s="22" t="n">
        <x:f>'参数'!$B$9</x:f>
        <x:v>300</x:v>
      </x:c>
      <x:c r="K1158" s="26" t="n">
        <x:f>J1158*(G1158-H1158)-I1158*ROUNDUP(J1158/F1158,0)</x:f>
        <x:v>-231827.19391849992</x:v>
      </x:c>
      <x:c r="L1158" s="10" t="str">
        <x:f>IF(G1158-H1158&lt;=0,"未回本",IF(ROUNDUP(I1158/(G1158-H1158),0)&gt;MIN(F1158,J1158),"未回本",MAX(1,ROUNDUP(I1158/(G1158-H1158),0))))</x:f>
        <x:v>未回本</x:v>
      </x:c>
    </x:row>
    <x:row r="1159" ht="22" customHeight="1">
      <x:c r="A1159" s="11" t="str">
        <x:v>lade_0826_10aoi</x:v>
      </x:c>
      <x:c r="B1159" s="10" t="n">
        <x:v>10</x:v>
      </x:c>
      <x:c r="C1159" s="10" t="n">
        <x:v>43</x:v>
      </x:c>
      <x:c r="D1159" s="10" t="str">
        <x:v>M2 / M4</x:v>
      </x:c>
      <x:c r="E1159" s="16" t="n">
        <x:v>5</x:v>
      </x:c>
      <x:c r="F1159" s="14" t="n">
        <x:v>10</x:v>
      </x:c>
      <x:c r="G1159" s="26" t="n">
        <x:f>'成本明细'!U172+'成本明细'!G172*(E1159-'参数'!$B$6)</x:f>
        <x:v>1480.8551957755553</x:v>
      </x:c>
      <x:c r="H1159" s="26" t="n">
        <x:f>'成本明细'!U178</x:f>
        <x:v>2244.9212120111106</x:v>
      </x:c>
      <x:c r="I1159" s="26" t="n">
        <x:f>'成本明细'!V178</x:f>
        <x:v>4270.5</x:v>
      </x:c>
      <x:c r="J1159" s="22" t="n">
        <x:f>'参数'!$B$9</x:f>
        <x:v>300</x:v>
      </x:c>
      <x:c r="K1159" s="26" t="n">
        <x:f>J1159*(G1159-H1159)-I1159*ROUNDUP(J1159/F1159,0)</x:f>
        <x:v>-357334.8048706666</x:v>
      </x:c>
      <x:c r="L1159" s="10" t="str">
        <x:f>IF(G1159-H1159&lt;=0,"未回本",IF(ROUNDUP(I1159/(G1159-H1159),0)&gt;MIN(F1159,J1159),"未回本",MAX(1,ROUNDUP(I1159/(G1159-H1159),0))))</x:f>
        <x:v>未回本</x:v>
      </x:c>
    </x:row>
    <x:row r="1160" ht="22" customHeight="1">
      <x:c r="A1160" s="11" t="str">
        <x:v>lade_0826_10aoi</x:v>
      </x:c>
      <x:c r="B1160" s="10" t="n">
        <x:v>10</x:v>
      </x:c>
      <x:c r="C1160" s="10" t="n">
        <x:v>43</x:v>
      </x:c>
      <x:c r="D1160" s="10" t="str">
        <x:v>M1 / M3</x:v>
      </x:c>
      <x:c r="E1160" s="16" t="n">
        <x:v>5</x:v>
      </x:c>
      <x:c r="F1160" s="14" t="n">
        <x:v>20</x:v>
      </x:c>
      <x:c r="G1160" s="26" t="n">
        <x:f>'成本明细'!U169+'成本明细'!G169*(E1160-'参数'!$B$6)</x:f>
        <x:v>1906.0146343094443</x:v>
      </x:c>
      <x:c r="H1160" s="26" t="n">
        <x:f>'成本明细'!U175</x:f>
        <x:v>2251.7219473711107</x:v>
      </x:c>
      <x:c r="I1160" s="26" t="n">
        <x:f>'成本明细'!V175</x:f>
        <x:v>4270.5</x:v>
      </x:c>
      <x:c r="J1160" s="22" t="n">
        <x:f>'参数'!$B$9</x:f>
        <x:v>300</x:v>
      </x:c>
      <x:c r="K1160" s="26" t="n">
        <x:f>J1160*(G1160-H1160)-I1160*ROUNDUP(J1160/F1160,0)</x:f>
        <x:v>-167769.69391849992</x:v>
      </x:c>
      <x:c r="L1160" s="10" t="str">
        <x:f>IF(G1160-H1160&lt;=0,"未回本",IF(ROUNDUP(I1160/(G1160-H1160),0)&gt;MIN(F1160,J1160),"未回本",MAX(1,ROUNDUP(I1160/(G1160-H1160),0))))</x:f>
        <x:v>未回本</x:v>
      </x:c>
    </x:row>
    <x:row r="1161" ht="22" customHeight="1">
      <x:c r="A1161" s="11" t="str">
        <x:v>lade_0826_10aoi</x:v>
      </x:c>
      <x:c r="B1161" s="10" t="n">
        <x:v>10</x:v>
      </x:c>
      <x:c r="C1161" s="10" t="n">
        <x:v>43</x:v>
      </x:c>
      <x:c r="D1161" s="10" t="str">
        <x:v>M2 / M4</x:v>
      </x:c>
      <x:c r="E1161" s="16" t="n">
        <x:v>5</x:v>
      </x:c>
      <x:c r="F1161" s="14" t="n">
        <x:v>20</x:v>
      </x:c>
      <x:c r="G1161" s="26" t="n">
        <x:f>'成本明细'!U172+'成本明细'!G172*(E1161-'参数'!$B$6)</x:f>
        <x:v>1480.8551957755553</x:v>
      </x:c>
      <x:c r="H1161" s="26" t="n">
        <x:f>'成本明细'!U178</x:f>
        <x:v>2244.9212120111106</x:v>
      </x:c>
      <x:c r="I1161" s="26" t="n">
        <x:f>'成本明细'!V178</x:f>
        <x:v>4270.5</x:v>
      </x:c>
      <x:c r="J1161" s="22" t="n">
        <x:f>'参数'!$B$9</x:f>
        <x:v>300</x:v>
      </x:c>
      <x:c r="K1161" s="26" t="n">
        <x:f>J1161*(G1161-H1161)-I1161*ROUNDUP(J1161/F1161,0)</x:f>
        <x:v>-293277.3048706666</x:v>
      </x:c>
      <x:c r="L1161" s="10" t="str">
        <x:f>IF(G1161-H1161&lt;=0,"未回本",IF(ROUNDUP(I1161/(G1161-H1161),0)&gt;MIN(F1161,J1161),"未回本",MAX(1,ROUNDUP(I1161/(G1161-H1161),0))))</x:f>
        <x:v>未回本</x:v>
      </x:c>
    </x:row>
    <x:row r="1162" ht="22" customHeight="1">
      <x:c r="A1162" s="11" t="str">
        <x:v>lade_0826_10aoi</x:v>
      </x:c>
      <x:c r="B1162" s="10" t="n">
        <x:v>10</x:v>
      </x:c>
      <x:c r="C1162" s="10" t="n">
        <x:v>43</x:v>
      </x:c>
      <x:c r="D1162" s="10" t="str">
        <x:v>M1 / M3</x:v>
      </x:c>
      <x:c r="E1162" s="16" t="n">
        <x:v>5</x:v>
      </x:c>
      <x:c r="F1162" s="14" t="n">
        <x:v>30</x:v>
      </x:c>
      <x:c r="G1162" s="26" t="n">
        <x:f>'成本明细'!U169+'成本明细'!G169*(E1162-'参数'!$B$6)</x:f>
        <x:v>1906.0146343094443</x:v>
      </x:c>
      <x:c r="H1162" s="26" t="n">
        <x:f>'成本明细'!U175</x:f>
        <x:v>2251.7219473711107</x:v>
      </x:c>
      <x:c r="I1162" s="26" t="n">
        <x:f>'成本明细'!V175</x:f>
        <x:v>4270.5</x:v>
      </x:c>
      <x:c r="J1162" s="22" t="n">
        <x:f>'参数'!$B$9</x:f>
        <x:v>300</x:v>
      </x:c>
      <x:c r="K1162" s="26" t="n">
        <x:f>J1162*(G1162-H1162)-I1162*ROUNDUP(J1162/F1162,0)</x:f>
        <x:v>-146417.19391849992</x:v>
      </x:c>
      <x:c r="L1162" s="10" t="str">
        <x:f>IF(G1162-H1162&lt;=0,"未回本",IF(ROUNDUP(I1162/(G1162-H1162),0)&gt;MIN(F1162,J1162),"未回本",MAX(1,ROUNDUP(I1162/(G1162-H1162),0))))</x:f>
        <x:v>未回本</x:v>
      </x:c>
    </x:row>
    <x:row r="1163" ht="22" customHeight="1">
      <x:c r="A1163" s="11" t="str">
        <x:v>lade_0826_10aoi</x:v>
      </x:c>
      <x:c r="B1163" s="10" t="n">
        <x:v>10</x:v>
      </x:c>
      <x:c r="C1163" s="10" t="n">
        <x:v>43</x:v>
      </x:c>
      <x:c r="D1163" s="10" t="str">
        <x:v>M2 / M4</x:v>
      </x:c>
      <x:c r="E1163" s="16" t="n">
        <x:v>5</x:v>
      </x:c>
      <x:c r="F1163" s="14" t="n">
        <x:v>30</x:v>
      </x:c>
      <x:c r="G1163" s="26" t="n">
        <x:f>'成本明细'!U172+'成本明细'!G172*(E1163-'参数'!$B$6)</x:f>
        <x:v>1480.8551957755553</x:v>
      </x:c>
      <x:c r="H1163" s="26" t="n">
        <x:f>'成本明细'!U178</x:f>
        <x:v>2244.9212120111106</x:v>
      </x:c>
      <x:c r="I1163" s="26" t="n">
        <x:f>'成本明细'!V178</x:f>
        <x:v>4270.5</x:v>
      </x:c>
      <x:c r="J1163" s="22" t="n">
        <x:f>'参数'!$B$9</x:f>
        <x:v>300</x:v>
      </x:c>
      <x:c r="K1163" s="26" t="n">
        <x:f>J1163*(G1163-H1163)-I1163*ROUNDUP(J1163/F1163,0)</x:f>
        <x:v>-271924.8048706666</x:v>
      </x:c>
      <x:c r="L1163" s="10" t="str">
        <x:f>IF(G1163-H1163&lt;=0,"未回本",IF(ROUNDUP(I1163/(G1163-H1163),0)&gt;MIN(F1163,J1163),"未回本",MAX(1,ROUNDUP(I1163/(G1163-H1163),0))))</x:f>
        <x:v>未回本</x:v>
      </x:c>
    </x:row>
    <x:row r="1164" ht="22" customHeight="1">
      <x:c r="A1164" s="11" t="str">
        <x:v>lade_0826_10aoi</x:v>
      </x:c>
      <x:c r="B1164" s="10" t="n">
        <x:v>10</x:v>
      </x:c>
      <x:c r="C1164" s="10" t="n">
        <x:v>43</x:v>
      </x:c>
      <x:c r="D1164" s="10" t="str">
        <x:v>M1 / M3</x:v>
      </x:c>
      <x:c r="E1164" s="16" t="n">
        <x:v>5</x:v>
      </x:c>
      <x:c r="F1164" s="14" t="n">
        <x:v>50</x:v>
      </x:c>
      <x:c r="G1164" s="26" t="n">
        <x:f>'成本明细'!U169+'成本明细'!G169*(E1164-'参数'!$B$6)</x:f>
        <x:v>1906.0146343094443</x:v>
      </x:c>
      <x:c r="H1164" s="26" t="n">
        <x:f>'成本明细'!U175</x:f>
        <x:v>2251.7219473711107</x:v>
      </x:c>
      <x:c r="I1164" s="26" t="n">
        <x:f>'成本明细'!V175</x:f>
        <x:v>4270.5</x:v>
      </x:c>
      <x:c r="J1164" s="22" t="n">
        <x:f>'参数'!$B$9</x:f>
        <x:v>300</x:v>
      </x:c>
      <x:c r="K1164" s="26" t="n">
        <x:f>J1164*(G1164-H1164)-I1164*ROUNDUP(J1164/F1164,0)</x:f>
        <x:v>-129335.1939184999</x:v>
      </x:c>
      <x:c r="L1164" s="10" t="str">
        <x:f>IF(G1164-H1164&lt;=0,"未回本",IF(ROUNDUP(I1164/(G1164-H1164),0)&gt;MIN(F1164,J1164),"未回本",MAX(1,ROUNDUP(I1164/(G1164-H1164),0))))</x:f>
        <x:v>未回本</x:v>
      </x:c>
    </x:row>
    <x:row r="1165" ht="22" customHeight="1">
      <x:c r="A1165" s="11" t="str">
        <x:v>lade_0826_10aoi</x:v>
      </x:c>
      <x:c r="B1165" s="10" t="n">
        <x:v>10</x:v>
      </x:c>
      <x:c r="C1165" s="10" t="n">
        <x:v>43</x:v>
      </x:c>
      <x:c r="D1165" s="10" t="str">
        <x:v>M2 / M4</x:v>
      </x:c>
      <x:c r="E1165" s="16" t="n">
        <x:v>5</x:v>
      </x:c>
      <x:c r="F1165" s="14" t="n">
        <x:v>50</x:v>
      </x:c>
      <x:c r="G1165" s="26" t="n">
        <x:f>'成本明细'!U172+'成本明细'!G172*(E1165-'参数'!$B$6)</x:f>
        <x:v>1480.8551957755553</x:v>
      </x:c>
      <x:c r="H1165" s="26" t="n">
        <x:f>'成本明细'!U178</x:f>
        <x:v>2244.9212120111106</x:v>
      </x:c>
      <x:c r="I1165" s="26" t="n">
        <x:f>'成本明细'!V178</x:f>
        <x:v>4270.5</x:v>
      </x:c>
      <x:c r="J1165" s="22" t="n">
        <x:f>'参数'!$B$9</x:f>
        <x:v>300</x:v>
      </x:c>
      <x:c r="K1165" s="26" t="n">
        <x:f>J1165*(G1165-H1165)-I1165*ROUNDUP(J1165/F1165,0)</x:f>
        <x:v>-254842.8048706666</x:v>
      </x:c>
      <x:c r="L1165" s="10" t="str">
        <x:f>IF(G1165-H1165&lt;=0,"未回本",IF(ROUNDUP(I1165/(G1165-H1165),0)&gt;MIN(F1165,J1165),"未回本",MAX(1,ROUNDUP(I1165/(G1165-H1165),0))))</x:f>
        <x:v>未回本</x:v>
      </x:c>
    </x:row>
    <x:row r="1166" ht="22" customHeight="1">
      <x:c r="A1166" s="11" t="str">
        <x:v>lade_0826_10aoi</x:v>
      </x:c>
      <x:c r="B1166" s="10" t="n">
        <x:v>10</x:v>
      </x:c>
      <x:c r="C1166" s="10" t="n">
        <x:v>44</x:v>
      </x:c>
      <x:c r="D1166" s="10" t="str">
        <x:v>M1 / M3</x:v>
      </x:c>
      <x:c r="E1166" s="16" t="n">
        <x:v>1</x:v>
      </x:c>
      <x:c r="F1166" s="14" t="n">
        <x:v>10</x:v>
      </x:c>
      <x:c r="G1166" s="26" t="n">
        <x:f>'成本明细'!U170+'成本明细'!G170*(E1166-'参数'!$B$6)</x:f>
        <x:v>1438.0146343094443</x:v>
      </x:c>
      <x:c r="H1166" s="26" t="n">
        <x:f>'成本明细'!U176</x:f>
        <x:v>2251.7219473711107</x:v>
      </x:c>
      <x:c r="I1166" s="26" t="n">
        <x:f>'成本明细'!V176</x:f>
        <x:v>4270.5</x:v>
      </x:c>
      <x:c r="J1166" s="22" t="n">
        <x:f>'参数'!$B$9</x:f>
        <x:v>300</x:v>
      </x:c>
      <x:c r="K1166" s="26" t="n">
        <x:f>J1166*(G1166-H1166)-I1166*ROUNDUP(J1166/F1166,0)</x:f>
        <x:v>-372227.1939184999</x:v>
      </x:c>
      <x:c r="L1166" s="10" t="str">
        <x:f>IF(G1166-H1166&lt;=0,"未回本",IF(ROUNDUP(I1166/(G1166-H1166),0)&gt;MIN(F1166,J1166),"未回本",MAX(1,ROUNDUP(I1166/(G1166-H1166),0))))</x:f>
        <x:v>未回本</x:v>
      </x:c>
    </x:row>
    <x:row r="1167" ht="22" customHeight="1">
      <x:c r="A1167" s="11" t="str">
        <x:v>lade_0826_10aoi</x:v>
      </x:c>
      <x:c r="B1167" s="10" t="n">
        <x:v>10</x:v>
      </x:c>
      <x:c r="C1167" s="10" t="n">
        <x:v>44</x:v>
      </x:c>
      <x:c r="D1167" s="10" t="str">
        <x:v>M2 / M4</x:v>
      </x:c>
      <x:c r="E1167" s="16" t="n">
        <x:v>1</x:v>
      </x:c>
      <x:c r="F1167" s="14" t="n">
        <x:v>10</x:v>
      </x:c>
      <x:c r="G1167" s="26" t="n">
        <x:f>'成本明细'!U173+'成本明细'!G173*(E1167-'参数'!$B$6)</x:f>
        <x:v>1095.279376625</x:v>
      </x:c>
      <x:c r="H1167" s="26" t="n">
        <x:f>'成本明细'!U179</x:f>
        <x:v>1970.1713756344443</x:v>
      </x:c>
      <x:c r="I1167" s="26" t="n">
        <x:f>'成本明细'!V179</x:f>
        <x:v>4270.5</x:v>
      </x:c>
      <x:c r="J1167" s="22" t="n">
        <x:f>'参数'!$B$9</x:f>
        <x:v>300</x:v>
      </x:c>
      <x:c r="K1167" s="26" t="n">
        <x:f>J1167*(G1167-H1167)-I1167*ROUNDUP(J1167/F1167,0)</x:f>
        <x:v>-390582.59970283334</x:v>
      </x:c>
      <x:c r="L1167" s="10" t="str">
        <x:f>IF(G1167-H1167&lt;=0,"未回本",IF(ROUNDUP(I1167/(G1167-H1167),0)&gt;MIN(F1167,J1167),"未回本",MAX(1,ROUNDUP(I1167/(G1167-H1167),0))))</x:f>
        <x:v>未回本</x:v>
      </x:c>
    </x:row>
    <x:row r="1168" ht="22" customHeight="1">
      <x:c r="A1168" s="11" t="str">
        <x:v>lade_0826_10aoi</x:v>
      </x:c>
      <x:c r="B1168" s="10" t="n">
        <x:v>10</x:v>
      </x:c>
      <x:c r="C1168" s="10" t="n">
        <x:v>44</x:v>
      </x:c>
      <x:c r="D1168" s="10" t="str">
        <x:v>M1 / M3</x:v>
      </x:c>
      <x:c r="E1168" s="16" t="n">
        <x:v>1</x:v>
      </x:c>
      <x:c r="F1168" s="14" t="n">
        <x:v>20</x:v>
      </x:c>
      <x:c r="G1168" s="26" t="n">
        <x:f>'成本明细'!U170+'成本明细'!G170*(E1168-'参数'!$B$6)</x:f>
        <x:v>1438.0146343094443</x:v>
      </x:c>
      <x:c r="H1168" s="26" t="n">
        <x:f>'成本明细'!U176</x:f>
        <x:v>2251.7219473711107</x:v>
      </x:c>
      <x:c r="I1168" s="26" t="n">
        <x:f>'成本明细'!V176</x:f>
        <x:v>4270.5</x:v>
      </x:c>
      <x:c r="J1168" s="22" t="n">
        <x:f>'参数'!$B$9</x:f>
        <x:v>300</x:v>
      </x:c>
      <x:c r="K1168" s="26" t="n">
        <x:f>J1168*(G1168-H1168)-I1168*ROUNDUP(J1168/F1168,0)</x:f>
        <x:v>-308169.6939184999</x:v>
      </x:c>
      <x:c r="L1168" s="10" t="str">
        <x:f>IF(G1168-H1168&lt;=0,"未回本",IF(ROUNDUP(I1168/(G1168-H1168),0)&gt;MIN(F1168,J1168),"未回本",MAX(1,ROUNDUP(I1168/(G1168-H1168),0))))</x:f>
        <x:v>未回本</x:v>
      </x:c>
    </x:row>
    <x:row r="1169" ht="22" customHeight="1">
      <x:c r="A1169" s="11" t="str">
        <x:v>lade_0826_10aoi</x:v>
      </x:c>
      <x:c r="B1169" s="10" t="n">
        <x:v>10</x:v>
      </x:c>
      <x:c r="C1169" s="10" t="n">
        <x:v>44</x:v>
      </x:c>
      <x:c r="D1169" s="10" t="str">
        <x:v>M2 / M4</x:v>
      </x:c>
      <x:c r="E1169" s="16" t="n">
        <x:v>1</x:v>
      </x:c>
      <x:c r="F1169" s="14" t="n">
        <x:v>20</x:v>
      </x:c>
      <x:c r="G1169" s="26" t="n">
        <x:f>'成本明细'!U173+'成本明细'!G173*(E1169-'参数'!$B$6)</x:f>
        <x:v>1095.279376625</x:v>
      </x:c>
      <x:c r="H1169" s="26" t="n">
        <x:f>'成本明细'!U179</x:f>
        <x:v>1970.1713756344443</x:v>
      </x:c>
      <x:c r="I1169" s="26" t="n">
        <x:f>'成本明细'!V179</x:f>
        <x:v>4270.5</x:v>
      </x:c>
      <x:c r="J1169" s="22" t="n">
        <x:f>'参数'!$B$9</x:f>
        <x:v>300</x:v>
      </x:c>
      <x:c r="K1169" s="26" t="n">
        <x:f>J1169*(G1169-H1169)-I1169*ROUNDUP(J1169/F1169,0)</x:f>
        <x:v>-326525.09970283334</x:v>
      </x:c>
      <x:c r="L1169" s="10" t="str">
        <x:f>IF(G1169-H1169&lt;=0,"未回本",IF(ROUNDUP(I1169/(G1169-H1169),0)&gt;MIN(F1169,J1169),"未回本",MAX(1,ROUNDUP(I1169/(G1169-H1169),0))))</x:f>
        <x:v>未回本</x:v>
      </x:c>
    </x:row>
    <x:row r="1170" ht="22" customHeight="1">
      <x:c r="A1170" s="11" t="str">
        <x:v>lade_0826_10aoi</x:v>
      </x:c>
      <x:c r="B1170" s="10" t="n">
        <x:v>10</x:v>
      </x:c>
      <x:c r="C1170" s="10" t="n">
        <x:v>44</x:v>
      </x:c>
      <x:c r="D1170" s="10" t="str">
        <x:v>M1 / M3</x:v>
      </x:c>
      <x:c r="E1170" s="16" t="n">
        <x:v>1</x:v>
      </x:c>
      <x:c r="F1170" s="14" t="n">
        <x:v>30</x:v>
      </x:c>
      <x:c r="G1170" s="26" t="n">
        <x:f>'成本明细'!U170+'成本明细'!G170*(E1170-'参数'!$B$6)</x:f>
        <x:v>1438.0146343094443</x:v>
      </x:c>
      <x:c r="H1170" s="26" t="n">
        <x:f>'成本明细'!U176</x:f>
        <x:v>2251.7219473711107</x:v>
      </x:c>
      <x:c r="I1170" s="26" t="n">
        <x:f>'成本明细'!V176</x:f>
        <x:v>4270.5</x:v>
      </x:c>
      <x:c r="J1170" s="22" t="n">
        <x:f>'参数'!$B$9</x:f>
        <x:v>300</x:v>
      </x:c>
      <x:c r="K1170" s="26" t="n">
        <x:f>J1170*(G1170-H1170)-I1170*ROUNDUP(J1170/F1170,0)</x:f>
        <x:v>-286817.1939184999</x:v>
      </x:c>
      <x:c r="L1170" s="10" t="str">
        <x:f>IF(G1170-H1170&lt;=0,"未回本",IF(ROUNDUP(I1170/(G1170-H1170),0)&gt;MIN(F1170,J1170),"未回本",MAX(1,ROUNDUP(I1170/(G1170-H1170),0))))</x:f>
        <x:v>未回本</x:v>
      </x:c>
    </x:row>
    <x:row r="1171" ht="22" customHeight="1">
      <x:c r="A1171" s="11" t="str">
        <x:v>lade_0826_10aoi</x:v>
      </x:c>
      <x:c r="B1171" s="10" t="n">
        <x:v>10</x:v>
      </x:c>
      <x:c r="C1171" s="10" t="n">
        <x:v>44</x:v>
      </x:c>
      <x:c r="D1171" s="10" t="str">
        <x:v>M2 / M4</x:v>
      </x:c>
      <x:c r="E1171" s="16" t="n">
        <x:v>1</x:v>
      </x:c>
      <x:c r="F1171" s="14" t="n">
        <x:v>30</x:v>
      </x:c>
      <x:c r="G1171" s="26" t="n">
        <x:f>'成本明细'!U173+'成本明细'!G173*(E1171-'参数'!$B$6)</x:f>
        <x:v>1095.279376625</x:v>
      </x:c>
      <x:c r="H1171" s="26" t="n">
        <x:f>'成本明细'!U179</x:f>
        <x:v>1970.1713756344443</x:v>
      </x:c>
      <x:c r="I1171" s="26" t="n">
        <x:f>'成本明细'!V179</x:f>
        <x:v>4270.5</x:v>
      </x:c>
      <x:c r="J1171" s="22" t="n">
        <x:f>'参数'!$B$9</x:f>
        <x:v>300</x:v>
      </x:c>
      <x:c r="K1171" s="26" t="n">
        <x:f>J1171*(G1171-H1171)-I1171*ROUNDUP(J1171/F1171,0)</x:f>
        <x:v>-305172.59970283334</x:v>
      </x:c>
      <x:c r="L1171" s="10" t="str">
        <x:f>IF(G1171-H1171&lt;=0,"未回本",IF(ROUNDUP(I1171/(G1171-H1171),0)&gt;MIN(F1171,J1171),"未回本",MAX(1,ROUNDUP(I1171/(G1171-H1171),0))))</x:f>
        <x:v>未回本</x:v>
      </x:c>
    </x:row>
    <x:row r="1172" ht="22" customHeight="1">
      <x:c r="A1172" s="11" t="str">
        <x:v>lade_0826_10aoi</x:v>
      </x:c>
      <x:c r="B1172" s="10" t="n">
        <x:v>10</x:v>
      </x:c>
      <x:c r="C1172" s="10" t="n">
        <x:v>44</x:v>
      </x:c>
      <x:c r="D1172" s="10" t="str">
        <x:v>M1 / M3</x:v>
      </x:c>
      <x:c r="E1172" s="16" t="n">
        <x:v>1</x:v>
      </x:c>
      <x:c r="F1172" s="14" t="n">
        <x:v>50</x:v>
      </x:c>
      <x:c r="G1172" s="26" t="n">
        <x:f>'成本明细'!U170+'成本明细'!G170*(E1172-'参数'!$B$6)</x:f>
        <x:v>1438.0146343094443</x:v>
      </x:c>
      <x:c r="H1172" s="26" t="n">
        <x:f>'成本明细'!U176</x:f>
        <x:v>2251.7219473711107</x:v>
      </x:c>
      <x:c r="I1172" s="26" t="n">
        <x:f>'成本明细'!V176</x:f>
        <x:v>4270.5</x:v>
      </x:c>
      <x:c r="J1172" s="22" t="n">
        <x:f>'参数'!$B$9</x:f>
        <x:v>300</x:v>
      </x:c>
      <x:c r="K1172" s="26" t="n">
        <x:f>J1172*(G1172-H1172)-I1172*ROUNDUP(J1172/F1172,0)</x:f>
        <x:v>-269735.1939184999</x:v>
      </x:c>
      <x:c r="L1172" s="10" t="str">
        <x:f>IF(G1172-H1172&lt;=0,"未回本",IF(ROUNDUP(I1172/(G1172-H1172),0)&gt;MIN(F1172,J1172),"未回本",MAX(1,ROUNDUP(I1172/(G1172-H1172),0))))</x:f>
        <x:v>未回本</x:v>
      </x:c>
    </x:row>
    <x:row r="1173" ht="22" customHeight="1">
      <x:c r="A1173" s="11" t="str">
        <x:v>lade_0826_10aoi</x:v>
      </x:c>
      <x:c r="B1173" s="10" t="n">
        <x:v>10</x:v>
      </x:c>
      <x:c r="C1173" s="10" t="n">
        <x:v>44</x:v>
      </x:c>
      <x:c r="D1173" s="10" t="str">
        <x:v>M2 / M4</x:v>
      </x:c>
      <x:c r="E1173" s="16" t="n">
        <x:v>1</x:v>
      </x:c>
      <x:c r="F1173" s="14" t="n">
        <x:v>50</x:v>
      </x:c>
      <x:c r="G1173" s="26" t="n">
        <x:f>'成本明细'!U173+'成本明细'!G173*(E1173-'参数'!$B$6)</x:f>
        <x:v>1095.279376625</x:v>
      </x:c>
      <x:c r="H1173" s="26" t="n">
        <x:f>'成本明细'!U179</x:f>
        <x:v>1970.1713756344443</x:v>
      </x:c>
      <x:c r="I1173" s="26" t="n">
        <x:f>'成本明细'!V179</x:f>
        <x:v>4270.5</x:v>
      </x:c>
      <x:c r="J1173" s="22" t="n">
        <x:f>'参数'!$B$9</x:f>
        <x:v>300</x:v>
      </x:c>
      <x:c r="K1173" s="26" t="n">
        <x:f>J1173*(G1173-H1173)-I1173*ROUNDUP(J1173/F1173,0)</x:f>
        <x:v>-288090.59970283334</x:v>
      </x:c>
      <x:c r="L1173" s="10" t="str">
        <x:f>IF(G1173-H1173&lt;=0,"未回本",IF(ROUNDUP(I1173/(G1173-H1173),0)&gt;MIN(F1173,J1173),"未回本",MAX(1,ROUNDUP(I1173/(G1173-H1173),0))))</x:f>
        <x:v>未回本</x:v>
      </x:c>
    </x:row>
    <x:row r="1174" ht="22" customHeight="1">
      <x:c r="A1174" s="11" t="str">
        <x:v>lade_0826_10aoi</x:v>
      </x:c>
      <x:c r="B1174" s="10" t="n">
        <x:v>10</x:v>
      </x:c>
      <x:c r="C1174" s="10" t="n">
        <x:v>44</x:v>
      </x:c>
      <x:c r="D1174" s="10" t="str">
        <x:v>M1 / M3</x:v>
      </x:c>
      <x:c r="E1174" s="16" t="n">
        <x:v>2</x:v>
      </x:c>
      <x:c r="F1174" s="14" t="n">
        <x:v>10</x:v>
      </x:c>
      <x:c r="G1174" s="26" t="n">
        <x:f>'成本明细'!U170+'成本明细'!G170*(E1174-'参数'!$B$6)</x:f>
        <x:v>1555.0146343094443</x:v>
      </x:c>
      <x:c r="H1174" s="26" t="n">
        <x:f>'成本明细'!U176</x:f>
        <x:v>2251.7219473711107</x:v>
      </x:c>
      <x:c r="I1174" s="26" t="n">
        <x:f>'成本明细'!V176</x:f>
        <x:v>4270.5</x:v>
      </x:c>
      <x:c r="J1174" s="22" t="n">
        <x:f>'参数'!$B$9</x:f>
        <x:v>300</x:v>
      </x:c>
      <x:c r="K1174" s="26" t="n">
        <x:f>J1174*(G1174-H1174)-I1174*ROUNDUP(J1174/F1174,0)</x:f>
        <x:v>-337127.1939184999</x:v>
      </x:c>
      <x:c r="L1174" s="10" t="str">
        <x:f>IF(G1174-H1174&lt;=0,"未回本",IF(ROUNDUP(I1174/(G1174-H1174),0)&gt;MIN(F1174,J1174),"未回本",MAX(1,ROUNDUP(I1174/(G1174-H1174),0))))</x:f>
        <x:v>未回本</x:v>
      </x:c>
    </x:row>
    <x:row r="1175" ht="22" customHeight="1">
      <x:c r="A1175" s="11" t="str">
        <x:v>lade_0826_10aoi</x:v>
      </x:c>
      <x:c r="B1175" s="10" t="n">
        <x:v>10</x:v>
      </x:c>
      <x:c r="C1175" s="10" t="n">
        <x:v>44</x:v>
      </x:c>
      <x:c r="D1175" s="10" t="str">
        <x:v>M2 / M4</x:v>
      </x:c>
      <x:c r="E1175" s="16" t="n">
        <x:v>2</x:v>
      </x:c>
      <x:c r="F1175" s="14" t="n">
        <x:v>10</x:v>
      </x:c>
      <x:c r="G1175" s="26" t="n">
        <x:f>'成本明细'!U173+'成本明细'!G173*(E1175-'参数'!$B$6)</x:f>
        <x:v>1212.279376625</x:v>
      </x:c>
      <x:c r="H1175" s="26" t="n">
        <x:f>'成本明细'!U179</x:f>
        <x:v>1970.1713756344443</x:v>
      </x:c>
      <x:c r="I1175" s="26" t="n">
        <x:f>'成本明细'!V179</x:f>
        <x:v>4270.5</x:v>
      </x:c>
      <x:c r="J1175" s="22" t="n">
        <x:f>'参数'!$B$9</x:f>
        <x:v>300</x:v>
      </x:c>
      <x:c r="K1175" s="26" t="n">
        <x:f>J1175*(G1175-H1175)-I1175*ROUNDUP(J1175/F1175,0)</x:f>
        <x:v>-355482.59970283334</x:v>
      </x:c>
      <x:c r="L1175" s="10" t="str">
        <x:f>IF(G1175-H1175&lt;=0,"未回本",IF(ROUNDUP(I1175/(G1175-H1175),0)&gt;MIN(F1175,J1175),"未回本",MAX(1,ROUNDUP(I1175/(G1175-H1175),0))))</x:f>
        <x:v>未回本</x:v>
      </x:c>
    </x:row>
    <x:row r="1176" ht="22" customHeight="1">
      <x:c r="A1176" s="11" t="str">
        <x:v>lade_0826_10aoi</x:v>
      </x:c>
      <x:c r="B1176" s="10" t="n">
        <x:v>10</x:v>
      </x:c>
      <x:c r="C1176" s="10" t="n">
        <x:v>44</x:v>
      </x:c>
      <x:c r="D1176" s="10" t="str">
        <x:v>M1 / M3</x:v>
      </x:c>
      <x:c r="E1176" s="16" t="n">
        <x:v>2</x:v>
      </x:c>
      <x:c r="F1176" s="14" t="n">
        <x:v>20</x:v>
      </x:c>
      <x:c r="G1176" s="26" t="n">
        <x:f>'成本明细'!U170+'成本明细'!G170*(E1176-'参数'!$B$6)</x:f>
        <x:v>1555.0146343094443</x:v>
      </x:c>
      <x:c r="H1176" s="26" t="n">
        <x:f>'成本明细'!U176</x:f>
        <x:v>2251.7219473711107</x:v>
      </x:c>
      <x:c r="I1176" s="26" t="n">
        <x:f>'成本明细'!V176</x:f>
        <x:v>4270.5</x:v>
      </x:c>
      <x:c r="J1176" s="22" t="n">
        <x:f>'参数'!$B$9</x:f>
        <x:v>300</x:v>
      </x:c>
      <x:c r="K1176" s="26" t="n">
        <x:f>J1176*(G1176-H1176)-I1176*ROUNDUP(J1176/F1176,0)</x:f>
        <x:v>-273069.6939184999</x:v>
      </x:c>
      <x:c r="L1176" s="10" t="str">
        <x:f>IF(G1176-H1176&lt;=0,"未回本",IF(ROUNDUP(I1176/(G1176-H1176),0)&gt;MIN(F1176,J1176),"未回本",MAX(1,ROUNDUP(I1176/(G1176-H1176),0))))</x:f>
        <x:v>未回本</x:v>
      </x:c>
    </x:row>
    <x:row r="1177" ht="22" customHeight="1">
      <x:c r="A1177" s="11" t="str">
        <x:v>lade_0826_10aoi</x:v>
      </x:c>
      <x:c r="B1177" s="10" t="n">
        <x:v>10</x:v>
      </x:c>
      <x:c r="C1177" s="10" t="n">
        <x:v>44</x:v>
      </x:c>
      <x:c r="D1177" s="10" t="str">
        <x:v>M2 / M4</x:v>
      </x:c>
      <x:c r="E1177" s="16" t="n">
        <x:v>2</x:v>
      </x:c>
      <x:c r="F1177" s="14" t="n">
        <x:v>20</x:v>
      </x:c>
      <x:c r="G1177" s="26" t="n">
        <x:f>'成本明细'!U173+'成本明细'!G173*(E1177-'参数'!$B$6)</x:f>
        <x:v>1212.279376625</x:v>
      </x:c>
      <x:c r="H1177" s="26" t="n">
        <x:f>'成本明细'!U179</x:f>
        <x:v>1970.1713756344443</x:v>
      </x:c>
      <x:c r="I1177" s="26" t="n">
        <x:f>'成本明细'!V179</x:f>
        <x:v>4270.5</x:v>
      </x:c>
      <x:c r="J1177" s="22" t="n">
        <x:f>'参数'!$B$9</x:f>
        <x:v>300</x:v>
      </x:c>
      <x:c r="K1177" s="26" t="n">
        <x:f>J1177*(G1177-H1177)-I1177*ROUNDUP(J1177/F1177,0)</x:f>
        <x:v>-291425.09970283334</x:v>
      </x:c>
      <x:c r="L1177" s="10" t="str">
        <x:f>IF(G1177-H1177&lt;=0,"未回本",IF(ROUNDUP(I1177/(G1177-H1177),0)&gt;MIN(F1177,J1177),"未回本",MAX(1,ROUNDUP(I1177/(G1177-H1177),0))))</x:f>
        <x:v>未回本</x:v>
      </x:c>
    </x:row>
    <x:row r="1178" ht="22" customHeight="1">
      <x:c r="A1178" s="11" t="str">
        <x:v>lade_0826_10aoi</x:v>
      </x:c>
      <x:c r="B1178" s="10" t="n">
        <x:v>10</x:v>
      </x:c>
      <x:c r="C1178" s="10" t="n">
        <x:v>44</x:v>
      </x:c>
      <x:c r="D1178" s="10" t="str">
        <x:v>M1 / M3</x:v>
      </x:c>
      <x:c r="E1178" s="16" t="n">
        <x:v>2</x:v>
      </x:c>
      <x:c r="F1178" s="14" t="n">
        <x:v>30</x:v>
      </x:c>
      <x:c r="G1178" s="26" t="n">
        <x:f>'成本明细'!U170+'成本明细'!G170*(E1178-'参数'!$B$6)</x:f>
        <x:v>1555.0146343094443</x:v>
      </x:c>
      <x:c r="H1178" s="26" t="n">
        <x:f>'成本明细'!U176</x:f>
        <x:v>2251.7219473711107</x:v>
      </x:c>
      <x:c r="I1178" s="26" t="n">
        <x:f>'成本明细'!V176</x:f>
        <x:v>4270.5</x:v>
      </x:c>
      <x:c r="J1178" s="22" t="n">
        <x:f>'参数'!$B$9</x:f>
        <x:v>300</x:v>
      </x:c>
      <x:c r="K1178" s="26" t="n">
        <x:f>J1178*(G1178-H1178)-I1178*ROUNDUP(J1178/F1178,0)</x:f>
        <x:v>-251717.19391849992</x:v>
      </x:c>
      <x:c r="L1178" s="10" t="str">
        <x:f>IF(G1178-H1178&lt;=0,"未回本",IF(ROUNDUP(I1178/(G1178-H1178),0)&gt;MIN(F1178,J1178),"未回本",MAX(1,ROUNDUP(I1178/(G1178-H1178),0))))</x:f>
        <x:v>未回本</x:v>
      </x:c>
    </x:row>
    <x:row r="1179" ht="22" customHeight="1">
      <x:c r="A1179" s="11" t="str">
        <x:v>lade_0826_10aoi</x:v>
      </x:c>
      <x:c r="B1179" s="10" t="n">
        <x:v>10</x:v>
      </x:c>
      <x:c r="C1179" s="10" t="n">
        <x:v>44</x:v>
      </x:c>
      <x:c r="D1179" s="10" t="str">
        <x:v>M2 / M4</x:v>
      </x:c>
      <x:c r="E1179" s="16" t="n">
        <x:v>2</x:v>
      </x:c>
      <x:c r="F1179" s="14" t="n">
        <x:v>30</x:v>
      </x:c>
      <x:c r="G1179" s="26" t="n">
        <x:f>'成本明细'!U173+'成本明细'!G173*(E1179-'参数'!$B$6)</x:f>
        <x:v>1212.279376625</x:v>
      </x:c>
      <x:c r="H1179" s="26" t="n">
        <x:f>'成本明细'!U179</x:f>
        <x:v>1970.1713756344443</x:v>
      </x:c>
      <x:c r="I1179" s="26" t="n">
        <x:f>'成本明细'!V179</x:f>
        <x:v>4270.5</x:v>
      </x:c>
      <x:c r="J1179" s="22" t="n">
        <x:f>'参数'!$B$9</x:f>
        <x:v>300</x:v>
      </x:c>
      <x:c r="K1179" s="26" t="n">
        <x:f>J1179*(G1179-H1179)-I1179*ROUNDUP(J1179/F1179,0)</x:f>
        <x:v>-270072.59970283334</x:v>
      </x:c>
      <x:c r="L1179" s="10" t="str">
        <x:f>IF(G1179-H1179&lt;=0,"未回本",IF(ROUNDUP(I1179/(G1179-H1179),0)&gt;MIN(F1179,J1179),"未回本",MAX(1,ROUNDUP(I1179/(G1179-H1179),0))))</x:f>
        <x:v>未回本</x:v>
      </x:c>
    </x:row>
    <x:row r="1180" ht="22" customHeight="1">
      <x:c r="A1180" s="11" t="str">
        <x:v>lade_0826_10aoi</x:v>
      </x:c>
      <x:c r="B1180" s="10" t="n">
        <x:v>10</x:v>
      </x:c>
      <x:c r="C1180" s="10" t="n">
        <x:v>44</x:v>
      </x:c>
      <x:c r="D1180" s="10" t="str">
        <x:v>M1 / M3</x:v>
      </x:c>
      <x:c r="E1180" s="16" t="n">
        <x:v>2</x:v>
      </x:c>
      <x:c r="F1180" s="14" t="n">
        <x:v>50</x:v>
      </x:c>
      <x:c r="G1180" s="26" t="n">
        <x:f>'成本明细'!U170+'成本明细'!G170*(E1180-'参数'!$B$6)</x:f>
        <x:v>1555.0146343094443</x:v>
      </x:c>
      <x:c r="H1180" s="26" t="n">
        <x:f>'成本明细'!U176</x:f>
        <x:v>2251.7219473711107</x:v>
      </x:c>
      <x:c r="I1180" s="26" t="n">
        <x:f>'成本明细'!V176</x:f>
        <x:v>4270.5</x:v>
      </x:c>
      <x:c r="J1180" s="22" t="n">
        <x:f>'参数'!$B$9</x:f>
        <x:v>300</x:v>
      </x:c>
      <x:c r="K1180" s="26" t="n">
        <x:f>J1180*(G1180-H1180)-I1180*ROUNDUP(J1180/F1180,0)</x:f>
        <x:v>-234635.19391849992</x:v>
      </x:c>
      <x:c r="L1180" s="10" t="str">
        <x:f>IF(G1180-H1180&lt;=0,"未回本",IF(ROUNDUP(I1180/(G1180-H1180),0)&gt;MIN(F1180,J1180),"未回本",MAX(1,ROUNDUP(I1180/(G1180-H1180),0))))</x:f>
        <x:v>未回本</x:v>
      </x:c>
    </x:row>
    <x:row r="1181" ht="22" customHeight="1">
      <x:c r="A1181" s="11" t="str">
        <x:v>lade_0826_10aoi</x:v>
      </x:c>
      <x:c r="B1181" s="10" t="n">
        <x:v>10</x:v>
      </x:c>
      <x:c r="C1181" s="10" t="n">
        <x:v>44</x:v>
      </x:c>
      <x:c r="D1181" s="10" t="str">
        <x:v>M2 / M4</x:v>
      </x:c>
      <x:c r="E1181" s="16" t="n">
        <x:v>2</x:v>
      </x:c>
      <x:c r="F1181" s="14" t="n">
        <x:v>50</x:v>
      </x:c>
      <x:c r="G1181" s="26" t="n">
        <x:f>'成本明细'!U173+'成本明细'!G173*(E1181-'参数'!$B$6)</x:f>
        <x:v>1212.279376625</x:v>
      </x:c>
      <x:c r="H1181" s="26" t="n">
        <x:f>'成本明细'!U179</x:f>
        <x:v>1970.1713756344443</x:v>
      </x:c>
      <x:c r="I1181" s="26" t="n">
        <x:f>'成本明细'!V179</x:f>
        <x:v>4270.5</x:v>
      </x:c>
      <x:c r="J1181" s="22" t="n">
        <x:f>'参数'!$B$9</x:f>
        <x:v>300</x:v>
      </x:c>
      <x:c r="K1181" s="26" t="n">
        <x:f>J1181*(G1181-H1181)-I1181*ROUNDUP(J1181/F1181,0)</x:f>
        <x:v>-252990.5997028333</x:v>
      </x:c>
      <x:c r="L1181" s="10" t="str">
        <x:f>IF(G1181-H1181&lt;=0,"未回本",IF(ROUNDUP(I1181/(G1181-H1181),0)&gt;MIN(F1181,J1181),"未回本",MAX(1,ROUNDUP(I1181/(G1181-H1181),0))))</x:f>
        <x:v>未回本</x:v>
      </x:c>
    </x:row>
    <x:row r="1182" ht="22" customHeight="1">
      <x:c r="A1182" s="11" t="str">
        <x:v>lade_0826_10aoi</x:v>
      </x:c>
      <x:c r="B1182" s="10" t="n">
        <x:v>10</x:v>
      </x:c>
      <x:c r="C1182" s="10" t="n">
        <x:v>44</x:v>
      </x:c>
      <x:c r="D1182" s="10" t="str">
        <x:v>M1 / M3</x:v>
      </x:c>
      <x:c r="E1182" s="16" t="n">
        <x:v>3</x:v>
      </x:c>
      <x:c r="F1182" s="14" t="n">
        <x:v>10</x:v>
      </x:c>
      <x:c r="G1182" s="26" t="n">
        <x:f>'成本明细'!U170+'成本明细'!G170*(E1182-'参数'!$B$6)</x:f>
        <x:v>1672.0146343094443</x:v>
      </x:c>
      <x:c r="H1182" s="26" t="n">
        <x:f>'成本明细'!U176</x:f>
        <x:v>2251.7219473711107</x:v>
      </x:c>
      <x:c r="I1182" s="26" t="n">
        <x:f>'成本明细'!V176</x:f>
        <x:v>4270.5</x:v>
      </x:c>
      <x:c r="J1182" s="22" t="n">
        <x:f>'参数'!$B$9</x:f>
        <x:v>300</x:v>
      </x:c>
      <x:c r="K1182" s="26" t="n">
        <x:f>J1182*(G1182-H1182)-I1182*ROUNDUP(J1182/F1182,0)</x:f>
        <x:v>-302027.1939184999</x:v>
      </x:c>
      <x:c r="L1182" s="10" t="str">
        <x:f>IF(G1182-H1182&lt;=0,"未回本",IF(ROUNDUP(I1182/(G1182-H1182),0)&gt;MIN(F1182,J1182),"未回本",MAX(1,ROUNDUP(I1182/(G1182-H1182),0))))</x:f>
        <x:v>未回本</x:v>
      </x:c>
    </x:row>
    <x:row r="1183" ht="22" customHeight="1">
      <x:c r="A1183" s="11" t="str">
        <x:v>lade_0826_10aoi</x:v>
      </x:c>
      <x:c r="B1183" s="10" t="n">
        <x:v>10</x:v>
      </x:c>
      <x:c r="C1183" s="10" t="n">
        <x:v>44</x:v>
      </x:c>
      <x:c r="D1183" s="10" t="str">
        <x:v>M2 / M4</x:v>
      </x:c>
      <x:c r="E1183" s="16" t="n">
        <x:v>3</x:v>
      </x:c>
      <x:c r="F1183" s="14" t="n">
        <x:v>10</x:v>
      </x:c>
      <x:c r="G1183" s="26" t="n">
        <x:f>'成本明细'!U173+'成本明细'!G173*(E1183-'参数'!$B$6)</x:f>
        <x:v>1329.279376625</x:v>
      </x:c>
      <x:c r="H1183" s="26" t="n">
        <x:f>'成本明细'!U179</x:f>
        <x:v>1970.1713756344443</x:v>
      </x:c>
      <x:c r="I1183" s="26" t="n">
        <x:f>'成本明细'!V179</x:f>
        <x:v>4270.5</x:v>
      </x:c>
      <x:c r="J1183" s="22" t="n">
        <x:f>'参数'!$B$9</x:f>
        <x:v>300</x:v>
      </x:c>
      <x:c r="K1183" s="26" t="n">
        <x:f>J1183*(G1183-H1183)-I1183*ROUNDUP(J1183/F1183,0)</x:f>
        <x:v>-320382.59970283334</x:v>
      </x:c>
      <x:c r="L1183" s="10" t="str">
        <x:f>IF(G1183-H1183&lt;=0,"未回本",IF(ROUNDUP(I1183/(G1183-H1183),0)&gt;MIN(F1183,J1183),"未回本",MAX(1,ROUNDUP(I1183/(G1183-H1183),0))))</x:f>
        <x:v>未回本</x:v>
      </x:c>
    </x:row>
    <x:row r="1184" ht="22" customHeight="1">
      <x:c r="A1184" s="11" t="str">
        <x:v>lade_0826_10aoi</x:v>
      </x:c>
      <x:c r="B1184" s="10" t="n">
        <x:v>10</x:v>
      </x:c>
      <x:c r="C1184" s="10" t="n">
        <x:v>44</x:v>
      </x:c>
      <x:c r="D1184" s="10" t="str">
        <x:v>M1 / M3</x:v>
      </x:c>
      <x:c r="E1184" s="16" t="n">
        <x:v>3</x:v>
      </x:c>
      <x:c r="F1184" s="14" t="n">
        <x:v>20</x:v>
      </x:c>
      <x:c r="G1184" s="26" t="n">
        <x:f>'成本明细'!U170+'成本明细'!G170*(E1184-'参数'!$B$6)</x:f>
        <x:v>1672.0146343094443</x:v>
      </x:c>
      <x:c r="H1184" s="26" t="n">
        <x:f>'成本明细'!U176</x:f>
        <x:v>2251.7219473711107</x:v>
      </x:c>
      <x:c r="I1184" s="26" t="n">
        <x:f>'成本明细'!V176</x:f>
        <x:v>4270.5</x:v>
      </x:c>
      <x:c r="J1184" s="22" t="n">
        <x:f>'参数'!$B$9</x:f>
        <x:v>300</x:v>
      </x:c>
      <x:c r="K1184" s="26" t="n">
        <x:f>J1184*(G1184-H1184)-I1184*ROUNDUP(J1184/F1184,0)</x:f>
        <x:v>-237969.69391849992</x:v>
      </x:c>
      <x:c r="L1184" s="10" t="str">
        <x:f>IF(G1184-H1184&lt;=0,"未回本",IF(ROUNDUP(I1184/(G1184-H1184),0)&gt;MIN(F1184,J1184),"未回本",MAX(1,ROUNDUP(I1184/(G1184-H1184),0))))</x:f>
        <x:v>未回本</x:v>
      </x:c>
    </x:row>
    <x:row r="1185" ht="22" customHeight="1">
      <x:c r="A1185" s="11" t="str">
        <x:v>lade_0826_10aoi</x:v>
      </x:c>
      <x:c r="B1185" s="10" t="n">
        <x:v>10</x:v>
      </x:c>
      <x:c r="C1185" s="10" t="n">
        <x:v>44</x:v>
      </x:c>
      <x:c r="D1185" s="10" t="str">
        <x:v>M2 / M4</x:v>
      </x:c>
      <x:c r="E1185" s="16" t="n">
        <x:v>3</x:v>
      </x:c>
      <x:c r="F1185" s="14" t="n">
        <x:v>20</x:v>
      </x:c>
      <x:c r="G1185" s="26" t="n">
        <x:f>'成本明细'!U173+'成本明细'!G173*(E1185-'参数'!$B$6)</x:f>
        <x:v>1329.279376625</x:v>
      </x:c>
      <x:c r="H1185" s="26" t="n">
        <x:f>'成本明细'!U179</x:f>
        <x:v>1970.1713756344443</x:v>
      </x:c>
      <x:c r="I1185" s="26" t="n">
        <x:f>'成本明细'!V179</x:f>
        <x:v>4270.5</x:v>
      </x:c>
      <x:c r="J1185" s="22" t="n">
        <x:f>'参数'!$B$9</x:f>
        <x:v>300</x:v>
      </x:c>
      <x:c r="K1185" s="26" t="n">
        <x:f>J1185*(G1185-H1185)-I1185*ROUNDUP(J1185/F1185,0)</x:f>
        <x:v>-256325.0997028333</x:v>
      </x:c>
      <x:c r="L1185" s="10" t="str">
        <x:f>IF(G1185-H1185&lt;=0,"未回本",IF(ROUNDUP(I1185/(G1185-H1185),0)&gt;MIN(F1185,J1185),"未回本",MAX(1,ROUNDUP(I1185/(G1185-H1185),0))))</x:f>
        <x:v>未回本</x:v>
      </x:c>
    </x:row>
    <x:row r="1186" ht="22" customHeight="1">
      <x:c r="A1186" s="11" t="str">
        <x:v>lade_0826_10aoi</x:v>
      </x:c>
      <x:c r="B1186" s="10" t="n">
        <x:v>10</x:v>
      </x:c>
      <x:c r="C1186" s="10" t="n">
        <x:v>44</x:v>
      </x:c>
      <x:c r="D1186" s="10" t="str">
        <x:v>M1 / M3</x:v>
      </x:c>
      <x:c r="E1186" s="16" t="n">
        <x:v>3</x:v>
      </x:c>
      <x:c r="F1186" s="14" t="n">
        <x:v>30</x:v>
      </x:c>
      <x:c r="G1186" s="26" t="n">
        <x:f>'成本明细'!U170+'成本明细'!G170*(E1186-'参数'!$B$6)</x:f>
        <x:v>1672.0146343094443</x:v>
      </x:c>
      <x:c r="H1186" s="26" t="n">
        <x:f>'成本明细'!U176</x:f>
        <x:v>2251.7219473711107</x:v>
      </x:c>
      <x:c r="I1186" s="26" t="n">
        <x:f>'成本明细'!V176</x:f>
        <x:v>4270.5</x:v>
      </x:c>
      <x:c r="J1186" s="22" t="n">
        <x:f>'参数'!$B$9</x:f>
        <x:v>300</x:v>
      </x:c>
      <x:c r="K1186" s="26" t="n">
        <x:f>J1186*(G1186-H1186)-I1186*ROUNDUP(J1186/F1186,0)</x:f>
        <x:v>-216617.19391849992</x:v>
      </x:c>
      <x:c r="L1186" s="10" t="str">
        <x:f>IF(G1186-H1186&lt;=0,"未回本",IF(ROUNDUP(I1186/(G1186-H1186),0)&gt;MIN(F1186,J1186),"未回本",MAX(1,ROUNDUP(I1186/(G1186-H1186),0))))</x:f>
        <x:v>未回本</x:v>
      </x:c>
    </x:row>
    <x:row r="1187" ht="22" customHeight="1">
      <x:c r="A1187" s="11" t="str">
        <x:v>lade_0826_10aoi</x:v>
      </x:c>
      <x:c r="B1187" s="10" t="n">
        <x:v>10</x:v>
      </x:c>
      <x:c r="C1187" s="10" t="n">
        <x:v>44</x:v>
      </x:c>
      <x:c r="D1187" s="10" t="str">
        <x:v>M2 / M4</x:v>
      </x:c>
      <x:c r="E1187" s="16" t="n">
        <x:v>3</x:v>
      </x:c>
      <x:c r="F1187" s="14" t="n">
        <x:v>30</x:v>
      </x:c>
      <x:c r="G1187" s="26" t="n">
        <x:f>'成本明细'!U173+'成本明细'!G173*(E1187-'参数'!$B$6)</x:f>
        <x:v>1329.279376625</x:v>
      </x:c>
      <x:c r="H1187" s="26" t="n">
        <x:f>'成本明细'!U179</x:f>
        <x:v>1970.1713756344443</x:v>
      </x:c>
      <x:c r="I1187" s="26" t="n">
        <x:f>'成本明细'!V179</x:f>
        <x:v>4270.5</x:v>
      </x:c>
      <x:c r="J1187" s="22" t="n">
        <x:f>'参数'!$B$9</x:f>
        <x:v>300</x:v>
      </x:c>
      <x:c r="K1187" s="26" t="n">
        <x:f>J1187*(G1187-H1187)-I1187*ROUNDUP(J1187/F1187,0)</x:f>
        <x:v>-234972.5997028333</x:v>
      </x:c>
      <x:c r="L1187" s="10" t="str">
        <x:f>IF(G1187-H1187&lt;=0,"未回本",IF(ROUNDUP(I1187/(G1187-H1187),0)&gt;MIN(F1187,J1187),"未回本",MAX(1,ROUNDUP(I1187/(G1187-H1187),0))))</x:f>
        <x:v>未回本</x:v>
      </x:c>
    </x:row>
    <x:row r="1188" ht="22" customHeight="1">
      <x:c r="A1188" s="11" t="str">
        <x:v>lade_0826_10aoi</x:v>
      </x:c>
      <x:c r="B1188" s="10" t="n">
        <x:v>10</x:v>
      </x:c>
      <x:c r="C1188" s="10" t="n">
        <x:v>44</x:v>
      </x:c>
      <x:c r="D1188" s="10" t="str">
        <x:v>M1 / M3</x:v>
      </x:c>
      <x:c r="E1188" s="16" t="n">
        <x:v>3</x:v>
      </x:c>
      <x:c r="F1188" s="14" t="n">
        <x:v>50</x:v>
      </x:c>
      <x:c r="G1188" s="26" t="n">
        <x:f>'成本明细'!U170+'成本明细'!G170*(E1188-'参数'!$B$6)</x:f>
        <x:v>1672.0146343094443</x:v>
      </x:c>
      <x:c r="H1188" s="26" t="n">
        <x:f>'成本明细'!U176</x:f>
        <x:v>2251.7219473711107</x:v>
      </x:c>
      <x:c r="I1188" s="26" t="n">
        <x:f>'成本明细'!V176</x:f>
        <x:v>4270.5</x:v>
      </x:c>
      <x:c r="J1188" s="22" t="n">
        <x:f>'参数'!$B$9</x:f>
        <x:v>300</x:v>
      </x:c>
      <x:c r="K1188" s="26" t="n">
        <x:f>J1188*(G1188-H1188)-I1188*ROUNDUP(J1188/F1188,0)</x:f>
        <x:v>-199535.19391849992</x:v>
      </x:c>
      <x:c r="L1188" s="10" t="str">
        <x:f>IF(G1188-H1188&lt;=0,"未回本",IF(ROUNDUP(I1188/(G1188-H1188),0)&gt;MIN(F1188,J1188),"未回本",MAX(1,ROUNDUP(I1188/(G1188-H1188),0))))</x:f>
        <x:v>未回本</x:v>
      </x:c>
    </x:row>
    <x:row r="1189" ht="22" customHeight="1">
      <x:c r="A1189" s="11" t="str">
        <x:v>lade_0826_10aoi</x:v>
      </x:c>
      <x:c r="B1189" s="10" t="n">
        <x:v>10</x:v>
      </x:c>
      <x:c r="C1189" s="10" t="n">
        <x:v>44</x:v>
      </x:c>
      <x:c r="D1189" s="10" t="str">
        <x:v>M2 / M4</x:v>
      </x:c>
      <x:c r="E1189" s="16" t="n">
        <x:v>3</x:v>
      </x:c>
      <x:c r="F1189" s="14" t="n">
        <x:v>50</x:v>
      </x:c>
      <x:c r="G1189" s="26" t="n">
        <x:f>'成本明细'!U173+'成本明细'!G173*(E1189-'参数'!$B$6)</x:f>
        <x:v>1329.279376625</x:v>
      </x:c>
      <x:c r="H1189" s="26" t="n">
        <x:f>'成本明细'!U179</x:f>
        <x:v>1970.1713756344443</x:v>
      </x:c>
      <x:c r="I1189" s="26" t="n">
        <x:f>'成本明细'!V179</x:f>
        <x:v>4270.5</x:v>
      </x:c>
      <x:c r="J1189" s="22" t="n">
        <x:f>'参数'!$B$9</x:f>
        <x:v>300</x:v>
      </x:c>
      <x:c r="K1189" s="26" t="n">
        <x:f>J1189*(G1189-H1189)-I1189*ROUNDUP(J1189/F1189,0)</x:f>
        <x:v>-217890.5997028333</x:v>
      </x:c>
      <x:c r="L1189" s="10" t="str">
        <x:f>IF(G1189-H1189&lt;=0,"未回本",IF(ROUNDUP(I1189/(G1189-H1189),0)&gt;MIN(F1189,J1189),"未回本",MAX(1,ROUNDUP(I1189/(G1189-H1189),0))))</x:f>
        <x:v>未回本</x:v>
      </x:c>
    </x:row>
    <x:row r="1190" ht="22" customHeight="1">
      <x:c r="A1190" s="11" t="str">
        <x:v>lade_0826_10aoi</x:v>
      </x:c>
      <x:c r="B1190" s="10" t="n">
        <x:v>10</x:v>
      </x:c>
      <x:c r="C1190" s="10" t="n">
        <x:v>44</x:v>
      </x:c>
      <x:c r="D1190" s="10" t="str">
        <x:v>M1 / M3</x:v>
      </x:c>
      <x:c r="E1190" s="16" t="n">
        <x:v>4</x:v>
      </x:c>
      <x:c r="F1190" s="14" t="n">
        <x:v>10</x:v>
      </x:c>
      <x:c r="G1190" s="26" t="n">
        <x:f>'成本明细'!U170+'成本明细'!G170*(E1190-'参数'!$B$6)</x:f>
        <x:v>1789.0146343094443</x:v>
      </x:c>
      <x:c r="H1190" s="26" t="n">
        <x:f>'成本明细'!U176</x:f>
        <x:v>2251.7219473711107</x:v>
      </x:c>
      <x:c r="I1190" s="26" t="n">
        <x:f>'成本明细'!V176</x:f>
        <x:v>4270.5</x:v>
      </x:c>
      <x:c r="J1190" s="22" t="n">
        <x:f>'参数'!$B$9</x:f>
        <x:v>300</x:v>
      </x:c>
      <x:c r="K1190" s="26" t="n">
        <x:f>J1190*(G1190-H1190)-I1190*ROUNDUP(J1190/F1190,0)</x:f>
        <x:v>-266927.1939184999</x:v>
      </x:c>
      <x:c r="L1190" s="10" t="str">
        <x:f>IF(G1190-H1190&lt;=0,"未回本",IF(ROUNDUP(I1190/(G1190-H1190),0)&gt;MIN(F1190,J1190),"未回本",MAX(1,ROUNDUP(I1190/(G1190-H1190),0))))</x:f>
        <x:v>未回本</x:v>
      </x:c>
    </x:row>
    <x:row r="1191" ht="22" customHeight="1">
      <x:c r="A1191" s="11" t="str">
        <x:v>lade_0826_10aoi</x:v>
      </x:c>
      <x:c r="B1191" s="10" t="n">
        <x:v>10</x:v>
      </x:c>
      <x:c r="C1191" s="10" t="n">
        <x:v>44</x:v>
      </x:c>
      <x:c r="D1191" s="10" t="str">
        <x:v>M2 / M4</x:v>
      </x:c>
      <x:c r="E1191" s="16" t="n">
        <x:v>4</x:v>
      </x:c>
      <x:c r="F1191" s="14" t="n">
        <x:v>10</x:v>
      </x:c>
      <x:c r="G1191" s="26" t="n">
        <x:f>'成本明细'!U173+'成本明细'!G173*(E1191-'参数'!$B$6)</x:f>
        <x:v>1446.279376625</x:v>
      </x:c>
      <x:c r="H1191" s="26" t="n">
        <x:f>'成本明细'!U179</x:f>
        <x:v>1970.1713756344443</x:v>
      </x:c>
      <x:c r="I1191" s="26" t="n">
        <x:f>'成本明细'!V179</x:f>
        <x:v>4270.5</x:v>
      </x:c>
      <x:c r="J1191" s="22" t="n">
        <x:f>'参数'!$B$9</x:f>
        <x:v>300</x:v>
      </x:c>
      <x:c r="K1191" s="26" t="n">
        <x:f>J1191*(G1191-H1191)-I1191*ROUNDUP(J1191/F1191,0)</x:f>
        <x:v>-285282.59970283334</x:v>
      </x:c>
      <x:c r="L1191" s="10" t="str">
        <x:f>IF(G1191-H1191&lt;=0,"未回本",IF(ROUNDUP(I1191/(G1191-H1191),0)&gt;MIN(F1191,J1191),"未回本",MAX(1,ROUNDUP(I1191/(G1191-H1191),0))))</x:f>
        <x:v>未回本</x:v>
      </x:c>
    </x:row>
    <x:row r="1192" ht="22" customHeight="1">
      <x:c r="A1192" s="11" t="str">
        <x:v>lade_0826_10aoi</x:v>
      </x:c>
      <x:c r="B1192" s="10" t="n">
        <x:v>10</x:v>
      </x:c>
      <x:c r="C1192" s="10" t="n">
        <x:v>44</x:v>
      </x:c>
      <x:c r="D1192" s="10" t="str">
        <x:v>M1 / M3</x:v>
      </x:c>
      <x:c r="E1192" s="16" t="n">
        <x:v>4</x:v>
      </x:c>
      <x:c r="F1192" s="14" t="n">
        <x:v>20</x:v>
      </x:c>
      <x:c r="G1192" s="26" t="n">
        <x:f>'成本明细'!U170+'成本明细'!G170*(E1192-'参数'!$B$6)</x:f>
        <x:v>1789.0146343094443</x:v>
      </x:c>
      <x:c r="H1192" s="26" t="n">
        <x:f>'成本明细'!U176</x:f>
        <x:v>2251.7219473711107</x:v>
      </x:c>
      <x:c r="I1192" s="26" t="n">
        <x:f>'成本明细'!V176</x:f>
        <x:v>4270.5</x:v>
      </x:c>
      <x:c r="J1192" s="22" t="n">
        <x:f>'参数'!$B$9</x:f>
        <x:v>300</x:v>
      </x:c>
      <x:c r="K1192" s="26" t="n">
        <x:f>J1192*(G1192-H1192)-I1192*ROUNDUP(J1192/F1192,0)</x:f>
        <x:v>-202869.69391849992</x:v>
      </x:c>
      <x:c r="L1192" s="10" t="str">
        <x:f>IF(G1192-H1192&lt;=0,"未回本",IF(ROUNDUP(I1192/(G1192-H1192),0)&gt;MIN(F1192,J1192),"未回本",MAX(1,ROUNDUP(I1192/(G1192-H1192),0))))</x:f>
        <x:v>未回本</x:v>
      </x:c>
    </x:row>
    <x:row r="1193" ht="22" customHeight="1">
      <x:c r="A1193" s="11" t="str">
        <x:v>lade_0826_10aoi</x:v>
      </x:c>
      <x:c r="B1193" s="10" t="n">
        <x:v>10</x:v>
      </x:c>
      <x:c r="C1193" s="10" t="n">
        <x:v>44</x:v>
      </x:c>
      <x:c r="D1193" s="10" t="str">
        <x:v>M2 / M4</x:v>
      </x:c>
      <x:c r="E1193" s="16" t="n">
        <x:v>4</x:v>
      </x:c>
      <x:c r="F1193" s="14" t="n">
        <x:v>20</x:v>
      </x:c>
      <x:c r="G1193" s="26" t="n">
        <x:f>'成本明细'!U173+'成本明细'!G173*(E1193-'参数'!$B$6)</x:f>
        <x:v>1446.279376625</x:v>
      </x:c>
      <x:c r="H1193" s="26" t="n">
        <x:f>'成本明细'!U179</x:f>
        <x:v>1970.1713756344443</x:v>
      </x:c>
      <x:c r="I1193" s="26" t="n">
        <x:f>'成本明细'!V179</x:f>
        <x:v>4270.5</x:v>
      </x:c>
      <x:c r="J1193" s="22" t="n">
        <x:f>'参数'!$B$9</x:f>
        <x:v>300</x:v>
      </x:c>
      <x:c r="K1193" s="26" t="n">
        <x:f>J1193*(G1193-H1193)-I1193*ROUNDUP(J1193/F1193,0)</x:f>
        <x:v>-221225.0997028333</x:v>
      </x:c>
      <x:c r="L1193" s="10" t="str">
        <x:f>IF(G1193-H1193&lt;=0,"未回本",IF(ROUNDUP(I1193/(G1193-H1193),0)&gt;MIN(F1193,J1193),"未回本",MAX(1,ROUNDUP(I1193/(G1193-H1193),0))))</x:f>
        <x:v>未回本</x:v>
      </x:c>
    </x:row>
    <x:row r="1194" ht="22" customHeight="1">
      <x:c r="A1194" s="11" t="str">
        <x:v>lade_0826_10aoi</x:v>
      </x:c>
      <x:c r="B1194" s="10" t="n">
        <x:v>10</x:v>
      </x:c>
      <x:c r="C1194" s="10" t="n">
        <x:v>44</x:v>
      </x:c>
      <x:c r="D1194" s="10" t="str">
        <x:v>M1 / M3</x:v>
      </x:c>
      <x:c r="E1194" s="16" t="n">
        <x:v>4</x:v>
      </x:c>
      <x:c r="F1194" s="14" t="n">
        <x:v>30</x:v>
      </x:c>
      <x:c r="G1194" s="26" t="n">
        <x:f>'成本明细'!U170+'成本明细'!G170*(E1194-'参数'!$B$6)</x:f>
        <x:v>1789.0146343094443</x:v>
      </x:c>
      <x:c r="H1194" s="26" t="n">
        <x:f>'成本明细'!U176</x:f>
        <x:v>2251.7219473711107</x:v>
      </x:c>
      <x:c r="I1194" s="26" t="n">
        <x:f>'成本明细'!V176</x:f>
        <x:v>4270.5</x:v>
      </x:c>
      <x:c r="J1194" s="22" t="n">
        <x:f>'参数'!$B$9</x:f>
        <x:v>300</x:v>
      </x:c>
      <x:c r="K1194" s="26" t="n">
        <x:f>J1194*(G1194-H1194)-I1194*ROUNDUP(J1194/F1194,0)</x:f>
        <x:v>-181517.19391849992</x:v>
      </x:c>
      <x:c r="L1194" s="10" t="str">
        <x:f>IF(G1194-H1194&lt;=0,"未回本",IF(ROUNDUP(I1194/(G1194-H1194),0)&gt;MIN(F1194,J1194),"未回本",MAX(1,ROUNDUP(I1194/(G1194-H1194),0))))</x:f>
        <x:v>未回本</x:v>
      </x:c>
    </x:row>
    <x:row r="1195" ht="22" customHeight="1">
      <x:c r="A1195" s="11" t="str">
        <x:v>lade_0826_10aoi</x:v>
      </x:c>
      <x:c r="B1195" s="10" t="n">
        <x:v>10</x:v>
      </x:c>
      <x:c r="C1195" s="10" t="n">
        <x:v>44</x:v>
      </x:c>
      <x:c r="D1195" s="10" t="str">
        <x:v>M2 / M4</x:v>
      </x:c>
      <x:c r="E1195" s="16" t="n">
        <x:v>4</x:v>
      </x:c>
      <x:c r="F1195" s="14" t="n">
        <x:v>30</x:v>
      </x:c>
      <x:c r="G1195" s="26" t="n">
        <x:f>'成本明细'!U173+'成本明细'!G173*(E1195-'参数'!$B$6)</x:f>
        <x:v>1446.279376625</x:v>
      </x:c>
      <x:c r="H1195" s="26" t="n">
        <x:f>'成本明细'!U179</x:f>
        <x:v>1970.1713756344443</x:v>
      </x:c>
      <x:c r="I1195" s="26" t="n">
        <x:f>'成本明细'!V179</x:f>
        <x:v>4270.5</x:v>
      </x:c>
      <x:c r="J1195" s="22" t="n">
        <x:f>'参数'!$B$9</x:f>
        <x:v>300</x:v>
      </x:c>
      <x:c r="K1195" s="26" t="n">
        <x:f>J1195*(G1195-H1195)-I1195*ROUNDUP(J1195/F1195,0)</x:f>
        <x:v>-199872.5997028333</x:v>
      </x:c>
      <x:c r="L1195" s="10" t="str">
        <x:f>IF(G1195-H1195&lt;=0,"未回本",IF(ROUNDUP(I1195/(G1195-H1195),0)&gt;MIN(F1195,J1195),"未回本",MAX(1,ROUNDUP(I1195/(G1195-H1195),0))))</x:f>
        <x:v>未回本</x:v>
      </x:c>
    </x:row>
    <x:row r="1196" ht="22" customHeight="1">
      <x:c r="A1196" s="11" t="str">
        <x:v>lade_0826_10aoi</x:v>
      </x:c>
      <x:c r="B1196" s="10" t="n">
        <x:v>10</x:v>
      </x:c>
      <x:c r="C1196" s="10" t="n">
        <x:v>44</x:v>
      </x:c>
      <x:c r="D1196" s="10" t="str">
        <x:v>M1 / M3</x:v>
      </x:c>
      <x:c r="E1196" s="16" t="n">
        <x:v>4</x:v>
      </x:c>
      <x:c r="F1196" s="14" t="n">
        <x:v>50</x:v>
      </x:c>
      <x:c r="G1196" s="26" t="n">
        <x:f>'成本明细'!U170+'成本明细'!G170*(E1196-'参数'!$B$6)</x:f>
        <x:v>1789.0146343094443</x:v>
      </x:c>
      <x:c r="H1196" s="26" t="n">
        <x:f>'成本明细'!U176</x:f>
        <x:v>2251.7219473711107</x:v>
      </x:c>
      <x:c r="I1196" s="26" t="n">
        <x:f>'成本明细'!V176</x:f>
        <x:v>4270.5</x:v>
      </x:c>
      <x:c r="J1196" s="22" t="n">
        <x:f>'参数'!$B$9</x:f>
        <x:v>300</x:v>
      </x:c>
      <x:c r="K1196" s="26" t="n">
        <x:f>J1196*(G1196-H1196)-I1196*ROUNDUP(J1196/F1196,0)</x:f>
        <x:v>-164435.19391849992</x:v>
      </x:c>
      <x:c r="L1196" s="10" t="str">
        <x:f>IF(G1196-H1196&lt;=0,"未回本",IF(ROUNDUP(I1196/(G1196-H1196),0)&gt;MIN(F1196,J1196),"未回本",MAX(1,ROUNDUP(I1196/(G1196-H1196),0))))</x:f>
        <x:v>未回本</x:v>
      </x:c>
    </x:row>
    <x:row r="1197" ht="22" customHeight="1">
      <x:c r="A1197" s="11" t="str">
        <x:v>lade_0826_10aoi</x:v>
      </x:c>
      <x:c r="B1197" s="10" t="n">
        <x:v>10</x:v>
      </x:c>
      <x:c r="C1197" s="10" t="n">
        <x:v>44</x:v>
      </x:c>
      <x:c r="D1197" s="10" t="str">
        <x:v>M2 / M4</x:v>
      </x:c>
      <x:c r="E1197" s="16" t="n">
        <x:v>4</x:v>
      </x:c>
      <x:c r="F1197" s="14" t="n">
        <x:v>50</x:v>
      </x:c>
      <x:c r="G1197" s="26" t="n">
        <x:f>'成本明细'!U173+'成本明细'!G173*(E1197-'参数'!$B$6)</x:f>
        <x:v>1446.279376625</x:v>
      </x:c>
      <x:c r="H1197" s="26" t="n">
        <x:f>'成本明细'!U179</x:f>
        <x:v>1970.1713756344443</x:v>
      </x:c>
      <x:c r="I1197" s="26" t="n">
        <x:f>'成本明细'!V179</x:f>
        <x:v>4270.5</x:v>
      </x:c>
      <x:c r="J1197" s="22" t="n">
        <x:f>'参数'!$B$9</x:f>
        <x:v>300</x:v>
      </x:c>
      <x:c r="K1197" s="26" t="n">
        <x:f>J1197*(G1197-H1197)-I1197*ROUNDUP(J1197/F1197,0)</x:f>
        <x:v>-182790.5997028333</x:v>
      </x:c>
      <x:c r="L1197" s="10" t="str">
        <x:f>IF(G1197-H1197&lt;=0,"未回本",IF(ROUNDUP(I1197/(G1197-H1197),0)&gt;MIN(F1197,J1197),"未回本",MAX(1,ROUNDUP(I1197/(G1197-H1197),0))))</x:f>
        <x:v>未回本</x:v>
      </x:c>
    </x:row>
    <x:row r="1198" ht="22" customHeight="1">
      <x:c r="A1198" s="11" t="str">
        <x:v>lade_0826_10aoi</x:v>
      </x:c>
      <x:c r="B1198" s="10" t="n">
        <x:v>10</x:v>
      </x:c>
      <x:c r="C1198" s="10" t="n">
        <x:v>44</x:v>
      </x:c>
      <x:c r="D1198" s="10" t="str">
        <x:v>M1 / M3</x:v>
      </x:c>
      <x:c r="E1198" s="16" t="n">
        <x:v>5</x:v>
      </x:c>
      <x:c r="F1198" s="14" t="n">
        <x:v>10</x:v>
      </x:c>
      <x:c r="G1198" s="26" t="n">
        <x:f>'成本明细'!U170+'成本明细'!G170*(E1198-'参数'!$B$6)</x:f>
        <x:v>1906.0146343094443</x:v>
      </x:c>
      <x:c r="H1198" s="26" t="n">
        <x:f>'成本明细'!U176</x:f>
        <x:v>2251.7219473711107</x:v>
      </x:c>
      <x:c r="I1198" s="26" t="n">
        <x:f>'成本明细'!V176</x:f>
        <x:v>4270.5</x:v>
      </x:c>
      <x:c r="J1198" s="22" t="n">
        <x:f>'参数'!$B$9</x:f>
        <x:v>300</x:v>
      </x:c>
      <x:c r="K1198" s="26" t="n">
        <x:f>J1198*(G1198-H1198)-I1198*ROUNDUP(J1198/F1198,0)</x:f>
        <x:v>-231827.19391849992</x:v>
      </x:c>
      <x:c r="L1198" s="10" t="str">
        <x:f>IF(G1198-H1198&lt;=0,"未回本",IF(ROUNDUP(I1198/(G1198-H1198),0)&gt;MIN(F1198,J1198),"未回本",MAX(1,ROUNDUP(I1198/(G1198-H1198),0))))</x:f>
        <x:v>未回本</x:v>
      </x:c>
    </x:row>
    <x:row r="1199" ht="22" customHeight="1">
      <x:c r="A1199" s="11" t="str">
        <x:v>lade_0826_10aoi</x:v>
      </x:c>
      <x:c r="B1199" s="10" t="n">
        <x:v>10</x:v>
      </x:c>
      <x:c r="C1199" s="10" t="n">
        <x:v>44</x:v>
      </x:c>
      <x:c r="D1199" s="10" t="str">
        <x:v>M2 / M4</x:v>
      </x:c>
      <x:c r="E1199" s="16" t="n">
        <x:v>5</x:v>
      </x:c>
      <x:c r="F1199" s="14" t="n">
        <x:v>10</x:v>
      </x:c>
      <x:c r="G1199" s="26" t="n">
        <x:f>'成本明细'!U173+'成本明细'!G173*(E1199-'参数'!$B$6)</x:f>
        <x:v>1563.279376625</x:v>
      </x:c>
      <x:c r="H1199" s="26" t="n">
        <x:f>'成本明细'!U179</x:f>
        <x:v>1970.1713756344443</x:v>
      </x:c>
      <x:c r="I1199" s="26" t="n">
        <x:f>'成本明细'!V179</x:f>
        <x:v>4270.5</x:v>
      </x:c>
      <x:c r="J1199" s="22" t="n">
        <x:f>'参数'!$B$9</x:f>
        <x:v>300</x:v>
      </x:c>
      <x:c r="K1199" s="26" t="n">
        <x:f>J1199*(G1199-H1199)-I1199*ROUNDUP(J1199/F1199,0)</x:f>
        <x:v>-250182.5997028333</x:v>
      </x:c>
      <x:c r="L1199" s="10" t="str">
        <x:f>IF(G1199-H1199&lt;=0,"未回本",IF(ROUNDUP(I1199/(G1199-H1199),0)&gt;MIN(F1199,J1199),"未回本",MAX(1,ROUNDUP(I1199/(G1199-H1199),0))))</x:f>
        <x:v>未回本</x:v>
      </x:c>
    </x:row>
    <x:row r="1200" ht="22" customHeight="1">
      <x:c r="A1200" s="11" t="str">
        <x:v>lade_0826_10aoi</x:v>
      </x:c>
      <x:c r="B1200" s="10" t="n">
        <x:v>10</x:v>
      </x:c>
      <x:c r="C1200" s="10" t="n">
        <x:v>44</x:v>
      </x:c>
      <x:c r="D1200" s="10" t="str">
        <x:v>M1 / M3</x:v>
      </x:c>
      <x:c r="E1200" s="16" t="n">
        <x:v>5</x:v>
      </x:c>
      <x:c r="F1200" s="14" t="n">
        <x:v>20</x:v>
      </x:c>
      <x:c r="G1200" s="26" t="n">
        <x:f>'成本明细'!U170+'成本明细'!G170*(E1200-'参数'!$B$6)</x:f>
        <x:v>1906.0146343094443</x:v>
      </x:c>
      <x:c r="H1200" s="26" t="n">
        <x:f>'成本明细'!U176</x:f>
        <x:v>2251.7219473711107</x:v>
      </x:c>
      <x:c r="I1200" s="26" t="n">
        <x:f>'成本明细'!V176</x:f>
        <x:v>4270.5</x:v>
      </x:c>
      <x:c r="J1200" s="22" t="n">
        <x:f>'参数'!$B$9</x:f>
        <x:v>300</x:v>
      </x:c>
      <x:c r="K1200" s="26" t="n">
        <x:f>J1200*(G1200-H1200)-I1200*ROUNDUP(J1200/F1200,0)</x:f>
        <x:v>-167769.69391849992</x:v>
      </x:c>
      <x:c r="L1200" s="10" t="str">
        <x:f>IF(G1200-H1200&lt;=0,"未回本",IF(ROUNDUP(I1200/(G1200-H1200),0)&gt;MIN(F1200,J1200),"未回本",MAX(1,ROUNDUP(I1200/(G1200-H1200),0))))</x:f>
        <x:v>未回本</x:v>
      </x:c>
    </x:row>
    <x:row r="1201" ht="22" customHeight="1">
      <x:c r="A1201" s="11" t="str">
        <x:v>lade_0826_10aoi</x:v>
      </x:c>
      <x:c r="B1201" s="10" t="n">
        <x:v>10</x:v>
      </x:c>
      <x:c r="C1201" s="10" t="n">
        <x:v>44</x:v>
      </x:c>
      <x:c r="D1201" s="10" t="str">
        <x:v>M2 / M4</x:v>
      </x:c>
      <x:c r="E1201" s="16" t="n">
        <x:v>5</x:v>
      </x:c>
      <x:c r="F1201" s="14" t="n">
        <x:v>20</x:v>
      </x:c>
      <x:c r="G1201" s="26" t="n">
        <x:f>'成本明细'!U173+'成本明细'!G173*(E1201-'参数'!$B$6)</x:f>
        <x:v>1563.279376625</x:v>
      </x:c>
      <x:c r="H1201" s="26" t="n">
        <x:f>'成本明细'!U179</x:f>
        <x:v>1970.1713756344443</x:v>
      </x:c>
      <x:c r="I1201" s="26" t="n">
        <x:f>'成本明细'!V179</x:f>
        <x:v>4270.5</x:v>
      </x:c>
      <x:c r="J1201" s="22" t="n">
        <x:f>'参数'!$B$9</x:f>
        <x:v>300</x:v>
      </x:c>
      <x:c r="K1201" s="26" t="n">
        <x:f>J1201*(G1201-H1201)-I1201*ROUNDUP(J1201/F1201,0)</x:f>
        <x:v>-186125.0997028333</x:v>
      </x:c>
      <x:c r="L1201" s="10" t="str">
        <x:f>IF(G1201-H1201&lt;=0,"未回本",IF(ROUNDUP(I1201/(G1201-H1201),0)&gt;MIN(F1201,J1201),"未回本",MAX(1,ROUNDUP(I1201/(G1201-H1201),0))))</x:f>
        <x:v>未回本</x:v>
      </x:c>
    </x:row>
    <x:row r="1202" ht="22" customHeight="1">
      <x:c r="A1202" s="11" t="str">
        <x:v>lade_0826_10aoi</x:v>
      </x:c>
      <x:c r="B1202" s="10" t="n">
        <x:v>10</x:v>
      </x:c>
      <x:c r="C1202" s="10" t="n">
        <x:v>44</x:v>
      </x:c>
      <x:c r="D1202" s="10" t="str">
        <x:v>M1 / M3</x:v>
      </x:c>
      <x:c r="E1202" s="16" t="n">
        <x:v>5</x:v>
      </x:c>
      <x:c r="F1202" s="14" t="n">
        <x:v>30</x:v>
      </x:c>
      <x:c r="G1202" s="26" t="n">
        <x:f>'成本明细'!U170+'成本明细'!G170*(E1202-'参数'!$B$6)</x:f>
        <x:v>1906.0146343094443</x:v>
      </x:c>
      <x:c r="H1202" s="26" t="n">
        <x:f>'成本明细'!U176</x:f>
        <x:v>2251.7219473711107</x:v>
      </x:c>
      <x:c r="I1202" s="26" t="n">
        <x:f>'成本明细'!V176</x:f>
        <x:v>4270.5</x:v>
      </x:c>
      <x:c r="J1202" s="22" t="n">
        <x:f>'参数'!$B$9</x:f>
        <x:v>300</x:v>
      </x:c>
      <x:c r="K1202" s="26" t="n">
        <x:f>J1202*(G1202-H1202)-I1202*ROUNDUP(J1202/F1202,0)</x:f>
        <x:v>-146417.19391849992</x:v>
      </x:c>
      <x:c r="L1202" s="10" t="str">
        <x:f>IF(G1202-H1202&lt;=0,"未回本",IF(ROUNDUP(I1202/(G1202-H1202),0)&gt;MIN(F1202,J1202),"未回本",MAX(1,ROUNDUP(I1202/(G1202-H1202),0))))</x:f>
        <x:v>未回本</x:v>
      </x:c>
    </x:row>
    <x:row r="1203" ht="22" customHeight="1">
      <x:c r="A1203" s="11" t="str">
        <x:v>lade_0826_10aoi</x:v>
      </x:c>
      <x:c r="B1203" s="10" t="n">
        <x:v>10</x:v>
      </x:c>
      <x:c r="C1203" s="10" t="n">
        <x:v>44</x:v>
      </x:c>
      <x:c r="D1203" s="10" t="str">
        <x:v>M2 / M4</x:v>
      </x:c>
      <x:c r="E1203" s="16" t="n">
        <x:v>5</x:v>
      </x:c>
      <x:c r="F1203" s="14" t="n">
        <x:v>30</x:v>
      </x:c>
      <x:c r="G1203" s="26" t="n">
        <x:f>'成本明细'!U173+'成本明细'!G173*(E1203-'参数'!$B$6)</x:f>
        <x:v>1563.279376625</x:v>
      </x:c>
      <x:c r="H1203" s="26" t="n">
        <x:f>'成本明细'!U179</x:f>
        <x:v>1970.1713756344443</x:v>
      </x:c>
      <x:c r="I1203" s="26" t="n">
        <x:f>'成本明细'!V179</x:f>
        <x:v>4270.5</x:v>
      </x:c>
      <x:c r="J1203" s="22" t="n">
        <x:f>'参数'!$B$9</x:f>
        <x:v>300</x:v>
      </x:c>
      <x:c r="K1203" s="26" t="n">
        <x:f>J1203*(G1203-H1203)-I1203*ROUNDUP(J1203/F1203,0)</x:f>
        <x:v>-164772.5997028333</x:v>
      </x:c>
      <x:c r="L1203" s="10" t="str">
        <x:f>IF(G1203-H1203&lt;=0,"未回本",IF(ROUNDUP(I1203/(G1203-H1203),0)&gt;MIN(F1203,J1203),"未回本",MAX(1,ROUNDUP(I1203/(G1203-H1203),0))))</x:f>
        <x:v>未回本</x:v>
      </x:c>
    </x:row>
    <x:row r="1204" ht="22" customHeight="1">
      <x:c r="A1204" s="11" t="str">
        <x:v>lade_0826_10aoi</x:v>
      </x:c>
      <x:c r="B1204" s="10" t="n">
        <x:v>10</x:v>
      </x:c>
      <x:c r="C1204" s="10" t="n">
        <x:v>44</x:v>
      </x:c>
      <x:c r="D1204" s="10" t="str">
        <x:v>M1 / M3</x:v>
      </x:c>
      <x:c r="E1204" s="16" t="n">
        <x:v>5</x:v>
      </x:c>
      <x:c r="F1204" s="14" t="n">
        <x:v>50</x:v>
      </x:c>
      <x:c r="G1204" s="26" t="n">
        <x:f>'成本明细'!U170+'成本明细'!G170*(E1204-'参数'!$B$6)</x:f>
        <x:v>1906.0146343094443</x:v>
      </x:c>
      <x:c r="H1204" s="26" t="n">
        <x:f>'成本明细'!U176</x:f>
        <x:v>2251.7219473711107</x:v>
      </x:c>
      <x:c r="I1204" s="26" t="n">
        <x:f>'成本明细'!V176</x:f>
        <x:v>4270.5</x:v>
      </x:c>
      <x:c r="J1204" s="22" t="n">
        <x:f>'参数'!$B$9</x:f>
        <x:v>300</x:v>
      </x:c>
      <x:c r="K1204" s="26" t="n">
        <x:f>J1204*(G1204-H1204)-I1204*ROUNDUP(J1204/F1204,0)</x:f>
        <x:v>-129335.1939184999</x:v>
      </x:c>
      <x:c r="L1204" s="10" t="str">
        <x:f>IF(G1204-H1204&lt;=0,"未回本",IF(ROUNDUP(I1204/(G1204-H1204),0)&gt;MIN(F1204,J1204),"未回本",MAX(1,ROUNDUP(I1204/(G1204-H1204),0))))</x:f>
        <x:v>未回本</x:v>
      </x:c>
    </x:row>
    <x:row r="1205" ht="22" customHeight="1">
      <x:c r="A1205" s="11" t="str">
        <x:v>lade_0826_10aoi</x:v>
      </x:c>
      <x:c r="B1205" s="10" t="n">
        <x:v>10</x:v>
      </x:c>
      <x:c r="C1205" s="10" t="n">
        <x:v>44</x:v>
      </x:c>
      <x:c r="D1205" s="10" t="str">
        <x:v>M2 / M4</x:v>
      </x:c>
      <x:c r="E1205" s="16" t="n">
        <x:v>5</x:v>
      </x:c>
      <x:c r="F1205" s="14" t="n">
        <x:v>50</x:v>
      </x:c>
      <x:c r="G1205" s="26" t="n">
        <x:f>'成本明细'!U173+'成本明细'!G173*(E1205-'参数'!$B$6)</x:f>
        <x:v>1563.279376625</x:v>
      </x:c>
      <x:c r="H1205" s="26" t="n">
        <x:f>'成本明细'!U179</x:f>
        <x:v>1970.1713756344443</x:v>
      </x:c>
      <x:c r="I1205" s="26" t="n">
        <x:f>'成本明细'!V179</x:f>
        <x:v>4270.5</x:v>
      </x:c>
      <x:c r="J1205" s="22" t="n">
        <x:f>'参数'!$B$9</x:f>
        <x:v>300</x:v>
      </x:c>
      <x:c r="K1205" s="26" t="n">
        <x:f>J1205*(G1205-H1205)-I1205*ROUNDUP(J1205/F1205,0)</x:f>
        <x:v>-147690.5997028333</x:v>
      </x:c>
      <x:c r="L1205" s="10" t="str">
        <x:f>IF(G1205-H1205&lt;=0,"未回本",IF(ROUNDUP(I1205/(G1205-H1205),0)&gt;MIN(F1205,J1205),"未回本",MAX(1,ROUNDUP(I1205/(G1205-H1205),0))))</x:f>
        <x:v>未回本</x:v>
      </x:c>
    </x:row>
    <x:row r="1206" ht="22" customHeight="1">
      <x:c r="A1206" s="11" t="str">
        <x:v>lade_0826_20aoi</x:v>
      </x:c>
      <x:c r="B1206" s="10" t="n">
        <x:v>20</x:v>
      </x:c>
      <x:c r="C1206" s="10" t="n">
        <x:v>42</x:v>
      </x:c>
      <x:c r="D1206" s="10" t="str">
        <x:v>M1 / M3</x:v>
      </x:c>
      <x:c r="E1206" s="16" t="n">
        <x:v>1</x:v>
      </x:c>
      <x:c r="F1206" s="14" t="n">
        <x:v>10</x:v>
      </x:c>
      <x:c r="G1206" s="26" t="n">
        <x:f>'成本明细'!U186+'成本明细'!G186*(E1206-'参数'!$B$6)</x:f>
        <x:v>2601.8283786111115</x:v>
      </x:c>
      <x:c r="H1206" s="26" t="n">
        <x:f>'成本明细'!U192</x:f>
        <x:v>3735.6418420544446</x:v>
      </x:c>
      <x:c r="I1206" s="26" t="n">
        <x:f>'成本明细'!V192</x:f>
        <x:v>6606.5</x:v>
      </x:c>
      <x:c r="J1206" s="22" t="n">
        <x:f>'参数'!$B$9</x:f>
        <x:v>300</x:v>
      </x:c>
      <x:c r="K1206" s="26" t="n">
        <x:f>J1206*(G1206-H1206)-I1206*ROUNDUP(J1206/F1206,0)</x:f>
        <x:v>-538339.0390329999</x:v>
      </x:c>
      <x:c r="L1206" s="10" t="str">
        <x:f>IF(G1206-H1206&lt;=0,"未回本",IF(ROUNDUP(I1206/(G1206-H1206),0)&gt;MIN(F1206,J1206),"未回本",MAX(1,ROUNDUP(I1206/(G1206-H1206),0))))</x:f>
        <x:v>未回本</x:v>
      </x:c>
    </x:row>
    <x:row r="1207" ht="22" customHeight="1">
      <x:c r="A1207" s="11" t="str">
        <x:v>lade_0826_20aoi</x:v>
      </x:c>
      <x:c r="B1207" s="10" t="n">
        <x:v>20</x:v>
      </x:c>
      <x:c r="C1207" s="10" t="n">
        <x:v>42</x:v>
      </x:c>
      <x:c r="D1207" s="10" t="str">
        <x:v>M2 / M4</x:v>
      </x:c>
      <x:c r="E1207" s="16" t="n">
        <x:v>1</x:v>
      </x:c>
      <x:c r="F1207" s="14" t="n">
        <x:v>10</x:v>
      </x:c>
      <x:c r="G1207" s="26" t="n">
        <x:f>'成本明细'!U189+'成本明细'!G189*(E1207-'参数'!$B$6)</x:f>
        <x:v>2352.079181026667</x:v>
      </x:c>
      <x:c r="H1207" s="26" t="n">
        <x:f>'成本明细'!U195</x:f>
        <x:v>4359.628141867778</x:v>
      </x:c>
      <x:c r="I1207" s="26" t="n">
        <x:f>'成本明细'!V195</x:f>
        <x:v>6606.5</x:v>
      </x:c>
      <x:c r="J1207" s="22" t="n">
        <x:f>'参数'!$B$9</x:f>
        <x:v>300</x:v>
      </x:c>
      <x:c r="K1207" s="26" t="n">
        <x:f>J1207*(G1207-H1207)-I1207*ROUNDUP(J1207/F1207,0)</x:f>
        <x:v>-800459.6882523333</x:v>
      </x:c>
      <x:c r="L1207" s="10" t="str">
        <x:f>IF(G1207-H1207&lt;=0,"未回本",IF(ROUNDUP(I1207/(G1207-H1207),0)&gt;MIN(F1207,J1207),"未回本",MAX(1,ROUNDUP(I1207/(G1207-H1207),0))))</x:f>
        <x:v>未回本</x:v>
      </x:c>
    </x:row>
    <x:row r="1208" ht="22" customHeight="1">
      <x:c r="A1208" s="11" t="str">
        <x:v>lade_0826_20aoi</x:v>
      </x:c>
      <x:c r="B1208" s="10" t="n">
        <x:v>20</x:v>
      </x:c>
      <x:c r="C1208" s="10" t="n">
        <x:v>42</x:v>
      </x:c>
      <x:c r="D1208" s="10" t="str">
        <x:v>M1 / M3</x:v>
      </x:c>
      <x:c r="E1208" s="16" t="n">
        <x:v>1</x:v>
      </x:c>
      <x:c r="F1208" s="14" t="n">
        <x:v>20</x:v>
      </x:c>
      <x:c r="G1208" s="26" t="n">
        <x:f>'成本明细'!U186+'成本明细'!G186*(E1208-'参数'!$B$6)</x:f>
        <x:v>2601.8283786111115</x:v>
      </x:c>
      <x:c r="H1208" s="26" t="n">
        <x:f>'成本明细'!U192</x:f>
        <x:v>3735.6418420544446</x:v>
      </x:c>
      <x:c r="I1208" s="26" t="n">
        <x:f>'成本明细'!V192</x:f>
        <x:v>6606.5</x:v>
      </x:c>
      <x:c r="J1208" s="22" t="n">
        <x:f>'参数'!$B$9</x:f>
        <x:v>300</x:v>
      </x:c>
      <x:c r="K1208" s="26" t="n">
        <x:f>J1208*(G1208-H1208)-I1208*ROUNDUP(J1208/F1208,0)</x:f>
        <x:v>-439241.53903299995</x:v>
      </x:c>
      <x:c r="L1208" s="10" t="str">
        <x:f>IF(G1208-H1208&lt;=0,"未回本",IF(ROUNDUP(I1208/(G1208-H1208),0)&gt;MIN(F1208,J1208),"未回本",MAX(1,ROUNDUP(I1208/(G1208-H1208),0))))</x:f>
        <x:v>未回本</x:v>
      </x:c>
    </x:row>
    <x:row r="1209" ht="22" customHeight="1">
      <x:c r="A1209" s="11" t="str">
        <x:v>lade_0826_20aoi</x:v>
      </x:c>
      <x:c r="B1209" s="10" t="n">
        <x:v>20</x:v>
      </x:c>
      <x:c r="C1209" s="10" t="n">
        <x:v>42</x:v>
      </x:c>
      <x:c r="D1209" s="10" t="str">
        <x:v>M2 / M4</x:v>
      </x:c>
      <x:c r="E1209" s="16" t="n">
        <x:v>1</x:v>
      </x:c>
      <x:c r="F1209" s="14" t="n">
        <x:v>20</x:v>
      </x:c>
      <x:c r="G1209" s="26" t="n">
        <x:f>'成本明细'!U189+'成本明细'!G189*(E1209-'参数'!$B$6)</x:f>
        <x:v>2352.079181026667</x:v>
      </x:c>
      <x:c r="H1209" s="26" t="n">
        <x:f>'成本明细'!U195</x:f>
        <x:v>4359.628141867778</x:v>
      </x:c>
      <x:c r="I1209" s="26" t="n">
        <x:f>'成本明细'!V195</x:f>
        <x:v>6606.5</x:v>
      </x:c>
      <x:c r="J1209" s="22" t="n">
        <x:f>'参数'!$B$9</x:f>
        <x:v>300</x:v>
      </x:c>
      <x:c r="K1209" s="26" t="n">
        <x:f>J1209*(G1209-H1209)-I1209*ROUNDUP(J1209/F1209,0)</x:f>
        <x:v>-701362.1882523333</x:v>
      </x:c>
      <x:c r="L1209" s="10" t="str">
        <x:f>IF(G1209-H1209&lt;=0,"未回本",IF(ROUNDUP(I1209/(G1209-H1209),0)&gt;MIN(F1209,J1209),"未回本",MAX(1,ROUNDUP(I1209/(G1209-H1209),0))))</x:f>
        <x:v>未回本</x:v>
      </x:c>
    </x:row>
    <x:row r="1210" ht="22" customHeight="1">
      <x:c r="A1210" s="11" t="str">
        <x:v>lade_0826_20aoi</x:v>
      </x:c>
      <x:c r="B1210" s="10" t="n">
        <x:v>20</x:v>
      </x:c>
      <x:c r="C1210" s="10" t="n">
        <x:v>42</x:v>
      </x:c>
      <x:c r="D1210" s="10" t="str">
        <x:v>M1 / M3</x:v>
      </x:c>
      <x:c r="E1210" s="16" t="n">
        <x:v>1</x:v>
      </x:c>
      <x:c r="F1210" s="14" t="n">
        <x:v>30</x:v>
      </x:c>
      <x:c r="G1210" s="26" t="n">
        <x:f>'成本明细'!U186+'成本明细'!G186*(E1210-'参数'!$B$6)</x:f>
        <x:v>2601.8283786111115</x:v>
      </x:c>
      <x:c r="H1210" s="26" t="n">
        <x:f>'成本明细'!U192</x:f>
        <x:v>3735.6418420544446</x:v>
      </x:c>
      <x:c r="I1210" s="26" t="n">
        <x:f>'成本明细'!V192</x:f>
        <x:v>6606.5</x:v>
      </x:c>
      <x:c r="J1210" s="22" t="n">
        <x:f>'参数'!$B$9</x:f>
        <x:v>300</x:v>
      </x:c>
      <x:c r="K1210" s="26" t="n">
        <x:f>J1210*(G1210-H1210)-I1210*ROUNDUP(J1210/F1210,0)</x:f>
        <x:v>-406209.03903299995</x:v>
      </x:c>
      <x:c r="L1210" s="10" t="str">
        <x:f>IF(G1210-H1210&lt;=0,"未回本",IF(ROUNDUP(I1210/(G1210-H1210),0)&gt;MIN(F1210,J1210),"未回本",MAX(1,ROUNDUP(I1210/(G1210-H1210),0))))</x:f>
        <x:v>未回本</x:v>
      </x:c>
    </x:row>
    <x:row r="1211" ht="22" customHeight="1">
      <x:c r="A1211" s="11" t="str">
        <x:v>lade_0826_20aoi</x:v>
      </x:c>
      <x:c r="B1211" s="10" t="n">
        <x:v>20</x:v>
      </x:c>
      <x:c r="C1211" s="10" t="n">
        <x:v>42</x:v>
      </x:c>
      <x:c r="D1211" s="10" t="str">
        <x:v>M2 / M4</x:v>
      </x:c>
      <x:c r="E1211" s="16" t="n">
        <x:v>1</x:v>
      </x:c>
      <x:c r="F1211" s="14" t="n">
        <x:v>30</x:v>
      </x:c>
      <x:c r="G1211" s="26" t="n">
        <x:f>'成本明细'!U189+'成本明细'!G189*(E1211-'参数'!$B$6)</x:f>
        <x:v>2352.079181026667</x:v>
      </x:c>
      <x:c r="H1211" s="26" t="n">
        <x:f>'成本明细'!U195</x:f>
        <x:v>4359.628141867778</x:v>
      </x:c>
      <x:c r="I1211" s="26" t="n">
        <x:f>'成本明细'!V195</x:f>
        <x:v>6606.5</x:v>
      </x:c>
      <x:c r="J1211" s="22" t="n">
        <x:f>'参数'!$B$9</x:f>
        <x:v>300</x:v>
      </x:c>
      <x:c r="K1211" s="26" t="n">
        <x:f>J1211*(G1211-H1211)-I1211*ROUNDUP(J1211/F1211,0)</x:f>
        <x:v>-668329.6882523333</x:v>
      </x:c>
      <x:c r="L1211" s="10" t="str">
        <x:f>IF(G1211-H1211&lt;=0,"未回本",IF(ROUNDUP(I1211/(G1211-H1211),0)&gt;MIN(F1211,J1211),"未回本",MAX(1,ROUNDUP(I1211/(G1211-H1211),0))))</x:f>
        <x:v>未回本</x:v>
      </x:c>
    </x:row>
    <x:row r="1212" ht="22" customHeight="1">
      <x:c r="A1212" s="11" t="str">
        <x:v>lade_0826_20aoi</x:v>
      </x:c>
      <x:c r="B1212" s="10" t="n">
        <x:v>20</x:v>
      </x:c>
      <x:c r="C1212" s="10" t="n">
        <x:v>42</x:v>
      </x:c>
      <x:c r="D1212" s="10" t="str">
        <x:v>M1 / M3</x:v>
      </x:c>
      <x:c r="E1212" s="16" t="n">
        <x:v>1</x:v>
      </x:c>
      <x:c r="F1212" s="14" t="n">
        <x:v>50</x:v>
      </x:c>
      <x:c r="G1212" s="26" t="n">
        <x:f>'成本明细'!U186+'成本明细'!G186*(E1212-'参数'!$B$6)</x:f>
        <x:v>2601.8283786111115</x:v>
      </x:c>
      <x:c r="H1212" s="26" t="n">
        <x:f>'成本明细'!U192</x:f>
        <x:v>3735.6418420544446</x:v>
      </x:c>
      <x:c r="I1212" s="26" t="n">
        <x:f>'成本明细'!V192</x:f>
        <x:v>6606.5</x:v>
      </x:c>
      <x:c r="J1212" s="22" t="n">
        <x:f>'参数'!$B$9</x:f>
        <x:v>300</x:v>
      </x:c>
      <x:c r="K1212" s="26" t="n">
        <x:f>J1212*(G1212-H1212)-I1212*ROUNDUP(J1212/F1212,0)</x:f>
        <x:v>-379783.03903299995</x:v>
      </x:c>
      <x:c r="L1212" s="10" t="str">
        <x:f>IF(G1212-H1212&lt;=0,"未回本",IF(ROUNDUP(I1212/(G1212-H1212),0)&gt;MIN(F1212,J1212),"未回本",MAX(1,ROUNDUP(I1212/(G1212-H1212),0))))</x:f>
        <x:v>未回本</x:v>
      </x:c>
    </x:row>
    <x:row r="1213" ht="22" customHeight="1">
      <x:c r="A1213" s="11" t="str">
        <x:v>lade_0826_20aoi</x:v>
      </x:c>
      <x:c r="B1213" s="10" t="n">
        <x:v>20</x:v>
      </x:c>
      <x:c r="C1213" s="10" t="n">
        <x:v>42</x:v>
      </x:c>
      <x:c r="D1213" s="10" t="str">
        <x:v>M2 / M4</x:v>
      </x:c>
      <x:c r="E1213" s="16" t="n">
        <x:v>1</x:v>
      </x:c>
      <x:c r="F1213" s="14" t="n">
        <x:v>50</x:v>
      </x:c>
      <x:c r="G1213" s="26" t="n">
        <x:f>'成本明细'!U189+'成本明细'!G189*(E1213-'参数'!$B$6)</x:f>
        <x:v>2352.079181026667</x:v>
      </x:c>
      <x:c r="H1213" s="26" t="n">
        <x:f>'成本明细'!U195</x:f>
        <x:v>4359.628141867778</x:v>
      </x:c>
      <x:c r="I1213" s="26" t="n">
        <x:f>'成本明细'!V195</x:f>
        <x:v>6606.5</x:v>
      </x:c>
      <x:c r="J1213" s="22" t="n">
        <x:f>'参数'!$B$9</x:f>
        <x:v>300</x:v>
      </x:c>
      <x:c r="K1213" s="26" t="n">
        <x:f>J1213*(G1213-H1213)-I1213*ROUNDUP(J1213/F1213,0)</x:f>
        <x:v>-641903.6882523333</x:v>
      </x:c>
      <x:c r="L1213" s="10" t="str">
        <x:f>IF(G1213-H1213&lt;=0,"未回本",IF(ROUNDUP(I1213/(G1213-H1213),0)&gt;MIN(F1213,J1213),"未回本",MAX(1,ROUNDUP(I1213/(G1213-H1213),0))))</x:f>
        <x:v>未回本</x:v>
      </x:c>
    </x:row>
    <x:row r="1214" ht="22" customHeight="1">
      <x:c r="A1214" s="11" t="str">
        <x:v>lade_0826_20aoi</x:v>
      </x:c>
      <x:c r="B1214" s="10" t="n">
        <x:v>20</x:v>
      </x:c>
      <x:c r="C1214" s="10" t="n">
        <x:v>42</x:v>
      </x:c>
      <x:c r="D1214" s="10" t="str">
        <x:v>M1 / M3</x:v>
      </x:c>
      <x:c r="E1214" s="16" t="n">
        <x:v>2</x:v>
      </x:c>
      <x:c r="F1214" s="14" t="n">
        <x:v>10</x:v>
      </x:c>
      <x:c r="G1214" s="26" t="n">
        <x:f>'成本明细'!U186+'成本明细'!G186*(E1214-'参数'!$B$6)</x:f>
        <x:v>2782.8283786111115</x:v>
      </x:c>
      <x:c r="H1214" s="26" t="n">
        <x:f>'成本明细'!U192</x:f>
        <x:v>3735.6418420544446</x:v>
      </x:c>
      <x:c r="I1214" s="26" t="n">
        <x:f>'成本明细'!V192</x:f>
        <x:v>6606.5</x:v>
      </x:c>
      <x:c r="J1214" s="22" t="n">
        <x:f>'参数'!$B$9</x:f>
        <x:v>300</x:v>
      </x:c>
      <x:c r="K1214" s="26" t="n">
        <x:f>J1214*(G1214-H1214)-I1214*ROUNDUP(J1214/F1214,0)</x:f>
        <x:v>-484039.03903299995</x:v>
      </x:c>
      <x:c r="L1214" s="10" t="str">
        <x:f>IF(G1214-H1214&lt;=0,"未回本",IF(ROUNDUP(I1214/(G1214-H1214),0)&gt;MIN(F1214,J1214),"未回本",MAX(1,ROUNDUP(I1214/(G1214-H1214),0))))</x:f>
        <x:v>未回本</x:v>
      </x:c>
    </x:row>
    <x:row r="1215" ht="22" customHeight="1">
      <x:c r="A1215" s="11" t="str">
        <x:v>lade_0826_20aoi</x:v>
      </x:c>
      <x:c r="B1215" s="10" t="n">
        <x:v>20</x:v>
      </x:c>
      <x:c r="C1215" s="10" t="n">
        <x:v>42</x:v>
      </x:c>
      <x:c r="D1215" s="10" t="str">
        <x:v>M2 / M4</x:v>
      </x:c>
      <x:c r="E1215" s="16" t="n">
        <x:v>2</x:v>
      </x:c>
      <x:c r="F1215" s="14" t="n">
        <x:v>10</x:v>
      </x:c>
      <x:c r="G1215" s="26" t="n">
        <x:f>'成本明细'!U189+'成本明细'!G189*(E1215-'参数'!$B$6)</x:f>
        <x:v>2533.079181026667</x:v>
      </x:c>
      <x:c r="H1215" s="26" t="n">
        <x:f>'成本明细'!U195</x:f>
        <x:v>4359.628141867778</x:v>
      </x:c>
      <x:c r="I1215" s="26" t="n">
        <x:f>'成本明细'!V195</x:f>
        <x:v>6606.5</x:v>
      </x:c>
      <x:c r="J1215" s="22" t="n">
        <x:f>'参数'!$B$9</x:f>
        <x:v>300</x:v>
      </x:c>
      <x:c r="K1215" s="26" t="n">
        <x:f>J1215*(G1215-H1215)-I1215*ROUNDUP(J1215/F1215,0)</x:f>
        <x:v>-746159.6882523333</x:v>
      </x:c>
      <x:c r="L1215" s="10" t="str">
        <x:f>IF(G1215-H1215&lt;=0,"未回本",IF(ROUNDUP(I1215/(G1215-H1215),0)&gt;MIN(F1215,J1215),"未回本",MAX(1,ROUNDUP(I1215/(G1215-H1215),0))))</x:f>
        <x:v>未回本</x:v>
      </x:c>
    </x:row>
    <x:row r="1216" ht="22" customHeight="1">
      <x:c r="A1216" s="11" t="str">
        <x:v>lade_0826_20aoi</x:v>
      </x:c>
      <x:c r="B1216" s="10" t="n">
        <x:v>20</x:v>
      </x:c>
      <x:c r="C1216" s="10" t="n">
        <x:v>42</x:v>
      </x:c>
      <x:c r="D1216" s="10" t="str">
        <x:v>M1 / M3</x:v>
      </x:c>
      <x:c r="E1216" s="16" t="n">
        <x:v>2</x:v>
      </x:c>
      <x:c r="F1216" s="14" t="n">
        <x:v>20</x:v>
      </x:c>
      <x:c r="G1216" s="26" t="n">
        <x:f>'成本明细'!U186+'成本明细'!G186*(E1216-'参数'!$B$6)</x:f>
        <x:v>2782.8283786111115</x:v>
      </x:c>
      <x:c r="H1216" s="26" t="n">
        <x:f>'成本明细'!U192</x:f>
        <x:v>3735.6418420544446</x:v>
      </x:c>
      <x:c r="I1216" s="26" t="n">
        <x:f>'成本明细'!V192</x:f>
        <x:v>6606.5</x:v>
      </x:c>
      <x:c r="J1216" s="22" t="n">
        <x:f>'参数'!$B$9</x:f>
        <x:v>300</x:v>
      </x:c>
      <x:c r="K1216" s="26" t="n">
        <x:f>J1216*(G1216-H1216)-I1216*ROUNDUP(J1216/F1216,0)</x:f>
        <x:v>-384941.53903299995</x:v>
      </x:c>
      <x:c r="L1216" s="10" t="str">
        <x:f>IF(G1216-H1216&lt;=0,"未回本",IF(ROUNDUP(I1216/(G1216-H1216),0)&gt;MIN(F1216,J1216),"未回本",MAX(1,ROUNDUP(I1216/(G1216-H1216),0))))</x:f>
        <x:v>未回本</x:v>
      </x:c>
    </x:row>
    <x:row r="1217" ht="22" customHeight="1">
      <x:c r="A1217" s="11" t="str">
        <x:v>lade_0826_20aoi</x:v>
      </x:c>
      <x:c r="B1217" s="10" t="n">
        <x:v>20</x:v>
      </x:c>
      <x:c r="C1217" s="10" t="n">
        <x:v>42</x:v>
      </x:c>
      <x:c r="D1217" s="10" t="str">
        <x:v>M2 / M4</x:v>
      </x:c>
      <x:c r="E1217" s="16" t="n">
        <x:v>2</x:v>
      </x:c>
      <x:c r="F1217" s="14" t="n">
        <x:v>20</x:v>
      </x:c>
      <x:c r="G1217" s="26" t="n">
        <x:f>'成本明细'!U189+'成本明细'!G189*(E1217-'参数'!$B$6)</x:f>
        <x:v>2533.079181026667</x:v>
      </x:c>
      <x:c r="H1217" s="26" t="n">
        <x:f>'成本明细'!U195</x:f>
        <x:v>4359.628141867778</x:v>
      </x:c>
      <x:c r="I1217" s="26" t="n">
        <x:f>'成本明细'!V195</x:f>
        <x:v>6606.5</x:v>
      </x:c>
      <x:c r="J1217" s="22" t="n">
        <x:f>'参数'!$B$9</x:f>
        <x:v>300</x:v>
      </x:c>
      <x:c r="K1217" s="26" t="n">
        <x:f>J1217*(G1217-H1217)-I1217*ROUNDUP(J1217/F1217,0)</x:f>
        <x:v>-647062.1882523333</x:v>
      </x:c>
      <x:c r="L1217" s="10" t="str">
        <x:f>IF(G1217-H1217&lt;=0,"未回本",IF(ROUNDUP(I1217/(G1217-H1217),0)&gt;MIN(F1217,J1217),"未回本",MAX(1,ROUNDUP(I1217/(G1217-H1217),0))))</x:f>
        <x:v>未回本</x:v>
      </x:c>
    </x:row>
    <x:row r="1218" ht="22" customHeight="1">
      <x:c r="A1218" s="11" t="str">
        <x:v>lade_0826_20aoi</x:v>
      </x:c>
      <x:c r="B1218" s="10" t="n">
        <x:v>20</x:v>
      </x:c>
      <x:c r="C1218" s="10" t="n">
        <x:v>42</x:v>
      </x:c>
      <x:c r="D1218" s="10" t="str">
        <x:v>M1 / M3</x:v>
      </x:c>
      <x:c r="E1218" s="16" t="n">
        <x:v>2</x:v>
      </x:c>
      <x:c r="F1218" s="14" t="n">
        <x:v>30</x:v>
      </x:c>
      <x:c r="G1218" s="26" t="n">
        <x:f>'成本明细'!U186+'成本明细'!G186*(E1218-'参数'!$B$6)</x:f>
        <x:v>2782.8283786111115</x:v>
      </x:c>
      <x:c r="H1218" s="26" t="n">
        <x:f>'成本明细'!U192</x:f>
        <x:v>3735.6418420544446</x:v>
      </x:c>
      <x:c r="I1218" s="26" t="n">
        <x:f>'成本明细'!V192</x:f>
        <x:v>6606.5</x:v>
      </x:c>
      <x:c r="J1218" s="22" t="n">
        <x:f>'参数'!$B$9</x:f>
        <x:v>300</x:v>
      </x:c>
      <x:c r="K1218" s="26" t="n">
        <x:f>J1218*(G1218-H1218)-I1218*ROUNDUP(J1218/F1218,0)</x:f>
        <x:v>-351909.03903299995</x:v>
      </x:c>
      <x:c r="L1218" s="10" t="str">
        <x:f>IF(G1218-H1218&lt;=0,"未回本",IF(ROUNDUP(I1218/(G1218-H1218),0)&gt;MIN(F1218,J1218),"未回本",MAX(1,ROUNDUP(I1218/(G1218-H1218),0))))</x:f>
        <x:v>未回本</x:v>
      </x:c>
    </x:row>
    <x:row r="1219" ht="22" customHeight="1">
      <x:c r="A1219" s="11" t="str">
        <x:v>lade_0826_20aoi</x:v>
      </x:c>
      <x:c r="B1219" s="10" t="n">
        <x:v>20</x:v>
      </x:c>
      <x:c r="C1219" s="10" t="n">
        <x:v>42</x:v>
      </x:c>
      <x:c r="D1219" s="10" t="str">
        <x:v>M2 / M4</x:v>
      </x:c>
      <x:c r="E1219" s="16" t="n">
        <x:v>2</x:v>
      </x:c>
      <x:c r="F1219" s="14" t="n">
        <x:v>30</x:v>
      </x:c>
      <x:c r="G1219" s="26" t="n">
        <x:f>'成本明细'!U189+'成本明细'!G189*(E1219-'参数'!$B$6)</x:f>
        <x:v>2533.079181026667</x:v>
      </x:c>
      <x:c r="H1219" s="26" t="n">
        <x:f>'成本明细'!U195</x:f>
        <x:v>4359.628141867778</x:v>
      </x:c>
      <x:c r="I1219" s="26" t="n">
        <x:f>'成本明细'!V195</x:f>
        <x:v>6606.5</x:v>
      </x:c>
      <x:c r="J1219" s="22" t="n">
        <x:f>'参数'!$B$9</x:f>
        <x:v>300</x:v>
      </x:c>
      <x:c r="K1219" s="26" t="n">
        <x:f>J1219*(G1219-H1219)-I1219*ROUNDUP(J1219/F1219,0)</x:f>
        <x:v>-614029.6882523333</x:v>
      </x:c>
      <x:c r="L1219" s="10" t="str">
        <x:f>IF(G1219-H1219&lt;=0,"未回本",IF(ROUNDUP(I1219/(G1219-H1219),0)&gt;MIN(F1219,J1219),"未回本",MAX(1,ROUNDUP(I1219/(G1219-H1219),0))))</x:f>
        <x:v>未回本</x:v>
      </x:c>
    </x:row>
    <x:row r="1220" ht="22" customHeight="1">
      <x:c r="A1220" s="11" t="str">
        <x:v>lade_0826_20aoi</x:v>
      </x:c>
      <x:c r="B1220" s="10" t="n">
        <x:v>20</x:v>
      </x:c>
      <x:c r="C1220" s="10" t="n">
        <x:v>42</x:v>
      </x:c>
      <x:c r="D1220" s="10" t="str">
        <x:v>M1 / M3</x:v>
      </x:c>
      <x:c r="E1220" s="16" t="n">
        <x:v>2</x:v>
      </x:c>
      <x:c r="F1220" s="14" t="n">
        <x:v>50</x:v>
      </x:c>
      <x:c r="G1220" s="26" t="n">
        <x:f>'成本明细'!U186+'成本明细'!G186*(E1220-'参数'!$B$6)</x:f>
        <x:v>2782.8283786111115</x:v>
      </x:c>
      <x:c r="H1220" s="26" t="n">
        <x:f>'成本明细'!U192</x:f>
        <x:v>3735.6418420544446</x:v>
      </x:c>
      <x:c r="I1220" s="26" t="n">
        <x:f>'成本明细'!V192</x:f>
        <x:v>6606.5</x:v>
      </x:c>
      <x:c r="J1220" s="22" t="n">
        <x:f>'参数'!$B$9</x:f>
        <x:v>300</x:v>
      </x:c>
      <x:c r="K1220" s="26" t="n">
        <x:f>J1220*(G1220-H1220)-I1220*ROUNDUP(J1220/F1220,0)</x:f>
        <x:v>-325483.03903299995</x:v>
      </x:c>
      <x:c r="L1220" s="10" t="str">
        <x:f>IF(G1220-H1220&lt;=0,"未回本",IF(ROUNDUP(I1220/(G1220-H1220),0)&gt;MIN(F1220,J1220),"未回本",MAX(1,ROUNDUP(I1220/(G1220-H1220),0))))</x:f>
        <x:v>未回本</x:v>
      </x:c>
    </x:row>
    <x:row r="1221" ht="22" customHeight="1">
      <x:c r="A1221" s="11" t="str">
        <x:v>lade_0826_20aoi</x:v>
      </x:c>
      <x:c r="B1221" s="10" t="n">
        <x:v>20</x:v>
      </x:c>
      <x:c r="C1221" s="10" t="n">
        <x:v>42</x:v>
      </x:c>
      <x:c r="D1221" s="10" t="str">
        <x:v>M2 / M4</x:v>
      </x:c>
      <x:c r="E1221" s="16" t="n">
        <x:v>2</x:v>
      </x:c>
      <x:c r="F1221" s="14" t="n">
        <x:v>50</x:v>
      </x:c>
      <x:c r="G1221" s="26" t="n">
        <x:f>'成本明细'!U189+'成本明细'!G189*(E1221-'参数'!$B$6)</x:f>
        <x:v>2533.079181026667</x:v>
      </x:c>
      <x:c r="H1221" s="26" t="n">
        <x:f>'成本明细'!U195</x:f>
        <x:v>4359.628141867778</x:v>
      </x:c>
      <x:c r="I1221" s="26" t="n">
        <x:f>'成本明细'!V195</x:f>
        <x:v>6606.5</x:v>
      </x:c>
      <x:c r="J1221" s="22" t="n">
        <x:f>'参数'!$B$9</x:f>
        <x:v>300</x:v>
      </x:c>
      <x:c r="K1221" s="26" t="n">
        <x:f>J1221*(G1221-H1221)-I1221*ROUNDUP(J1221/F1221,0)</x:f>
        <x:v>-587603.6882523333</x:v>
      </x:c>
      <x:c r="L1221" s="10" t="str">
        <x:f>IF(G1221-H1221&lt;=0,"未回本",IF(ROUNDUP(I1221/(G1221-H1221),0)&gt;MIN(F1221,J1221),"未回本",MAX(1,ROUNDUP(I1221/(G1221-H1221),0))))</x:f>
        <x:v>未回本</x:v>
      </x:c>
    </x:row>
    <x:row r="1222" ht="22" customHeight="1">
      <x:c r="A1222" s="11" t="str">
        <x:v>lade_0826_20aoi</x:v>
      </x:c>
      <x:c r="B1222" s="10" t="n">
        <x:v>20</x:v>
      </x:c>
      <x:c r="C1222" s="10" t="n">
        <x:v>42</x:v>
      </x:c>
      <x:c r="D1222" s="10" t="str">
        <x:v>M1 / M3</x:v>
      </x:c>
      <x:c r="E1222" s="16" t="n">
        <x:v>3</x:v>
      </x:c>
      <x:c r="F1222" s="14" t="n">
        <x:v>10</x:v>
      </x:c>
      <x:c r="G1222" s="26" t="n">
        <x:f>'成本明细'!U186+'成本明细'!G186*(E1222-'参数'!$B$6)</x:f>
        <x:v>2963.8283786111115</x:v>
      </x:c>
      <x:c r="H1222" s="26" t="n">
        <x:f>'成本明细'!U192</x:f>
        <x:v>3735.6418420544446</x:v>
      </x:c>
      <x:c r="I1222" s="26" t="n">
        <x:f>'成本明细'!V192</x:f>
        <x:v>6606.5</x:v>
      </x:c>
      <x:c r="J1222" s="22" t="n">
        <x:f>'参数'!$B$9</x:f>
        <x:v>300</x:v>
      </x:c>
      <x:c r="K1222" s="26" t="n">
        <x:f>J1222*(G1222-H1222)-I1222*ROUNDUP(J1222/F1222,0)</x:f>
        <x:v>-429739.03903299995</x:v>
      </x:c>
      <x:c r="L1222" s="10" t="str">
        <x:f>IF(G1222-H1222&lt;=0,"未回本",IF(ROUNDUP(I1222/(G1222-H1222),0)&gt;MIN(F1222,J1222),"未回本",MAX(1,ROUNDUP(I1222/(G1222-H1222),0))))</x:f>
        <x:v>未回本</x:v>
      </x:c>
    </x:row>
    <x:row r="1223" ht="22" customHeight="1">
      <x:c r="A1223" s="11" t="str">
        <x:v>lade_0826_20aoi</x:v>
      </x:c>
      <x:c r="B1223" s="10" t="n">
        <x:v>20</x:v>
      </x:c>
      <x:c r="C1223" s="10" t="n">
        <x:v>42</x:v>
      </x:c>
      <x:c r="D1223" s="10" t="str">
        <x:v>M2 / M4</x:v>
      </x:c>
      <x:c r="E1223" s="16" t="n">
        <x:v>3</x:v>
      </x:c>
      <x:c r="F1223" s="14" t="n">
        <x:v>10</x:v>
      </x:c>
      <x:c r="G1223" s="26" t="n">
        <x:f>'成本明细'!U189+'成本明细'!G189*(E1223-'参数'!$B$6)</x:f>
        <x:v>2714.079181026667</x:v>
      </x:c>
      <x:c r="H1223" s="26" t="n">
        <x:f>'成本明细'!U195</x:f>
        <x:v>4359.628141867778</x:v>
      </x:c>
      <x:c r="I1223" s="26" t="n">
        <x:f>'成本明细'!V195</x:f>
        <x:v>6606.5</x:v>
      </x:c>
      <x:c r="J1223" s="22" t="n">
        <x:f>'参数'!$B$9</x:f>
        <x:v>300</x:v>
      </x:c>
      <x:c r="K1223" s="26" t="n">
        <x:f>J1223*(G1223-H1223)-I1223*ROUNDUP(J1223/F1223,0)</x:f>
        <x:v>-691859.6882523333</x:v>
      </x:c>
      <x:c r="L1223" s="10" t="str">
        <x:f>IF(G1223-H1223&lt;=0,"未回本",IF(ROUNDUP(I1223/(G1223-H1223),0)&gt;MIN(F1223,J1223),"未回本",MAX(1,ROUNDUP(I1223/(G1223-H1223),0))))</x:f>
        <x:v>未回本</x:v>
      </x:c>
    </x:row>
    <x:row r="1224" ht="22" customHeight="1">
      <x:c r="A1224" s="11" t="str">
        <x:v>lade_0826_20aoi</x:v>
      </x:c>
      <x:c r="B1224" s="10" t="n">
        <x:v>20</x:v>
      </x:c>
      <x:c r="C1224" s="10" t="n">
        <x:v>42</x:v>
      </x:c>
      <x:c r="D1224" s="10" t="str">
        <x:v>M1 / M3</x:v>
      </x:c>
      <x:c r="E1224" s="16" t="n">
        <x:v>3</x:v>
      </x:c>
      <x:c r="F1224" s="14" t="n">
        <x:v>20</x:v>
      </x:c>
      <x:c r="G1224" s="26" t="n">
        <x:f>'成本明细'!U186+'成本明细'!G186*(E1224-'参数'!$B$6)</x:f>
        <x:v>2963.8283786111115</x:v>
      </x:c>
      <x:c r="H1224" s="26" t="n">
        <x:f>'成本明细'!U192</x:f>
        <x:v>3735.6418420544446</x:v>
      </x:c>
      <x:c r="I1224" s="26" t="n">
        <x:f>'成本明细'!V192</x:f>
        <x:v>6606.5</x:v>
      </x:c>
      <x:c r="J1224" s="22" t="n">
        <x:f>'参数'!$B$9</x:f>
        <x:v>300</x:v>
      </x:c>
      <x:c r="K1224" s="26" t="n">
        <x:f>J1224*(G1224-H1224)-I1224*ROUNDUP(J1224/F1224,0)</x:f>
        <x:v>-330641.53903299995</x:v>
      </x:c>
      <x:c r="L1224" s="10" t="str">
        <x:f>IF(G1224-H1224&lt;=0,"未回本",IF(ROUNDUP(I1224/(G1224-H1224),0)&gt;MIN(F1224,J1224),"未回本",MAX(1,ROUNDUP(I1224/(G1224-H1224),0))))</x:f>
        <x:v>未回本</x:v>
      </x:c>
    </x:row>
    <x:row r="1225" ht="22" customHeight="1">
      <x:c r="A1225" s="11" t="str">
        <x:v>lade_0826_20aoi</x:v>
      </x:c>
      <x:c r="B1225" s="10" t="n">
        <x:v>20</x:v>
      </x:c>
      <x:c r="C1225" s="10" t="n">
        <x:v>42</x:v>
      </x:c>
      <x:c r="D1225" s="10" t="str">
        <x:v>M2 / M4</x:v>
      </x:c>
      <x:c r="E1225" s="16" t="n">
        <x:v>3</x:v>
      </x:c>
      <x:c r="F1225" s="14" t="n">
        <x:v>20</x:v>
      </x:c>
      <x:c r="G1225" s="26" t="n">
        <x:f>'成本明细'!U189+'成本明细'!G189*(E1225-'参数'!$B$6)</x:f>
        <x:v>2714.079181026667</x:v>
      </x:c>
      <x:c r="H1225" s="26" t="n">
        <x:f>'成本明细'!U195</x:f>
        <x:v>4359.628141867778</x:v>
      </x:c>
      <x:c r="I1225" s="26" t="n">
        <x:f>'成本明细'!V195</x:f>
        <x:v>6606.5</x:v>
      </x:c>
      <x:c r="J1225" s="22" t="n">
        <x:f>'参数'!$B$9</x:f>
        <x:v>300</x:v>
      </x:c>
      <x:c r="K1225" s="26" t="n">
        <x:f>J1225*(G1225-H1225)-I1225*ROUNDUP(J1225/F1225,0)</x:f>
        <x:v>-592762.1882523333</x:v>
      </x:c>
      <x:c r="L1225" s="10" t="str">
        <x:f>IF(G1225-H1225&lt;=0,"未回本",IF(ROUNDUP(I1225/(G1225-H1225),0)&gt;MIN(F1225,J1225),"未回本",MAX(1,ROUNDUP(I1225/(G1225-H1225),0))))</x:f>
        <x:v>未回本</x:v>
      </x:c>
    </x:row>
    <x:row r="1226" ht="22" customHeight="1">
      <x:c r="A1226" s="11" t="str">
        <x:v>lade_0826_20aoi</x:v>
      </x:c>
      <x:c r="B1226" s="10" t="n">
        <x:v>20</x:v>
      </x:c>
      <x:c r="C1226" s="10" t="n">
        <x:v>42</x:v>
      </x:c>
      <x:c r="D1226" s="10" t="str">
        <x:v>M1 / M3</x:v>
      </x:c>
      <x:c r="E1226" s="16" t="n">
        <x:v>3</x:v>
      </x:c>
      <x:c r="F1226" s="14" t="n">
        <x:v>30</x:v>
      </x:c>
      <x:c r="G1226" s="26" t="n">
        <x:f>'成本明细'!U186+'成本明细'!G186*(E1226-'参数'!$B$6)</x:f>
        <x:v>2963.8283786111115</x:v>
      </x:c>
      <x:c r="H1226" s="26" t="n">
        <x:f>'成本明细'!U192</x:f>
        <x:v>3735.6418420544446</x:v>
      </x:c>
      <x:c r="I1226" s="26" t="n">
        <x:f>'成本明细'!V192</x:f>
        <x:v>6606.5</x:v>
      </x:c>
      <x:c r="J1226" s="22" t="n">
        <x:f>'参数'!$B$9</x:f>
        <x:v>300</x:v>
      </x:c>
      <x:c r="K1226" s="26" t="n">
        <x:f>J1226*(G1226-H1226)-I1226*ROUNDUP(J1226/F1226,0)</x:f>
        <x:v>-297609.03903299995</x:v>
      </x:c>
      <x:c r="L1226" s="10" t="str">
        <x:f>IF(G1226-H1226&lt;=0,"未回本",IF(ROUNDUP(I1226/(G1226-H1226),0)&gt;MIN(F1226,J1226),"未回本",MAX(1,ROUNDUP(I1226/(G1226-H1226),0))))</x:f>
        <x:v>未回本</x:v>
      </x:c>
    </x:row>
    <x:row r="1227" ht="22" customHeight="1">
      <x:c r="A1227" s="11" t="str">
        <x:v>lade_0826_20aoi</x:v>
      </x:c>
      <x:c r="B1227" s="10" t="n">
        <x:v>20</x:v>
      </x:c>
      <x:c r="C1227" s="10" t="n">
        <x:v>42</x:v>
      </x:c>
      <x:c r="D1227" s="10" t="str">
        <x:v>M2 / M4</x:v>
      </x:c>
      <x:c r="E1227" s="16" t="n">
        <x:v>3</x:v>
      </x:c>
      <x:c r="F1227" s="14" t="n">
        <x:v>30</x:v>
      </x:c>
      <x:c r="G1227" s="26" t="n">
        <x:f>'成本明细'!U189+'成本明细'!G189*(E1227-'参数'!$B$6)</x:f>
        <x:v>2714.079181026667</x:v>
      </x:c>
      <x:c r="H1227" s="26" t="n">
        <x:f>'成本明细'!U195</x:f>
        <x:v>4359.628141867778</x:v>
      </x:c>
      <x:c r="I1227" s="26" t="n">
        <x:f>'成本明细'!V195</x:f>
        <x:v>6606.5</x:v>
      </x:c>
      <x:c r="J1227" s="22" t="n">
        <x:f>'参数'!$B$9</x:f>
        <x:v>300</x:v>
      </x:c>
      <x:c r="K1227" s="26" t="n">
        <x:f>J1227*(G1227-H1227)-I1227*ROUNDUP(J1227/F1227,0)</x:f>
        <x:v>-559729.6882523333</x:v>
      </x:c>
      <x:c r="L1227" s="10" t="str">
        <x:f>IF(G1227-H1227&lt;=0,"未回本",IF(ROUNDUP(I1227/(G1227-H1227),0)&gt;MIN(F1227,J1227),"未回本",MAX(1,ROUNDUP(I1227/(G1227-H1227),0))))</x:f>
        <x:v>未回本</x:v>
      </x:c>
    </x:row>
    <x:row r="1228" ht="22" customHeight="1">
      <x:c r="A1228" s="11" t="str">
        <x:v>lade_0826_20aoi</x:v>
      </x:c>
      <x:c r="B1228" s="10" t="n">
        <x:v>20</x:v>
      </x:c>
      <x:c r="C1228" s="10" t="n">
        <x:v>42</x:v>
      </x:c>
      <x:c r="D1228" s="10" t="str">
        <x:v>M1 / M3</x:v>
      </x:c>
      <x:c r="E1228" s="16" t="n">
        <x:v>3</x:v>
      </x:c>
      <x:c r="F1228" s="14" t="n">
        <x:v>50</x:v>
      </x:c>
      <x:c r="G1228" s="26" t="n">
        <x:f>'成本明细'!U186+'成本明细'!G186*(E1228-'参数'!$B$6)</x:f>
        <x:v>2963.8283786111115</x:v>
      </x:c>
      <x:c r="H1228" s="26" t="n">
        <x:f>'成本明细'!U192</x:f>
        <x:v>3735.6418420544446</x:v>
      </x:c>
      <x:c r="I1228" s="26" t="n">
        <x:f>'成本明细'!V192</x:f>
        <x:v>6606.5</x:v>
      </x:c>
      <x:c r="J1228" s="22" t="n">
        <x:f>'参数'!$B$9</x:f>
        <x:v>300</x:v>
      </x:c>
      <x:c r="K1228" s="26" t="n">
        <x:f>J1228*(G1228-H1228)-I1228*ROUNDUP(J1228/F1228,0)</x:f>
        <x:v>-271183.03903299995</x:v>
      </x:c>
      <x:c r="L1228" s="10" t="str">
        <x:f>IF(G1228-H1228&lt;=0,"未回本",IF(ROUNDUP(I1228/(G1228-H1228),0)&gt;MIN(F1228,J1228),"未回本",MAX(1,ROUNDUP(I1228/(G1228-H1228),0))))</x:f>
        <x:v>未回本</x:v>
      </x:c>
    </x:row>
    <x:row r="1229" ht="22" customHeight="1">
      <x:c r="A1229" s="11" t="str">
        <x:v>lade_0826_20aoi</x:v>
      </x:c>
      <x:c r="B1229" s="10" t="n">
        <x:v>20</x:v>
      </x:c>
      <x:c r="C1229" s="10" t="n">
        <x:v>42</x:v>
      </x:c>
      <x:c r="D1229" s="10" t="str">
        <x:v>M2 / M4</x:v>
      </x:c>
      <x:c r="E1229" s="16" t="n">
        <x:v>3</x:v>
      </x:c>
      <x:c r="F1229" s="14" t="n">
        <x:v>50</x:v>
      </x:c>
      <x:c r="G1229" s="26" t="n">
        <x:f>'成本明细'!U189+'成本明细'!G189*(E1229-'参数'!$B$6)</x:f>
        <x:v>2714.079181026667</x:v>
      </x:c>
      <x:c r="H1229" s="26" t="n">
        <x:f>'成本明细'!U195</x:f>
        <x:v>4359.628141867778</x:v>
      </x:c>
      <x:c r="I1229" s="26" t="n">
        <x:f>'成本明细'!V195</x:f>
        <x:v>6606.5</x:v>
      </x:c>
      <x:c r="J1229" s="22" t="n">
        <x:f>'参数'!$B$9</x:f>
        <x:v>300</x:v>
      </x:c>
      <x:c r="K1229" s="26" t="n">
        <x:f>J1229*(G1229-H1229)-I1229*ROUNDUP(J1229/F1229,0)</x:f>
        <x:v>-533303.6882523333</x:v>
      </x:c>
      <x:c r="L1229" s="10" t="str">
        <x:f>IF(G1229-H1229&lt;=0,"未回本",IF(ROUNDUP(I1229/(G1229-H1229),0)&gt;MIN(F1229,J1229),"未回本",MAX(1,ROUNDUP(I1229/(G1229-H1229),0))))</x:f>
        <x:v>未回本</x:v>
      </x:c>
    </x:row>
    <x:row r="1230" ht="22" customHeight="1">
      <x:c r="A1230" s="11" t="str">
        <x:v>lade_0826_20aoi</x:v>
      </x:c>
      <x:c r="B1230" s="10" t="n">
        <x:v>20</x:v>
      </x:c>
      <x:c r="C1230" s="10" t="n">
        <x:v>42</x:v>
      </x:c>
      <x:c r="D1230" s="10" t="str">
        <x:v>M1 / M3</x:v>
      </x:c>
      <x:c r="E1230" s="16" t="n">
        <x:v>4</x:v>
      </x:c>
      <x:c r="F1230" s="14" t="n">
        <x:v>10</x:v>
      </x:c>
      <x:c r="G1230" s="26" t="n">
        <x:f>'成本明细'!U186+'成本明细'!G186*(E1230-'参数'!$B$6)</x:f>
        <x:v>3144.8283786111115</x:v>
      </x:c>
      <x:c r="H1230" s="26" t="n">
        <x:f>'成本明细'!U192</x:f>
        <x:v>3735.6418420544446</x:v>
      </x:c>
      <x:c r="I1230" s="26" t="n">
        <x:f>'成本明细'!V192</x:f>
        <x:v>6606.5</x:v>
      </x:c>
      <x:c r="J1230" s="22" t="n">
        <x:f>'参数'!$B$9</x:f>
        <x:v>300</x:v>
      </x:c>
      <x:c r="K1230" s="26" t="n">
        <x:f>J1230*(G1230-H1230)-I1230*ROUNDUP(J1230/F1230,0)</x:f>
        <x:v>-375439.03903299995</x:v>
      </x:c>
      <x:c r="L1230" s="10" t="str">
        <x:f>IF(G1230-H1230&lt;=0,"未回本",IF(ROUNDUP(I1230/(G1230-H1230),0)&gt;MIN(F1230,J1230),"未回本",MAX(1,ROUNDUP(I1230/(G1230-H1230),0))))</x:f>
        <x:v>未回本</x:v>
      </x:c>
    </x:row>
    <x:row r="1231" ht="22" customHeight="1">
      <x:c r="A1231" s="11" t="str">
        <x:v>lade_0826_20aoi</x:v>
      </x:c>
      <x:c r="B1231" s="10" t="n">
        <x:v>20</x:v>
      </x:c>
      <x:c r="C1231" s="10" t="n">
        <x:v>42</x:v>
      </x:c>
      <x:c r="D1231" s="10" t="str">
        <x:v>M2 / M4</x:v>
      </x:c>
      <x:c r="E1231" s="16" t="n">
        <x:v>4</x:v>
      </x:c>
      <x:c r="F1231" s="14" t="n">
        <x:v>10</x:v>
      </x:c>
      <x:c r="G1231" s="26" t="n">
        <x:f>'成本明细'!U189+'成本明细'!G189*(E1231-'参数'!$B$6)</x:f>
        <x:v>2895.079181026667</x:v>
      </x:c>
      <x:c r="H1231" s="26" t="n">
        <x:f>'成本明细'!U195</x:f>
        <x:v>4359.628141867778</x:v>
      </x:c>
      <x:c r="I1231" s="26" t="n">
        <x:f>'成本明细'!V195</x:f>
        <x:v>6606.5</x:v>
      </x:c>
      <x:c r="J1231" s="22" t="n">
        <x:f>'参数'!$B$9</x:f>
        <x:v>300</x:v>
      </x:c>
      <x:c r="K1231" s="26" t="n">
        <x:f>J1231*(G1231-H1231)-I1231*ROUNDUP(J1231/F1231,0)</x:f>
        <x:v>-637559.6882523333</x:v>
      </x:c>
      <x:c r="L1231" s="10" t="str">
        <x:f>IF(G1231-H1231&lt;=0,"未回本",IF(ROUNDUP(I1231/(G1231-H1231),0)&gt;MIN(F1231,J1231),"未回本",MAX(1,ROUNDUP(I1231/(G1231-H1231),0))))</x:f>
        <x:v>未回本</x:v>
      </x:c>
    </x:row>
    <x:row r="1232" ht="22" customHeight="1">
      <x:c r="A1232" s="11" t="str">
        <x:v>lade_0826_20aoi</x:v>
      </x:c>
      <x:c r="B1232" s="10" t="n">
        <x:v>20</x:v>
      </x:c>
      <x:c r="C1232" s="10" t="n">
        <x:v>42</x:v>
      </x:c>
      <x:c r="D1232" s="10" t="str">
        <x:v>M1 / M3</x:v>
      </x:c>
      <x:c r="E1232" s="16" t="n">
        <x:v>4</x:v>
      </x:c>
      <x:c r="F1232" s="14" t="n">
        <x:v>20</x:v>
      </x:c>
      <x:c r="G1232" s="26" t="n">
        <x:f>'成本明细'!U186+'成本明细'!G186*(E1232-'参数'!$B$6)</x:f>
        <x:v>3144.8283786111115</x:v>
      </x:c>
      <x:c r="H1232" s="26" t="n">
        <x:f>'成本明细'!U192</x:f>
        <x:v>3735.6418420544446</x:v>
      </x:c>
      <x:c r="I1232" s="26" t="n">
        <x:f>'成本明细'!V192</x:f>
        <x:v>6606.5</x:v>
      </x:c>
      <x:c r="J1232" s="22" t="n">
        <x:f>'参数'!$B$9</x:f>
        <x:v>300</x:v>
      </x:c>
      <x:c r="K1232" s="26" t="n">
        <x:f>J1232*(G1232-H1232)-I1232*ROUNDUP(J1232/F1232,0)</x:f>
        <x:v>-276341.53903299995</x:v>
      </x:c>
      <x:c r="L1232" s="10" t="str">
        <x:f>IF(G1232-H1232&lt;=0,"未回本",IF(ROUNDUP(I1232/(G1232-H1232),0)&gt;MIN(F1232,J1232),"未回本",MAX(1,ROUNDUP(I1232/(G1232-H1232),0))))</x:f>
        <x:v>未回本</x:v>
      </x:c>
    </x:row>
    <x:row r="1233" ht="22" customHeight="1">
      <x:c r="A1233" s="11" t="str">
        <x:v>lade_0826_20aoi</x:v>
      </x:c>
      <x:c r="B1233" s="10" t="n">
        <x:v>20</x:v>
      </x:c>
      <x:c r="C1233" s="10" t="n">
        <x:v>42</x:v>
      </x:c>
      <x:c r="D1233" s="10" t="str">
        <x:v>M2 / M4</x:v>
      </x:c>
      <x:c r="E1233" s="16" t="n">
        <x:v>4</x:v>
      </x:c>
      <x:c r="F1233" s="14" t="n">
        <x:v>20</x:v>
      </x:c>
      <x:c r="G1233" s="26" t="n">
        <x:f>'成本明细'!U189+'成本明细'!G189*(E1233-'参数'!$B$6)</x:f>
        <x:v>2895.079181026667</x:v>
      </x:c>
      <x:c r="H1233" s="26" t="n">
        <x:f>'成本明细'!U195</x:f>
        <x:v>4359.628141867778</x:v>
      </x:c>
      <x:c r="I1233" s="26" t="n">
        <x:f>'成本明细'!V195</x:f>
        <x:v>6606.5</x:v>
      </x:c>
      <x:c r="J1233" s="22" t="n">
        <x:f>'参数'!$B$9</x:f>
        <x:v>300</x:v>
      </x:c>
      <x:c r="K1233" s="26" t="n">
        <x:f>J1233*(G1233-H1233)-I1233*ROUNDUP(J1233/F1233,0)</x:f>
        <x:v>-538462.1882523333</x:v>
      </x:c>
      <x:c r="L1233" s="10" t="str">
        <x:f>IF(G1233-H1233&lt;=0,"未回本",IF(ROUNDUP(I1233/(G1233-H1233),0)&gt;MIN(F1233,J1233),"未回本",MAX(1,ROUNDUP(I1233/(G1233-H1233),0))))</x:f>
        <x:v>未回本</x:v>
      </x:c>
    </x:row>
    <x:row r="1234" ht="22" customHeight="1">
      <x:c r="A1234" s="11" t="str">
        <x:v>lade_0826_20aoi</x:v>
      </x:c>
      <x:c r="B1234" s="10" t="n">
        <x:v>20</x:v>
      </x:c>
      <x:c r="C1234" s="10" t="n">
        <x:v>42</x:v>
      </x:c>
      <x:c r="D1234" s="10" t="str">
        <x:v>M1 / M3</x:v>
      </x:c>
      <x:c r="E1234" s="16" t="n">
        <x:v>4</x:v>
      </x:c>
      <x:c r="F1234" s="14" t="n">
        <x:v>30</x:v>
      </x:c>
      <x:c r="G1234" s="26" t="n">
        <x:f>'成本明细'!U186+'成本明细'!G186*(E1234-'参数'!$B$6)</x:f>
        <x:v>3144.8283786111115</x:v>
      </x:c>
      <x:c r="H1234" s="26" t="n">
        <x:f>'成本明细'!U192</x:f>
        <x:v>3735.6418420544446</x:v>
      </x:c>
      <x:c r="I1234" s="26" t="n">
        <x:f>'成本明细'!V192</x:f>
        <x:v>6606.5</x:v>
      </x:c>
      <x:c r="J1234" s="22" t="n">
        <x:f>'参数'!$B$9</x:f>
        <x:v>300</x:v>
      </x:c>
      <x:c r="K1234" s="26" t="n">
        <x:f>J1234*(G1234-H1234)-I1234*ROUNDUP(J1234/F1234,0)</x:f>
        <x:v>-243309.03903299995</x:v>
      </x:c>
      <x:c r="L1234" s="10" t="str">
        <x:f>IF(G1234-H1234&lt;=0,"未回本",IF(ROUNDUP(I1234/(G1234-H1234),0)&gt;MIN(F1234,J1234),"未回本",MAX(1,ROUNDUP(I1234/(G1234-H1234),0))))</x:f>
        <x:v>未回本</x:v>
      </x:c>
    </x:row>
    <x:row r="1235" ht="22" customHeight="1">
      <x:c r="A1235" s="11" t="str">
        <x:v>lade_0826_20aoi</x:v>
      </x:c>
      <x:c r="B1235" s="10" t="n">
        <x:v>20</x:v>
      </x:c>
      <x:c r="C1235" s="10" t="n">
        <x:v>42</x:v>
      </x:c>
      <x:c r="D1235" s="10" t="str">
        <x:v>M2 / M4</x:v>
      </x:c>
      <x:c r="E1235" s="16" t="n">
        <x:v>4</x:v>
      </x:c>
      <x:c r="F1235" s="14" t="n">
        <x:v>30</x:v>
      </x:c>
      <x:c r="G1235" s="26" t="n">
        <x:f>'成本明细'!U189+'成本明细'!G189*(E1235-'参数'!$B$6)</x:f>
        <x:v>2895.079181026667</x:v>
      </x:c>
      <x:c r="H1235" s="26" t="n">
        <x:f>'成本明细'!U195</x:f>
        <x:v>4359.628141867778</x:v>
      </x:c>
      <x:c r="I1235" s="26" t="n">
        <x:f>'成本明细'!V195</x:f>
        <x:v>6606.5</x:v>
      </x:c>
      <x:c r="J1235" s="22" t="n">
        <x:f>'参数'!$B$9</x:f>
        <x:v>300</x:v>
      </x:c>
      <x:c r="K1235" s="26" t="n">
        <x:f>J1235*(G1235-H1235)-I1235*ROUNDUP(J1235/F1235,0)</x:f>
        <x:v>-505429.6882523334</x:v>
      </x:c>
      <x:c r="L1235" s="10" t="str">
        <x:f>IF(G1235-H1235&lt;=0,"未回本",IF(ROUNDUP(I1235/(G1235-H1235),0)&gt;MIN(F1235,J1235),"未回本",MAX(1,ROUNDUP(I1235/(G1235-H1235),0))))</x:f>
        <x:v>未回本</x:v>
      </x:c>
    </x:row>
    <x:row r="1236" ht="22" customHeight="1">
      <x:c r="A1236" s="11" t="str">
        <x:v>lade_0826_20aoi</x:v>
      </x:c>
      <x:c r="B1236" s="10" t="n">
        <x:v>20</x:v>
      </x:c>
      <x:c r="C1236" s="10" t="n">
        <x:v>42</x:v>
      </x:c>
      <x:c r="D1236" s="10" t="str">
        <x:v>M1 / M3</x:v>
      </x:c>
      <x:c r="E1236" s="16" t="n">
        <x:v>4</x:v>
      </x:c>
      <x:c r="F1236" s="14" t="n">
        <x:v>50</x:v>
      </x:c>
      <x:c r="G1236" s="26" t="n">
        <x:f>'成本明细'!U186+'成本明细'!G186*(E1236-'参数'!$B$6)</x:f>
        <x:v>3144.8283786111115</x:v>
      </x:c>
      <x:c r="H1236" s="26" t="n">
        <x:f>'成本明细'!U192</x:f>
        <x:v>3735.6418420544446</x:v>
      </x:c>
      <x:c r="I1236" s="26" t="n">
        <x:f>'成本明细'!V192</x:f>
        <x:v>6606.5</x:v>
      </x:c>
      <x:c r="J1236" s="22" t="n">
        <x:f>'参数'!$B$9</x:f>
        <x:v>300</x:v>
      </x:c>
      <x:c r="K1236" s="26" t="n">
        <x:f>J1236*(G1236-H1236)-I1236*ROUNDUP(J1236/F1236,0)</x:f>
        <x:v>-216883.03903299995</x:v>
      </x:c>
      <x:c r="L1236" s="10" t="str">
        <x:f>IF(G1236-H1236&lt;=0,"未回本",IF(ROUNDUP(I1236/(G1236-H1236),0)&gt;MIN(F1236,J1236),"未回本",MAX(1,ROUNDUP(I1236/(G1236-H1236),0))))</x:f>
        <x:v>未回本</x:v>
      </x:c>
    </x:row>
    <x:row r="1237" ht="22" customHeight="1">
      <x:c r="A1237" s="11" t="str">
        <x:v>lade_0826_20aoi</x:v>
      </x:c>
      <x:c r="B1237" s="10" t="n">
        <x:v>20</x:v>
      </x:c>
      <x:c r="C1237" s="10" t="n">
        <x:v>42</x:v>
      </x:c>
      <x:c r="D1237" s="10" t="str">
        <x:v>M2 / M4</x:v>
      </x:c>
      <x:c r="E1237" s="16" t="n">
        <x:v>4</x:v>
      </x:c>
      <x:c r="F1237" s="14" t="n">
        <x:v>50</x:v>
      </x:c>
      <x:c r="G1237" s="26" t="n">
        <x:f>'成本明细'!U189+'成本明细'!G189*(E1237-'参数'!$B$6)</x:f>
        <x:v>2895.079181026667</x:v>
      </x:c>
      <x:c r="H1237" s="26" t="n">
        <x:f>'成本明细'!U195</x:f>
        <x:v>4359.628141867778</x:v>
      </x:c>
      <x:c r="I1237" s="26" t="n">
        <x:f>'成本明细'!V195</x:f>
        <x:v>6606.5</x:v>
      </x:c>
      <x:c r="J1237" s="22" t="n">
        <x:f>'参数'!$B$9</x:f>
        <x:v>300</x:v>
      </x:c>
      <x:c r="K1237" s="26" t="n">
        <x:f>J1237*(G1237-H1237)-I1237*ROUNDUP(J1237/F1237,0)</x:f>
        <x:v>-479003.6882523334</x:v>
      </x:c>
      <x:c r="L1237" s="10" t="str">
        <x:f>IF(G1237-H1237&lt;=0,"未回本",IF(ROUNDUP(I1237/(G1237-H1237),0)&gt;MIN(F1237,J1237),"未回本",MAX(1,ROUNDUP(I1237/(G1237-H1237),0))))</x:f>
        <x:v>未回本</x:v>
      </x:c>
    </x:row>
    <x:row r="1238" ht="22" customHeight="1">
      <x:c r="A1238" s="11" t="str">
        <x:v>lade_0826_20aoi</x:v>
      </x:c>
      <x:c r="B1238" s="10" t="n">
        <x:v>20</x:v>
      </x:c>
      <x:c r="C1238" s="10" t="n">
        <x:v>42</x:v>
      </x:c>
      <x:c r="D1238" s="10" t="str">
        <x:v>M1 / M3</x:v>
      </x:c>
      <x:c r="E1238" s="16" t="n">
        <x:v>5</x:v>
      </x:c>
      <x:c r="F1238" s="14" t="n">
        <x:v>10</x:v>
      </x:c>
      <x:c r="G1238" s="26" t="n">
        <x:f>'成本明细'!U186+'成本明细'!G186*(E1238-'参数'!$B$6)</x:f>
        <x:v>3325.8283786111115</x:v>
      </x:c>
      <x:c r="H1238" s="26" t="n">
        <x:f>'成本明细'!U192</x:f>
        <x:v>3735.6418420544446</x:v>
      </x:c>
      <x:c r="I1238" s="26" t="n">
        <x:f>'成本明细'!V192</x:f>
        <x:v>6606.5</x:v>
      </x:c>
      <x:c r="J1238" s="22" t="n">
        <x:f>'参数'!$B$9</x:f>
        <x:v>300</x:v>
      </x:c>
      <x:c r="K1238" s="26" t="n">
        <x:f>J1238*(G1238-H1238)-I1238*ROUNDUP(J1238/F1238,0)</x:f>
        <x:v>-321139.03903299995</x:v>
      </x:c>
      <x:c r="L1238" s="10" t="str">
        <x:f>IF(G1238-H1238&lt;=0,"未回本",IF(ROUNDUP(I1238/(G1238-H1238),0)&gt;MIN(F1238,J1238),"未回本",MAX(1,ROUNDUP(I1238/(G1238-H1238),0))))</x:f>
        <x:v>未回本</x:v>
      </x:c>
    </x:row>
    <x:row r="1239" ht="22" customHeight="1">
      <x:c r="A1239" s="11" t="str">
        <x:v>lade_0826_20aoi</x:v>
      </x:c>
      <x:c r="B1239" s="10" t="n">
        <x:v>20</x:v>
      </x:c>
      <x:c r="C1239" s="10" t="n">
        <x:v>42</x:v>
      </x:c>
      <x:c r="D1239" s="10" t="str">
        <x:v>M2 / M4</x:v>
      </x:c>
      <x:c r="E1239" s="16" t="n">
        <x:v>5</x:v>
      </x:c>
      <x:c r="F1239" s="14" t="n">
        <x:v>10</x:v>
      </x:c>
      <x:c r="G1239" s="26" t="n">
        <x:f>'成本明细'!U189+'成本明细'!G189*(E1239-'参数'!$B$6)</x:f>
        <x:v>3076.079181026667</x:v>
      </x:c>
      <x:c r="H1239" s="26" t="n">
        <x:f>'成本明细'!U195</x:f>
        <x:v>4359.628141867778</x:v>
      </x:c>
      <x:c r="I1239" s="26" t="n">
        <x:f>'成本明细'!V195</x:f>
        <x:v>6606.5</x:v>
      </x:c>
      <x:c r="J1239" s="22" t="n">
        <x:f>'参数'!$B$9</x:f>
        <x:v>300</x:v>
      </x:c>
      <x:c r="K1239" s="26" t="n">
        <x:f>J1239*(G1239-H1239)-I1239*ROUNDUP(J1239/F1239,0)</x:f>
        <x:v>-583259.6882523333</x:v>
      </x:c>
      <x:c r="L1239" s="10" t="str">
        <x:f>IF(G1239-H1239&lt;=0,"未回本",IF(ROUNDUP(I1239/(G1239-H1239),0)&gt;MIN(F1239,J1239),"未回本",MAX(1,ROUNDUP(I1239/(G1239-H1239),0))))</x:f>
        <x:v>未回本</x:v>
      </x:c>
    </x:row>
    <x:row r="1240" ht="22" customHeight="1">
      <x:c r="A1240" s="11" t="str">
        <x:v>lade_0826_20aoi</x:v>
      </x:c>
      <x:c r="B1240" s="10" t="n">
        <x:v>20</x:v>
      </x:c>
      <x:c r="C1240" s="10" t="n">
        <x:v>42</x:v>
      </x:c>
      <x:c r="D1240" s="10" t="str">
        <x:v>M1 / M3</x:v>
      </x:c>
      <x:c r="E1240" s="16" t="n">
        <x:v>5</x:v>
      </x:c>
      <x:c r="F1240" s="14" t="n">
        <x:v>20</x:v>
      </x:c>
      <x:c r="G1240" s="26" t="n">
        <x:f>'成本明细'!U186+'成本明细'!G186*(E1240-'参数'!$B$6)</x:f>
        <x:v>3325.8283786111115</x:v>
      </x:c>
      <x:c r="H1240" s="26" t="n">
        <x:f>'成本明细'!U192</x:f>
        <x:v>3735.6418420544446</x:v>
      </x:c>
      <x:c r="I1240" s="26" t="n">
        <x:f>'成本明细'!V192</x:f>
        <x:v>6606.5</x:v>
      </x:c>
      <x:c r="J1240" s="22" t="n">
        <x:f>'参数'!$B$9</x:f>
        <x:v>300</x:v>
      </x:c>
      <x:c r="K1240" s="26" t="n">
        <x:f>J1240*(G1240-H1240)-I1240*ROUNDUP(J1240/F1240,0)</x:f>
        <x:v>-222041.53903299995</x:v>
      </x:c>
      <x:c r="L1240" s="10" t="str">
        <x:f>IF(G1240-H1240&lt;=0,"未回本",IF(ROUNDUP(I1240/(G1240-H1240),0)&gt;MIN(F1240,J1240),"未回本",MAX(1,ROUNDUP(I1240/(G1240-H1240),0))))</x:f>
        <x:v>未回本</x:v>
      </x:c>
    </x:row>
    <x:row r="1241" ht="22" customHeight="1">
      <x:c r="A1241" s="11" t="str">
        <x:v>lade_0826_20aoi</x:v>
      </x:c>
      <x:c r="B1241" s="10" t="n">
        <x:v>20</x:v>
      </x:c>
      <x:c r="C1241" s="10" t="n">
        <x:v>42</x:v>
      </x:c>
      <x:c r="D1241" s="10" t="str">
        <x:v>M2 / M4</x:v>
      </x:c>
      <x:c r="E1241" s="16" t="n">
        <x:v>5</x:v>
      </x:c>
      <x:c r="F1241" s="14" t="n">
        <x:v>20</x:v>
      </x:c>
      <x:c r="G1241" s="26" t="n">
        <x:f>'成本明细'!U189+'成本明细'!G189*(E1241-'参数'!$B$6)</x:f>
        <x:v>3076.079181026667</x:v>
      </x:c>
      <x:c r="H1241" s="26" t="n">
        <x:f>'成本明细'!U195</x:f>
        <x:v>4359.628141867778</x:v>
      </x:c>
      <x:c r="I1241" s="26" t="n">
        <x:f>'成本明细'!V195</x:f>
        <x:v>6606.5</x:v>
      </x:c>
      <x:c r="J1241" s="22" t="n">
        <x:f>'参数'!$B$9</x:f>
        <x:v>300</x:v>
      </x:c>
      <x:c r="K1241" s="26" t="n">
        <x:f>J1241*(G1241-H1241)-I1241*ROUNDUP(J1241/F1241,0)</x:f>
        <x:v>-484162.1882523334</x:v>
      </x:c>
      <x:c r="L1241" s="10" t="str">
        <x:f>IF(G1241-H1241&lt;=0,"未回本",IF(ROUNDUP(I1241/(G1241-H1241),0)&gt;MIN(F1241,J1241),"未回本",MAX(1,ROUNDUP(I1241/(G1241-H1241),0))))</x:f>
        <x:v>未回本</x:v>
      </x:c>
    </x:row>
    <x:row r="1242" ht="22" customHeight="1">
      <x:c r="A1242" s="11" t="str">
        <x:v>lade_0826_20aoi</x:v>
      </x:c>
      <x:c r="B1242" s="10" t="n">
        <x:v>20</x:v>
      </x:c>
      <x:c r="C1242" s="10" t="n">
        <x:v>42</x:v>
      </x:c>
      <x:c r="D1242" s="10" t="str">
        <x:v>M1 / M3</x:v>
      </x:c>
      <x:c r="E1242" s="16" t="n">
        <x:v>5</x:v>
      </x:c>
      <x:c r="F1242" s="14" t="n">
        <x:v>30</x:v>
      </x:c>
      <x:c r="G1242" s="26" t="n">
        <x:f>'成本明细'!U186+'成本明细'!G186*(E1242-'参数'!$B$6)</x:f>
        <x:v>3325.8283786111115</x:v>
      </x:c>
      <x:c r="H1242" s="26" t="n">
        <x:f>'成本明细'!U192</x:f>
        <x:v>3735.6418420544446</x:v>
      </x:c>
      <x:c r="I1242" s="26" t="n">
        <x:f>'成本明细'!V192</x:f>
        <x:v>6606.5</x:v>
      </x:c>
      <x:c r="J1242" s="22" t="n">
        <x:f>'参数'!$B$9</x:f>
        <x:v>300</x:v>
      </x:c>
      <x:c r="K1242" s="26" t="n">
        <x:f>J1242*(G1242-H1242)-I1242*ROUNDUP(J1242/F1242,0)</x:f>
        <x:v>-189009.03903299995</x:v>
      </x:c>
      <x:c r="L1242" s="10" t="str">
        <x:f>IF(G1242-H1242&lt;=0,"未回本",IF(ROUNDUP(I1242/(G1242-H1242),0)&gt;MIN(F1242,J1242),"未回本",MAX(1,ROUNDUP(I1242/(G1242-H1242),0))))</x:f>
        <x:v>未回本</x:v>
      </x:c>
    </x:row>
    <x:row r="1243" ht="22" customHeight="1">
      <x:c r="A1243" s="11" t="str">
        <x:v>lade_0826_20aoi</x:v>
      </x:c>
      <x:c r="B1243" s="10" t="n">
        <x:v>20</x:v>
      </x:c>
      <x:c r="C1243" s="10" t="n">
        <x:v>42</x:v>
      </x:c>
      <x:c r="D1243" s="10" t="str">
        <x:v>M2 / M4</x:v>
      </x:c>
      <x:c r="E1243" s="16" t="n">
        <x:v>5</x:v>
      </x:c>
      <x:c r="F1243" s="14" t="n">
        <x:v>30</x:v>
      </x:c>
      <x:c r="G1243" s="26" t="n">
        <x:f>'成本明细'!U189+'成本明细'!G189*(E1243-'参数'!$B$6)</x:f>
        <x:v>3076.079181026667</x:v>
      </x:c>
      <x:c r="H1243" s="26" t="n">
        <x:f>'成本明细'!U195</x:f>
        <x:v>4359.628141867778</x:v>
      </x:c>
      <x:c r="I1243" s="26" t="n">
        <x:f>'成本明细'!V195</x:f>
        <x:v>6606.5</x:v>
      </x:c>
      <x:c r="J1243" s="22" t="n">
        <x:f>'参数'!$B$9</x:f>
        <x:v>300</x:v>
      </x:c>
      <x:c r="K1243" s="26" t="n">
        <x:f>J1243*(G1243-H1243)-I1243*ROUNDUP(J1243/F1243,0)</x:f>
        <x:v>-451129.6882523334</x:v>
      </x:c>
      <x:c r="L1243" s="10" t="str">
        <x:f>IF(G1243-H1243&lt;=0,"未回本",IF(ROUNDUP(I1243/(G1243-H1243),0)&gt;MIN(F1243,J1243),"未回本",MAX(1,ROUNDUP(I1243/(G1243-H1243),0))))</x:f>
        <x:v>未回本</x:v>
      </x:c>
    </x:row>
    <x:row r="1244" ht="22" customHeight="1">
      <x:c r="A1244" s="11" t="str">
        <x:v>lade_0826_20aoi</x:v>
      </x:c>
      <x:c r="B1244" s="10" t="n">
        <x:v>20</x:v>
      </x:c>
      <x:c r="C1244" s="10" t="n">
        <x:v>42</x:v>
      </x:c>
      <x:c r="D1244" s="10" t="str">
        <x:v>M1 / M3</x:v>
      </x:c>
      <x:c r="E1244" s="16" t="n">
        <x:v>5</x:v>
      </x:c>
      <x:c r="F1244" s="14" t="n">
        <x:v>50</x:v>
      </x:c>
      <x:c r="G1244" s="26" t="n">
        <x:f>'成本明细'!U186+'成本明细'!G186*(E1244-'参数'!$B$6)</x:f>
        <x:v>3325.8283786111115</x:v>
      </x:c>
      <x:c r="H1244" s="26" t="n">
        <x:f>'成本明细'!U192</x:f>
        <x:v>3735.6418420544446</x:v>
      </x:c>
      <x:c r="I1244" s="26" t="n">
        <x:f>'成本明细'!V192</x:f>
        <x:v>6606.5</x:v>
      </x:c>
      <x:c r="J1244" s="22" t="n">
        <x:f>'参数'!$B$9</x:f>
        <x:v>300</x:v>
      </x:c>
      <x:c r="K1244" s="26" t="n">
        <x:f>J1244*(G1244-H1244)-I1244*ROUNDUP(J1244/F1244,0)</x:f>
        <x:v>-162583.03903299995</x:v>
      </x:c>
      <x:c r="L1244" s="10" t="str">
        <x:f>IF(G1244-H1244&lt;=0,"未回本",IF(ROUNDUP(I1244/(G1244-H1244),0)&gt;MIN(F1244,J1244),"未回本",MAX(1,ROUNDUP(I1244/(G1244-H1244),0))))</x:f>
        <x:v>未回本</x:v>
      </x:c>
    </x:row>
    <x:row r="1245" ht="22" customHeight="1">
      <x:c r="A1245" s="11" t="str">
        <x:v>lade_0826_20aoi</x:v>
      </x:c>
      <x:c r="B1245" s="10" t="n">
        <x:v>20</x:v>
      </x:c>
      <x:c r="C1245" s="10" t="n">
        <x:v>42</x:v>
      </x:c>
      <x:c r="D1245" s="10" t="str">
        <x:v>M2 / M4</x:v>
      </x:c>
      <x:c r="E1245" s="16" t="n">
        <x:v>5</x:v>
      </x:c>
      <x:c r="F1245" s="14" t="n">
        <x:v>50</x:v>
      </x:c>
      <x:c r="G1245" s="26" t="n">
        <x:f>'成本明细'!U189+'成本明细'!G189*(E1245-'参数'!$B$6)</x:f>
        <x:v>3076.079181026667</x:v>
      </x:c>
      <x:c r="H1245" s="26" t="n">
        <x:f>'成本明细'!U195</x:f>
        <x:v>4359.628141867778</x:v>
      </x:c>
      <x:c r="I1245" s="26" t="n">
        <x:f>'成本明细'!V195</x:f>
        <x:v>6606.5</x:v>
      </x:c>
      <x:c r="J1245" s="22" t="n">
        <x:f>'参数'!$B$9</x:f>
        <x:v>300</x:v>
      </x:c>
      <x:c r="K1245" s="26" t="n">
        <x:f>J1245*(G1245-H1245)-I1245*ROUNDUP(J1245/F1245,0)</x:f>
        <x:v>-424703.6882523334</x:v>
      </x:c>
      <x:c r="L1245" s="10" t="str">
        <x:f>IF(G1245-H1245&lt;=0,"未回本",IF(ROUNDUP(I1245/(G1245-H1245),0)&gt;MIN(F1245,J1245),"未回本",MAX(1,ROUNDUP(I1245/(G1245-H1245),0))))</x:f>
        <x:v>未回本</x:v>
      </x:c>
    </x:row>
    <x:row r="1246" ht="22" customHeight="1">
      <x:c r="A1246" s="11" t="str">
        <x:v>lade_0826_20aoi</x:v>
      </x:c>
      <x:c r="B1246" s="10" t="n">
        <x:v>20</x:v>
      </x:c>
      <x:c r="C1246" s="10" t="n">
        <x:v>43</x:v>
      </x:c>
      <x:c r="D1246" s="10" t="str">
        <x:v>M1 / M3</x:v>
      </x:c>
      <x:c r="E1246" s="16" t="n">
        <x:v>1</x:v>
      </x:c>
      <x:c r="F1246" s="14" t="n">
        <x:v>10</x:v>
      </x:c>
      <x:c r="G1246" s="26" t="n">
        <x:f>'成本明细'!U187+'成本明细'!G187*(E1246-'参数'!$B$6)</x:f>
        <x:v>2601.8283786111115</x:v>
      </x:c>
      <x:c r="H1246" s="26" t="n">
        <x:f>'成本明细'!U193</x:f>
        <x:v>3735.6418420544446</x:v>
      </x:c>
      <x:c r="I1246" s="26" t="n">
        <x:f>'成本明细'!V193</x:f>
        <x:v>6606.5</x:v>
      </x:c>
      <x:c r="J1246" s="22" t="n">
        <x:f>'参数'!$B$9</x:f>
        <x:v>300</x:v>
      </x:c>
      <x:c r="K1246" s="26" t="n">
        <x:f>J1246*(G1246-H1246)-I1246*ROUNDUP(J1246/F1246,0)</x:f>
        <x:v>-538339.0390329999</x:v>
      </x:c>
      <x:c r="L1246" s="10" t="str">
        <x:f>IF(G1246-H1246&lt;=0,"未回本",IF(ROUNDUP(I1246/(G1246-H1246),0)&gt;MIN(F1246,J1246),"未回本",MAX(1,ROUNDUP(I1246/(G1246-H1246),0))))</x:f>
        <x:v>未回本</x:v>
      </x:c>
    </x:row>
    <x:row r="1247" ht="22" customHeight="1">
      <x:c r="A1247" s="11" t="str">
        <x:v>lade_0826_20aoi</x:v>
      </x:c>
      <x:c r="B1247" s="10" t="n">
        <x:v>20</x:v>
      </x:c>
      <x:c r="C1247" s="10" t="n">
        <x:v>43</x:v>
      </x:c>
      <x:c r="D1247" s="10" t="str">
        <x:v>M2 / M4</x:v>
      </x:c>
      <x:c r="E1247" s="16" t="n">
        <x:v>1</x:v>
      </x:c>
      <x:c r="F1247" s="14" t="n">
        <x:v>10</x:v>
      </x:c>
      <x:c r="G1247" s="26" t="n">
        <x:f>'成本明细'!U190+'成本明细'!G190*(E1247-'参数'!$B$6)</x:f>
        <x:v>2352.2248830494445</x:v>
      </x:c>
      <x:c r="H1247" s="26" t="n">
        <x:f>'成本明细'!U196</x:f>
        <x:v>3286.30136602</x:v>
      </x:c>
      <x:c r="I1247" s="26" t="n">
        <x:f>'成本明细'!V196</x:f>
        <x:v>6606.5</x:v>
      </x:c>
      <x:c r="J1247" s="22" t="n">
        <x:f>'参数'!$B$9</x:f>
        <x:v>300</x:v>
      </x:c>
      <x:c r="K1247" s="26" t="n">
        <x:f>J1247*(G1247-H1247)-I1247*ROUNDUP(J1247/F1247,0)</x:f>
        <x:v>-478417.94489116664</x:v>
      </x:c>
      <x:c r="L1247" s="10" t="str">
        <x:f>IF(G1247-H1247&lt;=0,"未回本",IF(ROUNDUP(I1247/(G1247-H1247),0)&gt;MIN(F1247,J1247),"未回本",MAX(1,ROUNDUP(I1247/(G1247-H1247),0))))</x:f>
        <x:v>未回本</x:v>
      </x:c>
    </x:row>
    <x:row r="1248" ht="22" customHeight="1">
      <x:c r="A1248" s="11" t="str">
        <x:v>lade_0826_20aoi</x:v>
      </x:c>
      <x:c r="B1248" s="10" t="n">
        <x:v>20</x:v>
      </x:c>
      <x:c r="C1248" s="10" t="n">
        <x:v>43</x:v>
      </x:c>
      <x:c r="D1248" s="10" t="str">
        <x:v>M1 / M3</x:v>
      </x:c>
      <x:c r="E1248" s="16" t="n">
        <x:v>1</x:v>
      </x:c>
      <x:c r="F1248" s="14" t="n">
        <x:v>20</x:v>
      </x:c>
      <x:c r="G1248" s="26" t="n">
        <x:f>'成本明细'!U187+'成本明细'!G187*(E1248-'参数'!$B$6)</x:f>
        <x:v>2601.8283786111115</x:v>
      </x:c>
      <x:c r="H1248" s="26" t="n">
        <x:f>'成本明细'!U193</x:f>
        <x:v>3735.6418420544446</x:v>
      </x:c>
      <x:c r="I1248" s="26" t="n">
        <x:f>'成本明细'!V193</x:f>
        <x:v>6606.5</x:v>
      </x:c>
      <x:c r="J1248" s="22" t="n">
        <x:f>'参数'!$B$9</x:f>
        <x:v>300</x:v>
      </x:c>
      <x:c r="K1248" s="26" t="n">
        <x:f>J1248*(G1248-H1248)-I1248*ROUNDUP(J1248/F1248,0)</x:f>
        <x:v>-439241.53903299995</x:v>
      </x:c>
      <x:c r="L1248" s="10" t="str">
        <x:f>IF(G1248-H1248&lt;=0,"未回本",IF(ROUNDUP(I1248/(G1248-H1248),0)&gt;MIN(F1248,J1248),"未回本",MAX(1,ROUNDUP(I1248/(G1248-H1248),0))))</x:f>
        <x:v>未回本</x:v>
      </x:c>
    </x:row>
    <x:row r="1249" ht="22" customHeight="1">
      <x:c r="A1249" s="11" t="str">
        <x:v>lade_0826_20aoi</x:v>
      </x:c>
      <x:c r="B1249" s="10" t="n">
        <x:v>20</x:v>
      </x:c>
      <x:c r="C1249" s="10" t="n">
        <x:v>43</x:v>
      </x:c>
      <x:c r="D1249" s="10" t="str">
        <x:v>M2 / M4</x:v>
      </x:c>
      <x:c r="E1249" s="16" t="n">
        <x:v>1</x:v>
      </x:c>
      <x:c r="F1249" s="14" t="n">
        <x:v>20</x:v>
      </x:c>
      <x:c r="G1249" s="26" t="n">
        <x:f>'成本明细'!U190+'成本明细'!G190*(E1249-'参数'!$B$6)</x:f>
        <x:v>2352.2248830494445</x:v>
      </x:c>
      <x:c r="H1249" s="26" t="n">
        <x:f>'成本明细'!U196</x:f>
        <x:v>3286.30136602</x:v>
      </x:c>
      <x:c r="I1249" s="26" t="n">
        <x:f>'成本明细'!V196</x:f>
        <x:v>6606.5</x:v>
      </x:c>
      <x:c r="J1249" s="22" t="n">
        <x:f>'参数'!$B$9</x:f>
        <x:v>300</x:v>
      </x:c>
      <x:c r="K1249" s="26" t="n">
        <x:f>J1249*(G1249-H1249)-I1249*ROUNDUP(J1249/F1249,0)</x:f>
        <x:v>-379320.44489116664</x:v>
      </x:c>
      <x:c r="L1249" s="10" t="str">
        <x:f>IF(G1249-H1249&lt;=0,"未回本",IF(ROUNDUP(I1249/(G1249-H1249),0)&gt;MIN(F1249,J1249),"未回本",MAX(1,ROUNDUP(I1249/(G1249-H1249),0))))</x:f>
        <x:v>未回本</x:v>
      </x:c>
    </x:row>
    <x:row r="1250" ht="22" customHeight="1">
      <x:c r="A1250" s="11" t="str">
        <x:v>lade_0826_20aoi</x:v>
      </x:c>
      <x:c r="B1250" s="10" t="n">
        <x:v>20</x:v>
      </x:c>
      <x:c r="C1250" s="10" t="n">
        <x:v>43</x:v>
      </x:c>
      <x:c r="D1250" s="10" t="str">
        <x:v>M1 / M3</x:v>
      </x:c>
      <x:c r="E1250" s="16" t="n">
        <x:v>1</x:v>
      </x:c>
      <x:c r="F1250" s="14" t="n">
        <x:v>30</x:v>
      </x:c>
      <x:c r="G1250" s="26" t="n">
        <x:f>'成本明细'!U187+'成本明细'!G187*(E1250-'参数'!$B$6)</x:f>
        <x:v>2601.8283786111115</x:v>
      </x:c>
      <x:c r="H1250" s="26" t="n">
        <x:f>'成本明细'!U193</x:f>
        <x:v>3735.6418420544446</x:v>
      </x:c>
      <x:c r="I1250" s="26" t="n">
        <x:f>'成本明细'!V193</x:f>
        <x:v>6606.5</x:v>
      </x:c>
      <x:c r="J1250" s="22" t="n">
        <x:f>'参数'!$B$9</x:f>
        <x:v>300</x:v>
      </x:c>
      <x:c r="K1250" s="26" t="n">
        <x:f>J1250*(G1250-H1250)-I1250*ROUNDUP(J1250/F1250,0)</x:f>
        <x:v>-406209.03903299995</x:v>
      </x:c>
      <x:c r="L1250" s="10" t="str">
        <x:f>IF(G1250-H1250&lt;=0,"未回本",IF(ROUNDUP(I1250/(G1250-H1250),0)&gt;MIN(F1250,J1250),"未回本",MAX(1,ROUNDUP(I1250/(G1250-H1250),0))))</x:f>
        <x:v>未回本</x:v>
      </x:c>
    </x:row>
    <x:row r="1251" ht="22" customHeight="1">
      <x:c r="A1251" s="11" t="str">
        <x:v>lade_0826_20aoi</x:v>
      </x:c>
      <x:c r="B1251" s="10" t="n">
        <x:v>20</x:v>
      </x:c>
      <x:c r="C1251" s="10" t="n">
        <x:v>43</x:v>
      </x:c>
      <x:c r="D1251" s="10" t="str">
        <x:v>M2 / M4</x:v>
      </x:c>
      <x:c r="E1251" s="16" t="n">
        <x:v>1</x:v>
      </x:c>
      <x:c r="F1251" s="14" t="n">
        <x:v>30</x:v>
      </x:c>
      <x:c r="G1251" s="26" t="n">
        <x:f>'成本明细'!U190+'成本明细'!G190*(E1251-'参数'!$B$6)</x:f>
        <x:v>2352.2248830494445</x:v>
      </x:c>
      <x:c r="H1251" s="26" t="n">
        <x:f>'成本明细'!U196</x:f>
        <x:v>3286.30136602</x:v>
      </x:c>
      <x:c r="I1251" s="26" t="n">
        <x:f>'成本明细'!V196</x:f>
        <x:v>6606.5</x:v>
      </x:c>
      <x:c r="J1251" s="22" t="n">
        <x:f>'参数'!$B$9</x:f>
        <x:v>300</x:v>
      </x:c>
      <x:c r="K1251" s="26" t="n">
        <x:f>J1251*(G1251-H1251)-I1251*ROUNDUP(J1251/F1251,0)</x:f>
        <x:v>-346287.94489116664</x:v>
      </x:c>
      <x:c r="L1251" s="10" t="str">
        <x:f>IF(G1251-H1251&lt;=0,"未回本",IF(ROUNDUP(I1251/(G1251-H1251),0)&gt;MIN(F1251,J1251),"未回本",MAX(1,ROUNDUP(I1251/(G1251-H1251),0))))</x:f>
        <x:v>未回本</x:v>
      </x:c>
    </x:row>
    <x:row r="1252" ht="22" customHeight="1">
      <x:c r="A1252" s="11" t="str">
        <x:v>lade_0826_20aoi</x:v>
      </x:c>
      <x:c r="B1252" s="10" t="n">
        <x:v>20</x:v>
      </x:c>
      <x:c r="C1252" s="10" t="n">
        <x:v>43</x:v>
      </x:c>
      <x:c r="D1252" s="10" t="str">
        <x:v>M1 / M3</x:v>
      </x:c>
      <x:c r="E1252" s="16" t="n">
        <x:v>1</x:v>
      </x:c>
      <x:c r="F1252" s="14" t="n">
        <x:v>50</x:v>
      </x:c>
      <x:c r="G1252" s="26" t="n">
        <x:f>'成本明细'!U187+'成本明细'!G187*(E1252-'参数'!$B$6)</x:f>
        <x:v>2601.8283786111115</x:v>
      </x:c>
      <x:c r="H1252" s="26" t="n">
        <x:f>'成本明细'!U193</x:f>
        <x:v>3735.6418420544446</x:v>
      </x:c>
      <x:c r="I1252" s="26" t="n">
        <x:f>'成本明细'!V193</x:f>
        <x:v>6606.5</x:v>
      </x:c>
      <x:c r="J1252" s="22" t="n">
        <x:f>'参数'!$B$9</x:f>
        <x:v>300</x:v>
      </x:c>
      <x:c r="K1252" s="26" t="n">
        <x:f>J1252*(G1252-H1252)-I1252*ROUNDUP(J1252/F1252,0)</x:f>
        <x:v>-379783.03903299995</x:v>
      </x:c>
      <x:c r="L1252" s="10" t="str">
        <x:f>IF(G1252-H1252&lt;=0,"未回本",IF(ROUNDUP(I1252/(G1252-H1252),0)&gt;MIN(F1252,J1252),"未回本",MAX(1,ROUNDUP(I1252/(G1252-H1252),0))))</x:f>
        <x:v>未回本</x:v>
      </x:c>
    </x:row>
    <x:row r="1253" ht="22" customHeight="1">
      <x:c r="A1253" s="11" t="str">
        <x:v>lade_0826_20aoi</x:v>
      </x:c>
      <x:c r="B1253" s="10" t="n">
        <x:v>20</x:v>
      </x:c>
      <x:c r="C1253" s="10" t="n">
        <x:v>43</x:v>
      </x:c>
      <x:c r="D1253" s="10" t="str">
        <x:v>M2 / M4</x:v>
      </x:c>
      <x:c r="E1253" s="16" t="n">
        <x:v>1</x:v>
      </x:c>
      <x:c r="F1253" s="14" t="n">
        <x:v>50</x:v>
      </x:c>
      <x:c r="G1253" s="26" t="n">
        <x:f>'成本明细'!U190+'成本明细'!G190*(E1253-'参数'!$B$6)</x:f>
        <x:v>2352.2248830494445</x:v>
      </x:c>
      <x:c r="H1253" s="26" t="n">
        <x:f>'成本明细'!U196</x:f>
        <x:v>3286.30136602</x:v>
      </x:c>
      <x:c r="I1253" s="26" t="n">
        <x:f>'成本明细'!V196</x:f>
        <x:v>6606.5</x:v>
      </x:c>
      <x:c r="J1253" s="22" t="n">
        <x:f>'参数'!$B$9</x:f>
        <x:v>300</x:v>
      </x:c>
      <x:c r="K1253" s="26" t="n">
        <x:f>J1253*(G1253-H1253)-I1253*ROUNDUP(J1253/F1253,0)</x:f>
        <x:v>-319861.94489116664</x:v>
      </x:c>
      <x:c r="L1253" s="10" t="str">
        <x:f>IF(G1253-H1253&lt;=0,"未回本",IF(ROUNDUP(I1253/(G1253-H1253),0)&gt;MIN(F1253,J1253),"未回本",MAX(1,ROUNDUP(I1253/(G1253-H1253),0))))</x:f>
        <x:v>未回本</x:v>
      </x:c>
    </x:row>
    <x:row r="1254" ht="22" customHeight="1">
      <x:c r="A1254" s="11" t="str">
        <x:v>lade_0826_20aoi</x:v>
      </x:c>
      <x:c r="B1254" s="10" t="n">
        <x:v>20</x:v>
      </x:c>
      <x:c r="C1254" s="10" t="n">
        <x:v>43</x:v>
      </x:c>
      <x:c r="D1254" s="10" t="str">
        <x:v>M1 / M3</x:v>
      </x:c>
      <x:c r="E1254" s="16" t="n">
        <x:v>2</x:v>
      </x:c>
      <x:c r="F1254" s="14" t="n">
        <x:v>10</x:v>
      </x:c>
      <x:c r="G1254" s="26" t="n">
        <x:f>'成本明细'!U187+'成本明细'!G187*(E1254-'参数'!$B$6)</x:f>
        <x:v>2782.8283786111115</x:v>
      </x:c>
      <x:c r="H1254" s="26" t="n">
        <x:f>'成本明细'!U193</x:f>
        <x:v>3735.6418420544446</x:v>
      </x:c>
      <x:c r="I1254" s="26" t="n">
        <x:f>'成本明细'!V193</x:f>
        <x:v>6606.5</x:v>
      </x:c>
      <x:c r="J1254" s="22" t="n">
        <x:f>'参数'!$B$9</x:f>
        <x:v>300</x:v>
      </x:c>
      <x:c r="K1254" s="26" t="n">
        <x:f>J1254*(G1254-H1254)-I1254*ROUNDUP(J1254/F1254,0)</x:f>
        <x:v>-484039.03903299995</x:v>
      </x:c>
      <x:c r="L1254" s="10" t="str">
        <x:f>IF(G1254-H1254&lt;=0,"未回本",IF(ROUNDUP(I1254/(G1254-H1254),0)&gt;MIN(F1254,J1254),"未回本",MAX(1,ROUNDUP(I1254/(G1254-H1254),0))))</x:f>
        <x:v>未回本</x:v>
      </x:c>
    </x:row>
    <x:row r="1255" ht="22" customHeight="1">
      <x:c r="A1255" s="11" t="str">
        <x:v>lade_0826_20aoi</x:v>
      </x:c>
      <x:c r="B1255" s="10" t="n">
        <x:v>20</x:v>
      </x:c>
      <x:c r="C1255" s="10" t="n">
        <x:v>43</x:v>
      </x:c>
      <x:c r="D1255" s="10" t="str">
        <x:v>M2 / M4</x:v>
      </x:c>
      <x:c r="E1255" s="16" t="n">
        <x:v>2</x:v>
      </x:c>
      <x:c r="F1255" s="14" t="n">
        <x:v>10</x:v>
      </x:c>
      <x:c r="G1255" s="26" t="n">
        <x:f>'成本明细'!U190+'成本明细'!G190*(E1255-'参数'!$B$6)</x:f>
        <x:v>2533.2248830494445</x:v>
      </x:c>
      <x:c r="H1255" s="26" t="n">
        <x:f>'成本明细'!U196</x:f>
        <x:v>3286.30136602</x:v>
      </x:c>
      <x:c r="I1255" s="26" t="n">
        <x:f>'成本明细'!V196</x:f>
        <x:v>6606.5</x:v>
      </x:c>
      <x:c r="J1255" s="22" t="n">
        <x:f>'参数'!$B$9</x:f>
        <x:v>300</x:v>
      </x:c>
      <x:c r="K1255" s="26" t="n">
        <x:f>J1255*(G1255-H1255)-I1255*ROUNDUP(J1255/F1255,0)</x:f>
        <x:v>-424117.94489116664</x:v>
      </x:c>
      <x:c r="L1255" s="10" t="str">
        <x:f>IF(G1255-H1255&lt;=0,"未回本",IF(ROUNDUP(I1255/(G1255-H1255),0)&gt;MIN(F1255,J1255),"未回本",MAX(1,ROUNDUP(I1255/(G1255-H1255),0))))</x:f>
        <x:v>未回本</x:v>
      </x:c>
    </x:row>
    <x:row r="1256" ht="22" customHeight="1">
      <x:c r="A1256" s="11" t="str">
        <x:v>lade_0826_20aoi</x:v>
      </x:c>
      <x:c r="B1256" s="10" t="n">
        <x:v>20</x:v>
      </x:c>
      <x:c r="C1256" s="10" t="n">
        <x:v>43</x:v>
      </x:c>
      <x:c r="D1256" s="10" t="str">
        <x:v>M1 / M3</x:v>
      </x:c>
      <x:c r="E1256" s="16" t="n">
        <x:v>2</x:v>
      </x:c>
      <x:c r="F1256" s="14" t="n">
        <x:v>20</x:v>
      </x:c>
      <x:c r="G1256" s="26" t="n">
        <x:f>'成本明细'!U187+'成本明细'!G187*(E1256-'参数'!$B$6)</x:f>
        <x:v>2782.8283786111115</x:v>
      </x:c>
      <x:c r="H1256" s="26" t="n">
        <x:f>'成本明细'!U193</x:f>
        <x:v>3735.6418420544446</x:v>
      </x:c>
      <x:c r="I1256" s="26" t="n">
        <x:f>'成本明细'!V193</x:f>
        <x:v>6606.5</x:v>
      </x:c>
      <x:c r="J1256" s="22" t="n">
        <x:f>'参数'!$B$9</x:f>
        <x:v>300</x:v>
      </x:c>
      <x:c r="K1256" s="26" t="n">
        <x:f>J1256*(G1256-H1256)-I1256*ROUNDUP(J1256/F1256,0)</x:f>
        <x:v>-384941.53903299995</x:v>
      </x:c>
      <x:c r="L1256" s="10" t="str">
        <x:f>IF(G1256-H1256&lt;=0,"未回本",IF(ROUNDUP(I1256/(G1256-H1256),0)&gt;MIN(F1256,J1256),"未回本",MAX(1,ROUNDUP(I1256/(G1256-H1256),0))))</x:f>
        <x:v>未回本</x:v>
      </x:c>
    </x:row>
    <x:row r="1257" ht="22" customHeight="1">
      <x:c r="A1257" s="11" t="str">
        <x:v>lade_0826_20aoi</x:v>
      </x:c>
      <x:c r="B1257" s="10" t="n">
        <x:v>20</x:v>
      </x:c>
      <x:c r="C1257" s="10" t="n">
        <x:v>43</x:v>
      </x:c>
      <x:c r="D1257" s="10" t="str">
        <x:v>M2 / M4</x:v>
      </x:c>
      <x:c r="E1257" s="16" t="n">
        <x:v>2</x:v>
      </x:c>
      <x:c r="F1257" s="14" t="n">
        <x:v>20</x:v>
      </x:c>
      <x:c r="G1257" s="26" t="n">
        <x:f>'成本明细'!U190+'成本明细'!G190*(E1257-'参数'!$B$6)</x:f>
        <x:v>2533.2248830494445</x:v>
      </x:c>
      <x:c r="H1257" s="26" t="n">
        <x:f>'成本明细'!U196</x:f>
        <x:v>3286.30136602</x:v>
      </x:c>
      <x:c r="I1257" s="26" t="n">
        <x:f>'成本明细'!V196</x:f>
        <x:v>6606.5</x:v>
      </x:c>
      <x:c r="J1257" s="22" t="n">
        <x:f>'参数'!$B$9</x:f>
        <x:v>300</x:v>
      </x:c>
      <x:c r="K1257" s="26" t="n">
        <x:f>J1257*(G1257-H1257)-I1257*ROUNDUP(J1257/F1257,0)</x:f>
        <x:v>-325020.44489116664</x:v>
      </x:c>
      <x:c r="L1257" s="10" t="str">
        <x:f>IF(G1257-H1257&lt;=0,"未回本",IF(ROUNDUP(I1257/(G1257-H1257),0)&gt;MIN(F1257,J1257),"未回本",MAX(1,ROUNDUP(I1257/(G1257-H1257),0))))</x:f>
        <x:v>未回本</x:v>
      </x:c>
    </x:row>
    <x:row r="1258" ht="22" customHeight="1">
      <x:c r="A1258" s="11" t="str">
        <x:v>lade_0826_20aoi</x:v>
      </x:c>
      <x:c r="B1258" s="10" t="n">
        <x:v>20</x:v>
      </x:c>
      <x:c r="C1258" s="10" t="n">
        <x:v>43</x:v>
      </x:c>
      <x:c r="D1258" s="10" t="str">
        <x:v>M1 / M3</x:v>
      </x:c>
      <x:c r="E1258" s="16" t="n">
        <x:v>2</x:v>
      </x:c>
      <x:c r="F1258" s="14" t="n">
        <x:v>30</x:v>
      </x:c>
      <x:c r="G1258" s="26" t="n">
        <x:f>'成本明细'!U187+'成本明细'!G187*(E1258-'参数'!$B$6)</x:f>
        <x:v>2782.8283786111115</x:v>
      </x:c>
      <x:c r="H1258" s="26" t="n">
        <x:f>'成本明细'!U193</x:f>
        <x:v>3735.6418420544446</x:v>
      </x:c>
      <x:c r="I1258" s="26" t="n">
        <x:f>'成本明细'!V193</x:f>
        <x:v>6606.5</x:v>
      </x:c>
      <x:c r="J1258" s="22" t="n">
        <x:f>'参数'!$B$9</x:f>
        <x:v>300</x:v>
      </x:c>
      <x:c r="K1258" s="26" t="n">
        <x:f>J1258*(G1258-H1258)-I1258*ROUNDUP(J1258/F1258,0)</x:f>
        <x:v>-351909.03903299995</x:v>
      </x:c>
      <x:c r="L1258" s="10" t="str">
        <x:f>IF(G1258-H1258&lt;=0,"未回本",IF(ROUNDUP(I1258/(G1258-H1258),0)&gt;MIN(F1258,J1258),"未回本",MAX(1,ROUNDUP(I1258/(G1258-H1258),0))))</x:f>
        <x:v>未回本</x:v>
      </x:c>
    </x:row>
    <x:row r="1259" ht="22" customHeight="1">
      <x:c r="A1259" s="11" t="str">
        <x:v>lade_0826_20aoi</x:v>
      </x:c>
      <x:c r="B1259" s="10" t="n">
        <x:v>20</x:v>
      </x:c>
      <x:c r="C1259" s="10" t="n">
        <x:v>43</x:v>
      </x:c>
      <x:c r="D1259" s="10" t="str">
        <x:v>M2 / M4</x:v>
      </x:c>
      <x:c r="E1259" s="16" t="n">
        <x:v>2</x:v>
      </x:c>
      <x:c r="F1259" s="14" t="n">
        <x:v>30</x:v>
      </x:c>
      <x:c r="G1259" s="26" t="n">
        <x:f>'成本明细'!U190+'成本明细'!G190*(E1259-'参数'!$B$6)</x:f>
        <x:v>2533.2248830494445</x:v>
      </x:c>
      <x:c r="H1259" s="26" t="n">
        <x:f>'成本明细'!U196</x:f>
        <x:v>3286.30136602</x:v>
      </x:c>
      <x:c r="I1259" s="26" t="n">
        <x:f>'成本明细'!V196</x:f>
        <x:v>6606.5</x:v>
      </x:c>
      <x:c r="J1259" s="22" t="n">
        <x:f>'参数'!$B$9</x:f>
        <x:v>300</x:v>
      </x:c>
      <x:c r="K1259" s="26" t="n">
        <x:f>J1259*(G1259-H1259)-I1259*ROUNDUP(J1259/F1259,0)</x:f>
        <x:v>-291987.94489116664</x:v>
      </x:c>
      <x:c r="L1259" s="10" t="str">
        <x:f>IF(G1259-H1259&lt;=0,"未回本",IF(ROUNDUP(I1259/(G1259-H1259),0)&gt;MIN(F1259,J1259),"未回本",MAX(1,ROUNDUP(I1259/(G1259-H1259),0))))</x:f>
        <x:v>未回本</x:v>
      </x:c>
    </x:row>
    <x:row r="1260" ht="22" customHeight="1">
      <x:c r="A1260" s="11" t="str">
        <x:v>lade_0826_20aoi</x:v>
      </x:c>
      <x:c r="B1260" s="10" t="n">
        <x:v>20</x:v>
      </x:c>
      <x:c r="C1260" s="10" t="n">
        <x:v>43</x:v>
      </x:c>
      <x:c r="D1260" s="10" t="str">
        <x:v>M1 / M3</x:v>
      </x:c>
      <x:c r="E1260" s="16" t="n">
        <x:v>2</x:v>
      </x:c>
      <x:c r="F1260" s="14" t="n">
        <x:v>50</x:v>
      </x:c>
      <x:c r="G1260" s="26" t="n">
        <x:f>'成本明细'!U187+'成本明细'!G187*(E1260-'参数'!$B$6)</x:f>
        <x:v>2782.8283786111115</x:v>
      </x:c>
      <x:c r="H1260" s="26" t="n">
        <x:f>'成本明细'!U193</x:f>
        <x:v>3735.6418420544446</x:v>
      </x:c>
      <x:c r="I1260" s="26" t="n">
        <x:f>'成本明细'!V193</x:f>
        <x:v>6606.5</x:v>
      </x:c>
      <x:c r="J1260" s="22" t="n">
        <x:f>'参数'!$B$9</x:f>
        <x:v>300</x:v>
      </x:c>
      <x:c r="K1260" s="26" t="n">
        <x:f>J1260*(G1260-H1260)-I1260*ROUNDUP(J1260/F1260,0)</x:f>
        <x:v>-325483.03903299995</x:v>
      </x:c>
      <x:c r="L1260" s="10" t="str">
        <x:f>IF(G1260-H1260&lt;=0,"未回本",IF(ROUNDUP(I1260/(G1260-H1260),0)&gt;MIN(F1260,J1260),"未回本",MAX(1,ROUNDUP(I1260/(G1260-H1260),0))))</x:f>
        <x:v>未回本</x:v>
      </x:c>
    </x:row>
    <x:row r="1261" ht="22" customHeight="1">
      <x:c r="A1261" s="11" t="str">
        <x:v>lade_0826_20aoi</x:v>
      </x:c>
      <x:c r="B1261" s="10" t="n">
        <x:v>20</x:v>
      </x:c>
      <x:c r="C1261" s="10" t="n">
        <x:v>43</x:v>
      </x:c>
      <x:c r="D1261" s="10" t="str">
        <x:v>M2 / M4</x:v>
      </x:c>
      <x:c r="E1261" s="16" t="n">
        <x:v>2</x:v>
      </x:c>
      <x:c r="F1261" s="14" t="n">
        <x:v>50</x:v>
      </x:c>
      <x:c r="G1261" s="26" t="n">
        <x:f>'成本明细'!U190+'成本明细'!G190*(E1261-'参数'!$B$6)</x:f>
        <x:v>2533.2248830494445</x:v>
      </x:c>
      <x:c r="H1261" s="26" t="n">
        <x:f>'成本明细'!U196</x:f>
        <x:v>3286.30136602</x:v>
      </x:c>
      <x:c r="I1261" s="26" t="n">
        <x:f>'成本明细'!V196</x:f>
        <x:v>6606.5</x:v>
      </x:c>
      <x:c r="J1261" s="22" t="n">
        <x:f>'参数'!$B$9</x:f>
        <x:v>300</x:v>
      </x:c>
      <x:c r="K1261" s="26" t="n">
        <x:f>J1261*(G1261-H1261)-I1261*ROUNDUP(J1261/F1261,0)</x:f>
        <x:v>-265561.94489116664</x:v>
      </x:c>
      <x:c r="L1261" s="10" t="str">
        <x:f>IF(G1261-H1261&lt;=0,"未回本",IF(ROUNDUP(I1261/(G1261-H1261),0)&gt;MIN(F1261,J1261),"未回本",MAX(1,ROUNDUP(I1261/(G1261-H1261),0))))</x:f>
        <x:v>未回本</x:v>
      </x:c>
    </x:row>
    <x:row r="1262" ht="22" customHeight="1">
      <x:c r="A1262" s="11" t="str">
        <x:v>lade_0826_20aoi</x:v>
      </x:c>
      <x:c r="B1262" s="10" t="n">
        <x:v>20</x:v>
      </x:c>
      <x:c r="C1262" s="10" t="n">
        <x:v>43</x:v>
      </x:c>
      <x:c r="D1262" s="10" t="str">
        <x:v>M1 / M3</x:v>
      </x:c>
      <x:c r="E1262" s="16" t="n">
        <x:v>3</x:v>
      </x:c>
      <x:c r="F1262" s="14" t="n">
        <x:v>10</x:v>
      </x:c>
      <x:c r="G1262" s="26" t="n">
        <x:f>'成本明细'!U187+'成本明细'!G187*(E1262-'参数'!$B$6)</x:f>
        <x:v>2963.8283786111115</x:v>
      </x:c>
      <x:c r="H1262" s="26" t="n">
        <x:f>'成本明细'!U193</x:f>
        <x:v>3735.6418420544446</x:v>
      </x:c>
      <x:c r="I1262" s="26" t="n">
        <x:f>'成本明细'!V193</x:f>
        <x:v>6606.5</x:v>
      </x:c>
      <x:c r="J1262" s="22" t="n">
        <x:f>'参数'!$B$9</x:f>
        <x:v>300</x:v>
      </x:c>
      <x:c r="K1262" s="26" t="n">
        <x:f>J1262*(G1262-H1262)-I1262*ROUNDUP(J1262/F1262,0)</x:f>
        <x:v>-429739.03903299995</x:v>
      </x:c>
      <x:c r="L1262" s="10" t="str">
        <x:f>IF(G1262-H1262&lt;=0,"未回本",IF(ROUNDUP(I1262/(G1262-H1262),0)&gt;MIN(F1262,J1262),"未回本",MAX(1,ROUNDUP(I1262/(G1262-H1262),0))))</x:f>
        <x:v>未回本</x:v>
      </x:c>
    </x:row>
    <x:row r="1263" ht="22" customHeight="1">
      <x:c r="A1263" s="11" t="str">
        <x:v>lade_0826_20aoi</x:v>
      </x:c>
      <x:c r="B1263" s="10" t="n">
        <x:v>20</x:v>
      </x:c>
      <x:c r="C1263" s="10" t="n">
        <x:v>43</x:v>
      </x:c>
      <x:c r="D1263" s="10" t="str">
        <x:v>M2 / M4</x:v>
      </x:c>
      <x:c r="E1263" s="16" t="n">
        <x:v>3</x:v>
      </x:c>
      <x:c r="F1263" s="14" t="n">
        <x:v>10</x:v>
      </x:c>
      <x:c r="G1263" s="26" t="n">
        <x:f>'成本明细'!U190+'成本明细'!G190*(E1263-'参数'!$B$6)</x:f>
        <x:v>2714.2248830494445</x:v>
      </x:c>
      <x:c r="H1263" s="26" t="n">
        <x:f>'成本明细'!U196</x:f>
        <x:v>3286.30136602</x:v>
      </x:c>
      <x:c r="I1263" s="26" t="n">
        <x:f>'成本明细'!V196</x:f>
        <x:v>6606.5</x:v>
      </x:c>
      <x:c r="J1263" s="22" t="n">
        <x:f>'参数'!$B$9</x:f>
        <x:v>300</x:v>
      </x:c>
      <x:c r="K1263" s="26" t="n">
        <x:f>J1263*(G1263-H1263)-I1263*ROUNDUP(J1263/F1263,0)</x:f>
        <x:v>-369817.94489116664</x:v>
      </x:c>
      <x:c r="L1263" s="10" t="str">
        <x:f>IF(G1263-H1263&lt;=0,"未回本",IF(ROUNDUP(I1263/(G1263-H1263),0)&gt;MIN(F1263,J1263),"未回本",MAX(1,ROUNDUP(I1263/(G1263-H1263),0))))</x:f>
        <x:v>未回本</x:v>
      </x:c>
    </x:row>
    <x:row r="1264" ht="22" customHeight="1">
      <x:c r="A1264" s="11" t="str">
        <x:v>lade_0826_20aoi</x:v>
      </x:c>
      <x:c r="B1264" s="10" t="n">
        <x:v>20</x:v>
      </x:c>
      <x:c r="C1264" s="10" t="n">
        <x:v>43</x:v>
      </x:c>
      <x:c r="D1264" s="10" t="str">
        <x:v>M1 / M3</x:v>
      </x:c>
      <x:c r="E1264" s="16" t="n">
        <x:v>3</x:v>
      </x:c>
      <x:c r="F1264" s="14" t="n">
        <x:v>20</x:v>
      </x:c>
      <x:c r="G1264" s="26" t="n">
        <x:f>'成本明细'!U187+'成本明细'!G187*(E1264-'参数'!$B$6)</x:f>
        <x:v>2963.8283786111115</x:v>
      </x:c>
      <x:c r="H1264" s="26" t="n">
        <x:f>'成本明细'!U193</x:f>
        <x:v>3735.6418420544446</x:v>
      </x:c>
      <x:c r="I1264" s="26" t="n">
        <x:f>'成本明细'!V193</x:f>
        <x:v>6606.5</x:v>
      </x:c>
      <x:c r="J1264" s="22" t="n">
        <x:f>'参数'!$B$9</x:f>
        <x:v>300</x:v>
      </x:c>
      <x:c r="K1264" s="26" t="n">
        <x:f>J1264*(G1264-H1264)-I1264*ROUNDUP(J1264/F1264,0)</x:f>
        <x:v>-330641.53903299995</x:v>
      </x:c>
      <x:c r="L1264" s="10" t="str">
        <x:f>IF(G1264-H1264&lt;=0,"未回本",IF(ROUNDUP(I1264/(G1264-H1264),0)&gt;MIN(F1264,J1264),"未回本",MAX(1,ROUNDUP(I1264/(G1264-H1264),0))))</x:f>
        <x:v>未回本</x:v>
      </x:c>
    </x:row>
    <x:row r="1265" ht="22" customHeight="1">
      <x:c r="A1265" s="11" t="str">
        <x:v>lade_0826_20aoi</x:v>
      </x:c>
      <x:c r="B1265" s="10" t="n">
        <x:v>20</x:v>
      </x:c>
      <x:c r="C1265" s="10" t="n">
        <x:v>43</x:v>
      </x:c>
      <x:c r="D1265" s="10" t="str">
        <x:v>M2 / M4</x:v>
      </x:c>
      <x:c r="E1265" s="16" t="n">
        <x:v>3</x:v>
      </x:c>
      <x:c r="F1265" s="14" t="n">
        <x:v>20</x:v>
      </x:c>
      <x:c r="G1265" s="26" t="n">
        <x:f>'成本明细'!U190+'成本明细'!G190*(E1265-'参数'!$B$6)</x:f>
        <x:v>2714.2248830494445</x:v>
      </x:c>
      <x:c r="H1265" s="26" t="n">
        <x:f>'成本明细'!U196</x:f>
        <x:v>3286.30136602</x:v>
      </x:c>
      <x:c r="I1265" s="26" t="n">
        <x:f>'成本明细'!V196</x:f>
        <x:v>6606.5</x:v>
      </x:c>
      <x:c r="J1265" s="22" t="n">
        <x:f>'参数'!$B$9</x:f>
        <x:v>300</x:v>
      </x:c>
      <x:c r="K1265" s="26" t="n">
        <x:f>J1265*(G1265-H1265)-I1265*ROUNDUP(J1265/F1265,0)</x:f>
        <x:v>-270720.44489116664</x:v>
      </x:c>
      <x:c r="L1265" s="10" t="str">
        <x:f>IF(G1265-H1265&lt;=0,"未回本",IF(ROUNDUP(I1265/(G1265-H1265),0)&gt;MIN(F1265,J1265),"未回本",MAX(1,ROUNDUP(I1265/(G1265-H1265),0))))</x:f>
        <x:v>未回本</x:v>
      </x:c>
    </x:row>
    <x:row r="1266" ht="22" customHeight="1">
      <x:c r="A1266" s="11" t="str">
        <x:v>lade_0826_20aoi</x:v>
      </x:c>
      <x:c r="B1266" s="10" t="n">
        <x:v>20</x:v>
      </x:c>
      <x:c r="C1266" s="10" t="n">
        <x:v>43</x:v>
      </x:c>
      <x:c r="D1266" s="10" t="str">
        <x:v>M1 / M3</x:v>
      </x:c>
      <x:c r="E1266" s="16" t="n">
        <x:v>3</x:v>
      </x:c>
      <x:c r="F1266" s="14" t="n">
        <x:v>30</x:v>
      </x:c>
      <x:c r="G1266" s="26" t="n">
        <x:f>'成本明细'!U187+'成本明细'!G187*(E1266-'参数'!$B$6)</x:f>
        <x:v>2963.8283786111115</x:v>
      </x:c>
      <x:c r="H1266" s="26" t="n">
        <x:f>'成本明细'!U193</x:f>
        <x:v>3735.6418420544446</x:v>
      </x:c>
      <x:c r="I1266" s="26" t="n">
        <x:f>'成本明细'!V193</x:f>
        <x:v>6606.5</x:v>
      </x:c>
      <x:c r="J1266" s="22" t="n">
        <x:f>'参数'!$B$9</x:f>
        <x:v>300</x:v>
      </x:c>
      <x:c r="K1266" s="26" t="n">
        <x:f>J1266*(G1266-H1266)-I1266*ROUNDUP(J1266/F1266,0)</x:f>
        <x:v>-297609.03903299995</x:v>
      </x:c>
      <x:c r="L1266" s="10" t="str">
        <x:f>IF(G1266-H1266&lt;=0,"未回本",IF(ROUNDUP(I1266/(G1266-H1266),0)&gt;MIN(F1266,J1266),"未回本",MAX(1,ROUNDUP(I1266/(G1266-H1266),0))))</x:f>
        <x:v>未回本</x:v>
      </x:c>
    </x:row>
    <x:row r="1267" ht="22" customHeight="1">
      <x:c r="A1267" s="11" t="str">
        <x:v>lade_0826_20aoi</x:v>
      </x:c>
      <x:c r="B1267" s="10" t="n">
        <x:v>20</x:v>
      </x:c>
      <x:c r="C1267" s="10" t="n">
        <x:v>43</x:v>
      </x:c>
      <x:c r="D1267" s="10" t="str">
        <x:v>M2 / M4</x:v>
      </x:c>
      <x:c r="E1267" s="16" t="n">
        <x:v>3</x:v>
      </x:c>
      <x:c r="F1267" s="14" t="n">
        <x:v>30</x:v>
      </x:c>
      <x:c r="G1267" s="26" t="n">
        <x:f>'成本明细'!U190+'成本明细'!G190*(E1267-'参数'!$B$6)</x:f>
        <x:v>2714.2248830494445</x:v>
      </x:c>
      <x:c r="H1267" s="26" t="n">
        <x:f>'成本明细'!U196</x:f>
        <x:v>3286.30136602</x:v>
      </x:c>
      <x:c r="I1267" s="26" t="n">
        <x:f>'成本明细'!V196</x:f>
        <x:v>6606.5</x:v>
      </x:c>
      <x:c r="J1267" s="22" t="n">
        <x:f>'参数'!$B$9</x:f>
        <x:v>300</x:v>
      </x:c>
      <x:c r="K1267" s="26" t="n">
        <x:f>J1267*(G1267-H1267)-I1267*ROUNDUP(J1267/F1267,0)</x:f>
        <x:v>-237687.9448911666</x:v>
      </x:c>
      <x:c r="L1267" s="10" t="str">
        <x:f>IF(G1267-H1267&lt;=0,"未回本",IF(ROUNDUP(I1267/(G1267-H1267),0)&gt;MIN(F1267,J1267),"未回本",MAX(1,ROUNDUP(I1267/(G1267-H1267),0))))</x:f>
        <x:v>未回本</x:v>
      </x:c>
    </x:row>
    <x:row r="1268" ht="22" customHeight="1">
      <x:c r="A1268" s="11" t="str">
        <x:v>lade_0826_20aoi</x:v>
      </x:c>
      <x:c r="B1268" s="10" t="n">
        <x:v>20</x:v>
      </x:c>
      <x:c r="C1268" s="10" t="n">
        <x:v>43</x:v>
      </x:c>
      <x:c r="D1268" s="10" t="str">
        <x:v>M1 / M3</x:v>
      </x:c>
      <x:c r="E1268" s="16" t="n">
        <x:v>3</x:v>
      </x:c>
      <x:c r="F1268" s="14" t="n">
        <x:v>50</x:v>
      </x:c>
      <x:c r="G1268" s="26" t="n">
        <x:f>'成本明细'!U187+'成本明细'!G187*(E1268-'参数'!$B$6)</x:f>
        <x:v>2963.8283786111115</x:v>
      </x:c>
      <x:c r="H1268" s="26" t="n">
        <x:f>'成本明细'!U193</x:f>
        <x:v>3735.6418420544446</x:v>
      </x:c>
      <x:c r="I1268" s="26" t="n">
        <x:f>'成本明细'!V193</x:f>
        <x:v>6606.5</x:v>
      </x:c>
      <x:c r="J1268" s="22" t="n">
        <x:f>'参数'!$B$9</x:f>
        <x:v>300</x:v>
      </x:c>
      <x:c r="K1268" s="26" t="n">
        <x:f>J1268*(G1268-H1268)-I1268*ROUNDUP(J1268/F1268,0)</x:f>
        <x:v>-271183.03903299995</x:v>
      </x:c>
      <x:c r="L1268" s="10" t="str">
        <x:f>IF(G1268-H1268&lt;=0,"未回本",IF(ROUNDUP(I1268/(G1268-H1268),0)&gt;MIN(F1268,J1268),"未回本",MAX(1,ROUNDUP(I1268/(G1268-H1268),0))))</x:f>
        <x:v>未回本</x:v>
      </x:c>
    </x:row>
    <x:row r="1269" ht="22" customHeight="1">
      <x:c r="A1269" s="11" t="str">
        <x:v>lade_0826_20aoi</x:v>
      </x:c>
      <x:c r="B1269" s="10" t="n">
        <x:v>20</x:v>
      </x:c>
      <x:c r="C1269" s="10" t="n">
        <x:v>43</x:v>
      </x:c>
      <x:c r="D1269" s="10" t="str">
        <x:v>M2 / M4</x:v>
      </x:c>
      <x:c r="E1269" s="16" t="n">
        <x:v>3</x:v>
      </x:c>
      <x:c r="F1269" s="14" t="n">
        <x:v>50</x:v>
      </x:c>
      <x:c r="G1269" s="26" t="n">
        <x:f>'成本明细'!U190+'成本明细'!G190*(E1269-'参数'!$B$6)</x:f>
        <x:v>2714.2248830494445</x:v>
      </x:c>
      <x:c r="H1269" s="26" t="n">
        <x:f>'成本明细'!U196</x:f>
        <x:v>3286.30136602</x:v>
      </x:c>
      <x:c r="I1269" s="26" t="n">
        <x:f>'成本明细'!V196</x:f>
        <x:v>6606.5</x:v>
      </x:c>
      <x:c r="J1269" s="22" t="n">
        <x:f>'参数'!$B$9</x:f>
        <x:v>300</x:v>
      </x:c>
      <x:c r="K1269" s="26" t="n">
        <x:f>J1269*(G1269-H1269)-I1269*ROUNDUP(J1269/F1269,0)</x:f>
        <x:v>-211261.9448911666</x:v>
      </x:c>
      <x:c r="L1269" s="10" t="str">
        <x:f>IF(G1269-H1269&lt;=0,"未回本",IF(ROUNDUP(I1269/(G1269-H1269),0)&gt;MIN(F1269,J1269),"未回本",MAX(1,ROUNDUP(I1269/(G1269-H1269),0))))</x:f>
        <x:v>未回本</x:v>
      </x:c>
    </x:row>
    <x:row r="1270" ht="22" customHeight="1">
      <x:c r="A1270" s="11" t="str">
        <x:v>lade_0826_20aoi</x:v>
      </x:c>
      <x:c r="B1270" s="10" t="n">
        <x:v>20</x:v>
      </x:c>
      <x:c r="C1270" s="10" t="n">
        <x:v>43</x:v>
      </x:c>
      <x:c r="D1270" s="10" t="str">
        <x:v>M1 / M3</x:v>
      </x:c>
      <x:c r="E1270" s="16" t="n">
        <x:v>4</x:v>
      </x:c>
      <x:c r="F1270" s="14" t="n">
        <x:v>10</x:v>
      </x:c>
      <x:c r="G1270" s="26" t="n">
        <x:f>'成本明细'!U187+'成本明细'!G187*(E1270-'参数'!$B$6)</x:f>
        <x:v>3144.8283786111115</x:v>
      </x:c>
      <x:c r="H1270" s="26" t="n">
        <x:f>'成本明细'!U193</x:f>
        <x:v>3735.6418420544446</x:v>
      </x:c>
      <x:c r="I1270" s="26" t="n">
        <x:f>'成本明细'!V193</x:f>
        <x:v>6606.5</x:v>
      </x:c>
      <x:c r="J1270" s="22" t="n">
        <x:f>'参数'!$B$9</x:f>
        <x:v>300</x:v>
      </x:c>
      <x:c r="K1270" s="26" t="n">
        <x:f>J1270*(G1270-H1270)-I1270*ROUNDUP(J1270/F1270,0)</x:f>
        <x:v>-375439.03903299995</x:v>
      </x:c>
      <x:c r="L1270" s="10" t="str">
        <x:f>IF(G1270-H1270&lt;=0,"未回本",IF(ROUNDUP(I1270/(G1270-H1270),0)&gt;MIN(F1270,J1270),"未回本",MAX(1,ROUNDUP(I1270/(G1270-H1270),0))))</x:f>
        <x:v>未回本</x:v>
      </x:c>
    </x:row>
    <x:row r="1271" ht="22" customHeight="1">
      <x:c r="A1271" s="11" t="str">
        <x:v>lade_0826_20aoi</x:v>
      </x:c>
      <x:c r="B1271" s="10" t="n">
        <x:v>20</x:v>
      </x:c>
      <x:c r="C1271" s="10" t="n">
        <x:v>43</x:v>
      </x:c>
      <x:c r="D1271" s="10" t="str">
        <x:v>M2 / M4</x:v>
      </x:c>
      <x:c r="E1271" s="16" t="n">
        <x:v>4</x:v>
      </x:c>
      <x:c r="F1271" s="14" t="n">
        <x:v>10</x:v>
      </x:c>
      <x:c r="G1271" s="26" t="n">
        <x:f>'成本明细'!U190+'成本明细'!G190*(E1271-'参数'!$B$6)</x:f>
        <x:v>2895.2248830494445</x:v>
      </x:c>
      <x:c r="H1271" s="26" t="n">
        <x:f>'成本明细'!U196</x:f>
        <x:v>3286.30136602</x:v>
      </x:c>
      <x:c r="I1271" s="26" t="n">
        <x:f>'成本明细'!V196</x:f>
        <x:v>6606.5</x:v>
      </x:c>
      <x:c r="J1271" s="22" t="n">
        <x:f>'参数'!$B$9</x:f>
        <x:v>300</x:v>
      </x:c>
      <x:c r="K1271" s="26" t="n">
        <x:f>J1271*(G1271-H1271)-I1271*ROUNDUP(J1271/F1271,0)</x:f>
        <x:v>-315517.94489116664</x:v>
      </x:c>
      <x:c r="L1271" s="10" t="str">
        <x:f>IF(G1271-H1271&lt;=0,"未回本",IF(ROUNDUP(I1271/(G1271-H1271),0)&gt;MIN(F1271,J1271),"未回本",MAX(1,ROUNDUP(I1271/(G1271-H1271),0))))</x:f>
        <x:v>未回本</x:v>
      </x:c>
    </x:row>
    <x:row r="1272" ht="22" customHeight="1">
      <x:c r="A1272" s="11" t="str">
        <x:v>lade_0826_20aoi</x:v>
      </x:c>
      <x:c r="B1272" s="10" t="n">
        <x:v>20</x:v>
      </x:c>
      <x:c r="C1272" s="10" t="n">
        <x:v>43</x:v>
      </x:c>
      <x:c r="D1272" s="10" t="str">
        <x:v>M1 / M3</x:v>
      </x:c>
      <x:c r="E1272" s="16" t="n">
        <x:v>4</x:v>
      </x:c>
      <x:c r="F1272" s="14" t="n">
        <x:v>20</x:v>
      </x:c>
      <x:c r="G1272" s="26" t="n">
        <x:f>'成本明细'!U187+'成本明细'!G187*(E1272-'参数'!$B$6)</x:f>
        <x:v>3144.8283786111115</x:v>
      </x:c>
      <x:c r="H1272" s="26" t="n">
        <x:f>'成本明细'!U193</x:f>
        <x:v>3735.6418420544446</x:v>
      </x:c>
      <x:c r="I1272" s="26" t="n">
        <x:f>'成本明细'!V193</x:f>
        <x:v>6606.5</x:v>
      </x:c>
      <x:c r="J1272" s="22" t="n">
        <x:f>'参数'!$B$9</x:f>
        <x:v>300</x:v>
      </x:c>
      <x:c r="K1272" s="26" t="n">
        <x:f>J1272*(G1272-H1272)-I1272*ROUNDUP(J1272/F1272,0)</x:f>
        <x:v>-276341.53903299995</x:v>
      </x:c>
      <x:c r="L1272" s="10" t="str">
        <x:f>IF(G1272-H1272&lt;=0,"未回本",IF(ROUNDUP(I1272/(G1272-H1272),0)&gt;MIN(F1272,J1272),"未回本",MAX(1,ROUNDUP(I1272/(G1272-H1272),0))))</x:f>
        <x:v>未回本</x:v>
      </x:c>
    </x:row>
    <x:row r="1273" ht="22" customHeight="1">
      <x:c r="A1273" s="11" t="str">
        <x:v>lade_0826_20aoi</x:v>
      </x:c>
      <x:c r="B1273" s="10" t="n">
        <x:v>20</x:v>
      </x:c>
      <x:c r="C1273" s="10" t="n">
        <x:v>43</x:v>
      </x:c>
      <x:c r="D1273" s="10" t="str">
        <x:v>M2 / M4</x:v>
      </x:c>
      <x:c r="E1273" s="16" t="n">
        <x:v>4</x:v>
      </x:c>
      <x:c r="F1273" s="14" t="n">
        <x:v>20</x:v>
      </x:c>
      <x:c r="G1273" s="26" t="n">
        <x:f>'成本明细'!U190+'成本明细'!G190*(E1273-'参数'!$B$6)</x:f>
        <x:v>2895.2248830494445</x:v>
      </x:c>
      <x:c r="H1273" s="26" t="n">
        <x:f>'成本明细'!U196</x:f>
        <x:v>3286.30136602</x:v>
      </x:c>
      <x:c r="I1273" s="26" t="n">
        <x:f>'成本明细'!V196</x:f>
        <x:v>6606.5</x:v>
      </x:c>
      <x:c r="J1273" s="22" t="n">
        <x:f>'参数'!$B$9</x:f>
        <x:v>300</x:v>
      </x:c>
      <x:c r="K1273" s="26" t="n">
        <x:f>J1273*(G1273-H1273)-I1273*ROUNDUP(J1273/F1273,0)</x:f>
        <x:v>-216420.4448911666</x:v>
      </x:c>
      <x:c r="L1273" s="10" t="str">
        <x:f>IF(G1273-H1273&lt;=0,"未回本",IF(ROUNDUP(I1273/(G1273-H1273),0)&gt;MIN(F1273,J1273),"未回本",MAX(1,ROUNDUP(I1273/(G1273-H1273),0))))</x:f>
        <x:v>未回本</x:v>
      </x:c>
    </x:row>
    <x:row r="1274" ht="22" customHeight="1">
      <x:c r="A1274" s="11" t="str">
        <x:v>lade_0826_20aoi</x:v>
      </x:c>
      <x:c r="B1274" s="10" t="n">
        <x:v>20</x:v>
      </x:c>
      <x:c r="C1274" s="10" t="n">
        <x:v>43</x:v>
      </x:c>
      <x:c r="D1274" s="10" t="str">
        <x:v>M1 / M3</x:v>
      </x:c>
      <x:c r="E1274" s="16" t="n">
        <x:v>4</x:v>
      </x:c>
      <x:c r="F1274" s="14" t="n">
        <x:v>30</x:v>
      </x:c>
      <x:c r="G1274" s="26" t="n">
        <x:f>'成本明细'!U187+'成本明细'!G187*(E1274-'参数'!$B$6)</x:f>
        <x:v>3144.8283786111115</x:v>
      </x:c>
      <x:c r="H1274" s="26" t="n">
        <x:f>'成本明细'!U193</x:f>
        <x:v>3735.6418420544446</x:v>
      </x:c>
      <x:c r="I1274" s="26" t="n">
        <x:f>'成本明细'!V193</x:f>
        <x:v>6606.5</x:v>
      </x:c>
      <x:c r="J1274" s="22" t="n">
        <x:f>'参数'!$B$9</x:f>
        <x:v>300</x:v>
      </x:c>
      <x:c r="K1274" s="26" t="n">
        <x:f>J1274*(G1274-H1274)-I1274*ROUNDUP(J1274/F1274,0)</x:f>
        <x:v>-243309.03903299995</x:v>
      </x:c>
      <x:c r="L1274" s="10" t="str">
        <x:f>IF(G1274-H1274&lt;=0,"未回本",IF(ROUNDUP(I1274/(G1274-H1274),0)&gt;MIN(F1274,J1274),"未回本",MAX(1,ROUNDUP(I1274/(G1274-H1274),0))))</x:f>
        <x:v>未回本</x:v>
      </x:c>
    </x:row>
    <x:row r="1275" ht="22" customHeight="1">
      <x:c r="A1275" s="11" t="str">
        <x:v>lade_0826_20aoi</x:v>
      </x:c>
      <x:c r="B1275" s="10" t="n">
        <x:v>20</x:v>
      </x:c>
      <x:c r="C1275" s="10" t="n">
        <x:v>43</x:v>
      </x:c>
      <x:c r="D1275" s="10" t="str">
        <x:v>M2 / M4</x:v>
      </x:c>
      <x:c r="E1275" s="16" t="n">
        <x:v>4</x:v>
      </x:c>
      <x:c r="F1275" s="14" t="n">
        <x:v>30</x:v>
      </x:c>
      <x:c r="G1275" s="26" t="n">
        <x:f>'成本明细'!U190+'成本明细'!G190*(E1275-'参数'!$B$6)</x:f>
        <x:v>2895.2248830494445</x:v>
      </x:c>
      <x:c r="H1275" s="26" t="n">
        <x:f>'成本明细'!U196</x:f>
        <x:v>3286.30136602</x:v>
      </x:c>
      <x:c r="I1275" s="26" t="n">
        <x:f>'成本明细'!V196</x:f>
        <x:v>6606.5</x:v>
      </x:c>
      <x:c r="J1275" s="22" t="n">
        <x:f>'参数'!$B$9</x:f>
        <x:v>300</x:v>
      </x:c>
      <x:c r="K1275" s="26" t="n">
        <x:f>J1275*(G1275-H1275)-I1275*ROUNDUP(J1275/F1275,0)</x:f>
        <x:v>-183387.9448911666</x:v>
      </x:c>
      <x:c r="L1275" s="10" t="str">
        <x:f>IF(G1275-H1275&lt;=0,"未回本",IF(ROUNDUP(I1275/(G1275-H1275),0)&gt;MIN(F1275,J1275),"未回本",MAX(1,ROUNDUP(I1275/(G1275-H1275),0))))</x:f>
        <x:v>未回本</x:v>
      </x:c>
    </x:row>
    <x:row r="1276" ht="22" customHeight="1">
      <x:c r="A1276" s="11" t="str">
        <x:v>lade_0826_20aoi</x:v>
      </x:c>
      <x:c r="B1276" s="10" t="n">
        <x:v>20</x:v>
      </x:c>
      <x:c r="C1276" s="10" t="n">
        <x:v>43</x:v>
      </x:c>
      <x:c r="D1276" s="10" t="str">
        <x:v>M1 / M3</x:v>
      </x:c>
      <x:c r="E1276" s="16" t="n">
        <x:v>4</x:v>
      </x:c>
      <x:c r="F1276" s="14" t="n">
        <x:v>50</x:v>
      </x:c>
      <x:c r="G1276" s="26" t="n">
        <x:f>'成本明细'!U187+'成本明细'!G187*(E1276-'参数'!$B$6)</x:f>
        <x:v>3144.8283786111115</x:v>
      </x:c>
      <x:c r="H1276" s="26" t="n">
        <x:f>'成本明细'!U193</x:f>
        <x:v>3735.6418420544446</x:v>
      </x:c>
      <x:c r="I1276" s="26" t="n">
        <x:f>'成本明细'!V193</x:f>
        <x:v>6606.5</x:v>
      </x:c>
      <x:c r="J1276" s="22" t="n">
        <x:f>'参数'!$B$9</x:f>
        <x:v>300</x:v>
      </x:c>
      <x:c r="K1276" s="26" t="n">
        <x:f>J1276*(G1276-H1276)-I1276*ROUNDUP(J1276/F1276,0)</x:f>
        <x:v>-216883.03903299995</x:v>
      </x:c>
      <x:c r="L1276" s="10" t="str">
        <x:f>IF(G1276-H1276&lt;=0,"未回本",IF(ROUNDUP(I1276/(G1276-H1276),0)&gt;MIN(F1276,J1276),"未回本",MAX(1,ROUNDUP(I1276/(G1276-H1276),0))))</x:f>
        <x:v>未回本</x:v>
      </x:c>
    </x:row>
    <x:row r="1277" ht="22" customHeight="1">
      <x:c r="A1277" s="11" t="str">
        <x:v>lade_0826_20aoi</x:v>
      </x:c>
      <x:c r="B1277" s="10" t="n">
        <x:v>20</x:v>
      </x:c>
      <x:c r="C1277" s="10" t="n">
        <x:v>43</x:v>
      </x:c>
      <x:c r="D1277" s="10" t="str">
        <x:v>M2 / M4</x:v>
      </x:c>
      <x:c r="E1277" s="16" t="n">
        <x:v>4</x:v>
      </x:c>
      <x:c r="F1277" s="14" t="n">
        <x:v>50</x:v>
      </x:c>
      <x:c r="G1277" s="26" t="n">
        <x:f>'成本明细'!U190+'成本明细'!G190*(E1277-'参数'!$B$6)</x:f>
        <x:v>2895.2248830494445</x:v>
      </x:c>
      <x:c r="H1277" s="26" t="n">
        <x:f>'成本明细'!U196</x:f>
        <x:v>3286.30136602</x:v>
      </x:c>
      <x:c r="I1277" s="26" t="n">
        <x:f>'成本明细'!V196</x:f>
        <x:v>6606.5</x:v>
      </x:c>
      <x:c r="J1277" s="22" t="n">
        <x:f>'参数'!$B$9</x:f>
        <x:v>300</x:v>
      </x:c>
      <x:c r="K1277" s="26" t="n">
        <x:f>J1277*(G1277-H1277)-I1277*ROUNDUP(J1277/F1277,0)</x:f>
        <x:v>-156961.9448911666</x:v>
      </x:c>
      <x:c r="L1277" s="10" t="str">
        <x:f>IF(G1277-H1277&lt;=0,"未回本",IF(ROUNDUP(I1277/(G1277-H1277),0)&gt;MIN(F1277,J1277),"未回本",MAX(1,ROUNDUP(I1277/(G1277-H1277),0))))</x:f>
        <x:v>未回本</x:v>
      </x:c>
    </x:row>
    <x:row r="1278" ht="22" customHeight="1">
      <x:c r="A1278" s="11" t="str">
        <x:v>lade_0826_20aoi</x:v>
      </x:c>
      <x:c r="B1278" s="10" t="n">
        <x:v>20</x:v>
      </x:c>
      <x:c r="C1278" s="10" t="n">
        <x:v>43</x:v>
      </x:c>
      <x:c r="D1278" s="10" t="str">
        <x:v>M1 / M3</x:v>
      </x:c>
      <x:c r="E1278" s="16" t="n">
        <x:v>5</x:v>
      </x:c>
      <x:c r="F1278" s="14" t="n">
        <x:v>10</x:v>
      </x:c>
      <x:c r="G1278" s="26" t="n">
        <x:f>'成本明细'!U187+'成本明细'!G187*(E1278-'参数'!$B$6)</x:f>
        <x:v>3325.8283786111115</x:v>
      </x:c>
      <x:c r="H1278" s="26" t="n">
        <x:f>'成本明细'!U193</x:f>
        <x:v>3735.6418420544446</x:v>
      </x:c>
      <x:c r="I1278" s="26" t="n">
        <x:f>'成本明细'!V193</x:f>
        <x:v>6606.5</x:v>
      </x:c>
      <x:c r="J1278" s="22" t="n">
        <x:f>'参数'!$B$9</x:f>
        <x:v>300</x:v>
      </x:c>
      <x:c r="K1278" s="26" t="n">
        <x:f>J1278*(G1278-H1278)-I1278*ROUNDUP(J1278/F1278,0)</x:f>
        <x:v>-321139.03903299995</x:v>
      </x:c>
      <x:c r="L1278" s="10" t="str">
        <x:f>IF(G1278-H1278&lt;=0,"未回本",IF(ROUNDUP(I1278/(G1278-H1278),0)&gt;MIN(F1278,J1278),"未回本",MAX(1,ROUNDUP(I1278/(G1278-H1278),0))))</x:f>
        <x:v>未回本</x:v>
      </x:c>
    </x:row>
    <x:row r="1279" ht="22" customHeight="1">
      <x:c r="A1279" s="11" t="str">
        <x:v>lade_0826_20aoi</x:v>
      </x:c>
      <x:c r="B1279" s="10" t="n">
        <x:v>20</x:v>
      </x:c>
      <x:c r="C1279" s="10" t="n">
        <x:v>43</x:v>
      </x:c>
      <x:c r="D1279" s="10" t="str">
        <x:v>M2 / M4</x:v>
      </x:c>
      <x:c r="E1279" s="16" t="n">
        <x:v>5</x:v>
      </x:c>
      <x:c r="F1279" s="14" t="n">
        <x:v>10</x:v>
      </x:c>
      <x:c r="G1279" s="26" t="n">
        <x:f>'成本明细'!U190+'成本明细'!G190*(E1279-'参数'!$B$6)</x:f>
        <x:v>3076.2248830494445</x:v>
      </x:c>
      <x:c r="H1279" s="26" t="n">
        <x:f>'成本明细'!U196</x:f>
        <x:v>3286.30136602</x:v>
      </x:c>
      <x:c r="I1279" s="26" t="n">
        <x:f>'成本明细'!V196</x:f>
        <x:v>6606.5</x:v>
      </x:c>
      <x:c r="J1279" s="22" t="n">
        <x:f>'参数'!$B$9</x:f>
        <x:v>300</x:v>
      </x:c>
      <x:c r="K1279" s="26" t="n">
        <x:f>J1279*(G1279-H1279)-I1279*ROUNDUP(J1279/F1279,0)</x:f>
        <x:v>-261217.9448911666</x:v>
      </x:c>
      <x:c r="L1279" s="10" t="str">
        <x:f>IF(G1279-H1279&lt;=0,"未回本",IF(ROUNDUP(I1279/(G1279-H1279),0)&gt;MIN(F1279,J1279),"未回本",MAX(1,ROUNDUP(I1279/(G1279-H1279),0))))</x:f>
        <x:v>未回本</x:v>
      </x:c>
    </x:row>
    <x:row r="1280" ht="22" customHeight="1">
      <x:c r="A1280" s="11" t="str">
        <x:v>lade_0826_20aoi</x:v>
      </x:c>
      <x:c r="B1280" s="10" t="n">
        <x:v>20</x:v>
      </x:c>
      <x:c r="C1280" s="10" t="n">
        <x:v>43</x:v>
      </x:c>
      <x:c r="D1280" s="10" t="str">
        <x:v>M1 / M3</x:v>
      </x:c>
      <x:c r="E1280" s="16" t="n">
        <x:v>5</x:v>
      </x:c>
      <x:c r="F1280" s="14" t="n">
        <x:v>20</x:v>
      </x:c>
      <x:c r="G1280" s="26" t="n">
        <x:f>'成本明细'!U187+'成本明细'!G187*(E1280-'参数'!$B$6)</x:f>
        <x:v>3325.8283786111115</x:v>
      </x:c>
      <x:c r="H1280" s="26" t="n">
        <x:f>'成本明细'!U193</x:f>
        <x:v>3735.6418420544446</x:v>
      </x:c>
      <x:c r="I1280" s="26" t="n">
        <x:f>'成本明细'!V193</x:f>
        <x:v>6606.5</x:v>
      </x:c>
      <x:c r="J1280" s="22" t="n">
        <x:f>'参数'!$B$9</x:f>
        <x:v>300</x:v>
      </x:c>
      <x:c r="K1280" s="26" t="n">
        <x:f>J1280*(G1280-H1280)-I1280*ROUNDUP(J1280/F1280,0)</x:f>
        <x:v>-222041.53903299995</x:v>
      </x:c>
      <x:c r="L1280" s="10" t="str">
        <x:f>IF(G1280-H1280&lt;=0,"未回本",IF(ROUNDUP(I1280/(G1280-H1280),0)&gt;MIN(F1280,J1280),"未回本",MAX(1,ROUNDUP(I1280/(G1280-H1280),0))))</x:f>
        <x:v>未回本</x:v>
      </x:c>
    </x:row>
    <x:row r="1281" ht="22" customHeight="1">
      <x:c r="A1281" s="11" t="str">
        <x:v>lade_0826_20aoi</x:v>
      </x:c>
      <x:c r="B1281" s="10" t="n">
        <x:v>20</x:v>
      </x:c>
      <x:c r="C1281" s="10" t="n">
        <x:v>43</x:v>
      </x:c>
      <x:c r="D1281" s="10" t="str">
        <x:v>M2 / M4</x:v>
      </x:c>
      <x:c r="E1281" s="16" t="n">
        <x:v>5</x:v>
      </x:c>
      <x:c r="F1281" s="14" t="n">
        <x:v>20</x:v>
      </x:c>
      <x:c r="G1281" s="26" t="n">
        <x:f>'成本明细'!U190+'成本明细'!G190*(E1281-'参数'!$B$6)</x:f>
        <x:v>3076.2248830494445</x:v>
      </x:c>
      <x:c r="H1281" s="26" t="n">
        <x:f>'成本明细'!U196</x:f>
        <x:v>3286.30136602</x:v>
      </x:c>
      <x:c r="I1281" s="26" t="n">
        <x:f>'成本明细'!V196</x:f>
        <x:v>6606.5</x:v>
      </x:c>
      <x:c r="J1281" s="22" t="n">
        <x:f>'参数'!$B$9</x:f>
        <x:v>300</x:v>
      </x:c>
      <x:c r="K1281" s="26" t="n">
        <x:f>J1281*(G1281-H1281)-I1281*ROUNDUP(J1281/F1281,0)</x:f>
        <x:v>-162120.4448911666</x:v>
      </x:c>
      <x:c r="L1281" s="10" t="str">
        <x:f>IF(G1281-H1281&lt;=0,"未回本",IF(ROUNDUP(I1281/(G1281-H1281),0)&gt;MIN(F1281,J1281),"未回本",MAX(1,ROUNDUP(I1281/(G1281-H1281),0))))</x:f>
        <x:v>未回本</x:v>
      </x:c>
    </x:row>
    <x:row r="1282" ht="22" customHeight="1">
      <x:c r="A1282" s="11" t="str">
        <x:v>lade_0826_20aoi</x:v>
      </x:c>
      <x:c r="B1282" s="10" t="n">
        <x:v>20</x:v>
      </x:c>
      <x:c r="C1282" s="10" t="n">
        <x:v>43</x:v>
      </x:c>
      <x:c r="D1282" s="10" t="str">
        <x:v>M1 / M3</x:v>
      </x:c>
      <x:c r="E1282" s="16" t="n">
        <x:v>5</x:v>
      </x:c>
      <x:c r="F1282" s="14" t="n">
        <x:v>30</x:v>
      </x:c>
      <x:c r="G1282" s="26" t="n">
        <x:f>'成本明细'!U187+'成本明细'!G187*(E1282-'参数'!$B$6)</x:f>
        <x:v>3325.8283786111115</x:v>
      </x:c>
      <x:c r="H1282" s="26" t="n">
        <x:f>'成本明细'!U193</x:f>
        <x:v>3735.6418420544446</x:v>
      </x:c>
      <x:c r="I1282" s="26" t="n">
        <x:f>'成本明细'!V193</x:f>
        <x:v>6606.5</x:v>
      </x:c>
      <x:c r="J1282" s="22" t="n">
        <x:f>'参数'!$B$9</x:f>
        <x:v>300</x:v>
      </x:c>
      <x:c r="K1282" s="26" t="n">
        <x:f>J1282*(G1282-H1282)-I1282*ROUNDUP(J1282/F1282,0)</x:f>
        <x:v>-189009.03903299995</x:v>
      </x:c>
      <x:c r="L1282" s="10" t="str">
        <x:f>IF(G1282-H1282&lt;=0,"未回本",IF(ROUNDUP(I1282/(G1282-H1282),0)&gt;MIN(F1282,J1282),"未回本",MAX(1,ROUNDUP(I1282/(G1282-H1282),0))))</x:f>
        <x:v>未回本</x:v>
      </x:c>
    </x:row>
    <x:row r="1283" ht="22" customHeight="1">
      <x:c r="A1283" s="11" t="str">
        <x:v>lade_0826_20aoi</x:v>
      </x:c>
      <x:c r="B1283" s="10" t="n">
        <x:v>20</x:v>
      </x:c>
      <x:c r="C1283" s="10" t="n">
        <x:v>43</x:v>
      </x:c>
      <x:c r="D1283" s="10" t="str">
        <x:v>M2 / M4</x:v>
      </x:c>
      <x:c r="E1283" s="16" t="n">
        <x:v>5</x:v>
      </x:c>
      <x:c r="F1283" s="14" t="n">
        <x:v>30</x:v>
      </x:c>
      <x:c r="G1283" s="26" t="n">
        <x:f>'成本明细'!U190+'成本明细'!G190*(E1283-'参数'!$B$6)</x:f>
        <x:v>3076.2248830494445</x:v>
      </x:c>
      <x:c r="H1283" s="26" t="n">
        <x:f>'成本明细'!U196</x:f>
        <x:v>3286.30136602</x:v>
      </x:c>
      <x:c r="I1283" s="26" t="n">
        <x:f>'成本明细'!V196</x:f>
        <x:v>6606.5</x:v>
      </x:c>
      <x:c r="J1283" s="22" t="n">
        <x:f>'参数'!$B$9</x:f>
        <x:v>300</x:v>
      </x:c>
      <x:c r="K1283" s="26" t="n">
        <x:f>J1283*(G1283-H1283)-I1283*ROUNDUP(J1283/F1283,0)</x:f>
        <x:v>-129087.94489116661</x:v>
      </x:c>
      <x:c r="L1283" s="10" t="str">
        <x:f>IF(G1283-H1283&lt;=0,"未回本",IF(ROUNDUP(I1283/(G1283-H1283),0)&gt;MIN(F1283,J1283),"未回本",MAX(1,ROUNDUP(I1283/(G1283-H1283),0))))</x:f>
        <x:v>未回本</x:v>
      </x:c>
    </x:row>
    <x:row r="1284" ht="22" customHeight="1">
      <x:c r="A1284" s="11" t="str">
        <x:v>lade_0826_20aoi</x:v>
      </x:c>
      <x:c r="B1284" s="10" t="n">
        <x:v>20</x:v>
      </x:c>
      <x:c r="C1284" s="10" t="n">
        <x:v>43</x:v>
      </x:c>
      <x:c r="D1284" s="10" t="str">
        <x:v>M1 / M3</x:v>
      </x:c>
      <x:c r="E1284" s="16" t="n">
        <x:v>5</x:v>
      </x:c>
      <x:c r="F1284" s="14" t="n">
        <x:v>50</x:v>
      </x:c>
      <x:c r="G1284" s="26" t="n">
        <x:f>'成本明细'!U187+'成本明细'!G187*(E1284-'参数'!$B$6)</x:f>
        <x:v>3325.8283786111115</x:v>
      </x:c>
      <x:c r="H1284" s="26" t="n">
        <x:f>'成本明细'!U193</x:f>
        <x:v>3735.6418420544446</x:v>
      </x:c>
      <x:c r="I1284" s="26" t="n">
        <x:f>'成本明细'!V193</x:f>
        <x:v>6606.5</x:v>
      </x:c>
      <x:c r="J1284" s="22" t="n">
        <x:f>'参数'!$B$9</x:f>
        <x:v>300</x:v>
      </x:c>
      <x:c r="K1284" s="26" t="n">
        <x:f>J1284*(G1284-H1284)-I1284*ROUNDUP(J1284/F1284,0)</x:f>
        <x:v>-162583.03903299995</x:v>
      </x:c>
      <x:c r="L1284" s="10" t="str">
        <x:f>IF(G1284-H1284&lt;=0,"未回本",IF(ROUNDUP(I1284/(G1284-H1284),0)&gt;MIN(F1284,J1284),"未回本",MAX(1,ROUNDUP(I1284/(G1284-H1284),0))))</x:f>
        <x:v>未回本</x:v>
      </x:c>
    </x:row>
    <x:row r="1285" ht="22" customHeight="1">
      <x:c r="A1285" s="11" t="str">
        <x:v>lade_0826_20aoi</x:v>
      </x:c>
      <x:c r="B1285" s="10" t="n">
        <x:v>20</x:v>
      </x:c>
      <x:c r="C1285" s="10" t="n">
        <x:v>43</x:v>
      </x:c>
      <x:c r="D1285" s="10" t="str">
        <x:v>M2 / M4</x:v>
      </x:c>
      <x:c r="E1285" s="16" t="n">
        <x:v>5</x:v>
      </x:c>
      <x:c r="F1285" s="14" t="n">
        <x:v>50</x:v>
      </x:c>
      <x:c r="G1285" s="26" t="n">
        <x:f>'成本明细'!U190+'成本明细'!G190*(E1285-'参数'!$B$6)</x:f>
        <x:v>3076.2248830494445</x:v>
      </x:c>
      <x:c r="H1285" s="26" t="n">
        <x:f>'成本明细'!U196</x:f>
        <x:v>3286.30136602</x:v>
      </x:c>
      <x:c r="I1285" s="26" t="n">
        <x:f>'成本明细'!V196</x:f>
        <x:v>6606.5</x:v>
      </x:c>
      <x:c r="J1285" s="22" t="n">
        <x:f>'参数'!$B$9</x:f>
        <x:v>300</x:v>
      </x:c>
      <x:c r="K1285" s="26" t="n">
        <x:f>J1285*(G1285-H1285)-I1285*ROUNDUP(J1285/F1285,0)</x:f>
        <x:v>-102661.94489116661</x:v>
      </x:c>
      <x:c r="L1285" s="10" t="str">
        <x:f>IF(G1285-H1285&lt;=0,"未回本",IF(ROUNDUP(I1285/(G1285-H1285),0)&gt;MIN(F1285,J1285),"未回本",MAX(1,ROUNDUP(I1285/(G1285-H1285),0))))</x:f>
        <x:v>未回本</x:v>
      </x:c>
    </x:row>
    <x:row r="1286" ht="22" customHeight="1">
      <x:c r="A1286" s="11" t="str">
        <x:v>lade_0826_20aoi</x:v>
      </x:c>
      <x:c r="B1286" s="10" t="n">
        <x:v>20</x:v>
      </x:c>
      <x:c r="C1286" s="10" t="n">
        <x:v>44</x:v>
      </x:c>
      <x:c r="D1286" s="10" t="str">
        <x:v>M1 / M3</x:v>
      </x:c>
      <x:c r="E1286" s="16" t="n">
        <x:v>1</x:v>
      </x:c>
      <x:c r="F1286" s="14" t="n">
        <x:v>10</x:v>
      </x:c>
      <x:c r="G1286" s="26" t="n">
        <x:f>'成本明细'!U188+'成本明细'!G188*(E1286-'参数'!$B$6)</x:f>
        <x:v>2601.8283786111115</x:v>
      </x:c>
      <x:c r="H1286" s="26" t="n">
        <x:f>'成本明细'!U194</x:f>
        <x:v>3733.7799206494446</x:v>
      </x:c>
      <x:c r="I1286" s="26" t="n">
        <x:f>'成本明细'!V194</x:f>
        <x:v>6606.5</x:v>
      </x:c>
      <x:c r="J1286" s="22" t="n">
        <x:f>'参数'!$B$9</x:f>
        <x:v>300</x:v>
      </x:c>
      <x:c r="K1286" s="26" t="n">
        <x:f>J1286*(G1286-H1286)-I1286*ROUNDUP(J1286/F1286,0)</x:f>
        <x:v>-537780.4626114999</x:v>
      </x:c>
      <x:c r="L1286" s="10" t="str">
        <x:f>IF(G1286-H1286&lt;=0,"未回本",IF(ROUNDUP(I1286/(G1286-H1286),0)&gt;MIN(F1286,J1286),"未回本",MAX(1,ROUNDUP(I1286/(G1286-H1286),0))))</x:f>
        <x:v>未回本</x:v>
      </x:c>
    </x:row>
    <x:row r="1287" ht="22" customHeight="1">
      <x:c r="A1287" s="11" t="str">
        <x:v>lade_0826_20aoi</x:v>
      </x:c>
      <x:c r="B1287" s="10" t="n">
        <x:v>20</x:v>
      </x:c>
      <x:c r="C1287" s="10" t="n">
        <x:v>44</x:v>
      </x:c>
      <x:c r="D1287" s="10" t="str">
        <x:v>M2 / M4</x:v>
      </x:c>
      <x:c r="E1287" s="16" t="n">
        <x:v>1</x:v>
      </x:c>
      <x:c r="F1287" s="14" t="n">
        <x:v>10</x:v>
      </x:c>
      <x:c r="G1287" s="26" t="n">
        <x:f>'成本明细'!U191+'成本明细'!G191*(E1287-'参数'!$B$6)</x:f>
        <x:v>2359.3486108555553</x:v>
      </x:c>
      <x:c r="H1287" s="26" t="n">
        <x:f>'成本明细'!U197</x:f>
        <x:v>4196.703876887222</x:v>
      </x:c>
      <x:c r="I1287" s="26" t="n">
        <x:f>'成本明细'!V197</x:f>
        <x:v>6606.5</x:v>
      </x:c>
      <x:c r="J1287" s="22" t="n">
        <x:f>'参数'!$B$9</x:f>
        <x:v>300</x:v>
      </x:c>
      <x:c r="K1287" s="26" t="n">
        <x:f>J1287*(G1287-H1287)-I1287*ROUNDUP(J1287/F1287,0)</x:f>
        <x:v>-749401.5798094999</x:v>
      </x:c>
      <x:c r="L1287" s="10" t="str">
        <x:f>IF(G1287-H1287&lt;=0,"未回本",IF(ROUNDUP(I1287/(G1287-H1287),0)&gt;MIN(F1287,J1287),"未回本",MAX(1,ROUNDUP(I1287/(G1287-H1287),0))))</x:f>
        <x:v>未回本</x:v>
      </x:c>
    </x:row>
    <x:row r="1288" ht="22" customHeight="1">
      <x:c r="A1288" s="11" t="str">
        <x:v>lade_0826_20aoi</x:v>
      </x:c>
      <x:c r="B1288" s="10" t="n">
        <x:v>20</x:v>
      </x:c>
      <x:c r="C1288" s="10" t="n">
        <x:v>44</x:v>
      </x:c>
      <x:c r="D1288" s="10" t="str">
        <x:v>M1 / M3</x:v>
      </x:c>
      <x:c r="E1288" s="16" t="n">
        <x:v>1</x:v>
      </x:c>
      <x:c r="F1288" s="14" t="n">
        <x:v>20</x:v>
      </x:c>
      <x:c r="G1288" s="26" t="n">
        <x:f>'成本明细'!U188+'成本明细'!G188*(E1288-'参数'!$B$6)</x:f>
        <x:v>2601.8283786111115</x:v>
      </x:c>
      <x:c r="H1288" s="26" t="n">
        <x:f>'成本明细'!U194</x:f>
        <x:v>3733.7799206494446</x:v>
      </x:c>
      <x:c r="I1288" s="26" t="n">
        <x:f>'成本明细'!V194</x:f>
        <x:v>6606.5</x:v>
      </x:c>
      <x:c r="J1288" s="22" t="n">
        <x:f>'参数'!$B$9</x:f>
        <x:v>300</x:v>
      </x:c>
      <x:c r="K1288" s="26" t="n">
        <x:f>J1288*(G1288-H1288)-I1288*ROUNDUP(J1288/F1288,0)</x:f>
        <x:v>-438682.96261149994</x:v>
      </x:c>
      <x:c r="L1288" s="10" t="str">
        <x:f>IF(G1288-H1288&lt;=0,"未回本",IF(ROUNDUP(I1288/(G1288-H1288),0)&gt;MIN(F1288,J1288),"未回本",MAX(1,ROUNDUP(I1288/(G1288-H1288),0))))</x:f>
        <x:v>未回本</x:v>
      </x:c>
    </x:row>
    <x:row r="1289" ht="22" customHeight="1">
      <x:c r="A1289" s="11" t="str">
        <x:v>lade_0826_20aoi</x:v>
      </x:c>
      <x:c r="B1289" s="10" t="n">
        <x:v>20</x:v>
      </x:c>
      <x:c r="C1289" s="10" t="n">
        <x:v>44</x:v>
      </x:c>
      <x:c r="D1289" s="10" t="str">
        <x:v>M2 / M4</x:v>
      </x:c>
      <x:c r="E1289" s="16" t="n">
        <x:v>1</x:v>
      </x:c>
      <x:c r="F1289" s="14" t="n">
        <x:v>20</x:v>
      </x:c>
      <x:c r="G1289" s="26" t="n">
        <x:f>'成本明细'!U191+'成本明细'!G191*(E1289-'参数'!$B$6)</x:f>
        <x:v>2359.3486108555553</x:v>
      </x:c>
      <x:c r="H1289" s="26" t="n">
        <x:f>'成本明细'!U197</x:f>
        <x:v>4196.703876887222</x:v>
      </x:c>
      <x:c r="I1289" s="26" t="n">
        <x:f>'成本明细'!V197</x:f>
        <x:v>6606.5</x:v>
      </x:c>
      <x:c r="J1289" s="22" t="n">
        <x:f>'参数'!$B$9</x:f>
        <x:v>300</x:v>
      </x:c>
      <x:c r="K1289" s="26" t="n">
        <x:f>J1289*(G1289-H1289)-I1289*ROUNDUP(J1289/F1289,0)</x:f>
        <x:v>-650304.0798094999</x:v>
      </x:c>
      <x:c r="L1289" s="10" t="str">
        <x:f>IF(G1289-H1289&lt;=0,"未回本",IF(ROUNDUP(I1289/(G1289-H1289),0)&gt;MIN(F1289,J1289),"未回本",MAX(1,ROUNDUP(I1289/(G1289-H1289),0))))</x:f>
        <x:v>未回本</x:v>
      </x:c>
    </x:row>
    <x:row r="1290" ht="22" customHeight="1">
      <x:c r="A1290" s="11" t="str">
        <x:v>lade_0826_20aoi</x:v>
      </x:c>
      <x:c r="B1290" s="10" t="n">
        <x:v>20</x:v>
      </x:c>
      <x:c r="C1290" s="10" t="n">
        <x:v>44</x:v>
      </x:c>
      <x:c r="D1290" s="10" t="str">
        <x:v>M1 / M3</x:v>
      </x:c>
      <x:c r="E1290" s="16" t="n">
        <x:v>1</x:v>
      </x:c>
      <x:c r="F1290" s="14" t="n">
        <x:v>30</x:v>
      </x:c>
      <x:c r="G1290" s="26" t="n">
        <x:f>'成本明细'!U188+'成本明细'!G188*(E1290-'参数'!$B$6)</x:f>
        <x:v>2601.8283786111115</x:v>
      </x:c>
      <x:c r="H1290" s="26" t="n">
        <x:f>'成本明细'!U194</x:f>
        <x:v>3733.7799206494446</x:v>
      </x:c>
      <x:c r="I1290" s="26" t="n">
        <x:f>'成本明细'!V194</x:f>
        <x:v>6606.5</x:v>
      </x:c>
      <x:c r="J1290" s="22" t="n">
        <x:f>'参数'!$B$9</x:f>
        <x:v>300</x:v>
      </x:c>
      <x:c r="K1290" s="26" t="n">
        <x:f>J1290*(G1290-H1290)-I1290*ROUNDUP(J1290/F1290,0)</x:f>
        <x:v>-405650.46261149994</x:v>
      </x:c>
      <x:c r="L1290" s="10" t="str">
        <x:f>IF(G1290-H1290&lt;=0,"未回本",IF(ROUNDUP(I1290/(G1290-H1290),0)&gt;MIN(F1290,J1290),"未回本",MAX(1,ROUNDUP(I1290/(G1290-H1290),0))))</x:f>
        <x:v>未回本</x:v>
      </x:c>
    </x:row>
    <x:row r="1291" ht="22" customHeight="1">
      <x:c r="A1291" s="11" t="str">
        <x:v>lade_0826_20aoi</x:v>
      </x:c>
      <x:c r="B1291" s="10" t="n">
        <x:v>20</x:v>
      </x:c>
      <x:c r="C1291" s="10" t="n">
        <x:v>44</x:v>
      </x:c>
      <x:c r="D1291" s="10" t="str">
        <x:v>M2 / M4</x:v>
      </x:c>
      <x:c r="E1291" s="16" t="n">
        <x:v>1</x:v>
      </x:c>
      <x:c r="F1291" s="14" t="n">
        <x:v>30</x:v>
      </x:c>
      <x:c r="G1291" s="26" t="n">
        <x:f>'成本明细'!U191+'成本明细'!G191*(E1291-'参数'!$B$6)</x:f>
        <x:v>2359.3486108555553</x:v>
      </x:c>
      <x:c r="H1291" s="26" t="n">
        <x:f>'成本明细'!U197</x:f>
        <x:v>4196.703876887222</x:v>
      </x:c>
      <x:c r="I1291" s="26" t="n">
        <x:f>'成本明细'!V197</x:f>
        <x:v>6606.5</x:v>
      </x:c>
      <x:c r="J1291" s="22" t="n">
        <x:f>'参数'!$B$9</x:f>
        <x:v>300</x:v>
      </x:c>
      <x:c r="K1291" s="26" t="n">
        <x:f>J1291*(G1291-H1291)-I1291*ROUNDUP(J1291/F1291,0)</x:f>
        <x:v>-617271.5798094999</x:v>
      </x:c>
      <x:c r="L1291" s="10" t="str">
        <x:f>IF(G1291-H1291&lt;=0,"未回本",IF(ROUNDUP(I1291/(G1291-H1291),0)&gt;MIN(F1291,J1291),"未回本",MAX(1,ROUNDUP(I1291/(G1291-H1291),0))))</x:f>
        <x:v>未回本</x:v>
      </x:c>
    </x:row>
    <x:row r="1292" ht="22" customHeight="1">
      <x:c r="A1292" s="11" t="str">
        <x:v>lade_0826_20aoi</x:v>
      </x:c>
      <x:c r="B1292" s="10" t="n">
        <x:v>20</x:v>
      </x:c>
      <x:c r="C1292" s="10" t="n">
        <x:v>44</x:v>
      </x:c>
      <x:c r="D1292" s="10" t="str">
        <x:v>M1 / M3</x:v>
      </x:c>
      <x:c r="E1292" s="16" t="n">
        <x:v>1</x:v>
      </x:c>
      <x:c r="F1292" s="14" t="n">
        <x:v>50</x:v>
      </x:c>
      <x:c r="G1292" s="26" t="n">
        <x:f>'成本明细'!U188+'成本明细'!G188*(E1292-'参数'!$B$6)</x:f>
        <x:v>2601.8283786111115</x:v>
      </x:c>
      <x:c r="H1292" s="26" t="n">
        <x:f>'成本明细'!U194</x:f>
        <x:v>3733.7799206494446</x:v>
      </x:c>
      <x:c r="I1292" s="26" t="n">
        <x:f>'成本明细'!V194</x:f>
        <x:v>6606.5</x:v>
      </x:c>
      <x:c r="J1292" s="22" t="n">
        <x:f>'参数'!$B$9</x:f>
        <x:v>300</x:v>
      </x:c>
      <x:c r="K1292" s="26" t="n">
        <x:f>J1292*(G1292-H1292)-I1292*ROUNDUP(J1292/F1292,0)</x:f>
        <x:v>-379224.46261149994</x:v>
      </x:c>
      <x:c r="L1292" s="10" t="str">
        <x:f>IF(G1292-H1292&lt;=0,"未回本",IF(ROUNDUP(I1292/(G1292-H1292),0)&gt;MIN(F1292,J1292),"未回本",MAX(1,ROUNDUP(I1292/(G1292-H1292),0))))</x:f>
        <x:v>未回本</x:v>
      </x:c>
    </x:row>
    <x:row r="1293" ht="22" customHeight="1">
      <x:c r="A1293" s="11" t="str">
        <x:v>lade_0826_20aoi</x:v>
      </x:c>
      <x:c r="B1293" s="10" t="n">
        <x:v>20</x:v>
      </x:c>
      <x:c r="C1293" s="10" t="n">
        <x:v>44</x:v>
      </x:c>
      <x:c r="D1293" s="10" t="str">
        <x:v>M2 / M4</x:v>
      </x:c>
      <x:c r="E1293" s="16" t="n">
        <x:v>1</x:v>
      </x:c>
      <x:c r="F1293" s="14" t="n">
        <x:v>50</x:v>
      </x:c>
      <x:c r="G1293" s="26" t="n">
        <x:f>'成本明细'!U191+'成本明细'!G191*(E1293-'参数'!$B$6)</x:f>
        <x:v>2359.3486108555553</x:v>
      </x:c>
      <x:c r="H1293" s="26" t="n">
        <x:f>'成本明细'!U197</x:f>
        <x:v>4196.703876887222</x:v>
      </x:c>
      <x:c r="I1293" s="26" t="n">
        <x:f>'成本明细'!V197</x:f>
        <x:v>6606.5</x:v>
      </x:c>
      <x:c r="J1293" s="22" t="n">
        <x:f>'参数'!$B$9</x:f>
        <x:v>300</x:v>
      </x:c>
      <x:c r="K1293" s="26" t="n">
        <x:f>J1293*(G1293-H1293)-I1293*ROUNDUP(J1293/F1293,0)</x:f>
        <x:v>-590845.5798094999</x:v>
      </x:c>
      <x:c r="L1293" s="10" t="str">
        <x:f>IF(G1293-H1293&lt;=0,"未回本",IF(ROUNDUP(I1293/(G1293-H1293),0)&gt;MIN(F1293,J1293),"未回本",MAX(1,ROUNDUP(I1293/(G1293-H1293),0))))</x:f>
        <x:v>未回本</x:v>
      </x:c>
    </x:row>
    <x:row r="1294" ht="22" customHeight="1">
      <x:c r="A1294" s="11" t="str">
        <x:v>lade_0826_20aoi</x:v>
      </x:c>
      <x:c r="B1294" s="10" t="n">
        <x:v>20</x:v>
      </x:c>
      <x:c r="C1294" s="10" t="n">
        <x:v>44</x:v>
      </x:c>
      <x:c r="D1294" s="10" t="str">
        <x:v>M1 / M3</x:v>
      </x:c>
      <x:c r="E1294" s="16" t="n">
        <x:v>2</x:v>
      </x:c>
      <x:c r="F1294" s="14" t="n">
        <x:v>10</x:v>
      </x:c>
      <x:c r="G1294" s="26" t="n">
        <x:f>'成本明细'!U188+'成本明细'!G188*(E1294-'参数'!$B$6)</x:f>
        <x:v>2782.8283786111115</x:v>
      </x:c>
      <x:c r="H1294" s="26" t="n">
        <x:f>'成本明细'!U194</x:f>
        <x:v>3733.7799206494446</x:v>
      </x:c>
      <x:c r="I1294" s="26" t="n">
        <x:f>'成本明细'!V194</x:f>
        <x:v>6606.5</x:v>
      </x:c>
      <x:c r="J1294" s="22" t="n">
        <x:f>'参数'!$B$9</x:f>
        <x:v>300</x:v>
      </x:c>
      <x:c r="K1294" s="26" t="n">
        <x:f>J1294*(G1294-H1294)-I1294*ROUNDUP(J1294/F1294,0)</x:f>
        <x:v>-483480.46261149994</x:v>
      </x:c>
      <x:c r="L1294" s="10" t="str">
        <x:f>IF(G1294-H1294&lt;=0,"未回本",IF(ROUNDUP(I1294/(G1294-H1294),0)&gt;MIN(F1294,J1294),"未回本",MAX(1,ROUNDUP(I1294/(G1294-H1294),0))))</x:f>
        <x:v>未回本</x:v>
      </x:c>
    </x:row>
    <x:row r="1295" ht="22" customHeight="1">
      <x:c r="A1295" s="11" t="str">
        <x:v>lade_0826_20aoi</x:v>
      </x:c>
      <x:c r="B1295" s="10" t="n">
        <x:v>20</x:v>
      </x:c>
      <x:c r="C1295" s="10" t="n">
        <x:v>44</x:v>
      </x:c>
      <x:c r="D1295" s="10" t="str">
        <x:v>M2 / M4</x:v>
      </x:c>
      <x:c r="E1295" s="16" t="n">
        <x:v>2</x:v>
      </x:c>
      <x:c r="F1295" s="14" t="n">
        <x:v>10</x:v>
      </x:c>
      <x:c r="G1295" s="26" t="n">
        <x:f>'成本明细'!U191+'成本明细'!G191*(E1295-'参数'!$B$6)</x:f>
        <x:v>2540.3486108555553</x:v>
      </x:c>
      <x:c r="H1295" s="26" t="n">
        <x:f>'成本明细'!U197</x:f>
        <x:v>4196.703876887222</x:v>
      </x:c>
      <x:c r="I1295" s="26" t="n">
        <x:f>'成本明细'!V197</x:f>
        <x:v>6606.5</x:v>
      </x:c>
      <x:c r="J1295" s="22" t="n">
        <x:f>'参数'!$B$9</x:f>
        <x:v>300</x:v>
      </x:c>
      <x:c r="K1295" s="26" t="n">
        <x:f>J1295*(G1295-H1295)-I1295*ROUNDUP(J1295/F1295,0)</x:f>
        <x:v>-695101.5798094999</x:v>
      </x:c>
      <x:c r="L1295" s="10" t="str">
        <x:f>IF(G1295-H1295&lt;=0,"未回本",IF(ROUNDUP(I1295/(G1295-H1295),0)&gt;MIN(F1295,J1295),"未回本",MAX(1,ROUNDUP(I1295/(G1295-H1295),0))))</x:f>
        <x:v>未回本</x:v>
      </x:c>
    </x:row>
    <x:row r="1296" ht="22" customHeight="1">
      <x:c r="A1296" s="11" t="str">
        <x:v>lade_0826_20aoi</x:v>
      </x:c>
      <x:c r="B1296" s="10" t="n">
        <x:v>20</x:v>
      </x:c>
      <x:c r="C1296" s="10" t="n">
        <x:v>44</x:v>
      </x:c>
      <x:c r="D1296" s="10" t="str">
        <x:v>M1 / M3</x:v>
      </x:c>
      <x:c r="E1296" s="16" t="n">
        <x:v>2</x:v>
      </x:c>
      <x:c r="F1296" s="14" t="n">
        <x:v>20</x:v>
      </x:c>
      <x:c r="G1296" s="26" t="n">
        <x:f>'成本明细'!U188+'成本明细'!G188*(E1296-'参数'!$B$6)</x:f>
        <x:v>2782.8283786111115</x:v>
      </x:c>
      <x:c r="H1296" s="26" t="n">
        <x:f>'成本明细'!U194</x:f>
        <x:v>3733.7799206494446</x:v>
      </x:c>
      <x:c r="I1296" s="26" t="n">
        <x:f>'成本明细'!V194</x:f>
        <x:v>6606.5</x:v>
      </x:c>
      <x:c r="J1296" s="22" t="n">
        <x:f>'参数'!$B$9</x:f>
        <x:v>300</x:v>
      </x:c>
      <x:c r="K1296" s="26" t="n">
        <x:f>J1296*(G1296-H1296)-I1296*ROUNDUP(J1296/F1296,0)</x:f>
        <x:v>-384382.96261149994</x:v>
      </x:c>
      <x:c r="L1296" s="10" t="str">
        <x:f>IF(G1296-H1296&lt;=0,"未回本",IF(ROUNDUP(I1296/(G1296-H1296),0)&gt;MIN(F1296,J1296),"未回本",MAX(1,ROUNDUP(I1296/(G1296-H1296),0))))</x:f>
        <x:v>未回本</x:v>
      </x:c>
    </x:row>
    <x:row r="1297" ht="22" customHeight="1">
      <x:c r="A1297" s="11" t="str">
        <x:v>lade_0826_20aoi</x:v>
      </x:c>
      <x:c r="B1297" s="10" t="n">
        <x:v>20</x:v>
      </x:c>
      <x:c r="C1297" s="10" t="n">
        <x:v>44</x:v>
      </x:c>
      <x:c r="D1297" s="10" t="str">
        <x:v>M2 / M4</x:v>
      </x:c>
      <x:c r="E1297" s="16" t="n">
        <x:v>2</x:v>
      </x:c>
      <x:c r="F1297" s="14" t="n">
        <x:v>20</x:v>
      </x:c>
      <x:c r="G1297" s="26" t="n">
        <x:f>'成本明细'!U191+'成本明细'!G191*(E1297-'参数'!$B$6)</x:f>
        <x:v>2540.3486108555553</x:v>
      </x:c>
      <x:c r="H1297" s="26" t="n">
        <x:f>'成本明细'!U197</x:f>
        <x:v>4196.703876887222</x:v>
      </x:c>
      <x:c r="I1297" s="26" t="n">
        <x:f>'成本明细'!V197</x:f>
        <x:v>6606.5</x:v>
      </x:c>
      <x:c r="J1297" s="22" t="n">
        <x:f>'参数'!$B$9</x:f>
        <x:v>300</x:v>
      </x:c>
      <x:c r="K1297" s="26" t="n">
        <x:f>J1297*(G1297-H1297)-I1297*ROUNDUP(J1297/F1297,0)</x:f>
        <x:v>-596004.0798094999</x:v>
      </x:c>
      <x:c r="L1297" s="10" t="str">
        <x:f>IF(G1297-H1297&lt;=0,"未回本",IF(ROUNDUP(I1297/(G1297-H1297),0)&gt;MIN(F1297,J1297),"未回本",MAX(1,ROUNDUP(I1297/(G1297-H1297),0))))</x:f>
        <x:v>未回本</x:v>
      </x:c>
    </x:row>
    <x:row r="1298" ht="22" customHeight="1">
      <x:c r="A1298" s="11" t="str">
        <x:v>lade_0826_20aoi</x:v>
      </x:c>
      <x:c r="B1298" s="10" t="n">
        <x:v>20</x:v>
      </x:c>
      <x:c r="C1298" s="10" t="n">
        <x:v>44</x:v>
      </x:c>
      <x:c r="D1298" s="10" t="str">
        <x:v>M1 / M3</x:v>
      </x:c>
      <x:c r="E1298" s="16" t="n">
        <x:v>2</x:v>
      </x:c>
      <x:c r="F1298" s="14" t="n">
        <x:v>30</x:v>
      </x:c>
      <x:c r="G1298" s="26" t="n">
        <x:f>'成本明细'!U188+'成本明细'!G188*(E1298-'参数'!$B$6)</x:f>
        <x:v>2782.8283786111115</x:v>
      </x:c>
      <x:c r="H1298" s="26" t="n">
        <x:f>'成本明细'!U194</x:f>
        <x:v>3733.7799206494446</x:v>
      </x:c>
      <x:c r="I1298" s="26" t="n">
        <x:f>'成本明细'!V194</x:f>
        <x:v>6606.5</x:v>
      </x:c>
      <x:c r="J1298" s="22" t="n">
        <x:f>'参数'!$B$9</x:f>
        <x:v>300</x:v>
      </x:c>
      <x:c r="K1298" s="26" t="n">
        <x:f>J1298*(G1298-H1298)-I1298*ROUNDUP(J1298/F1298,0)</x:f>
        <x:v>-351350.46261149994</x:v>
      </x:c>
      <x:c r="L1298" s="10" t="str">
        <x:f>IF(G1298-H1298&lt;=0,"未回本",IF(ROUNDUP(I1298/(G1298-H1298),0)&gt;MIN(F1298,J1298),"未回本",MAX(1,ROUNDUP(I1298/(G1298-H1298),0))))</x:f>
        <x:v>未回本</x:v>
      </x:c>
    </x:row>
    <x:row r="1299" ht="22" customHeight="1">
      <x:c r="A1299" s="11" t="str">
        <x:v>lade_0826_20aoi</x:v>
      </x:c>
      <x:c r="B1299" s="10" t="n">
        <x:v>20</x:v>
      </x:c>
      <x:c r="C1299" s="10" t="n">
        <x:v>44</x:v>
      </x:c>
      <x:c r="D1299" s="10" t="str">
        <x:v>M2 / M4</x:v>
      </x:c>
      <x:c r="E1299" s="16" t="n">
        <x:v>2</x:v>
      </x:c>
      <x:c r="F1299" s="14" t="n">
        <x:v>30</x:v>
      </x:c>
      <x:c r="G1299" s="26" t="n">
        <x:f>'成本明细'!U191+'成本明细'!G191*(E1299-'参数'!$B$6)</x:f>
        <x:v>2540.3486108555553</x:v>
      </x:c>
      <x:c r="H1299" s="26" t="n">
        <x:f>'成本明细'!U197</x:f>
        <x:v>4196.703876887222</x:v>
      </x:c>
      <x:c r="I1299" s="26" t="n">
        <x:f>'成本明细'!V197</x:f>
        <x:v>6606.5</x:v>
      </x:c>
      <x:c r="J1299" s="22" t="n">
        <x:f>'参数'!$B$9</x:f>
        <x:v>300</x:v>
      </x:c>
      <x:c r="K1299" s="26" t="n">
        <x:f>J1299*(G1299-H1299)-I1299*ROUNDUP(J1299/F1299,0)</x:f>
        <x:v>-562971.5798094999</x:v>
      </x:c>
      <x:c r="L1299" s="10" t="str">
        <x:f>IF(G1299-H1299&lt;=0,"未回本",IF(ROUNDUP(I1299/(G1299-H1299),0)&gt;MIN(F1299,J1299),"未回本",MAX(1,ROUNDUP(I1299/(G1299-H1299),0))))</x:f>
        <x:v>未回本</x:v>
      </x:c>
    </x:row>
    <x:row r="1300" ht="22" customHeight="1">
      <x:c r="A1300" s="11" t="str">
        <x:v>lade_0826_20aoi</x:v>
      </x:c>
      <x:c r="B1300" s="10" t="n">
        <x:v>20</x:v>
      </x:c>
      <x:c r="C1300" s="10" t="n">
        <x:v>44</x:v>
      </x:c>
      <x:c r="D1300" s="10" t="str">
        <x:v>M1 / M3</x:v>
      </x:c>
      <x:c r="E1300" s="16" t="n">
        <x:v>2</x:v>
      </x:c>
      <x:c r="F1300" s="14" t="n">
        <x:v>50</x:v>
      </x:c>
      <x:c r="G1300" s="26" t="n">
        <x:f>'成本明细'!U188+'成本明细'!G188*(E1300-'参数'!$B$6)</x:f>
        <x:v>2782.8283786111115</x:v>
      </x:c>
      <x:c r="H1300" s="26" t="n">
        <x:f>'成本明细'!U194</x:f>
        <x:v>3733.7799206494446</x:v>
      </x:c>
      <x:c r="I1300" s="26" t="n">
        <x:f>'成本明细'!V194</x:f>
        <x:v>6606.5</x:v>
      </x:c>
      <x:c r="J1300" s="22" t="n">
        <x:f>'参数'!$B$9</x:f>
        <x:v>300</x:v>
      </x:c>
      <x:c r="K1300" s="26" t="n">
        <x:f>J1300*(G1300-H1300)-I1300*ROUNDUP(J1300/F1300,0)</x:f>
        <x:v>-324924.46261149994</x:v>
      </x:c>
      <x:c r="L1300" s="10" t="str">
        <x:f>IF(G1300-H1300&lt;=0,"未回本",IF(ROUNDUP(I1300/(G1300-H1300),0)&gt;MIN(F1300,J1300),"未回本",MAX(1,ROUNDUP(I1300/(G1300-H1300),0))))</x:f>
        <x:v>未回本</x:v>
      </x:c>
    </x:row>
    <x:row r="1301" ht="22" customHeight="1">
      <x:c r="A1301" s="11" t="str">
        <x:v>lade_0826_20aoi</x:v>
      </x:c>
      <x:c r="B1301" s="10" t="n">
        <x:v>20</x:v>
      </x:c>
      <x:c r="C1301" s="10" t="n">
        <x:v>44</x:v>
      </x:c>
      <x:c r="D1301" s="10" t="str">
        <x:v>M2 / M4</x:v>
      </x:c>
      <x:c r="E1301" s="16" t="n">
        <x:v>2</x:v>
      </x:c>
      <x:c r="F1301" s="14" t="n">
        <x:v>50</x:v>
      </x:c>
      <x:c r="G1301" s="26" t="n">
        <x:f>'成本明细'!U191+'成本明细'!G191*(E1301-'参数'!$B$6)</x:f>
        <x:v>2540.3486108555553</x:v>
      </x:c>
      <x:c r="H1301" s="26" t="n">
        <x:f>'成本明细'!U197</x:f>
        <x:v>4196.703876887222</x:v>
      </x:c>
      <x:c r="I1301" s="26" t="n">
        <x:f>'成本明细'!V197</x:f>
        <x:v>6606.5</x:v>
      </x:c>
      <x:c r="J1301" s="22" t="n">
        <x:f>'参数'!$B$9</x:f>
        <x:v>300</x:v>
      </x:c>
      <x:c r="K1301" s="26" t="n">
        <x:f>J1301*(G1301-H1301)-I1301*ROUNDUP(J1301/F1301,0)</x:f>
        <x:v>-536545.5798094999</x:v>
      </x:c>
      <x:c r="L1301" s="10" t="str">
        <x:f>IF(G1301-H1301&lt;=0,"未回本",IF(ROUNDUP(I1301/(G1301-H1301),0)&gt;MIN(F1301,J1301),"未回本",MAX(1,ROUNDUP(I1301/(G1301-H1301),0))))</x:f>
        <x:v>未回本</x:v>
      </x:c>
    </x:row>
    <x:row r="1302" ht="22" customHeight="1">
      <x:c r="A1302" s="11" t="str">
        <x:v>lade_0826_20aoi</x:v>
      </x:c>
      <x:c r="B1302" s="10" t="n">
        <x:v>20</x:v>
      </x:c>
      <x:c r="C1302" s="10" t="n">
        <x:v>44</x:v>
      </x:c>
      <x:c r="D1302" s="10" t="str">
        <x:v>M1 / M3</x:v>
      </x:c>
      <x:c r="E1302" s="16" t="n">
        <x:v>3</x:v>
      </x:c>
      <x:c r="F1302" s="14" t="n">
        <x:v>10</x:v>
      </x:c>
      <x:c r="G1302" s="26" t="n">
        <x:f>'成本明细'!U188+'成本明细'!G188*(E1302-'参数'!$B$6)</x:f>
        <x:v>2963.8283786111115</x:v>
      </x:c>
      <x:c r="H1302" s="26" t="n">
        <x:f>'成本明细'!U194</x:f>
        <x:v>3733.7799206494446</x:v>
      </x:c>
      <x:c r="I1302" s="26" t="n">
        <x:f>'成本明细'!V194</x:f>
        <x:v>6606.5</x:v>
      </x:c>
      <x:c r="J1302" s="22" t="n">
        <x:f>'参数'!$B$9</x:f>
        <x:v>300</x:v>
      </x:c>
      <x:c r="K1302" s="26" t="n">
        <x:f>J1302*(G1302-H1302)-I1302*ROUNDUP(J1302/F1302,0)</x:f>
        <x:v>-429180.46261149994</x:v>
      </x:c>
      <x:c r="L1302" s="10" t="str">
        <x:f>IF(G1302-H1302&lt;=0,"未回本",IF(ROUNDUP(I1302/(G1302-H1302),0)&gt;MIN(F1302,J1302),"未回本",MAX(1,ROUNDUP(I1302/(G1302-H1302),0))))</x:f>
        <x:v>未回本</x:v>
      </x:c>
    </x:row>
    <x:row r="1303" ht="22" customHeight="1">
      <x:c r="A1303" s="11" t="str">
        <x:v>lade_0826_20aoi</x:v>
      </x:c>
      <x:c r="B1303" s="10" t="n">
        <x:v>20</x:v>
      </x:c>
      <x:c r="C1303" s="10" t="n">
        <x:v>44</x:v>
      </x:c>
      <x:c r="D1303" s="10" t="str">
        <x:v>M2 / M4</x:v>
      </x:c>
      <x:c r="E1303" s="16" t="n">
        <x:v>3</x:v>
      </x:c>
      <x:c r="F1303" s="14" t="n">
        <x:v>10</x:v>
      </x:c>
      <x:c r="G1303" s="26" t="n">
        <x:f>'成本明细'!U191+'成本明细'!G191*(E1303-'参数'!$B$6)</x:f>
        <x:v>2721.3486108555553</x:v>
      </x:c>
      <x:c r="H1303" s="26" t="n">
        <x:f>'成本明细'!U197</x:f>
        <x:v>4196.703876887222</x:v>
      </x:c>
      <x:c r="I1303" s="26" t="n">
        <x:f>'成本明细'!V197</x:f>
        <x:v>6606.5</x:v>
      </x:c>
      <x:c r="J1303" s="22" t="n">
        <x:f>'参数'!$B$9</x:f>
        <x:v>300</x:v>
      </x:c>
      <x:c r="K1303" s="26" t="n">
        <x:f>J1303*(G1303-H1303)-I1303*ROUNDUP(J1303/F1303,0)</x:f>
        <x:v>-640801.5798094999</x:v>
      </x:c>
      <x:c r="L1303" s="10" t="str">
        <x:f>IF(G1303-H1303&lt;=0,"未回本",IF(ROUNDUP(I1303/(G1303-H1303),0)&gt;MIN(F1303,J1303),"未回本",MAX(1,ROUNDUP(I1303/(G1303-H1303),0))))</x:f>
        <x:v>未回本</x:v>
      </x:c>
    </x:row>
    <x:row r="1304" ht="22" customHeight="1">
      <x:c r="A1304" s="11" t="str">
        <x:v>lade_0826_20aoi</x:v>
      </x:c>
      <x:c r="B1304" s="10" t="n">
        <x:v>20</x:v>
      </x:c>
      <x:c r="C1304" s="10" t="n">
        <x:v>44</x:v>
      </x:c>
      <x:c r="D1304" s="10" t="str">
        <x:v>M1 / M3</x:v>
      </x:c>
      <x:c r="E1304" s="16" t="n">
        <x:v>3</x:v>
      </x:c>
      <x:c r="F1304" s="14" t="n">
        <x:v>20</x:v>
      </x:c>
      <x:c r="G1304" s="26" t="n">
        <x:f>'成本明细'!U188+'成本明细'!G188*(E1304-'参数'!$B$6)</x:f>
        <x:v>2963.8283786111115</x:v>
      </x:c>
      <x:c r="H1304" s="26" t="n">
        <x:f>'成本明细'!U194</x:f>
        <x:v>3733.7799206494446</x:v>
      </x:c>
      <x:c r="I1304" s="26" t="n">
        <x:f>'成本明细'!V194</x:f>
        <x:v>6606.5</x:v>
      </x:c>
      <x:c r="J1304" s="22" t="n">
        <x:f>'参数'!$B$9</x:f>
        <x:v>300</x:v>
      </x:c>
      <x:c r="K1304" s="26" t="n">
        <x:f>J1304*(G1304-H1304)-I1304*ROUNDUP(J1304/F1304,0)</x:f>
        <x:v>-330082.96261149994</x:v>
      </x:c>
      <x:c r="L1304" s="10" t="str">
        <x:f>IF(G1304-H1304&lt;=0,"未回本",IF(ROUNDUP(I1304/(G1304-H1304),0)&gt;MIN(F1304,J1304),"未回本",MAX(1,ROUNDUP(I1304/(G1304-H1304),0))))</x:f>
        <x:v>未回本</x:v>
      </x:c>
    </x:row>
    <x:row r="1305" ht="22" customHeight="1">
      <x:c r="A1305" s="11" t="str">
        <x:v>lade_0826_20aoi</x:v>
      </x:c>
      <x:c r="B1305" s="10" t="n">
        <x:v>20</x:v>
      </x:c>
      <x:c r="C1305" s="10" t="n">
        <x:v>44</x:v>
      </x:c>
      <x:c r="D1305" s="10" t="str">
        <x:v>M2 / M4</x:v>
      </x:c>
      <x:c r="E1305" s="16" t="n">
        <x:v>3</x:v>
      </x:c>
      <x:c r="F1305" s="14" t="n">
        <x:v>20</x:v>
      </x:c>
      <x:c r="G1305" s="26" t="n">
        <x:f>'成本明细'!U191+'成本明细'!G191*(E1305-'参数'!$B$6)</x:f>
        <x:v>2721.3486108555553</x:v>
      </x:c>
      <x:c r="H1305" s="26" t="n">
        <x:f>'成本明细'!U197</x:f>
        <x:v>4196.703876887222</x:v>
      </x:c>
      <x:c r="I1305" s="26" t="n">
        <x:f>'成本明细'!V197</x:f>
        <x:v>6606.5</x:v>
      </x:c>
      <x:c r="J1305" s="22" t="n">
        <x:f>'参数'!$B$9</x:f>
        <x:v>300</x:v>
      </x:c>
      <x:c r="K1305" s="26" t="n">
        <x:f>J1305*(G1305-H1305)-I1305*ROUNDUP(J1305/F1305,0)</x:f>
        <x:v>-541704.0798094999</x:v>
      </x:c>
      <x:c r="L1305" s="10" t="str">
        <x:f>IF(G1305-H1305&lt;=0,"未回本",IF(ROUNDUP(I1305/(G1305-H1305),0)&gt;MIN(F1305,J1305),"未回本",MAX(1,ROUNDUP(I1305/(G1305-H1305),0))))</x:f>
        <x:v>未回本</x:v>
      </x:c>
    </x:row>
    <x:row r="1306" ht="22" customHeight="1">
      <x:c r="A1306" s="11" t="str">
        <x:v>lade_0826_20aoi</x:v>
      </x:c>
      <x:c r="B1306" s="10" t="n">
        <x:v>20</x:v>
      </x:c>
      <x:c r="C1306" s="10" t="n">
        <x:v>44</x:v>
      </x:c>
      <x:c r="D1306" s="10" t="str">
        <x:v>M1 / M3</x:v>
      </x:c>
      <x:c r="E1306" s="16" t="n">
        <x:v>3</x:v>
      </x:c>
      <x:c r="F1306" s="14" t="n">
        <x:v>30</x:v>
      </x:c>
      <x:c r="G1306" s="26" t="n">
        <x:f>'成本明细'!U188+'成本明细'!G188*(E1306-'参数'!$B$6)</x:f>
        <x:v>2963.8283786111115</x:v>
      </x:c>
      <x:c r="H1306" s="26" t="n">
        <x:f>'成本明细'!U194</x:f>
        <x:v>3733.7799206494446</x:v>
      </x:c>
      <x:c r="I1306" s="26" t="n">
        <x:f>'成本明细'!V194</x:f>
        <x:v>6606.5</x:v>
      </x:c>
      <x:c r="J1306" s="22" t="n">
        <x:f>'参数'!$B$9</x:f>
        <x:v>300</x:v>
      </x:c>
      <x:c r="K1306" s="26" t="n">
        <x:f>J1306*(G1306-H1306)-I1306*ROUNDUP(J1306/F1306,0)</x:f>
        <x:v>-297050.46261149994</x:v>
      </x:c>
      <x:c r="L1306" s="10" t="str">
        <x:f>IF(G1306-H1306&lt;=0,"未回本",IF(ROUNDUP(I1306/(G1306-H1306),0)&gt;MIN(F1306,J1306),"未回本",MAX(1,ROUNDUP(I1306/(G1306-H1306),0))))</x:f>
        <x:v>未回本</x:v>
      </x:c>
    </x:row>
    <x:row r="1307" ht="22" customHeight="1">
      <x:c r="A1307" s="11" t="str">
        <x:v>lade_0826_20aoi</x:v>
      </x:c>
      <x:c r="B1307" s="10" t="n">
        <x:v>20</x:v>
      </x:c>
      <x:c r="C1307" s="10" t="n">
        <x:v>44</x:v>
      </x:c>
      <x:c r="D1307" s="10" t="str">
        <x:v>M2 / M4</x:v>
      </x:c>
      <x:c r="E1307" s="16" t="n">
        <x:v>3</x:v>
      </x:c>
      <x:c r="F1307" s="14" t="n">
        <x:v>30</x:v>
      </x:c>
      <x:c r="G1307" s="26" t="n">
        <x:f>'成本明细'!U191+'成本明细'!G191*(E1307-'参数'!$B$6)</x:f>
        <x:v>2721.3486108555553</x:v>
      </x:c>
      <x:c r="H1307" s="26" t="n">
        <x:f>'成本明细'!U197</x:f>
        <x:v>4196.703876887222</x:v>
      </x:c>
      <x:c r="I1307" s="26" t="n">
        <x:f>'成本明细'!V197</x:f>
        <x:v>6606.5</x:v>
      </x:c>
      <x:c r="J1307" s="22" t="n">
        <x:f>'参数'!$B$9</x:f>
        <x:v>300</x:v>
      </x:c>
      <x:c r="K1307" s="26" t="n">
        <x:f>J1307*(G1307-H1307)-I1307*ROUNDUP(J1307/F1307,0)</x:f>
        <x:v>-508671.5798094999</x:v>
      </x:c>
      <x:c r="L1307" s="10" t="str">
        <x:f>IF(G1307-H1307&lt;=0,"未回本",IF(ROUNDUP(I1307/(G1307-H1307),0)&gt;MIN(F1307,J1307),"未回本",MAX(1,ROUNDUP(I1307/(G1307-H1307),0))))</x:f>
        <x:v>未回本</x:v>
      </x:c>
    </x:row>
    <x:row r="1308" ht="22" customHeight="1">
      <x:c r="A1308" s="11" t="str">
        <x:v>lade_0826_20aoi</x:v>
      </x:c>
      <x:c r="B1308" s="10" t="n">
        <x:v>20</x:v>
      </x:c>
      <x:c r="C1308" s="10" t="n">
        <x:v>44</x:v>
      </x:c>
      <x:c r="D1308" s="10" t="str">
        <x:v>M1 / M3</x:v>
      </x:c>
      <x:c r="E1308" s="16" t="n">
        <x:v>3</x:v>
      </x:c>
      <x:c r="F1308" s="14" t="n">
        <x:v>50</x:v>
      </x:c>
      <x:c r="G1308" s="26" t="n">
        <x:f>'成本明细'!U188+'成本明细'!G188*(E1308-'参数'!$B$6)</x:f>
        <x:v>2963.8283786111115</x:v>
      </x:c>
      <x:c r="H1308" s="26" t="n">
        <x:f>'成本明细'!U194</x:f>
        <x:v>3733.7799206494446</x:v>
      </x:c>
      <x:c r="I1308" s="26" t="n">
        <x:f>'成本明细'!V194</x:f>
        <x:v>6606.5</x:v>
      </x:c>
      <x:c r="J1308" s="22" t="n">
        <x:f>'参数'!$B$9</x:f>
        <x:v>300</x:v>
      </x:c>
      <x:c r="K1308" s="26" t="n">
        <x:f>J1308*(G1308-H1308)-I1308*ROUNDUP(J1308/F1308,0)</x:f>
        <x:v>-270624.46261149994</x:v>
      </x:c>
      <x:c r="L1308" s="10" t="str">
        <x:f>IF(G1308-H1308&lt;=0,"未回本",IF(ROUNDUP(I1308/(G1308-H1308),0)&gt;MIN(F1308,J1308),"未回本",MAX(1,ROUNDUP(I1308/(G1308-H1308),0))))</x:f>
        <x:v>未回本</x:v>
      </x:c>
    </x:row>
    <x:row r="1309" ht="22" customHeight="1">
      <x:c r="A1309" s="11" t="str">
        <x:v>lade_0826_20aoi</x:v>
      </x:c>
      <x:c r="B1309" s="10" t="n">
        <x:v>20</x:v>
      </x:c>
      <x:c r="C1309" s="10" t="n">
        <x:v>44</x:v>
      </x:c>
      <x:c r="D1309" s="10" t="str">
        <x:v>M2 / M4</x:v>
      </x:c>
      <x:c r="E1309" s="16" t="n">
        <x:v>3</x:v>
      </x:c>
      <x:c r="F1309" s="14" t="n">
        <x:v>50</x:v>
      </x:c>
      <x:c r="G1309" s="26" t="n">
        <x:f>'成本明细'!U191+'成本明细'!G191*(E1309-'参数'!$B$6)</x:f>
        <x:v>2721.3486108555553</x:v>
      </x:c>
      <x:c r="H1309" s="26" t="n">
        <x:f>'成本明细'!U197</x:f>
        <x:v>4196.703876887222</x:v>
      </x:c>
      <x:c r="I1309" s="26" t="n">
        <x:f>'成本明细'!V197</x:f>
        <x:v>6606.5</x:v>
      </x:c>
      <x:c r="J1309" s="22" t="n">
        <x:f>'参数'!$B$9</x:f>
        <x:v>300</x:v>
      </x:c>
      <x:c r="K1309" s="26" t="n">
        <x:f>J1309*(G1309-H1309)-I1309*ROUNDUP(J1309/F1309,0)</x:f>
        <x:v>-482245.5798094999</x:v>
      </x:c>
      <x:c r="L1309" s="10" t="str">
        <x:f>IF(G1309-H1309&lt;=0,"未回本",IF(ROUNDUP(I1309/(G1309-H1309),0)&gt;MIN(F1309,J1309),"未回本",MAX(1,ROUNDUP(I1309/(G1309-H1309),0))))</x:f>
        <x:v>未回本</x:v>
      </x:c>
    </x:row>
    <x:row r="1310" ht="22" customHeight="1">
      <x:c r="A1310" s="11" t="str">
        <x:v>lade_0826_20aoi</x:v>
      </x:c>
      <x:c r="B1310" s="10" t="n">
        <x:v>20</x:v>
      </x:c>
      <x:c r="C1310" s="10" t="n">
        <x:v>44</x:v>
      </x:c>
      <x:c r="D1310" s="10" t="str">
        <x:v>M1 / M3</x:v>
      </x:c>
      <x:c r="E1310" s="16" t="n">
        <x:v>4</x:v>
      </x:c>
      <x:c r="F1310" s="14" t="n">
        <x:v>10</x:v>
      </x:c>
      <x:c r="G1310" s="26" t="n">
        <x:f>'成本明细'!U188+'成本明细'!G188*(E1310-'参数'!$B$6)</x:f>
        <x:v>3144.8283786111115</x:v>
      </x:c>
      <x:c r="H1310" s="26" t="n">
        <x:f>'成本明细'!U194</x:f>
        <x:v>3733.7799206494446</x:v>
      </x:c>
      <x:c r="I1310" s="26" t="n">
        <x:f>'成本明细'!V194</x:f>
        <x:v>6606.5</x:v>
      </x:c>
      <x:c r="J1310" s="22" t="n">
        <x:f>'参数'!$B$9</x:f>
        <x:v>300</x:v>
      </x:c>
      <x:c r="K1310" s="26" t="n">
        <x:f>J1310*(G1310-H1310)-I1310*ROUNDUP(J1310/F1310,0)</x:f>
        <x:v>-374880.46261149994</x:v>
      </x:c>
      <x:c r="L1310" s="10" t="str">
        <x:f>IF(G1310-H1310&lt;=0,"未回本",IF(ROUNDUP(I1310/(G1310-H1310),0)&gt;MIN(F1310,J1310),"未回本",MAX(1,ROUNDUP(I1310/(G1310-H1310),0))))</x:f>
        <x:v>未回本</x:v>
      </x:c>
    </x:row>
    <x:row r="1311" ht="22" customHeight="1">
      <x:c r="A1311" s="11" t="str">
        <x:v>lade_0826_20aoi</x:v>
      </x:c>
      <x:c r="B1311" s="10" t="n">
        <x:v>20</x:v>
      </x:c>
      <x:c r="C1311" s="10" t="n">
        <x:v>44</x:v>
      </x:c>
      <x:c r="D1311" s="10" t="str">
        <x:v>M2 / M4</x:v>
      </x:c>
      <x:c r="E1311" s="16" t="n">
        <x:v>4</x:v>
      </x:c>
      <x:c r="F1311" s="14" t="n">
        <x:v>10</x:v>
      </x:c>
      <x:c r="G1311" s="26" t="n">
        <x:f>'成本明细'!U191+'成本明细'!G191*(E1311-'参数'!$B$6)</x:f>
        <x:v>2902.3486108555553</x:v>
      </x:c>
      <x:c r="H1311" s="26" t="n">
        <x:f>'成本明细'!U197</x:f>
        <x:v>4196.703876887222</x:v>
      </x:c>
      <x:c r="I1311" s="26" t="n">
        <x:f>'成本明细'!V197</x:f>
        <x:v>6606.5</x:v>
      </x:c>
      <x:c r="J1311" s="22" t="n">
        <x:f>'参数'!$B$9</x:f>
        <x:v>300</x:v>
      </x:c>
      <x:c r="K1311" s="26" t="n">
        <x:f>J1311*(G1311-H1311)-I1311*ROUNDUP(J1311/F1311,0)</x:f>
        <x:v>-586501.5798094999</x:v>
      </x:c>
      <x:c r="L1311" s="10" t="str">
        <x:f>IF(G1311-H1311&lt;=0,"未回本",IF(ROUNDUP(I1311/(G1311-H1311),0)&gt;MIN(F1311,J1311),"未回本",MAX(1,ROUNDUP(I1311/(G1311-H1311),0))))</x:f>
        <x:v>未回本</x:v>
      </x:c>
    </x:row>
    <x:row r="1312" ht="22" customHeight="1">
      <x:c r="A1312" s="11" t="str">
        <x:v>lade_0826_20aoi</x:v>
      </x:c>
      <x:c r="B1312" s="10" t="n">
        <x:v>20</x:v>
      </x:c>
      <x:c r="C1312" s="10" t="n">
        <x:v>44</x:v>
      </x:c>
      <x:c r="D1312" s="10" t="str">
        <x:v>M1 / M3</x:v>
      </x:c>
      <x:c r="E1312" s="16" t="n">
        <x:v>4</x:v>
      </x:c>
      <x:c r="F1312" s="14" t="n">
        <x:v>20</x:v>
      </x:c>
      <x:c r="G1312" s="26" t="n">
        <x:f>'成本明细'!U188+'成本明细'!G188*(E1312-'参数'!$B$6)</x:f>
        <x:v>3144.8283786111115</x:v>
      </x:c>
      <x:c r="H1312" s="26" t="n">
        <x:f>'成本明细'!U194</x:f>
        <x:v>3733.7799206494446</x:v>
      </x:c>
      <x:c r="I1312" s="26" t="n">
        <x:f>'成本明细'!V194</x:f>
        <x:v>6606.5</x:v>
      </x:c>
      <x:c r="J1312" s="22" t="n">
        <x:f>'参数'!$B$9</x:f>
        <x:v>300</x:v>
      </x:c>
      <x:c r="K1312" s="26" t="n">
        <x:f>J1312*(G1312-H1312)-I1312*ROUNDUP(J1312/F1312,0)</x:f>
        <x:v>-275782.96261149994</x:v>
      </x:c>
      <x:c r="L1312" s="10" t="str">
        <x:f>IF(G1312-H1312&lt;=0,"未回本",IF(ROUNDUP(I1312/(G1312-H1312),0)&gt;MIN(F1312,J1312),"未回本",MAX(1,ROUNDUP(I1312/(G1312-H1312),0))))</x:f>
        <x:v>未回本</x:v>
      </x:c>
    </x:row>
    <x:row r="1313" ht="22" customHeight="1">
      <x:c r="A1313" s="11" t="str">
        <x:v>lade_0826_20aoi</x:v>
      </x:c>
      <x:c r="B1313" s="10" t="n">
        <x:v>20</x:v>
      </x:c>
      <x:c r="C1313" s="10" t="n">
        <x:v>44</x:v>
      </x:c>
      <x:c r="D1313" s="10" t="str">
        <x:v>M2 / M4</x:v>
      </x:c>
      <x:c r="E1313" s="16" t="n">
        <x:v>4</x:v>
      </x:c>
      <x:c r="F1313" s="14" t="n">
        <x:v>20</x:v>
      </x:c>
      <x:c r="G1313" s="26" t="n">
        <x:f>'成本明细'!U191+'成本明细'!G191*(E1313-'参数'!$B$6)</x:f>
        <x:v>2902.3486108555553</x:v>
      </x:c>
      <x:c r="H1313" s="26" t="n">
        <x:f>'成本明细'!U197</x:f>
        <x:v>4196.703876887222</x:v>
      </x:c>
      <x:c r="I1313" s="26" t="n">
        <x:f>'成本明细'!V197</x:f>
        <x:v>6606.5</x:v>
      </x:c>
      <x:c r="J1313" s="22" t="n">
        <x:f>'参数'!$B$9</x:f>
        <x:v>300</x:v>
      </x:c>
      <x:c r="K1313" s="26" t="n">
        <x:f>J1313*(G1313-H1313)-I1313*ROUNDUP(J1313/F1313,0)</x:f>
        <x:v>-487404.0798094999</x:v>
      </x:c>
      <x:c r="L1313" s="10" t="str">
        <x:f>IF(G1313-H1313&lt;=0,"未回本",IF(ROUNDUP(I1313/(G1313-H1313),0)&gt;MIN(F1313,J1313),"未回本",MAX(1,ROUNDUP(I1313/(G1313-H1313),0))))</x:f>
        <x:v>未回本</x:v>
      </x:c>
    </x:row>
    <x:row r="1314" ht="22" customHeight="1">
      <x:c r="A1314" s="11" t="str">
        <x:v>lade_0826_20aoi</x:v>
      </x:c>
      <x:c r="B1314" s="10" t="n">
        <x:v>20</x:v>
      </x:c>
      <x:c r="C1314" s="10" t="n">
        <x:v>44</x:v>
      </x:c>
      <x:c r="D1314" s="10" t="str">
        <x:v>M1 / M3</x:v>
      </x:c>
      <x:c r="E1314" s="16" t="n">
        <x:v>4</x:v>
      </x:c>
      <x:c r="F1314" s="14" t="n">
        <x:v>30</x:v>
      </x:c>
      <x:c r="G1314" s="26" t="n">
        <x:f>'成本明细'!U188+'成本明细'!G188*(E1314-'参数'!$B$6)</x:f>
        <x:v>3144.8283786111115</x:v>
      </x:c>
      <x:c r="H1314" s="26" t="n">
        <x:f>'成本明细'!U194</x:f>
        <x:v>3733.7799206494446</x:v>
      </x:c>
      <x:c r="I1314" s="26" t="n">
        <x:f>'成本明细'!V194</x:f>
        <x:v>6606.5</x:v>
      </x:c>
      <x:c r="J1314" s="22" t="n">
        <x:f>'参数'!$B$9</x:f>
        <x:v>300</x:v>
      </x:c>
      <x:c r="K1314" s="26" t="n">
        <x:f>J1314*(G1314-H1314)-I1314*ROUNDUP(J1314/F1314,0)</x:f>
        <x:v>-242750.46261149994</x:v>
      </x:c>
      <x:c r="L1314" s="10" t="str">
        <x:f>IF(G1314-H1314&lt;=0,"未回本",IF(ROUNDUP(I1314/(G1314-H1314),0)&gt;MIN(F1314,J1314),"未回本",MAX(1,ROUNDUP(I1314/(G1314-H1314),0))))</x:f>
        <x:v>未回本</x:v>
      </x:c>
    </x:row>
    <x:row r="1315" ht="22" customHeight="1">
      <x:c r="A1315" s="11" t="str">
        <x:v>lade_0826_20aoi</x:v>
      </x:c>
      <x:c r="B1315" s="10" t="n">
        <x:v>20</x:v>
      </x:c>
      <x:c r="C1315" s="10" t="n">
        <x:v>44</x:v>
      </x:c>
      <x:c r="D1315" s="10" t="str">
        <x:v>M2 / M4</x:v>
      </x:c>
      <x:c r="E1315" s="16" t="n">
        <x:v>4</x:v>
      </x:c>
      <x:c r="F1315" s="14" t="n">
        <x:v>30</x:v>
      </x:c>
      <x:c r="G1315" s="26" t="n">
        <x:f>'成本明细'!U191+'成本明细'!G191*(E1315-'参数'!$B$6)</x:f>
        <x:v>2902.3486108555553</x:v>
      </x:c>
      <x:c r="H1315" s="26" t="n">
        <x:f>'成本明细'!U197</x:f>
        <x:v>4196.703876887222</x:v>
      </x:c>
      <x:c r="I1315" s="26" t="n">
        <x:f>'成本明细'!V197</x:f>
        <x:v>6606.5</x:v>
      </x:c>
      <x:c r="J1315" s="22" t="n">
        <x:f>'参数'!$B$9</x:f>
        <x:v>300</x:v>
      </x:c>
      <x:c r="K1315" s="26" t="n">
        <x:f>J1315*(G1315-H1315)-I1315*ROUNDUP(J1315/F1315,0)</x:f>
        <x:v>-454371.5798094999</x:v>
      </x:c>
      <x:c r="L1315" s="10" t="str">
        <x:f>IF(G1315-H1315&lt;=0,"未回本",IF(ROUNDUP(I1315/(G1315-H1315),0)&gt;MIN(F1315,J1315),"未回本",MAX(1,ROUNDUP(I1315/(G1315-H1315),0))))</x:f>
        <x:v>未回本</x:v>
      </x:c>
    </x:row>
    <x:row r="1316" ht="22" customHeight="1">
      <x:c r="A1316" s="11" t="str">
        <x:v>lade_0826_20aoi</x:v>
      </x:c>
      <x:c r="B1316" s="10" t="n">
        <x:v>20</x:v>
      </x:c>
      <x:c r="C1316" s="10" t="n">
        <x:v>44</x:v>
      </x:c>
      <x:c r="D1316" s="10" t="str">
        <x:v>M1 / M3</x:v>
      </x:c>
      <x:c r="E1316" s="16" t="n">
        <x:v>4</x:v>
      </x:c>
      <x:c r="F1316" s="14" t="n">
        <x:v>50</x:v>
      </x:c>
      <x:c r="G1316" s="26" t="n">
        <x:f>'成本明细'!U188+'成本明细'!G188*(E1316-'参数'!$B$6)</x:f>
        <x:v>3144.8283786111115</x:v>
      </x:c>
      <x:c r="H1316" s="26" t="n">
        <x:f>'成本明细'!U194</x:f>
        <x:v>3733.7799206494446</x:v>
      </x:c>
      <x:c r="I1316" s="26" t="n">
        <x:f>'成本明细'!V194</x:f>
        <x:v>6606.5</x:v>
      </x:c>
      <x:c r="J1316" s="22" t="n">
        <x:f>'参数'!$B$9</x:f>
        <x:v>300</x:v>
      </x:c>
      <x:c r="K1316" s="26" t="n">
        <x:f>J1316*(G1316-H1316)-I1316*ROUNDUP(J1316/F1316,0)</x:f>
        <x:v>-216324.46261149994</x:v>
      </x:c>
      <x:c r="L1316" s="10" t="str">
        <x:f>IF(G1316-H1316&lt;=0,"未回本",IF(ROUNDUP(I1316/(G1316-H1316),0)&gt;MIN(F1316,J1316),"未回本",MAX(1,ROUNDUP(I1316/(G1316-H1316),0))))</x:f>
        <x:v>未回本</x:v>
      </x:c>
    </x:row>
    <x:row r="1317" ht="22" customHeight="1">
      <x:c r="A1317" s="11" t="str">
        <x:v>lade_0826_20aoi</x:v>
      </x:c>
      <x:c r="B1317" s="10" t="n">
        <x:v>20</x:v>
      </x:c>
      <x:c r="C1317" s="10" t="n">
        <x:v>44</x:v>
      </x:c>
      <x:c r="D1317" s="10" t="str">
        <x:v>M2 / M4</x:v>
      </x:c>
      <x:c r="E1317" s="16" t="n">
        <x:v>4</x:v>
      </x:c>
      <x:c r="F1317" s="14" t="n">
        <x:v>50</x:v>
      </x:c>
      <x:c r="G1317" s="26" t="n">
        <x:f>'成本明细'!U191+'成本明细'!G191*(E1317-'参数'!$B$6)</x:f>
        <x:v>2902.3486108555553</x:v>
      </x:c>
      <x:c r="H1317" s="26" t="n">
        <x:f>'成本明细'!U197</x:f>
        <x:v>4196.703876887222</x:v>
      </x:c>
      <x:c r="I1317" s="26" t="n">
        <x:f>'成本明细'!V197</x:f>
        <x:v>6606.5</x:v>
      </x:c>
      <x:c r="J1317" s="22" t="n">
        <x:f>'参数'!$B$9</x:f>
        <x:v>300</x:v>
      </x:c>
      <x:c r="K1317" s="26" t="n">
        <x:f>J1317*(G1317-H1317)-I1317*ROUNDUP(J1317/F1317,0)</x:f>
        <x:v>-427945.5798094999</x:v>
      </x:c>
      <x:c r="L1317" s="10" t="str">
        <x:f>IF(G1317-H1317&lt;=0,"未回本",IF(ROUNDUP(I1317/(G1317-H1317),0)&gt;MIN(F1317,J1317),"未回本",MAX(1,ROUNDUP(I1317/(G1317-H1317),0))))</x:f>
        <x:v>未回本</x:v>
      </x:c>
    </x:row>
    <x:row r="1318" ht="22" customHeight="1">
      <x:c r="A1318" s="11" t="str">
        <x:v>lade_0826_20aoi</x:v>
      </x:c>
      <x:c r="B1318" s="10" t="n">
        <x:v>20</x:v>
      </x:c>
      <x:c r="C1318" s="10" t="n">
        <x:v>44</x:v>
      </x:c>
      <x:c r="D1318" s="10" t="str">
        <x:v>M1 / M3</x:v>
      </x:c>
      <x:c r="E1318" s="16" t="n">
        <x:v>5</x:v>
      </x:c>
      <x:c r="F1318" s="14" t="n">
        <x:v>10</x:v>
      </x:c>
      <x:c r="G1318" s="26" t="n">
        <x:f>'成本明细'!U188+'成本明细'!G188*(E1318-'参数'!$B$6)</x:f>
        <x:v>3325.8283786111115</x:v>
      </x:c>
      <x:c r="H1318" s="26" t="n">
        <x:f>'成本明细'!U194</x:f>
        <x:v>3733.7799206494446</x:v>
      </x:c>
      <x:c r="I1318" s="26" t="n">
        <x:f>'成本明细'!V194</x:f>
        <x:v>6606.5</x:v>
      </x:c>
      <x:c r="J1318" s="22" t="n">
        <x:f>'参数'!$B$9</x:f>
        <x:v>300</x:v>
      </x:c>
      <x:c r="K1318" s="26" t="n">
        <x:f>J1318*(G1318-H1318)-I1318*ROUNDUP(J1318/F1318,0)</x:f>
        <x:v>-320580.46261149994</x:v>
      </x:c>
      <x:c r="L1318" s="10" t="str">
        <x:f>IF(G1318-H1318&lt;=0,"未回本",IF(ROUNDUP(I1318/(G1318-H1318),0)&gt;MIN(F1318,J1318),"未回本",MAX(1,ROUNDUP(I1318/(G1318-H1318),0))))</x:f>
        <x:v>未回本</x:v>
      </x:c>
    </x:row>
    <x:row r="1319" ht="22" customHeight="1">
      <x:c r="A1319" s="11" t="str">
        <x:v>lade_0826_20aoi</x:v>
      </x:c>
      <x:c r="B1319" s="10" t="n">
        <x:v>20</x:v>
      </x:c>
      <x:c r="C1319" s="10" t="n">
        <x:v>44</x:v>
      </x:c>
      <x:c r="D1319" s="10" t="str">
        <x:v>M2 / M4</x:v>
      </x:c>
      <x:c r="E1319" s="16" t="n">
        <x:v>5</x:v>
      </x:c>
      <x:c r="F1319" s="14" t="n">
        <x:v>10</x:v>
      </x:c>
      <x:c r="G1319" s="26" t="n">
        <x:f>'成本明细'!U191+'成本明细'!G191*(E1319-'参数'!$B$6)</x:f>
        <x:v>3083.3486108555553</x:v>
      </x:c>
      <x:c r="H1319" s="26" t="n">
        <x:f>'成本明细'!U197</x:f>
        <x:v>4196.703876887222</x:v>
      </x:c>
      <x:c r="I1319" s="26" t="n">
        <x:f>'成本明细'!V197</x:f>
        <x:v>6606.5</x:v>
      </x:c>
      <x:c r="J1319" s="22" t="n">
        <x:f>'参数'!$B$9</x:f>
        <x:v>300</x:v>
      </x:c>
      <x:c r="K1319" s="26" t="n">
        <x:f>J1319*(G1319-H1319)-I1319*ROUNDUP(J1319/F1319,0)</x:f>
        <x:v>-532201.5798094999</x:v>
      </x:c>
      <x:c r="L1319" s="10" t="str">
        <x:f>IF(G1319-H1319&lt;=0,"未回本",IF(ROUNDUP(I1319/(G1319-H1319),0)&gt;MIN(F1319,J1319),"未回本",MAX(1,ROUNDUP(I1319/(G1319-H1319),0))))</x:f>
        <x:v>未回本</x:v>
      </x:c>
    </x:row>
    <x:row r="1320" ht="22" customHeight="1">
      <x:c r="A1320" s="11" t="str">
        <x:v>lade_0826_20aoi</x:v>
      </x:c>
      <x:c r="B1320" s="10" t="n">
        <x:v>20</x:v>
      </x:c>
      <x:c r="C1320" s="10" t="n">
        <x:v>44</x:v>
      </x:c>
      <x:c r="D1320" s="10" t="str">
        <x:v>M1 / M3</x:v>
      </x:c>
      <x:c r="E1320" s="16" t="n">
        <x:v>5</x:v>
      </x:c>
      <x:c r="F1320" s="14" t="n">
        <x:v>20</x:v>
      </x:c>
      <x:c r="G1320" s="26" t="n">
        <x:f>'成本明细'!U188+'成本明细'!G188*(E1320-'参数'!$B$6)</x:f>
        <x:v>3325.8283786111115</x:v>
      </x:c>
      <x:c r="H1320" s="26" t="n">
        <x:f>'成本明细'!U194</x:f>
        <x:v>3733.7799206494446</x:v>
      </x:c>
      <x:c r="I1320" s="26" t="n">
        <x:f>'成本明细'!V194</x:f>
        <x:v>6606.5</x:v>
      </x:c>
      <x:c r="J1320" s="22" t="n">
        <x:f>'参数'!$B$9</x:f>
        <x:v>300</x:v>
      </x:c>
      <x:c r="K1320" s="26" t="n">
        <x:f>J1320*(G1320-H1320)-I1320*ROUNDUP(J1320/F1320,0)</x:f>
        <x:v>-221482.96261149994</x:v>
      </x:c>
      <x:c r="L1320" s="10" t="str">
        <x:f>IF(G1320-H1320&lt;=0,"未回本",IF(ROUNDUP(I1320/(G1320-H1320),0)&gt;MIN(F1320,J1320),"未回本",MAX(1,ROUNDUP(I1320/(G1320-H1320),0))))</x:f>
        <x:v>未回本</x:v>
      </x:c>
    </x:row>
    <x:row r="1321" ht="22" customHeight="1">
      <x:c r="A1321" s="11" t="str">
        <x:v>lade_0826_20aoi</x:v>
      </x:c>
      <x:c r="B1321" s="10" t="n">
        <x:v>20</x:v>
      </x:c>
      <x:c r="C1321" s="10" t="n">
        <x:v>44</x:v>
      </x:c>
      <x:c r="D1321" s="10" t="str">
        <x:v>M2 / M4</x:v>
      </x:c>
      <x:c r="E1321" s="16" t="n">
        <x:v>5</x:v>
      </x:c>
      <x:c r="F1321" s="14" t="n">
        <x:v>20</x:v>
      </x:c>
      <x:c r="G1321" s="26" t="n">
        <x:f>'成本明细'!U191+'成本明细'!G191*(E1321-'参数'!$B$6)</x:f>
        <x:v>3083.3486108555553</x:v>
      </x:c>
      <x:c r="H1321" s="26" t="n">
        <x:f>'成本明细'!U197</x:f>
        <x:v>4196.703876887222</x:v>
      </x:c>
      <x:c r="I1321" s="26" t="n">
        <x:f>'成本明细'!V197</x:f>
        <x:v>6606.5</x:v>
      </x:c>
      <x:c r="J1321" s="22" t="n">
        <x:f>'参数'!$B$9</x:f>
        <x:v>300</x:v>
      </x:c>
      <x:c r="K1321" s="26" t="n">
        <x:f>J1321*(G1321-H1321)-I1321*ROUNDUP(J1321/F1321,0)</x:f>
        <x:v>-433104.0798094999</x:v>
      </x:c>
      <x:c r="L1321" s="10" t="str">
        <x:f>IF(G1321-H1321&lt;=0,"未回本",IF(ROUNDUP(I1321/(G1321-H1321),0)&gt;MIN(F1321,J1321),"未回本",MAX(1,ROUNDUP(I1321/(G1321-H1321),0))))</x:f>
        <x:v>未回本</x:v>
      </x:c>
    </x:row>
    <x:row r="1322" ht="22" customHeight="1">
      <x:c r="A1322" s="11" t="str">
        <x:v>lade_0826_20aoi</x:v>
      </x:c>
      <x:c r="B1322" s="10" t="n">
        <x:v>20</x:v>
      </x:c>
      <x:c r="C1322" s="10" t="n">
        <x:v>44</x:v>
      </x:c>
      <x:c r="D1322" s="10" t="str">
        <x:v>M1 / M3</x:v>
      </x:c>
      <x:c r="E1322" s="16" t="n">
        <x:v>5</x:v>
      </x:c>
      <x:c r="F1322" s="14" t="n">
        <x:v>30</x:v>
      </x:c>
      <x:c r="G1322" s="26" t="n">
        <x:f>'成本明细'!U188+'成本明细'!G188*(E1322-'参数'!$B$6)</x:f>
        <x:v>3325.8283786111115</x:v>
      </x:c>
      <x:c r="H1322" s="26" t="n">
        <x:f>'成本明细'!U194</x:f>
        <x:v>3733.7799206494446</x:v>
      </x:c>
      <x:c r="I1322" s="26" t="n">
        <x:f>'成本明细'!V194</x:f>
        <x:v>6606.5</x:v>
      </x:c>
      <x:c r="J1322" s="22" t="n">
        <x:f>'参数'!$B$9</x:f>
        <x:v>300</x:v>
      </x:c>
      <x:c r="K1322" s="26" t="n">
        <x:f>J1322*(G1322-H1322)-I1322*ROUNDUP(J1322/F1322,0)</x:f>
        <x:v>-188450.46261149994</x:v>
      </x:c>
      <x:c r="L1322" s="10" t="str">
        <x:f>IF(G1322-H1322&lt;=0,"未回本",IF(ROUNDUP(I1322/(G1322-H1322),0)&gt;MIN(F1322,J1322),"未回本",MAX(1,ROUNDUP(I1322/(G1322-H1322),0))))</x:f>
        <x:v>未回本</x:v>
      </x:c>
    </x:row>
    <x:row r="1323" ht="22" customHeight="1">
      <x:c r="A1323" s="11" t="str">
        <x:v>lade_0826_20aoi</x:v>
      </x:c>
      <x:c r="B1323" s="10" t="n">
        <x:v>20</x:v>
      </x:c>
      <x:c r="C1323" s="10" t="n">
        <x:v>44</x:v>
      </x:c>
      <x:c r="D1323" s="10" t="str">
        <x:v>M2 / M4</x:v>
      </x:c>
      <x:c r="E1323" s="16" t="n">
        <x:v>5</x:v>
      </x:c>
      <x:c r="F1323" s="14" t="n">
        <x:v>30</x:v>
      </x:c>
      <x:c r="G1323" s="26" t="n">
        <x:f>'成本明细'!U191+'成本明细'!G191*(E1323-'参数'!$B$6)</x:f>
        <x:v>3083.3486108555553</x:v>
      </x:c>
      <x:c r="H1323" s="26" t="n">
        <x:f>'成本明细'!U197</x:f>
        <x:v>4196.703876887222</x:v>
      </x:c>
      <x:c r="I1323" s="26" t="n">
        <x:f>'成本明细'!V197</x:f>
        <x:v>6606.5</x:v>
      </x:c>
      <x:c r="J1323" s="22" t="n">
        <x:f>'参数'!$B$9</x:f>
        <x:v>300</x:v>
      </x:c>
      <x:c r="K1323" s="26" t="n">
        <x:f>J1323*(G1323-H1323)-I1323*ROUNDUP(J1323/F1323,0)</x:f>
        <x:v>-400071.5798094999</x:v>
      </x:c>
      <x:c r="L1323" s="10" t="str">
        <x:f>IF(G1323-H1323&lt;=0,"未回本",IF(ROUNDUP(I1323/(G1323-H1323),0)&gt;MIN(F1323,J1323),"未回本",MAX(1,ROUNDUP(I1323/(G1323-H1323),0))))</x:f>
        <x:v>未回本</x:v>
      </x:c>
    </x:row>
    <x:row r="1324" ht="22" customHeight="1">
      <x:c r="A1324" s="11" t="str">
        <x:v>lade_0826_20aoi</x:v>
      </x:c>
      <x:c r="B1324" s="10" t="n">
        <x:v>20</x:v>
      </x:c>
      <x:c r="C1324" s="10" t="n">
        <x:v>44</x:v>
      </x:c>
      <x:c r="D1324" s="10" t="str">
        <x:v>M1 / M3</x:v>
      </x:c>
      <x:c r="E1324" s="16" t="n">
        <x:v>5</x:v>
      </x:c>
      <x:c r="F1324" s="14" t="n">
        <x:v>50</x:v>
      </x:c>
      <x:c r="G1324" s="26" t="n">
        <x:f>'成本明细'!U188+'成本明细'!G188*(E1324-'参数'!$B$6)</x:f>
        <x:v>3325.8283786111115</x:v>
      </x:c>
      <x:c r="H1324" s="26" t="n">
        <x:f>'成本明细'!U194</x:f>
        <x:v>3733.7799206494446</x:v>
      </x:c>
      <x:c r="I1324" s="26" t="n">
        <x:f>'成本明细'!V194</x:f>
        <x:v>6606.5</x:v>
      </x:c>
      <x:c r="J1324" s="22" t="n">
        <x:f>'参数'!$B$9</x:f>
        <x:v>300</x:v>
      </x:c>
      <x:c r="K1324" s="26" t="n">
        <x:f>J1324*(G1324-H1324)-I1324*ROUNDUP(J1324/F1324,0)</x:f>
        <x:v>-162024.46261149994</x:v>
      </x:c>
      <x:c r="L1324" s="10" t="str">
        <x:f>IF(G1324-H1324&lt;=0,"未回本",IF(ROUNDUP(I1324/(G1324-H1324),0)&gt;MIN(F1324,J1324),"未回本",MAX(1,ROUNDUP(I1324/(G1324-H1324),0))))</x:f>
        <x:v>未回本</x:v>
      </x:c>
    </x:row>
    <x:row r="1325" ht="22" customHeight="1">
      <x:c r="A1325" s="11" t="str">
        <x:v>lade_0826_20aoi</x:v>
      </x:c>
      <x:c r="B1325" s="10" t="n">
        <x:v>20</x:v>
      </x:c>
      <x:c r="C1325" s="10" t="n">
        <x:v>44</x:v>
      </x:c>
      <x:c r="D1325" s="10" t="str">
        <x:v>M2 / M4</x:v>
      </x:c>
      <x:c r="E1325" s="16" t="n">
        <x:v>5</x:v>
      </x:c>
      <x:c r="F1325" s="14" t="n">
        <x:v>50</x:v>
      </x:c>
      <x:c r="G1325" s="26" t="n">
        <x:f>'成本明细'!U191+'成本明细'!G191*(E1325-'参数'!$B$6)</x:f>
        <x:v>3083.3486108555553</x:v>
      </x:c>
      <x:c r="H1325" s="26" t="n">
        <x:f>'成本明细'!U197</x:f>
        <x:v>4196.703876887222</x:v>
      </x:c>
      <x:c r="I1325" s="26" t="n">
        <x:f>'成本明细'!V197</x:f>
        <x:v>6606.5</x:v>
      </x:c>
      <x:c r="J1325" s="22" t="n">
        <x:f>'参数'!$B$9</x:f>
        <x:v>300</x:v>
      </x:c>
      <x:c r="K1325" s="26" t="n">
        <x:f>J1325*(G1325-H1325)-I1325*ROUNDUP(J1325/F1325,0)</x:f>
        <x:v>-373645.5798094999</x:v>
      </x:c>
      <x:c r="L1325" s="10" t="str">
        <x:f>IF(G1325-H1325&lt;=0,"未回本",IF(ROUNDUP(I1325/(G1325-H1325),0)&gt;MIN(F1325,J1325),"未回本",MAX(1,ROUNDUP(I1325/(G1325-H1325),0))))</x:f>
        <x:v>未回本</x:v>
      </x:c>
    </x:row>
    <x:row r="1326" ht="22" customHeight="1">
      <x:c r="A1326" s="11" t="str">
        <x:v>lade_0826_30aoi</x:v>
      </x:c>
      <x:c r="B1326" s="10" t="n">
        <x:v>30</x:v>
      </x:c>
      <x:c r="C1326" s="10" t="n">
        <x:v>42</x:v>
      </x:c>
      <x:c r="D1326" s="10" t="str">
        <x:v>M1 / M3</x:v>
      </x:c>
      <x:c r="E1326" s="16" t="n">
        <x:v>1</x:v>
      </x:c>
      <x:c r="F1326" s="14" t="n">
        <x:v>10</x:v>
      </x:c>
      <x:c r="G1326" s="26" t="n">
        <x:f>'成本明细'!U204+'成本明细'!G204*(E1326-'参数'!$B$6)</x:f>
        <x:v>2427.322919631667</x:v>
      </x:c>
      <x:c r="H1326" s="26" t="n">
        <x:f>'成本明细'!U210</x:f>
        <x:v>3504.176064511667</x:v>
      </x:c>
      <x:c r="I1326" s="26" t="n">
        <x:f>'成本明细'!V210</x:f>
        <x:v>8322</x:v>
      </x:c>
      <x:c r="J1326" s="22" t="n">
        <x:f>'参数'!$B$9</x:f>
        <x:v>300</x:v>
      </x:c>
      <x:c r="K1326" s="26" t="n">
        <x:f>J1326*(G1326-H1326)-I1326*ROUNDUP(J1326/F1326,0)</x:f>
        <x:v>-572715.943464</x:v>
      </x:c>
      <x:c r="L1326" s="10" t="str">
        <x:f>IF(G1326-H1326&lt;=0,"未回本",IF(ROUNDUP(I1326/(G1326-H1326),0)&gt;MIN(F1326,J1326),"未回本",MAX(1,ROUNDUP(I1326/(G1326-H1326),0))))</x:f>
        <x:v>未回本</x:v>
      </x:c>
    </x:row>
    <x:row r="1327" ht="22" customHeight="1">
      <x:c r="A1327" s="11" t="str">
        <x:v>lade_0826_30aoi</x:v>
      </x:c>
      <x:c r="B1327" s="10" t="n">
        <x:v>30</x:v>
      </x:c>
      <x:c r="C1327" s="10" t="n">
        <x:v>42</x:v>
      </x:c>
      <x:c r="D1327" s="10" t="str">
        <x:v>M2 / M4</x:v>
      </x:c>
      <x:c r="E1327" s="16" t="n">
        <x:v>1</x:v>
      </x:c>
      <x:c r="F1327" s="14" t="n">
        <x:v>10</x:v>
      </x:c>
      <x:c r="G1327" s="26" t="n">
        <x:f>'成本明细'!U207+'成本明细'!G207*(E1327-'参数'!$B$6)</x:f>
        <x:v>2169.3344543661115</x:v>
      </x:c>
      <x:c r="H1327" s="26" t="n">
        <x:f>'成本明细'!U213</x:f>
        <x:v>3660.430428623889</x:v>
      </x:c>
      <x:c r="I1327" s="26" t="n">
        <x:f>'成本明细'!V213</x:f>
        <x:v>8322</x:v>
      </x:c>
      <x:c r="J1327" s="22" t="n">
        <x:f>'参数'!$B$9</x:f>
        <x:v>300</x:v>
      </x:c>
      <x:c r="K1327" s="26" t="n">
        <x:f>J1327*(G1327-H1327)-I1327*ROUNDUP(J1327/F1327,0)</x:f>
        <x:v>-696988.7922773333</x:v>
      </x:c>
      <x:c r="L1327" s="10" t="str">
        <x:f>IF(G1327-H1327&lt;=0,"未回本",IF(ROUNDUP(I1327/(G1327-H1327),0)&gt;MIN(F1327,J1327),"未回本",MAX(1,ROUNDUP(I1327/(G1327-H1327),0))))</x:f>
        <x:v>未回本</x:v>
      </x:c>
    </x:row>
    <x:row r="1328" ht="22" customHeight="1">
      <x:c r="A1328" s="11" t="str">
        <x:v>lade_0826_30aoi</x:v>
      </x:c>
      <x:c r="B1328" s="10" t="n">
        <x:v>30</x:v>
      </x:c>
      <x:c r="C1328" s="10" t="n">
        <x:v>42</x:v>
      </x:c>
      <x:c r="D1328" s="10" t="str">
        <x:v>M1 / M3</x:v>
      </x:c>
      <x:c r="E1328" s="16" t="n">
        <x:v>1</x:v>
      </x:c>
      <x:c r="F1328" s="14" t="n">
        <x:v>20</x:v>
      </x:c>
      <x:c r="G1328" s="26" t="n">
        <x:f>'成本明细'!U204+'成本明细'!G204*(E1328-'参数'!$B$6)</x:f>
        <x:v>2427.322919631667</x:v>
      </x:c>
      <x:c r="H1328" s="26" t="n">
        <x:f>'成本明细'!U210</x:f>
        <x:v>3504.176064511667</x:v>
      </x:c>
      <x:c r="I1328" s="26" t="n">
        <x:f>'成本明细'!V210</x:f>
        <x:v>8322</x:v>
      </x:c>
      <x:c r="J1328" s="22" t="n">
        <x:f>'参数'!$B$9</x:f>
        <x:v>300</x:v>
      </x:c>
      <x:c r="K1328" s="26" t="n">
        <x:f>J1328*(G1328-H1328)-I1328*ROUNDUP(J1328/F1328,0)</x:f>
        <x:v>-447885.943464</x:v>
      </x:c>
      <x:c r="L1328" s="10" t="str">
        <x:f>IF(G1328-H1328&lt;=0,"未回本",IF(ROUNDUP(I1328/(G1328-H1328),0)&gt;MIN(F1328,J1328),"未回本",MAX(1,ROUNDUP(I1328/(G1328-H1328),0))))</x:f>
        <x:v>未回本</x:v>
      </x:c>
    </x:row>
    <x:row r="1329" ht="22" customHeight="1">
      <x:c r="A1329" s="11" t="str">
        <x:v>lade_0826_30aoi</x:v>
      </x:c>
      <x:c r="B1329" s="10" t="n">
        <x:v>30</x:v>
      </x:c>
      <x:c r="C1329" s="10" t="n">
        <x:v>42</x:v>
      </x:c>
      <x:c r="D1329" s="10" t="str">
        <x:v>M2 / M4</x:v>
      </x:c>
      <x:c r="E1329" s="16" t="n">
        <x:v>1</x:v>
      </x:c>
      <x:c r="F1329" s="14" t="n">
        <x:v>20</x:v>
      </x:c>
      <x:c r="G1329" s="26" t="n">
        <x:f>'成本明细'!U207+'成本明细'!G207*(E1329-'参数'!$B$6)</x:f>
        <x:v>2169.3344543661115</x:v>
      </x:c>
      <x:c r="H1329" s="26" t="n">
        <x:f>'成本明细'!U213</x:f>
        <x:v>3660.430428623889</x:v>
      </x:c>
      <x:c r="I1329" s="26" t="n">
        <x:f>'成本明细'!V213</x:f>
        <x:v>8322</x:v>
      </x:c>
      <x:c r="J1329" s="22" t="n">
        <x:f>'参数'!$B$9</x:f>
        <x:v>300</x:v>
      </x:c>
      <x:c r="K1329" s="26" t="n">
        <x:f>J1329*(G1329-H1329)-I1329*ROUNDUP(J1329/F1329,0)</x:f>
        <x:v>-572158.7922773333</x:v>
      </x:c>
      <x:c r="L1329" s="10" t="str">
        <x:f>IF(G1329-H1329&lt;=0,"未回本",IF(ROUNDUP(I1329/(G1329-H1329),0)&gt;MIN(F1329,J1329),"未回本",MAX(1,ROUNDUP(I1329/(G1329-H1329),0))))</x:f>
        <x:v>未回本</x:v>
      </x:c>
    </x:row>
    <x:row r="1330" ht="22" customHeight="1">
      <x:c r="A1330" s="11" t="str">
        <x:v>lade_0826_30aoi</x:v>
      </x:c>
      <x:c r="B1330" s="10" t="n">
        <x:v>30</x:v>
      </x:c>
      <x:c r="C1330" s="10" t="n">
        <x:v>42</x:v>
      </x:c>
      <x:c r="D1330" s="10" t="str">
        <x:v>M1 / M3</x:v>
      </x:c>
      <x:c r="E1330" s="16" t="n">
        <x:v>1</x:v>
      </x:c>
      <x:c r="F1330" s="14" t="n">
        <x:v>30</x:v>
      </x:c>
      <x:c r="G1330" s="26" t="n">
        <x:f>'成本明细'!U204+'成本明细'!G204*(E1330-'参数'!$B$6)</x:f>
        <x:v>2427.322919631667</x:v>
      </x:c>
      <x:c r="H1330" s="26" t="n">
        <x:f>'成本明细'!U210</x:f>
        <x:v>3504.176064511667</x:v>
      </x:c>
      <x:c r="I1330" s="26" t="n">
        <x:f>'成本明细'!V210</x:f>
        <x:v>8322</x:v>
      </x:c>
      <x:c r="J1330" s="22" t="n">
        <x:f>'参数'!$B$9</x:f>
        <x:v>300</x:v>
      </x:c>
      <x:c r="K1330" s="26" t="n">
        <x:f>J1330*(G1330-H1330)-I1330*ROUNDUP(J1330/F1330,0)</x:f>
        <x:v>-406275.943464</x:v>
      </x:c>
      <x:c r="L1330" s="10" t="str">
        <x:f>IF(G1330-H1330&lt;=0,"未回本",IF(ROUNDUP(I1330/(G1330-H1330),0)&gt;MIN(F1330,J1330),"未回本",MAX(1,ROUNDUP(I1330/(G1330-H1330),0))))</x:f>
        <x:v>未回本</x:v>
      </x:c>
    </x:row>
    <x:row r="1331" ht="22" customHeight="1">
      <x:c r="A1331" s="11" t="str">
        <x:v>lade_0826_30aoi</x:v>
      </x:c>
      <x:c r="B1331" s="10" t="n">
        <x:v>30</x:v>
      </x:c>
      <x:c r="C1331" s="10" t="n">
        <x:v>42</x:v>
      </x:c>
      <x:c r="D1331" s="10" t="str">
        <x:v>M2 / M4</x:v>
      </x:c>
      <x:c r="E1331" s="16" t="n">
        <x:v>1</x:v>
      </x:c>
      <x:c r="F1331" s="14" t="n">
        <x:v>30</x:v>
      </x:c>
      <x:c r="G1331" s="26" t="n">
        <x:f>'成本明细'!U207+'成本明细'!G207*(E1331-'参数'!$B$6)</x:f>
        <x:v>2169.3344543661115</x:v>
      </x:c>
      <x:c r="H1331" s="26" t="n">
        <x:f>'成本明细'!U213</x:f>
        <x:v>3660.430428623889</x:v>
      </x:c>
      <x:c r="I1331" s="26" t="n">
        <x:f>'成本明细'!V213</x:f>
        <x:v>8322</x:v>
      </x:c>
      <x:c r="J1331" s="22" t="n">
        <x:f>'参数'!$B$9</x:f>
        <x:v>300</x:v>
      </x:c>
      <x:c r="K1331" s="26" t="n">
        <x:f>J1331*(G1331-H1331)-I1331*ROUNDUP(J1331/F1331,0)</x:f>
        <x:v>-530548.7922773333</x:v>
      </x:c>
      <x:c r="L1331" s="10" t="str">
        <x:f>IF(G1331-H1331&lt;=0,"未回本",IF(ROUNDUP(I1331/(G1331-H1331),0)&gt;MIN(F1331,J1331),"未回本",MAX(1,ROUNDUP(I1331/(G1331-H1331),0))))</x:f>
        <x:v>未回本</x:v>
      </x:c>
    </x:row>
    <x:row r="1332" ht="22" customHeight="1">
      <x:c r="A1332" s="11" t="str">
        <x:v>lade_0826_30aoi</x:v>
      </x:c>
      <x:c r="B1332" s="10" t="n">
        <x:v>30</x:v>
      </x:c>
      <x:c r="C1332" s="10" t="n">
        <x:v>42</x:v>
      </x:c>
      <x:c r="D1332" s="10" t="str">
        <x:v>M1 / M3</x:v>
      </x:c>
      <x:c r="E1332" s="16" t="n">
        <x:v>1</x:v>
      </x:c>
      <x:c r="F1332" s="14" t="n">
        <x:v>50</x:v>
      </x:c>
      <x:c r="G1332" s="26" t="n">
        <x:f>'成本明细'!U204+'成本明细'!G204*(E1332-'参数'!$B$6)</x:f>
        <x:v>2427.322919631667</x:v>
      </x:c>
      <x:c r="H1332" s="26" t="n">
        <x:f>'成本明细'!U210</x:f>
        <x:v>3504.176064511667</x:v>
      </x:c>
      <x:c r="I1332" s="26" t="n">
        <x:f>'成本明细'!V210</x:f>
        <x:v>8322</x:v>
      </x:c>
      <x:c r="J1332" s="22" t="n">
        <x:f>'参数'!$B$9</x:f>
        <x:v>300</x:v>
      </x:c>
      <x:c r="K1332" s="26" t="n">
        <x:f>J1332*(G1332-H1332)-I1332*ROUNDUP(J1332/F1332,0)</x:f>
        <x:v>-372987.943464</x:v>
      </x:c>
      <x:c r="L1332" s="10" t="str">
        <x:f>IF(G1332-H1332&lt;=0,"未回本",IF(ROUNDUP(I1332/(G1332-H1332),0)&gt;MIN(F1332,J1332),"未回本",MAX(1,ROUNDUP(I1332/(G1332-H1332),0))))</x:f>
        <x:v>未回本</x:v>
      </x:c>
    </x:row>
    <x:row r="1333" ht="22" customHeight="1">
      <x:c r="A1333" s="11" t="str">
        <x:v>lade_0826_30aoi</x:v>
      </x:c>
      <x:c r="B1333" s="10" t="n">
        <x:v>30</x:v>
      </x:c>
      <x:c r="C1333" s="10" t="n">
        <x:v>42</x:v>
      </x:c>
      <x:c r="D1333" s="10" t="str">
        <x:v>M2 / M4</x:v>
      </x:c>
      <x:c r="E1333" s="16" t="n">
        <x:v>1</x:v>
      </x:c>
      <x:c r="F1333" s="14" t="n">
        <x:v>50</x:v>
      </x:c>
      <x:c r="G1333" s="26" t="n">
        <x:f>'成本明细'!U207+'成本明细'!G207*(E1333-'参数'!$B$6)</x:f>
        <x:v>2169.3344543661115</x:v>
      </x:c>
      <x:c r="H1333" s="26" t="n">
        <x:f>'成本明细'!U213</x:f>
        <x:v>3660.430428623889</x:v>
      </x:c>
      <x:c r="I1333" s="26" t="n">
        <x:f>'成本明细'!V213</x:f>
        <x:v>8322</x:v>
      </x:c>
      <x:c r="J1333" s="22" t="n">
        <x:f>'参数'!$B$9</x:f>
        <x:v>300</x:v>
      </x:c>
      <x:c r="K1333" s="26" t="n">
        <x:f>J1333*(G1333-H1333)-I1333*ROUNDUP(J1333/F1333,0)</x:f>
        <x:v>-497260.79227733327</x:v>
      </x:c>
      <x:c r="L1333" s="10" t="str">
        <x:f>IF(G1333-H1333&lt;=0,"未回本",IF(ROUNDUP(I1333/(G1333-H1333),0)&gt;MIN(F1333,J1333),"未回本",MAX(1,ROUNDUP(I1333/(G1333-H1333),0))))</x:f>
        <x:v>未回本</x:v>
      </x:c>
    </x:row>
    <x:row r="1334" ht="22" customHeight="1">
      <x:c r="A1334" s="11" t="str">
        <x:v>lade_0826_30aoi</x:v>
      </x:c>
      <x:c r="B1334" s="10" t="n">
        <x:v>30</x:v>
      </x:c>
      <x:c r="C1334" s="10" t="n">
        <x:v>42</x:v>
      </x:c>
      <x:c r="D1334" s="10" t="str">
        <x:v>M1 / M3</x:v>
      </x:c>
      <x:c r="E1334" s="16" t="n">
        <x:v>2</x:v>
      </x:c>
      <x:c r="F1334" s="14" t="n">
        <x:v>10</x:v>
      </x:c>
      <x:c r="G1334" s="26" t="n">
        <x:f>'成本明细'!U204+'成本明细'!G204*(E1334-'参数'!$B$6)</x:f>
        <x:v>2655.322919631667</x:v>
      </x:c>
      <x:c r="H1334" s="26" t="n">
        <x:f>'成本明细'!U210</x:f>
        <x:v>3504.176064511667</x:v>
      </x:c>
      <x:c r="I1334" s="26" t="n">
        <x:f>'成本明细'!V210</x:f>
        <x:v>8322</x:v>
      </x:c>
      <x:c r="J1334" s="22" t="n">
        <x:f>'参数'!$B$9</x:f>
        <x:v>300</x:v>
      </x:c>
      <x:c r="K1334" s="26" t="n">
        <x:f>J1334*(G1334-H1334)-I1334*ROUNDUP(J1334/F1334,0)</x:f>
        <x:v>-504315.943464</x:v>
      </x:c>
      <x:c r="L1334" s="10" t="str">
        <x:f>IF(G1334-H1334&lt;=0,"未回本",IF(ROUNDUP(I1334/(G1334-H1334),0)&gt;MIN(F1334,J1334),"未回本",MAX(1,ROUNDUP(I1334/(G1334-H1334),0))))</x:f>
        <x:v>未回本</x:v>
      </x:c>
    </x:row>
    <x:row r="1335" ht="22" customHeight="1">
      <x:c r="A1335" s="11" t="str">
        <x:v>lade_0826_30aoi</x:v>
      </x:c>
      <x:c r="B1335" s="10" t="n">
        <x:v>30</x:v>
      </x:c>
      <x:c r="C1335" s="10" t="n">
        <x:v>42</x:v>
      </x:c>
      <x:c r="D1335" s="10" t="str">
        <x:v>M2 / M4</x:v>
      </x:c>
      <x:c r="E1335" s="16" t="n">
        <x:v>2</x:v>
      </x:c>
      <x:c r="F1335" s="14" t="n">
        <x:v>10</x:v>
      </x:c>
      <x:c r="G1335" s="26" t="n">
        <x:f>'成本明细'!U207+'成本明细'!G207*(E1335-'参数'!$B$6)</x:f>
        <x:v>2397.3344543661115</x:v>
      </x:c>
      <x:c r="H1335" s="26" t="n">
        <x:f>'成本明细'!U213</x:f>
        <x:v>3660.430428623889</x:v>
      </x:c>
      <x:c r="I1335" s="26" t="n">
        <x:f>'成本明细'!V213</x:f>
        <x:v>8322</x:v>
      </x:c>
      <x:c r="J1335" s="22" t="n">
        <x:f>'参数'!$B$9</x:f>
        <x:v>300</x:v>
      </x:c>
      <x:c r="K1335" s="26" t="n">
        <x:f>J1335*(G1335-H1335)-I1335*ROUNDUP(J1335/F1335,0)</x:f>
        <x:v>-628588.7922773333</x:v>
      </x:c>
      <x:c r="L1335" s="10" t="str">
        <x:f>IF(G1335-H1335&lt;=0,"未回本",IF(ROUNDUP(I1335/(G1335-H1335),0)&gt;MIN(F1335,J1335),"未回本",MAX(1,ROUNDUP(I1335/(G1335-H1335),0))))</x:f>
        <x:v>未回本</x:v>
      </x:c>
    </x:row>
    <x:row r="1336" ht="22" customHeight="1">
      <x:c r="A1336" s="11" t="str">
        <x:v>lade_0826_30aoi</x:v>
      </x:c>
      <x:c r="B1336" s="10" t="n">
        <x:v>30</x:v>
      </x:c>
      <x:c r="C1336" s="10" t="n">
        <x:v>42</x:v>
      </x:c>
      <x:c r="D1336" s="10" t="str">
        <x:v>M1 / M3</x:v>
      </x:c>
      <x:c r="E1336" s="16" t="n">
        <x:v>2</x:v>
      </x:c>
      <x:c r="F1336" s="14" t="n">
        <x:v>20</x:v>
      </x:c>
      <x:c r="G1336" s="26" t="n">
        <x:f>'成本明细'!U204+'成本明细'!G204*(E1336-'参数'!$B$6)</x:f>
        <x:v>2655.322919631667</x:v>
      </x:c>
      <x:c r="H1336" s="26" t="n">
        <x:f>'成本明细'!U210</x:f>
        <x:v>3504.176064511667</x:v>
      </x:c>
      <x:c r="I1336" s="26" t="n">
        <x:f>'成本明细'!V210</x:f>
        <x:v>8322</x:v>
      </x:c>
      <x:c r="J1336" s="22" t="n">
        <x:f>'参数'!$B$9</x:f>
        <x:v>300</x:v>
      </x:c>
      <x:c r="K1336" s="26" t="n">
        <x:f>J1336*(G1336-H1336)-I1336*ROUNDUP(J1336/F1336,0)</x:f>
        <x:v>-379485.943464</x:v>
      </x:c>
      <x:c r="L1336" s="10" t="str">
        <x:f>IF(G1336-H1336&lt;=0,"未回本",IF(ROUNDUP(I1336/(G1336-H1336),0)&gt;MIN(F1336,J1336),"未回本",MAX(1,ROUNDUP(I1336/(G1336-H1336),0))))</x:f>
        <x:v>未回本</x:v>
      </x:c>
    </x:row>
    <x:row r="1337" ht="22" customHeight="1">
      <x:c r="A1337" s="11" t="str">
        <x:v>lade_0826_30aoi</x:v>
      </x:c>
      <x:c r="B1337" s="10" t="n">
        <x:v>30</x:v>
      </x:c>
      <x:c r="C1337" s="10" t="n">
        <x:v>42</x:v>
      </x:c>
      <x:c r="D1337" s="10" t="str">
        <x:v>M2 / M4</x:v>
      </x:c>
      <x:c r="E1337" s="16" t="n">
        <x:v>2</x:v>
      </x:c>
      <x:c r="F1337" s="14" t="n">
        <x:v>20</x:v>
      </x:c>
      <x:c r="G1337" s="26" t="n">
        <x:f>'成本明细'!U207+'成本明细'!G207*(E1337-'参数'!$B$6)</x:f>
        <x:v>2397.3344543661115</x:v>
      </x:c>
      <x:c r="H1337" s="26" t="n">
        <x:f>'成本明细'!U213</x:f>
        <x:v>3660.430428623889</x:v>
      </x:c>
      <x:c r="I1337" s="26" t="n">
        <x:f>'成本明细'!V213</x:f>
        <x:v>8322</x:v>
      </x:c>
      <x:c r="J1337" s="22" t="n">
        <x:f>'参数'!$B$9</x:f>
        <x:v>300</x:v>
      </x:c>
      <x:c r="K1337" s="26" t="n">
        <x:f>J1337*(G1337-H1337)-I1337*ROUNDUP(J1337/F1337,0)</x:f>
        <x:v>-503758.79227733327</x:v>
      </x:c>
      <x:c r="L1337" s="10" t="str">
        <x:f>IF(G1337-H1337&lt;=0,"未回本",IF(ROUNDUP(I1337/(G1337-H1337),0)&gt;MIN(F1337,J1337),"未回本",MAX(1,ROUNDUP(I1337/(G1337-H1337),0))))</x:f>
        <x:v>未回本</x:v>
      </x:c>
    </x:row>
    <x:row r="1338" ht="22" customHeight="1">
      <x:c r="A1338" s="11" t="str">
        <x:v>lade_0826_30aoi</x:v>
      </x:c>
      <x:c r="B1338" s="10" t="n">
        <x:v>30</x:v>
      </x:c>
      <x:c r="C1338" s="10" t="n">
        <x:v>42</x:v>
      </x:c>
      <x:c r="D1338" s="10" t="str">
        <x:v>M1 / M3</x:v>
      </x:c>
      <x:c r="E1338" s="16" t="n">
        <x:v>2</x:v>
      </x:c>
      <x:c r="F1338" s="14" t="n">
        <x:v>30</x:v>
      </x:c>
      <x:c r="G1338" s="26" t="n">
        <x:f>'成本明细'!U204+'成本明细'!G204*(E1338-'参数'!$B$6)</x:f>
        <x:v>2655.322919631667</x:v>
      </x:c>
      <x:c r="H1338" s="26" t="n">
        <x:f>'成本明细'!U210</x:f>
        <x:v>3504.176064511667</x:v>
      </x:c>
      <x:c r="I1338" s="26" t="n">
        <x:f>'成本明细'!V210</x:f>
        <x:v>8322</x:v>
      </x:c>
      <x:c r="J1338" s="22" t="n">
        <x:f>'参数'!$B$9</x:f>
        <x:v>300</x:v>
      </x:c>
      <x:c r="K1338" s="26" t="n">
        <x:f>J1338*(G1338-H1338)-I1338*ROUNDUP(J1338/F1338,0)</x:f>
        <x:v>-337875.943464</x:v>
      </x:c>
      <x:c r="L1338" s="10" t="str">
        <x:f>IF(G1338-H1338&lt;=0,"未回本",IF(ROUNDUP(I1338/(G1338-H1338),0)&gt;MIN(F1338,J1338),"未回本",MAX(1,ROUNDUP(I1338/(G1338-H1338),0))))</x:f>
        <x:v>未回本</x:v>
      </x:c>
    </x:row>
    <x:row r="1339" ht="22" customHeight="1">
      <x:c r="A1339" s="11" t="str">
        <x:v>lade_0826_30aoi</x:v>
      </x:c>
      <x:c r="B1339" s="10" t="n">
        <x:v>30</x:v>
      </x:c>
      <x:c r="C1339" s="10" t="n">
        <x:v>42</x:v>
      </x:c>
      <x:c r="D1339" s="10" t="str">
        <x:v>M2 / M4</x:v>
      </x:c>
      <x:c r="E1339" s="16" t="n">
        <x:v>2</x:v>
      </x:c>
      <x:c r="F1339" s="14" t="n">
        <x:v>30</x:v>
      </x:c>
      <x:c r="G1339" s="26" t="n">
        <x:f>'成本明细'!U207+'成本明细'!G207*(E1339-'参数'!$B$6)</x:f>
        <x:v>2397.3344543661115</x:v>
      </x:c>
      <x:c r="H1339" s="26" t="n">
        <x:f>'成本明细'!U213</x:f>
        <x:v>3660.430428623889</x:v>
      </x:c>
      <x:c r="I1339" s="26" t="n">
        <x:f>'成本明细'!V213</x:f>
        <x:v>8322</x:v>
      </x:c>
      <x:c r="J1339" s="22" t="n">
        <x:f>'参数'!$B$9</x:f>
        <x:v>300</x:v>
      </x:c>
      <x:c r="K1339" s="26" t="n">
        <x:f>J1339*(G1339-H1339)-I1339*ROUNDUP(J1339/F1339,0)</x:f>
        <x:v>-462148.79227733327</x:v>
      </x:c>
      <x:c r="L1339" s="10" t="str">
        <x:f>IF(G1339-H1339&lt;=0,"未回本",IF(ROUNDUP(I1339/(G1339-H1339),0)&gt;MIN(F1339,J1339),"未回本",MAX(1,ROUNDUP(I1339/(G1339-H1339),0))))</x:f>
        <x:v>未回本</x:v>
      </x:c>
    </x:row>
    <x:row r="1340" ht="22" customHeight="1">
      <x:c r="A1340" s="11" t="str">
        <x:v>lade_0826_30aoi</x:v>
      </x:c>
      <x:c r="B1340" s="10" t="n">
        <x:v>30</x:v>
      </x:c>
      <x:c r="C1340" s="10" t="n">
        <x:v>42</x:v>
      </x:c>
      <x:c r="D1340" s="10" t="str">
        <x:v>M1 / M3</x:v>
      </x:c>
      <x:c r="E1340" s="16" t="n">
        <x:v>2</x:v>
      </x:c>
      <x:c r="F1340" s="14" t="n">
        <x:v>50</x:v>
      </x:c>
      <x:c r="G1340" s="26" t="n">
        <x:f>'成本明细'!U204+'成本明细'!G204*(E1340-'参数'!$B$6)</x:f>
        <x:v>2655.322919631667</x:v>
      </x:c>
      <x:c r="H1340" s="26" t="n">
        <x:f>'成本明细'!U210</x:f>
        <x:v>3504.176064511667</x:v>
      </x:c>
      <x:c r="I1340" s="26" t="n">
        <x:f>'成本明细'!V210</x:f>
        <x:v>8322</x:v>
      </x:c>
      <x:c r="J1340" s="22" t="n">
        <x:f>'参数'!$B$9</x:f>
        <x:v>300</x:v>
      </x:c>
      <x:c r="K1340" s="26" t="n">
        <x:f>J1340*(G1340-H1340)-I1340*ROUNDUP(J1340/F1340,0)</x:f>
        <x:v>-304587.943464</x:v>
      </x:c>
      <x:c r="L1340" s="10" t="str">
        <x:f>IF(G1340-H1340&lt;=0,"未回本",IF(ROUNDUP(I1340/(G1340-H1340),0)&gt;MIN(F1340,J1340),"未回本",MAX(1,ROUNDUP(I1340/(G1340-H1340),0))))</x:f>
        <x:v>未回本</x:v>
      </x:c>
    </x:row>
    <x:row r="1341" ht="22" customHeight="1">
      <x:c r="A1341" s="11" t="str">
        <x:v>lade_0826_30aoi</x:v>
      </x:c>
      <x:c r="B1341" s="10" t="n">
        <x:v>30</x:v>
      </x:c>
      <x:c r="C1341" s="10" t="n">
        <x:v>42</x:v>
      </x:c>
      <x:c r="D1341" s="10" t="str">
        <x:v>M2 / M4</x:v>
      </x:c>
      <x:c r="E1341" s="16" t="n">
        <x:v>2</x:v>
      </x:c>
      <x:c r="F1341" s="14" t="n">
        <x:v>50</x:v>
      </x:c>
      <x:c r="G1341" s="26" t="n">
        <x:f>'成本明细'!U207+'成本明细'!G207*(E1341-'参数'!$B$6)</x:f>
        <x:v>2397.3344543661115</x:v>
      </x:c>
      <x:c r="H1341" s="26" t="n">
        <x:f>'成本明细'!U213</x:f>
        <x:v>3660.430428623889</x:v>
      </x:c>
      <x:c r="I1341" s="26" t="n">
        <x:f>'成本明细'!V213</x:f>
        <x:v>8322</x:v>
      </x:c>
      <x:c r="J1341" s="22" t="n">
        <x:f>'参数'!$B$9</x:f>
        <x:v>300</x:v>
      </x:c>
      <x:c r="K1341" s="26" t="n">
        <x:f>J1341*(G1341-H1341)-I1341*ROUNDUP(J1341/F1341,0)</x:f>
        <x:v>-428860.79227733327</x:v>
      </x:c>
      <x:c r="L1341" s="10" t="str">
        <x:f>IF(G1341-H1341&lt;=0,"未回本",IF(ROUNDUP(I1341/(G1341-H1341),0)&gt;MIN(F1341,J1341),"未回本",MAX(1,ROUNDUP(I1341/(G1341-H1341),0))))</x:f>
        <x:v>未回本</x:v>
      </x:c>
    </x:row>
    <x:row r="1342" ht="22" customHeight="1">
      <x:c r="A1342" s="11" t="str">
        <x:v>lade_0826_30aoi</x:v>
      </x:c>
      <x:c r="B1342" s="10" t="n">
        <x:v>30</x:v>
      </x:c>
      <x:c r="C1342" s="10" t="n">
        <x:v>42</x:v>
      </x:c>
      <x:c r="D1342" s="10" t="str">
        <x:v>M1 / M3</x:v>
      </x:c>
      <x:c r="E1342" s="16" t="n">
        <x:v>3</x:v>
      </x:c>
      <x:c r="F1342" s="14" t="n">
        <x:v>10</x:v>
      </x:c>
      <x:c r="G1342" s="26" t="n">
        <x:f>'成本明细'!U204+'成本明细'!G204*(E1342-'参数'!$B$6)</x:f>
        <x:v>2883.322919631667</x:v>
      </x:c>
      <x:c r="H1342" s="26" t="n">
        <x:f>'成本明细'!U210</x:f>
        <x:v>3504.176064511667</x:v>
      </x:c>
      <x:c r="I1342" s="26" t="n">
        <x:f>'成本明细'!V210</x:f>
        <x:v>8322</x:v>
      </x:c>
      <x:c r="J1342" s="22" t="n">
        <x:f>'参数'!$B$9</x:f>
        <x:v>300</x:v>
      </x:c>
      <x:c r="K1342" s="26" t="n">
        <x:f>J1342*(G1342-H1342)-I1342*ROUNDUP(J1342/F1342,0)</x:f>
        <x:v>-435915.943464</x:v>
      </x:c>
      <x:c r="L1342" s="10" t="str">
        <x:f>IF(G1342-H1342&lt;=0,"未回本",IF(ROUNDUP(I1342/(G1342-H1342),0)&gt;MIN(F1342,J1342),"未回本",MAX(1,ROUNDUP(I1342/(G1342-H1342),0))))</x:f>
        <x:v>未回本</x:v>
      </x:c>
    </x:row>
    <x:row r="1343" ht="22" customHeight="1">
      <x:c r="A1343" s="11" t="str">
        <x:v>lade_0826_30aoi</x:v>
      </x:c>
      <x:c r="B1343" s="10" t="n">
        <x:v>30</x:v>
      </x:c>
      <x:c r="C1343" s="10" t="n">
        <x:v>42</x:v>
      </x:c>
      <x:c r="D1343" s="10" t="str">
        <x:v>M2 / M4</x:v>
      </x:c>
      <x:c r="E1343" s="16" t="n">
        <x:v>3</x:v>
      </x:c>
      <x:c r="F1343" s="14" t="n">
        <x:v>10</x:v>
      </x:c>
      <x:c r="G1343" s="26" t="n">
        <x:f>'成本明细'!U207+'成本明细'!G207*(E1343-'参数'!$B$6)</x:f>
        <x:v>2625.3344543661115</x:v>
      </x:c>
      <x:c r="H1343" s="26" t="n">
        <x:f>'成本明细'!U213</x:f>
        <x:v>3660.430428623889</x:v>
      </x:c>
      <x:c r="I1343" s="26" t="n">
        <x:f>'成本明细'!V213</x:f>
        <x:v>8322</x:v>
      </x:c>
      <x:c r="J1343" s="22" t="n">
        <x:f>'参数'!$B$9</x:f>
        <x:v>300</x:v>
      </x:c>
      <x:c r="K1343" s="26" t="n">
        <x:f>J1343*(G1343-H1343)-I1343*ROUNDUP(J1343/F1343,0)</x:f>
        <x:v>-560188.7922773333</x:v>
      </x:c>
      <x:c r="L1343" s="10" t="str">
        <x:f>IF(G1343-H1343&lt;=0,"未回本",IF(ROUNDUP(I1343/(G1343-H1343),0)&gt;MIN(F1343,J1343),"未回本",MAX(1,ROUNDUP(I1343/(G1343-H1343),0))))</x:f>
        <x:v>未回本</x:v>
      </x:c>
    </x:row>
    <x:row r="1344" ht="22" customHeight="1">
      <x:c r="A1344" s="11" t="str">
        <x:v>lade_0826_30aoi</x:v>
      </x:c>
      <x:c r="B1344" s="10" t="n">
        <x:v>30</x:v>
      </x:c>
      <x:c r="C1344" s="10" t="n">
        <x:v>42</x:v>
      </x:c>
      <x:c r="D1344" s="10" t="str">
        <x:v>M1 / M3</x:v>
      </x:c>
      <x:c r="E1344" s="16" t="n">
        <x:v>3</x:v>
      </x:c>
      <x:c r="F1344" s="14" t="n">
        <x:v>20</x:v>
      </x:c>
      <x:c r="G1344" s="26" t="n">
        <x:f>'成本明细'!U204+'成本明细'!G204*(E1344-'参数'!$B$6)</x:f>
        <x:v>2883.322919631667</x:v>
      </x:c>
      <x:c r="H1344" s="26" t="n">
        <x:f>'成本明细'!U210</x:f>
        <x:v>3504.176064511667</x:v>
      </x:c>
      <x:c r="I1344" s="26" t="n">
        <x:f>'成本明细'!V210</x:f>
        <x:v>8322</x:v>
      </x:c>
      <x:c r="J1344" s="22" t="n">
        <x:f>'参数'!$B$9</x:f>
        <x:v>300</x:v>
      </x:c>
      <x:c r="K1344" s="26" t="n">
        <x:f>J1344*(G1344-H1344)-I1344*ROUNDUP(J1344/F1344,0)</x:f>
        <x:v>-311085.943464</x:v>
      </x:c>
      <x:c r="L1344" s="10" t="str">
        <x:f>IF(G1344-H1344&lt;=0,"未回本",IF(ROUNDUP(I1344/(G1344-H1344),0)&gt;MIN(F1344,J1344),"未回本",MAX(1,ROUNDUP(I1344/(G1344-H1344),0))))</x:f>
        <x:v>未回本</x:v>
      </x:c>
    </x:row>
    <x:row r="1345" ht="22" customHeight="1">
      <x:c r="A1345" s="11" t="str">
        <x:v>lade_0826_30aoi</x:v>
      </x:c>
      <x:c r="B1345" s="10" t="n">
        <x:v>30</x:v>
      </x:c>
      <x:c r="C1345" s="10" t="n">
        <x:v>42</x:v>
      </x:c>
      <x:c r="D1345" s="10" t="str">
        <x:v>M2 / M4</x:v>
      </x:c>
      <x:c r="E1345" s="16" t="n">
        <x:v>3</x:v>
      </x:c>
      <x:c r="F1345" s="14" t="n">
        <x:v>20</x:v>
      </x:c>
      <x:c r="G1345" s="26" t="n">
        <x:f>'成本明细'!U207+'成本明细'!G207*(E1345-'参数'!$B$6)</x:f>
        <x:v>2625.3344543661115</x:v>
      </x:c>
      <x:c r="H1345" s="26" t="n">
        <x:f>'成本明细'!U213</x:f>
        <x:v>3660.430428623889</x:v>
      </x:c>
      <x:c r="I1345" s="26" t="n">
        <x:f>'成本明细'!V213</x:f>
        <x:v>8322</x:v>
      </x:c>
      <x:c r="J1345" s="22" t="n">
        <x:f>'参数'!$B$9</x:f>
        <x:v>300</x:v>
      </x:c>
      <x:c r="K1345" s="26" t="n">
        <x:f>J1345*(G1345-H1345)-I1345*ROUNDUP(J1345/F1345,0)</x:f>
        <x:v>-435358.79227733327</x:v>
      </x:c>
      <x:c r="L1345" s="10" t="str">
        <x:f>IF(G1345-H1345&lt;=0,"未回本",IF(ROUNDUP(I1345/(G1345-H1345),0)&gt;MIN(F1345,J1345),"未回本",MAX(1,ROUNDUP(I1345/(G1345-H1345),0))))</x:f>
        <x:v>未回本</x:v>
      </x:c>
    </x:row>
    <x:row r="1346" ht="22" customHeight="1">
      <x:c r="A1346" s="11" t="str">
        <x:v>lade_0826_30aoi</x:v>
      </x:c>
      <x:c r="B1346" s="10" t="n">
        <x:v>30</x:v>
      </x:c>
      <x:c r="C1346" s="10" t="n">
        <x:v>42</x:v>
      </x:c>
      <x:c r="D1346" s="10" t="str">
        <x:v>M1 / M3</x:v>
      </x:c>
      <x:c r="E1346" s="16" t="n">
        <x:v>3</x:v>
      </x:c>
      <x:c r="F1346" s="14" t="n">
        <x:v>30</x:v>
      </x:c>
      <x:c r="G1346" s="26" t="n">
        <x:f>'成本明细'!U204+'成本明细'!G204*(E1346-'参数'!$B$6)</x:f>
        <x:v>2883.322919631667</x:v>
      </x:c>
      <x:c r="H1346" s="26" t="n">
        <x:f>'成本明细'!U210</x:f>
        <x:v>3504.176064511667</x:v>
      </x:c>
      <x:c r="I1346" s="26" t="n">
        <x:f>'成本明细'!V210</x:f>
        <x:v>8322</x:v>
      </x:c>
      <x:c r="J1346" s="22" t="n">
        <x:f>'参数'!$B$9</x:f>
        <x:v>300</x:v>
      </x:c>
      <x:c r="K1346" s="26" t="n">
        <x:f>J1346*(G1346-H1346)-I1346*ROUNDUP(J1346/F1346,0)</x:f>
        <x:v>-269475.943464</x:v>
      </x:c>
      <x:c r="L1346" s="10" t="str">
        <x:f>IF(G1346-H1346&lt;=0,"未回本",IF(ROUNDUP(I1346/(G1346-H1346),0)&gt;MIN(F1346,J1346),"未回本",MAX(1,ROUNDUP(I1346/(G1346-H1346),0))))</x:f>
        <x:v>未回本</x:v>
      </x:c>
    </x:row>
    <x:row r="1347" ht="22" customHeight="1">
      <x:c r="A1347" s="11" t="str">
        <x:v>lade_0826_30aoi</x:v>
      </x:c>
      <x:c r="B1347" s="10" t="n">
        <x:v>30</x:v>
      </x:c>
      <x:c r="C1347" s="10" t="n">
        <x:v>42</x:v>
      </x:c>
      <x:c r="D1347" s="10" t="str">
        <x:v>M2 / M4</x:v>
      </x:c>
      <x:c r="E1347" s="16" t="n">
        <x:v>3</x:v>
      </x:c>
      <x:c r="F1347" s="14" t="n">
        <x:v>30</x:v>
      </x:c>
      <x:c r="G1347" s="26" t="n">
        <x:f>'成本明细'!U207+'成本明细'!G207*(E1347-'参数'!$B$6)</x:f>
        <x:v>2625.3344543661115</x:v>
      </x:c>
      <x:c r="H1347" s="26" t="n">
        <x:f>'成本明细'!U213</x:f>
        <x:v>3660.430428623889</x:v>
      </x:c>
      <x:c r="I1347" s="26" t="n">
        <x:f>'成本明细'!V213</x:f>
        <x:v>8322</x:v>
      </x:c>
      <x:c r="J1347" s="22" t="n">
        <x:f>'参数'!$B$9</x:f>
        <x:v>300</x:v>
      </x:c>
      <x:c r="K1347" s="26" t="n">
        <x:f>J1347*(G1347-H1347)-I1347*ROUNDUP(J1347/F1347,0)</x:f>
        <x:v>-393748.79227733327</x:v>
      </x:c>
      <x:c r="L1347" s="10" t="str">
        <x:f>IF(G1347-H1347&lt;=0,"未回本",IF(ROUNDUP(I1347/(G1347-H1347),0)&gt;MIN(F1347,J1347),"未回本",MAX(1,ROUNDUP(I1347/(G1347-H1347),0))))</x:f>
        <x:v>未回本</x:v>
      </x:c>
    </x:row>
    <x:row r="1348" ht="22" customHeight="1">
      <x:c r="A1348" s="11" t="str">
        <x:v>lade_0826_30aoi</x:v>
      </x:c>
      <x:c r="B1348" s="10" t="n">
        <x:v>30</x:v>
      </x:c>
      <x:c r="C1348" s="10" t="n">
        <x:v>42</x:v>
      </x:c>
      <x:c r="D1348" s="10" t="str">
        <x:v>M1 / M3</x:v>
      </x:c>
      <x:c r="E1348" s="16" t="n">
        <x:v>3</x:v>
      </x:c>
      <x:c r="F1348" s="14" t="n">
        <x:v>50</x:v>
      </x:c>
      <x:c r="G1348" s="26" t="n">
        <x:f>'成本明细'!U204+'成本明细'!G204*(E1348-'参数'!$B$6)</x:f>
        <x:v>2883.322919631667</x:v>
      </x:c>
      <x:c r="H1348" s="26" t="n">
        <x:f>'成本明细'!U210</x:f>
        <x:v>3504.176064511667</x:v>
      </x:c>
      <x:c r="I1348" s="26" t="n">
        <x:f>'成本明细'!V210</x:f>
        <x:v>8322</x:v>
      </x:c>
      <x:c r="J1348" s="22" t="n">
        <x:f>'参数'!$B$9</x:f>
        <x:v>300</x:v>
      </x:c>
      <x:c r="K1348" s="26" t="n">
        <x:f>J1348*(G1348-H1348)-I1348*ROUNDUP(J1348/F1348,0)</x:f>
        <x:v>-236187.94346399998</x:v>
      </x:c>
      <x:c r="L1348" s="10" t="str">
        <x:f>IF(G1348-H1348&lt;=0,"未回本",IF(ROUNDUP(I1348/(G1348-H1348),0)&gt;MIN(F1348,J1348),"未回本",MAX(1,ROUNDUP(I1348/(G1348-H1348),0))))</x:f>
        <x:v>未回本</x:v>
      </x:c>
    </x:row>
    <x:row r="1349" ht="22" customHeight="1">
      <x:c r="A1349" s="11" t="str">
        <x:v>lade_0826_30aoi</x:v>
      </x:c>
      <x:c r="B1349" s="10" t="n">
        <x:v>30</x:v>
      </x:c>
      <x:c r="C1349" s="10" t="n">
        <x:v>42</x:v>
      </x:c>
      <x:c r="D1349" s="10" t="str">
        <x:v>M2 / M4</x:v>
      </x:c>
      <x:c r="E1349" s="16" t="n">
        <x:v>3</x:v>
      </x:c>
      <x:c r="F1349" s="14" t="n">
        <x:v>50</x:v>
      </x:c>
      <x:c r="G1349" s="26" t="n">
        <x:f>'成本明细'!U207+'成本明细'!G207*(E1349-'参数'!$B$6)</x:f>
        <x:v>2625.3344543661115</x:v>
      </x:c>
      <x:c r="H1349" s="26" t="n">
        <x:f>'成本明细'!U213</x:f>
        <x:v>3660.430428623889</x:v>
      </x:c>
      <x:c r="I1349" s="26" t="n">
        <x:f>'成本明细'!V213</x:f>
        <x:v>8322</x:v>
      </x:c>
      <x:c r="J1349" s="22" t="n">
        <x:f>'参数'!$B$9</x:f>
        <x:v>300</x:v>
      </x:c>
      <x:c r="K1349" s="26" t="n">
        <x:f>J1349*(G1349-H1349)-I1349*ROUNDUP(J1349/F1349,0)</x:f>
        <x:v>-360460.79227733327</x:v>
      </x:c>
      <x:c r="L1349" s="10" t="str">
        <x:f>IF(G1349-H1349&lt;=0,"未回本",IF(ROUNDUP(I1349/(G1349-H1349),0)&gt;MIN(F1349,J1349),"未回本",MAX(1,ROUNDUP(I1349/(G1349-H1349),0))))</x:f>
        <x:v>未回本</x:v>
      </x:c>
    </x:row>
    <x:row r="1350" ht="22" customHeight="1">
      <x:c r="A1350" s="11" t="str">
        <x:v>lade_0826_30aoi</x:v>
      </x:c>
      <x:c r="B1350" s="10" t="n">
        <x:v>30</x:v>
      </x:c>
      <x:c r="C1350" s="10" t="n">
        <x:v>42</x:v>
      </x:c>
      <x:c r="D1350" s="10" t="str">
        <x:v>M1 / M3</x:v>
      </x:c>
      <x:c r="E1350" s="16" t="n">
        <x:v>4</x:v>
      </x:c>
      <x:c r="F1350" s="14" t="n">
        <x:v>10</x:v>
      </x:c>
      <x:c r="G1350" s="26" t="n">
        <x:f>'成本明细'!U204+'成本明细'!G204*(E1350-'参数'!$B$6)</x:f>
        <x:v>3111.322919631667</x:v>
      </x:c>
      <x:c r="H1350" s="26" t="n">
        <x:f>'成本明细'!U210</x:f>
        <x:v>3504.176064511667</x:v>
      </x:c>
      <x:c r="I1350" s="26" t="n">
        <x:f>'成本明细'!V210</x:f>
        <x:v>8322</x:v>
      </x:c>
      <x:c r="J1350" s="22" t="n">
        <x:f>'参数'!$B$9</x:f>
        <x:v>300</x:v>
      </x:c>
      <x:c r="K1350" s="26" t="n">
        <x:f>J1350*(G1350-H1350)-I1350*ROUNDUP(J1350/F1350,0)</x:f>
        <x:v>-367515.943464</x:v>
      </x:c>
      <x:c r="L1350" s="10" t="str">
        <x:f>IF(G1350-H1350&lt;=0,"未回本",IF(ROUNDUP(I1350/(G1350-H1350),0)&gt;MIN(F1350,J1350),"未回本",MAX(1,ROUNDUP(I1350/(G1350-H1350),0))))</x:f>
        <x:v>未回本</x:v>
      </x:c>
    </x:row>
    <x:row r="1351" ht="22" customHeight="1">
      <x:c r="A1351" s="11" t="str">
        <x:v>lade_0826_30aoi</x:v>
      </x:c>
      <x:c r="B1351" s="10" t="n">
        <x:v>30</x:v>
      </x:c>
      <x:c r="C1351" s="10" t="n">
        <x:v>42</x:v>
      </x:c>
      <x:c r="D1351" s="10" t="str">
        <x:v>M2 / M4</x:v>
      </x:c>
      <x:c r="E1351" s="16" t="n">
        <x:v>4</x:v>
      </x:c>
      <x:c r="F1351" s="14" t="n">
        <x:v>10</x:v>
      </x:c>
      <x:c r="G1351" s="26" t="n">
        <x:f>'成本明细'!U207+'成本明细'!G207*(E1351-'参数'!$B$6)</x:f>
        <x:v>2853.3344543661115</x:v>
      </x:c>
      <x:c r="H1351" s="26" t="n">
        <x:f>'成本明细'!U213</x:f>
        <x:v>3660.430428623889</x:v>
      </x:c>
      <x:c r="I1351" s="26" t="n">
        <x:f>'成本明细'!V213</x:f>
        <x:v>8322</x:v>
      </x:c>
      <x:c r="J1351" s="22" t="n">
        <x:f>'参数'!$B$9</x:f>
        <x:v>300</x:v>
      </x:c>
      <x:c r="K1351" s="26" t="n">
        <x:f>J1351*(G1351-H1351)-I1351*ROUNDUP(J1351/F1351,0)</x:f>
        <x:v>-491788.7922773332</x:v>
      </x:c>
      <x:c r="L1351" s="10" t="str">
        <x:f>IF(G1351-H1351&lt;=0,"未回本",IF(ROUNDUP(I1351/(G1351-H1351),0)&gt;MIN(F1351,J1351),"未回本",MAX(1,ROUNDUP(I1351/(G1351-H1351),0))))</x:f>
        <x:v>未回本</x:v>
      </x:c>
    </x:row>
    <x:row r="1352" ht="22" customHeight="1">
      <x:c r="A1352" s="11" t="str">
        <x:v>lade_0826_30aoi</x:v>
      </x:c>
      <x:c r="B1352" s="10" t="n">
        <x:v>30</x:v>
      </x:c>
      <x:c r="C1352" s="10" t="n">
        <x:v>42</x:v>
      </x:c>
      <x:c r="D1352" s="10" t="str">
        <x:v>M1 / M3</x:v>
      </x:c>
      <x:c r="E1352" s="16" t="n">
        <x:v>4</x:v>
      </x:c>
      <x:c r="F1352" s="14" t="n">
        <x:v>20</x:v>
      </x:c>
      <x:c r="G1352" s="26" t="n">
        <x:f>'成本明细'!U204+'成本明细'!G204*(E1352-'参数'!$B$6)</x:f>
        <x:v>3111.322919631667</x:v>
      </x:c>
      <x:c r="H1352" s="26" t="n">
        <x:f>'成本明细'!U210</x:f>
        <x:v>3504.176064511667</x:v>
      </x:c>
      <x:c r="I1352" s="26" t="n">
        <x:f>'成本明细'!V210</x:f>
        <x:v>8322</x:v>
      </x:c>
      <x:c r="J1352" s="22" t="n">
        <x:f>'参数'!$B$9</x:f>
        <x:v>300</x:v>
      </x:c>
      <x:c r="K1352" s="26" t="n">
        <x:f>J1352*(G1352-H1352)-I1352*ROUNDUP(J1352/F1352,0)</x:f>
        <x:v>-242685.94346399998</x:v>
      </x:c>
      <x:c r="L1352" s="10" t="str">
        <x:f>IF(G1352-H1352&lt;=0,"未回本",IF(ROUNDUP(I1352/(G1352-H1352),0)&gt;MIN(F1352,J1352),"未回本",MAX(1,ROUNDUP(I1352/(G1352-H1352),0))))</x:f>
        <x:v>未回本</x:v>
      </x:c>
    </x:row>
    <x:row r="1353" ht="22" customHeight="1">
      <x:c r="A1353" s="11" t="str">
        <x:v>lade_0826_30aoi</x:v>
      </x:c>
      <x:c r="B1353" s="10" t="n">
        <x:v>30</x:v>
      </x:c>
      <x:c r="C1353" s="10" t="n">
        <x:v>42</x:v>
      </x:c>
      <x:c r="D1353" s="10" t="str">
        <x:v>M2 / M4</x:v>
      </x:c>
      <x:c r="E1353" s="16" t="n">
        <x:v>4</x:v>
      </x:c>
      <x:c r="F1353" s="14" t="n">
        <x:v>20</x:v>
      </x:c>
      <x:c r="G1353" s="26" t="n">
        <x:f>'成本明细'!U207+'成本明细'!G207*(E1353-'参数'!$B$6)</x:f>
        <x:v>2853.3344543661115</x:v>
      </x:c>
      <x:c r="H1353" s="26" t="n">
        <x:f>'成本明细'!U213</x:f>
        <x:v>3660.430428623889</x:v>
      </x:c>
      <x:c r="I1353" s="26" t="n">
        <x:f>'成本明细'!V213</x:f>
        <x:v>8322</x:v>
      </x:c>
      <x:c r="J1353" s="22" t="n">
        <x:f>'参数'!$B$9</x:f>
        <x:v>300</x:v>
      </x:c>
      <x:c r="K1353" s="26" t="n">
        <x:f>J1353*(G1353-H1353)-I1353*ROUNDUP(J1353/F1353,0)</x:f>
        <x:v>-366958.7922773332</x:v>
      </x:c>
      <x:c r="L1353" s="10" t="str">
        <x:f>IF(G1353-H1353&lt;=0,"未回本",IF(ROUNDUP(I1353/(G1353-H1353),0)&gt;MIN(F1353,J1353),"未回本",MAX(1,ROUNDUP(I1353/(G1353-H1353),0))))</x:f>
        <x:v>未回本</x:v>
      </x:c>
    </x:row>
    <x:row r="1354" ht="22" customHeight="1">
      <x:c r="A1354" s="11" t="str">
        <x:v>lade_0826_30aoi</x:v>
      </x:c>
      <x:c r="B1354" s="10" t="n">
        <x:v>30</x:v>
      </x:c>
      <x:c r="C1354" s="10" t="n">
        <x:v>42</x:v>
      </x:c>
      <x:c r="D1354" s="10" t="str">
        <x:v>M1 / M3</x:v>
      </x:c>
      <x:c r="E1354" s="16" t="n">
        <x:v>4</x:v>
      </x:c>
      <x:c r="F1354" s="14" t="n">
        <x:v>30</x:v>
      </x:c>
      <x:c r="G1354" s="26" t="n">
        <x:f>'成本明细'!U204+'成本明细'!G204*(E1354-'参数'!$B$6)</x:f>
        <x:v>3111.322919631667</x:v>
      </x:c>
      <x:c r="H1354" s="26" t="n">
        <x:f>'成本明细'!U210</x:f>
        <x:v>3504.176064511667</x:v>
      </x:c>
      <x:c r="I1354" s="26" t="n">
        <x:f>'成本明细'!V210</x:f>
        <x:v>8322</x:v>
      </x:c>
      <x:c r="J1354" s="22" t="n">
        <x:f>'参数'!$B$9</x:f>
        <x:v>300</x:v>
      </x:c>
      <x:c r="K1354" s="26" t="n">
        <x:f>J1354*(G1354-H1354)-I1354*ROUNDUP(J1354/F1354,0)</x:f>
        <x:v>-201075.94346399998</x:v>
      </x:c>
      <x:c r="L1354" s="10" t="str">
        <x:f>IF(G1354-H1354&lt;=0,"未回本",IF(ROUNDUP(I1354/(G1354-H1354),0)&gt;MIN(F1354,J1354),"未回本",MAX(1,ROUNDUP(I1354/(G1354-H1354),0))))</x:f>
        <x:v>未回本</x:v>
      </x:c>
    </x:row>
    <x:row r="1355" ht="22" customHeight="1">
      <x:c r="A1355" s="11" t="str">
        <x:v>lade_0826_30aoi</x:v>
      </x:c>
      <x:c r="B1355" s="10" t="n">
        <x:v>30</x:v>
      </x:c>
      <x:c r="C1355" s="10" t="n">
        <x:v>42</x:v>
      </x:c>
      <x:c r="D1355" s="10" t="str">
        <x:v>M2 / M4</x:v>
      </x:c>
      <x:c r="E1355" s="16" t="n">
        <x:v>4</x:v>
      </x:c>
      <x:c r="F1355" s="14" t="n">
        <x:v>30</x:v>
      </x:c>
      <x:c r="G1355" s="26" t="n">
        <x:f>'成本明细'!U207+'成本明细'!G207*(E1355-'参数'!$B$6)</x:f>
        <x:v>2853.3344543661115</x:v>
      </x:c>
      <x:c r="H1355" s="26" t="n">
        <x:f>'成本明细'!U213</x:f>
        <x:v>3660.430428623889</x:v>
      </x:c>
      <x:c r="I1355" s="26" t="n">
        <x:f>'成本明细'!V213</x:f>
        <x:v>8322</x:v>
      </x:c>
      <x:c r="J1355" s="22" t="n">
        <x:f>'参数'!$B$9</x:f>
        <x:v>300</x:v>
      </x:c>
      <x:c r="K1355" s="26" t="n">
        <x:f>J1355*(G1355-H1355)-I1355*ROUNDUP(J1355/F1355,0)</x:f>
        <x:v>-325348.7922773332</x:v>
      </x:c>
      <x:c r="L1355" s="10" t="str">
        <x:f>IF(G1355-H1355&lt;=0,"未回本",IF(ROUNDUP(I1355/(G1355-H1355),0)&gt;MIN(F1355,J1355),"未回本",MAX(1,ROUNDUP(I1355/(G1355-H1355),0))))</x:f>
        <x:v>未回本</x:v>
      </x:c>
    </x:row>
    <x:row r="1356" ht="22" customHeight="1">
      <x:c r="A1356" s="11" t="str">
        <x:v>lade_0826_30aoi</x:v>
      </x:c>
      <x:c r="B1356" s="10" t="n">
        <x:v>30</x:v>
      </x:c>
      <x:c r="C1356" s="10" t="n">
        <x:v>42</x:v>
      </x:c>
      <x:c r="D1356" s="10" t="str">
        <x:v>M1 / M3</x:v>
      </x:c>
      <x:c r="E1356" s="16" t="n">
        <x:v>4</x:v>
      </x:c>
      <x:c r="F1356" s="14" t="n">
        <x:v>50</x:v>
      </x:c>
      <x:c r="G1356" s="26" t="n">
        <x:f>'成本明细'!U204+'成本明细'!G204*(E1356-'参数'!$B$6)</x:f>
        <x:v>3111.322919631667</x:v>
      </x:c>
      <x:c r="H1356" s="26" t="n">
        <x:f>'成本明细'!U210</x:f>
        <x:v>3504.176064511667</x:v>
      </x:c>
      <x:c r="I1356" s="26" t="n">
        <x:f>'成本明细'!V210</x:f>
        <x:v>8322</x:v>
      </x:c>
      <x:c r="J1356" s="22" t="n">
        <x:f>'参数'!$B$9</x:f>
        <x:v>300</x:v>
      </x:c>
      <x:c r="K1356" s="26" t="n">
        <x:f>J1356*(G1356-H1356)-I1356*ROUNDUP(J1356/F1356,0)</x:f>
        <x:v>-167787.94346399998</x:v>
      </x:c>
      <x:c r="L1356" s="10" t="str">
        <x:f>IF(G1356-H1356&lt;=0,"未回本",IF(ROUNDUP(I1356/(G1356-H1356),0)&gt;MIN(F1356,J1356),"未回本",MAX(1,ROUNDUP(I1356/(G1356-H1356),0))))</x:f>
        <x:v>未回本</x:v>
      </x:c>
    </x:row>
    <x:row r="1357" ht="22" customHeight="1">
      <x:c r="A1357" s="11" t="str">
        <x:v>lade_0826_30aoi</x:v>
      </x:c>
      <x:c r="B1357" s="10" t="n">
        <x:v>30</x:v>
      </x:c>
      <x:c r="C1357" s="10" t="n">
        <x:v>42</x:v>
      </x:c>
      <x:c r="D1357" s="10" t="str">
        <x:v>M2 / M4</x:v>
      </x:c>
      <x:c r="E1357" s="16" t="n">
        <x:v>4</x:v>
      </x:c>
      <x:c r="F1357" s="14" t="n">
        <x:v>50</x:v>
      </x:c>
      <x:c r="G1357" s="26" t="n">
        <x:f>'成本明细'!U207+'成本明细'!G207*(E1357-'参数'!$B$6)</x:f>
        <x:v>2853.3344543661115</x:v>
      </x:c>
      <x:c r="H1357" s="26" t="n">
        <x:f>'成本明细'!U213</x:f>
        <x:v>3660.430428623889</x:v>
      </x:c>
      <x:c r="I1357" s="26" t="n">
        <x:f>'成本明细'!V213</x:f>
        <x:v>8322</x:v>
      </x:c>
      <x:c r="J1357" s="22" t="n">
        <x:f>'参数'!$B$9</x:f>
        <x:v>300</x:v>
      </x:c>
      <x:c r="K1357" s="26" t="n">
        <x:f>J1357*(G1357-H1357)-I1357*ROUNDUP(J1357/F1357,0)</x:f>
        <x:v>-292060.7922773332</x:v>
      </x:c>
      <x:c r="L1357" s="10" t="str">
        <x:f>IF(G1357-H1357&lt;=0,"未回本",IF(ROUNDUP(I1357/(G1357-H1357),0)&gt;MIN(F1357,J1357),"未回本",MAX(1,ROUNDUP(I1357/(G1357-H1357),0))))</x:f>
        <x:v>未回本</x:v>
      </x:c>
    </x:row>
    <x:row r="1358" ht="22" customHeight="1">
      <x:c r="A1358" s="11" t="str">
        <x:v>lade_0826_30aoi</x:v>
      </x:c>
      <x:c r="B1358" s="10" t="n">
        <x:v>30</x:v>
      </x:c>
      <x:c r="C1358" s="10" t="n">
        <x:v>42</x:v>
      </x:c>
      <x:c r="D1358" s="10" t="str">
        <x:v>M1 / M3</x:v>
      </x:c>
      <x:c r="E1358" s="16" t="n">
        <x:v>5</x:v>
      </x:c>
      <x:c r="F1358" s="14" t="n">
        <x:v>10</x:v>
      </x:c>
      <x:c r="G1358" s="26" t="n">
        <x:f>'成本明细'!U204+'成本明细'!G204*(E1358-'参数'!$B$6)</x:f>
        <x:v>3339.322919631667</x:v>
      </x:c>
      <x:c r="H1358" s="26" t="n">
        <x:f>'成本明细'!U210</x:f>
        <x:v>3504.176064511667</x:v>
      </x:c>
      <x:c r="I1358" s="26" t="n">
        <x:f>'成本明细'!V210</x:f>
        <x:v>8322</x:v>
      </x:c>
      <x:c r="J1358" s="22" t="n">
        <x:f>'参数'!$B$9</x:f>
        <x:v>300</x:v>
      </x:c>
      <x:c r="K1358" s="26" t="n">
        <x:f>J1358*(G1358-H1358)-I1358*ROUNDUP(J1358/F1358,0)</x:f>
        <x:v>-299115.943464</x:v>
      </x:c>
      <x:c r="L1358" s="10" t="str">
        <x:f>IF(G1358-H1358&lt;=0,"未回本",IF(ROUNDUP(I1358/(G1358-H1358),0)&gt;MIN(F1358,J1358),"未回本",MAX(1,ROUNDUP(I1358/(G1358-H1358),0))))</x:f>
        <x:v>未回本</x:v>
      </x:c>
    </x:row>
    <x:row r="1359" ht="22" customHeight="1">
      <x:c r="A1359" s="11" t="str">
        <x:v>lade_0826_30aoi</x:v>
      </x:c>
      <x:c r="B1359" s="10" t="n">
        <x:v>30</x:v>
      </x:c>
      <x:c r="C1359" s="10" t="n">
        <x:v>42</x:v>
      </x:c>
      <x:c r="D1359" s="10" t="str">
        <x:v>M2 / M4</x:v>
      </x:c>
      <x:c r="E1359" s="16" t="n">
        <x:v>5</x:v>
      </x:c>
      <x:c r="F1359" s="14" t="n">
        <x:v>10</x:v>
      </x:c>
      <x:c r="G1359" s="26" t="n">
        <x:f>'成本明细'!U207+'成本明细'!G207*(E1359-'参数'!$B$6)</x:f>
        <x:v>3081.3344543661115</x:v>
      </x:c>
      <x:c r="H1359" s="26" t="n">
        <x:f>'成本明细'!U213</x:f>
        <x:v>3660.430428623889</x:v>
      </x:c>
      <x:c r="I1359" s="26" t="n">
        <x:f>'成本明细'!V213</x:f>
        <x:v>8322</x:v>
      </x:c>
      <x:c r="J1359" s="22" t="n">
        <x:f>'参数'!$B$9</x:f>
        <x:v>300</x:v>
      </x:c>
      <x:c r="K1359" s="26" t="n">
        <x:f>J1359*(G1359-H1359)-I1359*ROUNDUP(J1359/F1359,0)</x:f>
        <x:v>-423388.7922773332</x:v>
      </x:c>
      <x:c r="L1359" s="10" t="str">
        <x:f>IF(G1359-H1359&lt;=0,"未回本",IF(ROUNDUP(I1359/(G1359-H1359),0)&gt;MIN(F1359,J1359),"未回本",MAX(1,ROUNDUP(I1359/(G1359-H1359),0))))</x:f>
        <x:v>未回本</x:v>
      </x:c>
    </x:row>
    <x:row r="1360" ht="22" customHeight="1">
      <x:c r="A1360" s="11" t="str">
        <x:v>lade_0826_30aoi</x:v>
      </x:c>
      <x:c r="B1360" s="10" t="n">
        <x:v>30</x:v>
      </x:c>
      <x:c r="C1360" s="10" t="n">
        <x:v>42</x:v>
      </x:c>
      <x:c r="D1360" s="10" t="str">
        <x:v>M1 / M3</x:v>
      </x:c>
      <x:c r="E1360" s="16" t="n">
        <x:v>5</x:v>
      </x:c>
      <x:c r="F1360" s="14" t="n">
        <x:v>20</x:v>
      </x:c>
      <x:c r="G1360" s="26" t="n">
        <x:f>'成本明细'!U204+'成本明细'!G204*(E1360-'参数'!$B$6)</x:f>
        <x:v>3339.322919631667</x:v>
      </x:c>
      <x:c r="H1360" s="26" t="n">
        <x:f>'成本明细'!U210</x:f>
        <x:v>3504.176064511667</x:v>
      </x:c>
      <x:c r="I1360" s="26" t="n">
        <x:f>'成本明细'!V210</x:f>
        <x:v>8322</x:v>
      </x:c>
      <x:c r="J1360" s="22" t="n">
        <x:f>'参数'!$B$9</x:f>
        <x:v>300</x:v>
      </x:c>
      <x:c r="K1360" s="26" t="n">
        <x:f>J1360*(G1360-H1360)-I1360*ROUNDUP(J1360/F1360,0)</x:f>
        <x:v>-174285.94346399998</x:v>
      </x:c>
      <x:c r="L1360" s="10" t="str">
        <x:f>IF(G1360-H1360&lt;=0,"未回本",IF(ROUNDUP(I1360/(G1360-H1360),0)&gt;MIN(F1360,J1360),"未回本",MAX(1,ROUNDUP(I1360/(G1360-H1360),0))))</x:f>
        <x:v>未回本</x:v>
      </x:c>
    </x:row>
    <x:row r="1361" ht="22" customHeight="1">
      <x:c r="A1361" s="11" t="str">
        <x:v>lade_0826_30aoi</x:v>
      </x:c>
      <x:c r="B1361" s="10" t="n">
        <x:v>30</x:v>
      </x:c>
      <x:c r="C1361" s="10" t="n">
        <x:v>42</x:v>
      </x:c>
      <x:c r="D1361" s="10" t="str">
        <x:v>M2 / M4</x:v>
      </x:c>
      <x:c r="E1361" s="16" t="n">
        <x:v>5</x:v>
      </x:c>
      <x:c r="F1361" s="14" t="n">
        <x:v>20</x:v>
      </x:c>
      <x:c r="G1361" s="26" t="n">
        <x:f>'成本明细'!U207+'成本明细'!G207*(E1361-'参数'!$B$6)</x:f>
        <x:v>3081.3344543661115</x:v>
      </x:c>
      <x:c r="H1361" s="26" t="n">
        <x:f>'成本明细'!U213</x:f>
        <x:v>3660.430428623889</x:v>
      </x:c>
      <x:c r="I1361" s="26" t="n">
        <x:f>'成本明细'!V213</x:f>
        <x:v>8322</x:v>
      </x:c>
      <x:c r="J1361" s="22" t="n">
        <x:f>'参数'!$B$9</x:f>
        <x:v>300</x:v>
      </x:c>
      <x:c r="K1361" s="26" t="n">
        <x:f>J1361*(G1361-H1361)-I1361*ROUNDUP(J1361/F1361,0)</x:f>
        <x:v>-298558.7922773332</x:v>
      </x:c>
      <x:c r="L1361" s="10" t="str">
        <x:f>IF(G1361-H1361&lt;=0,"未回本",IF(ROUNDUP(I1361/(G1361-H1361),0)&gt;MIN(F1361,J1361),"未回本",MAX(1,ROUNDUP(I1361/(G1361-H1361),0))))</x:f>
        <x:v>未回本</x:v>
      </x:c>
    </x:row>
    <x:row r="1362" ht="22" customHeight="1">
      <x:c r="A1362" s="11" t="str">
        <x:v>lade_0826_30aoi</x:v>
      </x:c>
      <x:c r="B1362" s="10" t="n">
        <x:v>30</x:v>
      </x:c>
      <x:c r="C1362" s="10" t="n">
        <x:v>42</x:v>
      </x:c>
      <x:c r="D1362" s="10" t="str">
        <x:v>M1 / M3</x:v>
      </x:c>
      <x:c r="E1362" s="16" t="n">
        <x:v>5</x:v>
      </x:c>
      <x:c r="F1362" s="14" t="n">
        <x:v>30</x:v>
      </x:c>
      <x:c r="G1362" s="26" t="n">
        <x:f>'成本明细'!U204+'成本明细'!G204*(E1362-'参数'!$B$6)</x:f>
        <x:v>3339.322919631667</x:v>
      </x:c>
      <x:c r="H1362" s="26" t="n">
        <x:f>'成本明细'!U210</x:f>
        <x:v>3504.176064511667</x:v>
      </x:c>
      <x:c r="I1362" s="26" t="n">
        <x:f>'成本明细'!V210</x:f>
        <x:v>8322</x:v>
      </x:c>
      <x:c r="J1362" s="22" t="n">
        <x:f>'参数'!$B$9</x:f>
        <x:v>300</x:v>
      </x:c>
      <x:c r="K1362" s="26" t="n">
        <x:f>J1362*(G1362-H1362)-I1362*ROUNDUP(J1362/F1362,0)</x:f>
        <x:v>-132675.94346399998</x:v>
      </x:c>
      <x:c r="L1362" s="10" t="str">
        <x:f>IF(G1362-H1362&lt;=0,"未回本",IF(ROUNDUP(I1362/(G1362-H1362),0)&gt;MIN(F1362,J1362),"未回本",MAX(1,ROUNDUP(I1362/(G1362-H1362),0))))</x:f>
        <x:v>未回本</x:v>
      </x:c>
    </x:row>
    <x:row r="1363" ht="22" customHeight="1">
      <x:c r="A1363" s="11" t="str">
        <x:v>lade_0826_30aoi</x:v>
      </x:c>
      <x:c r="B1363" s="10" t="n">
        <x:v>30</x:v>
      </x:c>
      <x:c r="C1363" s="10" t="n">
        <x:v>42</x:v>
      </x:c>
      <x:c r="D1363" s="10" t="str">
        <x:v>M2 / M4</x:v>
      </x:c>
      <x:c r="E1363" s="16" t="n">
        <x:v>5</x:v>
      </x:c>
      <x:c r="F1363" s="14" t="n">
        <x:v>30</x:v>
      </x:c>
      <x:c r="G1363" s="26" t="n">
        <x:f>'成本明细'!U207+'成本明细'!G207*(E1363-'参数'!$B$6)</x:f>
        <x:v>3081.3344543661115</x:v>
      </x:c>
      <x:c r="H1363" s="26" t="n">
        <x:f>'成本明细'!U213</x:f>
        <x:v>3660.430428623889</x:v>
      </x:c>
      <x:c r="I1363" s="26" t="n">
        <x:f>'成本明细'!V213</x:f>
        <x:v>8322</x:v>
      </x:c>
      <x:c r="J1363" s="22" t="n">
        <x:f>'参数'!$B$9</x:f>
        <x:v>300</x:v>
      </x:c>
      <x:c r="K1363" s="26" t="n">
        <x:f>J1363*(G1363-H1363)-I1363*ROUNDUP(J1363/F1363,0)</x:f>
        <x:v>-256948.79227733324</x:v>
      </x:c>
      <x:c r="L1363" s="10" t="str">
        <x:f>IF(G1363-H1363&lt;=0,"未回本",IF(ROUNDUP(I1363/(G1363-H1363),0)&gt;MIN(F1363,J1363),"未回本",MAX(1,ROUNDUP(I1363/(G1363-H1363),0))))</x:f>
        <x:v>未回本</x:v>
      </x:c>
    </x:row>
    <x:row r="1364" ht="22" customHeight="1">
      <x:c r="A1364" s="11" t="str">
        <x:v>lade_0826_30aoi</x:v>
      </x:c>
      <x:c r="B1364" s="10" t="n">
        <x:v>30</x:v>
      </x:c>
      <x:c r="C1364" s="10" t="n">
        <x:v>42</x:v>
      </x:c>
      <x:c r="D1364" s="10" t="str">
        <x:v>M1 / M3</x:v>
      </x:c>
      <x:c r="E1364" s="16" t="n">
        <x:v>5</x:v>
      </x:c>
      <x:c r="F1364" s="14" t="n">
        <x:v>50</x:v>
      </x:c>
      <x:c r="G1364" s="26" t="n">
        <x:f>'成本明细'!U204+'成本明细'!G204*(E1364-'参数'!$B$6)</x:f>
        <x:v>3339.322919631667</x:v>
      </x:c>
      <x:c r="H1364" s="26" t="n">
        <x:f>'成本明细'!U210</x:f>
        <x:v>3504.176064511667</x:v>
      </x:c>
      <x:c r="I1364" s="26" t="n">
        <x:f>'成本明细'!V210</x:f>
        <x:v>8322</x:v>
      </x:c>
      <x:c r="J1364" s="22" t="n">
        <x:f>'参数'!$B$9</x:f>
        <x:v>300</x:v>
      </x:c>
      <x:c r="K1364" s="26" t="n">
        <x:f>J1364*(G1364-H1364)-I1364*ROUNDUP(J1364/F1364,0)</x:f>
        <x:v>-99387.94346399998</x:v>
      </x:c>
      <x:c r="L1364" s="10" t="str">
        <x:f>IF(G1364-H1364&lt;=0,"未回本",IF(ROUNDUP(I1364/(G1364-H1364),0)&gt;MIN(F1364,J1364),"未回本",MAX(1,ROUNDUP(I1364/(G1364-H1364),0))))</x:f>
        <x:v>未回本</x:v>
      </x:c>
    </x:row>
    <x:row r="1365" ht="22" customHeight="1">
      <x:c r="A1365" s="11" t="str">
        <x:v>lade_0826_30aoi</x:v>
      </x:c>
      <x:c r="B1365" s="10" t="n">
        <x:v>30</x:v>
      </x:c>
      <x:c r="C1365" s="10" t="n">
        <x:v>42</x:v>
      </x:c>
      <x:c r="D1365" s="10" t="str">
        <x:v>M2 / M4</x:v>
      </x:c>
      <x:c r="E1365" s="16" t="n">
        <x:v>5</x:v>
      </x:c>
      <x:c r="F1365" s="14" t="n">
        <x:v>50</x:v>
      </x:c>
      <x:c r="G1365" s="26" t="n">
        <x:f>'成本明细'!U207+'成本明细'!G207*(E1365-'参数'!$B$6)</x:f>
        <x:v>3081.3344543661115</x:v>
      </x:c>
      <x:c r="H1365" s="26" t="n">
        <x:f>'成本明细'!U213</x:f>
        <x:v>3660.430428623889</x:v>
      </x:c>
      <x:c r="I1365" s="26" t="n">
        <x:f>'成本明细'!V213</x:f>
        <x:v>8322</x:v>
      </x:c>
      <x:c r="J1365" s="22" t="n">
        <x:f>'参数'!$B$9</x:f>
        <x:v>300</x:v>
      </x:c>
      <x:c r="K1365" s="26" t="n">
        <x:f>J1365*(G1365-H1365)-I1365*ROUNDUP(J1365/F1365,0)</x:f>
        <x:v>-223660.79227733324</x:v>
      </x:c>
      <x:c r="L1365" s="10" t="str">
        <x:f>IF(G1365-H1365&lt;=0,"未回本",IF(ROUNDUP(I1365/(G1365-H1365),0)&gt;MIN(F1365,J1365),"未回本",MAX(1,ROUNDUP(I1365/(G1365-H1365),0))))</x:f>
        <x:v>未回本</x:v>
      </x:c>
    </x:row>
    <x:row r="1366" ht="22" customHeight="1">
      <x:c r="A1366" s="11" t="str">
        <x:v>lade_0826_30aoi</x:v>
      </x:c>
      <x:c r="B1366" s="10" t="n">
        <x:v>30</x:v>
      </x:c>
      <x:c r="C1366" s="10" t="n">
        <x:v>43</x:v>
      </x:c>
      <x:c r="D1366" s="10" t="str">
        <x:v>M1 / M3</x:v>
      </x:c>
      <x:c r="E1366" s="16" t="n">
        <x:v>1</x:v>
      </x:c>
      <x:c r="F1366" s="14" t="n">
        <x:v>10</x:v>
      </x:c>
      <x:c r="G1366" s="26" t="n">
        <x:f>'成本明细'!U205+'成本明细'!G205*(E1366-'参数'!$B$6)</x:f>
        <x:v>2355.425992795</x:v>
      </x:c>
      <x:c r="H1366" s="26" t="n">
        <x:f>'成本明细'!U211</x:f>
        <x:v>4569.065652000555</x:v>
      </x:c>
      <x:c r="I1366" s="26" t="n">
        <x:f>'成本明细'!V211</x:f>
        <x:v>8322</x:v>
      </x:c>
      <x:c r="J1366" s="22" t="n">
        <x:f>'参数'!$B$9</x:f>
        <x:v>300</x:v>
      </x:c>
      <x:c r="K1366" s="26" t="n">
        <x:f>J1366*(G1366-H1366)-I1366*ROUNDUP(J1366/F1366,0)</x:f>
        <x:v>-913751.8977616664</x:v>
      </x:c>
      <x:c r="L1366" s="10" t="str">
        <x:f>IF(G1366-H1366&lt;=0,"未回本",IF(ROUNDUP(I1366/(G1366-H1366),0)&gt;MIN(F1366,J1366),"未回本",MAX(1,ROUNDUP(I1366/(G1366-H1366),0))))</x:f>
        <x:v>未回本</x:v>
      </x:c>
    </x:row>
    <x:row r="1367" ht="22" customHeight="1">
      <x:c r="A1367" s="11" t="str">
        <x:v>lade_0826_30aoi</x:v>
      </x:c>
      <x:c r="B1367" s="10" t="n">
        <x:v>30</x:v>
      </x:c>
      <x:c r="C1367" s="10" t="n">
        <x:v>43</x:v>
      </x:c>
      <x:c r="D1367" s="10" t="str">
        <x:v>M2 / M4</x:v>
      </x:c>
      <x:c r="E1367" s="16" t="n">
        <x:v>1</x:v>
      </x:c>
      <x:c r="F1367" s="14" t="n">
        <x:v>10</x:v>
      </x:c>
      <x:c r="G1367" s="26" t="n">
        <x:f>'成本明细'!U208+'成本明细'!G208*(E1367-'参数'!$B$6)</x:f>
        <x:v>2502.024039388889</x:v>
      </x:c>
      <x:c r="H1367" s="26" t="n">
        <x:f>'成本明细'!U214</x:f>
        <x:v>3667.3137053816668</x:v>
      </x:c>
      <x:c r="I1367" s="26" t="n">
        <x:f>'成本明细'!V214</x:f>
        <x:v>8322</x:v>
      </x:c>
      <x:c r="J1367" s="22" t="n">
        <x:f>'参数'!$B$9</x:f>
        <x:v>300</x:v>
      </x:c>
      <x:c r="K1367" s="26" t="n">
        <x:f>J1367*(G1367-H1367)-I1367*ROUNDUP(J1367/F1367,0)</x:f>
        <x:v>-599246.8997978333</x:v>
      </x:c>
      <x:c r="L1367" s="10" t="str">
        <x:f>IF(G1367-H1367&lt;=0,"未回本",IF(ROUNDUP(I1367/(G1367-H1367),0)&gt;MIN(F1367,J1367),"未回本",MAX(1,ROUNDUP(I1367/(G1367-H1367),0))))</x:f>
        <x:v>未回本</x:v>
      </x:c>
    </x:row>
    <x:row r="1368" ht="22" customHeight="1">
      <x:c r="A1368" s="11" t="str">
        <x:v>lade_0826_30aoi</x:v>
      </x:c>
      <x:c r="B1368" s="10" t="n">
        <x:v>30</x:v>
      </x:c>
      <x:c r="C1368" s="10" t="n">
        <x:v>43</x:v>
      </x:c>
      <x:c r="D1368" s="10" t="str">
        <x:v>M1 / M3</x:v>
      </x:c>
      <x:c r="E1368" s="16" t="n">
        <x:v>1</x:v>
      </x:c>
      <x:c r="F1368" s="14" t="n">
        <x:v>20</x:v>
      </x:c>
      <x:c r="G1368" s="26" t="n">
        <x:f>'成本明细'!U205+'成本明细'!G205*(E1368-'参数'!$B$6)</x:f>
        <x:v>2355.425992795</x:v>
      </x:c>
      <x:c r="H1368" s="26" t="n">
        <x:f>'成本明细'!U211</x:f>
        <x:v>4569.065652000555</x:v>
      </x:c>
      <x:c r="I1368" s="26" t="n">
        <x:f>'成本明细'!V211</x:f>
        <x:v>8322</x:v>
      </x:c>
      <x:c r="J1368" s="22" t="n">
        <x:f>'参数'!$B$9</x:f>
        <x:v>300</x:v>
      </x:c>
      <x:c r="K1368" s="26" t="n">
        <x:f>J1368*(G1368-H1368)-I1368*ROUNDUP(J1368/F1368,0)</x:f>
        <x:v>-788921.8977616664</x:v>
      </x:c>
      <x:c r="L1368" s="10" t="str">
        <x:f>IF(G1368-H1368&lt;=0,"未回本",IF(ROUNDUP(I1368/(G1368-H1368),0)&gt;MIN(F1368,J1368),"未回本",MAX(1,ROUNDUP(I1368/(G1368-H1368),0))))</x:f>
        <x:v>未回本</x:v>
      </x:c>
    </x:row>
    <x:row r="1369" ht="22" customHeight="1">
      <x:c r="A1369" s="11" t="str">
        <x:v>lade_0826_30aoi</x:v>
      </x:c>
      <x:c r="B1369" s="10" t="n">
        <x:v>30</x:v>
      </x:c>
      <x:c r="C1369" s="10" t="n">
        <x:v>43</x:v>
      </x:c>
      <x:c r="D1369" s="10" t="str">
        <x:v>M2 / M4</x:v>
      </x:c>
      <x:c r="E1369" s="16" t="n">
        <x:v>1</x:v>
      </x:c>
      <x:c r="F1369" s="14" t="n">
        <x:v>20</x:v>
      </x:c>
      <x:c r="G1369" s="26" t="n">
        <x:f>'成本明细'!U208+'成本明细'!G208*(E1369-'参数'!$B$6)</x:f>
        <x:v>2502.024039388889</x:v>
      </x:c>
      <x:c r="H1369" s="26" t="n">
        <x:f>'成本明细'!U214</x:f>
        <x:v>3667.3137053816668</x:v>
      </x:c>
      <x:c r="I1369" s="26" t="n">
        <x:f>'成本明细'!V214</x:f>
        <x:v>8322</x:v>
      </x:c>
      <x:c r="J1369" s="22" t="n">
        <x:f>'参数'!$B$9</x:f>
        <x:v>300</x:v>
      </x:c>
      <x:c r="K1369" s="26" t="n">
        <x:f>J1369*(G1369-H1369)-I1369*ROUNDUP(J1369/F1369,0)</x:f>
        <x:v>-474416.89979783335</x:v>
      </x:c>
      <x:c r="L1369" s="10" t="str">
        <x:f>IF(G1369-H1369&lt;=0,"未回本",IF(ROUNDUP(I1369/(G1369-H1369),0)&gt;MIN(F1369,J1369),"未回本",MAX(1,ROUNDUP(I1369/(G1369-H1369),0))))</x:f>
        <x:v>未回本</x:v>
      </x:c>
    </x:row>
    <x:row r="1370" ht="22" customHeight="1">
      <x:c r="A1370" s="11" t="str">
        <x:v>lade_0826_30aoi</x:v>
      </x:c>
      <x:c r="B1370" s="10" t="n">
        <x:v>30</x:v>
      </x:c>
      <x:c r="C1370" s="10" t="n">
        <x:v>43</x:v>
      </x:c>
      <x:c r="D1370" s="10" t="str">
        <x:v>M1 / M3</x:v>
      </x:c>
      <x:c r="E1370" s="16" t="n">
        <x:v>1</x:v>
      </x:c>
      <x:c r="F1370" s="14" t="n">
        <x:v>30</x:v>
      </x:c>
      <x:c r="G1370" s="26" t="n">
        <x:f>'成本明细'!U205+'成本明细'!G205*(E1370-'参数'!$B$6)</x:f>
        <x:v>2355.425992795</x:v>
      </x:c>
      <x:c r="H1370" s="26" t="n">
        <x:f>'成本明细'!U211</x:f>
        <x:v>4569.065652000555</x:v>
      </x:c>
      <x:c r="I1370" s="26" t="n">
        <x:f>'成本明细'!V211</x:f>
        <x:v>8322</x:v>
      </x:c>
      <x:c r="J1370" s="22" t="n">
        <x:f>'参数'!$B$9</x:f>
        <x:v>300</x:v>
      </x:c>
      <x:c r="K1370" s="26" t="n">
        <x:f>J1370*(G1370-H1370)-I1370*ROUNDUP(J1370/F1370,0)</x:f>
        <x:v>-747311.8977616664</x:v>
      </x:c>
      <x:c r="L1370" s="10" t="str">
        <x:f>IF(G1370-H1370&lt;=0,"未回本",IF(ROUNDUP(I1370/(G1370-H1370),0)&gt;MIN(F1370,J1370),"未回本",MAX(1,ROUNDUP(I1370/(G1370-H1370),0))))</x:f>
        <x:v>未回本</x:v>
      </x:c>
    </x:row>
    <x:row r="1371" ht="22" customHeight="1">
      <x:c r="A1371" s="11" t="str">
        <x:v>lade_0826_30aoi</x:v>
      </x:c>
      <x:c r="B1371" s="10" t="n">
        <x:v>30</x:v>
      </x:c>
      <x:c r="C1371" s="10" t="n">
        <x:v>43</x:v>
      </x:c>
      <x:c r="D1371" s="10" t="str">
        <x:v>M2 / M4</x:v>
      </x:c>
      <x:c r="E1371" s="16" t="n">
        <x:v>1</x:v>
      </x:c>
      <x:c r="F1371" s="14" t="n">
        <x:v>30</x:v>
      </x:c>
      <x:c r="G1371" s="26" t="n">
        <x:f>'成本明细'!U208+'成本明细'!G208*(E1371-'参数'!$B$6)</x:f>
        <x:v>2502.024039388889</x:v>
      </x:c>
      <x:c r="H1371" s="26" t="n">
        <x:f>'成本明细'!U214</x:f>
        <x:v>3667.3137053816668</x:v>
      </x:c>
      <x:c r="I1371" s="26" t="n">
        <x:f>'成本明细'!V214</x:f>
        <x:v>8322</x:v>
      </x:c>
      <x:c r="J1371" s="22" t="n">
        <x:f>'参数'!$B$9</x:f>
        <x:v>300</x:v>
      </x:c>
      <x:c r="K1371" s="26" t="n">
        <x:f>J1371*(G1371-H1371)-I1371*ROUNDUP(J1371/F1371,0)</x:f>
        <x:v>-432806.89979783335</x:v>
      </x:c>
      <x:c r="L1371" s="10" t="str">
        <x:f>IF(G1371-H1371&lt;=0,"未回本",IF(ROUNDUP(I1371/(G1371-H1371),0)&gt;MIN(F1371,J1371),"未回本",MAX(1,ROUNDUP(I1371/(G1371-H1371),0))))</x:f>
        <x:v>未回本</x:v>
      </x:c>
    </x:row>
    <x:row r="1372" ht="22" customHeight="1">
      <x:c r="A1372" s="11" t="str">
        <x:v>lade_0826_30aoi</x:v>
      </x:c>
      <x:c r="B1372" s="10" t="n">
        <x:v>30</x:v>
      </x:c>
      <x:c r="C1372" s="10" t="n">
        <x:v>43</x:v>
      </x:c>
      <x:c r="D1372" s="10" t="str">
        <x:v>M1 / M3</x:v>
      </x:c>
      <x:c r="E1372" s="16" t="n">
        <x:v>1</x:v>
      </x:c>
      <x:c r="F1372" s="14" t="n">
        <x:v>50</x:v>
      </x:c>
      <x:c r="G1372" s="26" t="n">
        <x:f>'成本明细'!U205+'成本明细'!G205*(E1372-'参数'!$B$6)</x:f>
        <x:v>2355.425992795</x:v>
      </x:c>
      <x:c r="H1372" s="26" t="n">
        <x:f>'成本明细'!U211</x:f>
        <x:v>4569.065652000555</x:v>
      </x:c>
      <x:c r="I1372" s="26" t="n">
        <x:f>'成本明细'!V211</x:f>
        <x:v>8322</x:v>
      </x:c>
      <x:c r="J1372" s="22" t="n">
        <x:f>'参数'!$B$9</x:f>
        <x:v>300</x:v>
      </x:c>
      <x:c r="K1372" s="26" t="n">
        <x:f>J1372*(G1372-H1372)-I1372*ROUNDUP(J1372/F1372,0)</x:f>
        <x:v>-714023.8977616664</x:v>
      </x:c>
      <x:c r="L1372" s="10" t="str">
        <x:f>IF(G1372-H1372&lt;=0,"未回本",IF(ROUNDUP(I1372/(G1372-H1372),0)&gt;MIN(F1372,J1372),"未回本",MAX(1,ROUNDUP(I1372/(G1372-H1372),0))))</x:f>
        <x:v>未回本</x:v>
      </x:c>
    </x:row>
    <x:row r="1373" ht="22" customHeight="1">
      <x:c r="A1373" s="11" t="str">
        <x:v>lade_0826_30aoi</x:v>
      </x:c>
      <x:c r="B1373" s="10" t="n">
        <x:v>30</x:v>
      </x:c>
      <x:c r="C1373" s="10" t="n">
        <x:v>43</x:v>
      </x:c>
      <x:c r="D1373" s="10" t="str">
        <x:v>M2 / M4</x:v>
      </x:c>
      <x:c r="E1373" s="16" t="n">
        <x:v>1</x:v>
      </x:c>
      <x:c r="F1373" s="14" t="n">
        <x:v>50</x:v>
      </x:c>
      <x:c r="G1373" s="26" t="n">
        <x:f>'成本明细'!U208+'成本明细'!G208*(E1373-'参数'!$B$6)</x:f>
        <x:v>2502.024039388889</x:v>
      </x:c>
      <x:c r="H1373" s="26" t="n">
        <x:f>'成本明细'!U214</x:f>
        <x:v>3667.3137053816668</x:v>
      </x:c>
      <x:c r="I1373" s="26" t="n">
        <x:f>'成本明细'!V214</x:f>
        <x:v>8322</x:v>
      </x:c>
      <x:c r="J1373" s="22" t="n">
        <x:f>'参数'!$B$9</x:f>
        <x:v>300</x:v>
      </x:c>
      <x:c r="K1373" s="26" t="n">
        <x:f>J1373*(G1373-H1373)-I1373*ROUNDUP(J1373/F1373,0)</x:f>
        <x:v>-399518.89979783335</x:v>
      </x:c>
      <x:c r="L1373" s="10" t="str">
        <x:f>IF(G1373-H1373&lt;=0,"未回本",IF(ROUNDUP(I1373/(G1373-H1373),0)&gt;MIN(F1373,J1373),"未回本",MAX(1,ROUNDUP(I1373/(G1373-H1373),0))))</x:f>
        <x:v>未回本</x:v>
      </x:c>
    </x:row>
    <x:row r="1374" ht="22" customHeight="1">
      <x:c r="A1374" s="11" t="str">
        <x:v>lade_0826_30aoi</x:v>
      </x:c>
      <x:c r="B1374" s="10" t="n">
        <x:v>30</x:v>
      </x:c>
      <x:c r="C1374" s="10" t="n">
        <x:v>43</x:v>
      </x:c>
      <x:c r="D1374" s="10" t="str">
        <x:v>M1 / M3</x:v>
      </x:c>
      <x:c r="E1374" s="16" t="n">
        <x:v>2</x:v>
      </x:c>
      <x:c r="F1374" s="14" t="n">
        <x:v>10</x:v>
      </x:c>
      <x:c r="G1374" s="26" t="n">
        <x:f>'成本明细'!U205+'成本明细'!G205*(E1374-'参数'!$B$6)</x:f>
        <x:v>2583.425992795</x:v>
      </x:c>
      <x:c r="H1374" s="26" t="n">
        <x:f>'成本明细'!U211</x:f>
        <x:v>4569.065652000555</x:v>
      </x:c>
      <x:c r="I1374" s="26" t="n">
        <x:f>'成本明细'!V211</x:f>
        <x:v>8322</x:v>
      </x:c>
      <x:c r="J1374" s="22" t="n">
        <x:f>'参数'!$B$9</x:f>
        <x:v>300</x:v>
      </x:c>
      <x:c r="K1374" s="26" t="n">
        <x:f>J1374*(G1374-H1374)-I1374*ROUNDUP(J1374/F1374,0)</x:f>
        <x:v>-845351.8977616664</x:v>
      </x:c>
      <x:c r="L1374" s="10" t="str">
        <x:f>IF(G1374-H1374&lt;=0,"未回本",IF(ROUNDUP(I1374/(G1374-H1374),0)&gt;MIN(F1374,J1374),"未回本",MAX(1,ROUNDUP(I1374/(G1374-H1374),0))))</x:f>
        <x:v>未回本</x:v>
      </x:c>
    </x:row>
    <x:row r="1375" ht="22" customHeight="1">
      <x:c r="A1375" s="11" t="str">
        <x:v>lade_0826_30aoi</x:v>
      </x:c>
      <x:c r="B1375" s="10" t="n">
        <x:v>30</x:v>
      </x:c>
      <x:c r="C1375" s="10" t="n">
        <x:v>43</x:v>
      </x:c>
      <x:c r="D1375" s="10" t="str">
        <x:v>M2 / M4</x:v>
      </x:c>
      <x:c r="E1375" s="16" t="n">
        <x:v>2</x:v>
      </x:c>
      <x:c r="F1375" s="14" t="n">
        <x:v>10</x:v>
      </x:c>
      <x:c r="G1375" s="26" t="n">
        <x:f>'成本明细'!U208+'成本明细'!G208*(E1375-'参数'!$B$6)</x:f>
        <x:v>2730.024039388889</x:v>
      </x:c>
      <x:c r="H1375" s="26" t="n">
        <x:f>'成本明细'!U214</x:f>
        <x:v>3667.3137053816668</x:v>
      </x:c>
      <x:c r="I1375" s="26" t="n">
        <x:f>'成本明细'!V214</x:f>
        <x:v>8322</x:v>
      </x:c>
      <x:c r="J1375" s="22" t="n">
        <x:f>'参数'!$B$9</x:f>
        <x:v>300</x:v>
      </x:c>
      <x:c r="K1375" s="26" t="n">
        <x:f>J1375*(G1375-H1375)-I1375*ROUNDUP(J1375/F1375,0)</x:f>
        <x:v>-530846.8997978333</x:v>
      </x:c>
      <x:c r="L1375" s="10" t="str">
        <x:f>IF(G1375-H1375&lt;=0,"未回本",IF(ROUNDUP(I1375/(G1375-H1375),0)&gt;MIN(F1375,J1375),"未回本",MAX(1,ROUNDUP(I1375/(G1375-H1375),0))))</x:f>
        <x:v>未回本</x:v>
      </x:c>
    </x:row>
    <x:row r="1376" ht="22" customHeight="1">
      <x:c r="A1376" s="11" t="str">
        <x:v>lade_0826_30aoi</x:v>
      </x:c>
      <x:c r="B1376" s="10" t="n">
        <x:v>30</x:v>
      </x:c>
      <x:c r="C1376" s="10" t="n">
        <x:v>43</x:v>
      </x:c>
      <x:c r="D1376" s="10" t="str">
        <x:v>M1 / M3</x:v>
      </x:c>
      <x:c r="E1376" s="16" t="n">
        <x:v>2</x:v>
      </x:c>
      <x:c r="F1376" s="14" t="n">
        <x:v>20</x:v>
      </x:c>
      <x:c r="G1376" s="26" t="n">
        <x:f>'成本明细'!U205+'成本明细'!G205*(E1376-'参数'!$B$6)</x:f>
        <x:v>2583.425992795</x:v>
      </x:c>
      <x:c r="H1376" s="26" t="n">
        <x:f>'成本明细'!U211</x:f>
        <x:v>4569.065652000555</x:v>
      </x:c>
      <x:c r="I1376" s="26" t="n">
        <x:f>'成本明细'!V211</x:f>
        <x:v>8322</x:v>
      </x:c>
      <x:c r="J1376" s="22" t="n">
        <x:f>'参数'!$B$9</x:f>
        <x:v>300</x:v>
      </x:c>
      <x:c r="K1376" s="26" t="n">
        <x:f>J1376*(G1376-H1376)-I1376*ROUNDUP(J1376/F1376,0)</x:f>
        <x:v>-720521.8977616664</x:v>
      </x:c>
      <x:c r="L1376" s="10" t="str">
        <x:f>IF(G1376-H1376&lt;=0,"未回本",IF(ROUNDUP(I1376/(G1376-H1376),0)&gt;MIN(F1376,J1376),"未回本",MAX(1,ROUNDUP(I1376/(G1376-H1376),0))))</x:f>
        <x:v>未回本</x:v>
      </x:c>
    </x:row>
    <x:row r="1377" ht="22" customHeight="1">
      <x:c r="A1377" s="11" t="str">
        <x:v>lade_0826_30aoi</x:v>
      </x:c>
      <x:c r="B1377" s="10" t="n">
        <x:v>30</x:v>
      </x:c>
      <x:c r="C1377" s="10" t="n">
        <x:v>43</x:v>
      </x:c>
      <x:c r="D1377" s="10" t="str">
        <x:v>M2 / M4</x:v>
      </x:c>
      <x:c r="E1377" s="16" t="n">
        <x:v>2</x:v>
      </x:c>
      <x:c r="F1377" s="14" t="n">
        <x:v>20</x:v>
      </x:c>
      <x:c r="G1377" s="26" t="n">
        <x:f>'成本明细'!U208+'成本明细'!G208*(E1377-'参数'!$B$6)</x:f>
        <x:v>2730.024039388889</x:v>
      </x:c>
      <x:c r="H1377" s="26" t="n">
        <x:f>'成本明细'!U214</x:f>
        <x:v>3667.3137053816668</x:v>
      </x:c>
      <x:c r="I1377" s="26" t="n">
        <x:f>'成本明细'!V214</x:f>
        <x:v>8322</x:v>
      </x:c>
      <x:c r="J1377" s="22" t="n">
        <x:f>'参数'!$B$9</x:f>
        <x:v>300</x:v>
      </x:c>
      <x:c r="K1377" s="26" t="n">
        <x:f>J1377*(G1377-H1377)-I1377*ROUNDUP(J1377/F1377,0)</x:f>
        <x:v>-406016.89979783335</x:v>
      </x:c>
      <x:c r="L1377" s="10" t="str">
        <x:f>IF(G1377-H1377&lt;=0,"未回本",IF(ROUNDUP(I1377/(G1377-H1377),0)&gt;MIN(F1377,J1377),"未回本",MAX(1,ROUNDUP(I1377/(G1377-H1377),0))))</x:f>
        <x:v>未回本</x:v>
      </x:c>
    </x:row>
    <x:row r="1378" ht="22" customHeight="1">
      <x:c r="A1378" s="11" t="str">
        <x:v>lade_0826_30aoi</x:v>
      </x:c>
      <x:c r="B1378" s="10" t="n">
        <x:v>30</x:v>
      </x:c>
      <x:c r="C1378" s="10" t="n">
        <x:v>43</x:v>
      </x:c>
      <x:c r="D1378" s="10" t="str">
        <x:v>M1 / M3</x:v>
      </x:c>
      <x:c r="E1378" s="16" t="n">
        <x:v>2</x:v>
      </x:c>
      <x:c r="F1378" s="14" t="n">
        <x:v>30</x:v>
      </x:c>
      <x:c r="G1378" s="26" t="n">
        <x:f>'成本明细'!U205+'成本明细'!G205*(E1378-'参数'!$B$6)</x:f>
        <x:v>2583.425992795</x:v>
      </x:c>
      <x:c r="H1378" s="26" t="n">
        <x:f>'成本明细'!U211</x:f>
        <x:v>4569.065652000555</x:v>
      </x:c>
      <x:c r="I1378" s="26" t="n">
        <x:f>'成本明细'!V211</x:f>
        <x:v>8322</x:v>
      </x:c>
      <x:c r="J1378" s="22" t="n">
        <x:f>'参数'!$B$9</x:f>
        <x:v>300</x:v>
      </x:c>
      <x:c r="K1378" s="26" t="n">
        <x:f>J1378*(G1378-H1378)-I1378*ROUNDUP(J1378/F1378,0)</x:f>
        <x:v>-678911.8977616664</x:v>
      </x:c>
      <x:c r="L1378" s="10" t="str">
        <x:f>IF(G1378-H1378&lt;=0,"未回本",IF(ROUNDUP(I1378/(G1378-H1378),0)&gt;MIN(F1378,J1378),"未回本",MAX(1,ROUNDUP(I1378/(G1378-H1378),0))))</x:f>
        <x:v>未回本</x:v>
      </x:c>
    </x:row>
    <x:row r="1379" ht="22" customHeight="1">
      <x:c r="A1379" s="11" t="str">
        <x:v>lade_0826_30aoi</x:v>
      </x:c>
      <x:c r="B1379" s="10" t="n">
        <x:v>30</x:v>
      </x:c>
      <x:c r="C1379" s="10" t="n">
        <x:v>43</x:v>
      </x:c>
      <x:c r="D1379" s="10" t="str">
        <x:v>M2 / M4</x:v>
      </x:c>
      <x:c r="E1379" s="16" t="n">
        <x:v>2</x:v>
      </x:c>
      <x:c r="F1379" s="14" t="n">
        <x:v>30</x:v>
      </x:c>
      <x:c r="G1379" s="26" t="n">
        <x:f>'成本明细'!U208+'成本明细'!G208*(E1379-'参数'!$B$6)</x:f>
        <x:v>2730.024039388889</x:v>
      </x:c>
      <x:c r="H1379" s="26" t="n">
        <x:f>'成本明细'!U214</x:f>
        <x:v>3667.3137053816668</x:v>
      </x:c>
      <x:c r="I1379" s="26" t="n">
        <x:f>'成本明细'!V214</x:f>
        <x:v>8322</x:v>
      </x:c>
      <x:c r="J1379" s="22" t="n">
        <x:f>'参数'!$B$9</x:f>
        <x:v>300</x:v>
      </x:c>
      <x:c r="K1379" s="26" t="n">
        <x:f>J1379*(G1379-H1379)-I1379*ROUNDUP(J1379/F1379,0)</x:f>
        <x:v>-364406.89979783335</x:v>
      </x:c>
      <x:c r="L1379" s="10" t="str">
        <x:f>IF(G1379-H1379&lt;=0,"未回本",IF(ROUNDUP(I1379/(G1379-H1379),0)&gt;MIN(F1379,J1379),"未回本",MAX(1,ROUNDUP(I1379/(G1379-H1379),0))))</x:f>
        <x:v>未回本</x:v>
      </x:c>
    </x:row>
    <x:row r="1380" ht="22" customHeight="1">
      <x:c r="A1380" s="11" t="str">
        <x:v>lade_0826_30aoi</x:v>
      </x:c>
      <x:c r="B1380" s="10" t="n">
        <x:v>30</x:v>
      </x:c>
      <x:c r="C1380" s="10" t="n">
        <x:v>43</x:v>
      </x:c>
      <x:c r="D1380" s="10" t="str">
        <x:v>M1 / M3</x:v>
      </x:c>
      <x:c r="E1380" s="16" t="n">
        <x:v>2</x:v>
      </x:c>
      <x:c r="F1380" s="14" t="n">
        <x:v>50</x:v>
      </x:c>
      <x:c r="G1380" s="26" t="n">
        <x:f>'成本明细'!U205+'成本明细'!G205*(E1380-'参数'!$B$6)</x:f>
        <x:v>2583.425992795</x:v>
      </x:c>
      <x:c r="H1380" s="26" t="n">
        <x:f>'成本明细'!U211</x:f>
        <x:v>4569.065652000555</x:v>
      </x:c>
      <x:c r="I1380" s="26" t="n">
        <x:f>'成本明细'!V211</x:f>
        <x:v>8322</x:v>
      </x:c>
      <x:c r="J1380" s="22" t="n">
        <x:f>'参数'!$B$9</x:f>
        <x:v>300</x:v>
      </x:c>
      <x:c r="K1380" s="26" t="n">
        <x:f>J1380*(G1380-H1380)-I1380*ROUNDUP(J1380/F1380,0)</x:f>
        <x:v>-645623.8977616664</x:v>
      </x:c>
      <x:c r="L1380" s="10" t="str">
        <x:f>IF(G1380-H1380&lt;=0,"未回本",IF(ROUNDUP(I1380/(G1380-H1380),0)&gt;MIN(F1380,J1380),"未回本",MAX(1,ROUNDUP(I1380/(G1380-H1380),0))))</x:f>
        <x:v>未回本</x:v>
      </x:c>
    </x:row>
    <x:row r="1381" ht="22" customHeight="1">
      <x:c r="A1381" s="11" t="str">
        <x:v>lade_0826_30aoi</x:v>
      </x:c>
      <x:c r="B1381" s="10" t="n">
        <x:v>30</x:v>
      </x:c>
      <x:c r="C1381" s="10" t="n">
        <x:v>43</x:v>
      </x:c>
      <x:c r="D1381" s="10" t="str">
        <x:v>M2 / M4</x:v>
      </x:c>
      <x:c r="E1381" s="16" t="n">
        <x:v>2</x:v>
      </x:c>
      <x:c r="F1381" s="14" t="n">
        <x:v>50</x:v>
      </x:c>
      <x:c r="G1381" s="26" t="n">
        <x:f>'成本明细'!U208+'成本明细'!G208*(E1381-'参数'!$B$6)</x:f>
        <x:v>2730.024039388889</x:v>
      </x:c>
      <x:c r="H1381" s="26" t="n">
        <x:f>'成本明细'!U214</x:f>
        <x:v>3667.3137053816668</x:v>
      </x:c>
      <x:c r="I1381" s="26" t="n">
        <x:f>'成本明细'!V214</x:f>
        <x:v>8322</x:v>
      </x:c>
      <x:c r="J1381" s="22" t="n">
        <x:f>'参数'!$B$9</x:f>
        <x:v>300</x:v>
      </x:c>
      <x:c r="K1381" s="26" t="n">
        <x:f>J1381*(G1381-H1381)-I1381*ROUNDUP(J1381/F1381,0)</x:f>
        <x:v>-331118.89979783335</x:v>
      </x:c>
      <x:c r="L1381" s="10" t="str">
        <x:f>IF(G1381-H1381&lt;=0,"未回本",IF(ROUNDUP(I1381/(G1381-H1381),0)&gt;MIN(F1381,J1381),"未回本",MAX(1,ROUNDUP(I1381/(G1381-H1381),0))))</x:f>
        <x:v>未回本</x:v>
      </x:c>
    </x:row>
    <x:row r="1382" ht="22" customHeight="1">
      <x:c r="A1382" s="11" t="str">
        <x:v>lade_0826_30aoi</x:v>
      </x:c>
      <x:c r="B1382" s="10" t="n">
        <x:v>30</x:v>
      </x:c>
      <x:c r="C1382" s="10" t="n">
        <x:v>43</x:v>
      </x:c>
      <x:c r="D1382" s="10" t="str">
        <x:v>M1 / M3</x:v>
      </x:c>
      <x:c r="E1382" s="16" t="n">
        <x:v>3</x:v>
      </x:c>
      <x:c r="F1382" s="14" t="n">
        <x:v>10</x:v>
      </x:c>
      <x:c r="G1382" s="26" t="n">
        <x:f>'成本明细'!U205+'成本明细'!G205*(E1382-'参数'!$B$6)</x:f>
        <x:v>2811.425992795</x:v>
      </x:c>
      <x:c r="H1382" s="26" t="n">
        <x:f>'成本明细'!U211</x:f>
        <x:v>4569.065652000555</x:v>
      </x:c>
      <x:c r="I1382" s="26" t="n">
        <x:f>'成本明细'!V211</x:f>
        <x:v>8322</x:v>
      </x:c>
      <x:c r="J1382" s="22" t="n">
        <x:f>'参数'!$B$9</x:f>
        <x:v>300</x:v>
      </x:c>
      <x:c r="K1382" s="26" t="n">
        <x:f>J1382*(G1382-H1382)-I1382*ROUNDUP(J1382/F1382,0)</x:f>
        <x:v>-776951.8977616664</x:v>
      </x:c>
      <x:c r="L1382" s="10" t="str">
        <x:f>IF(G1382-H1382&lt;=0,"未回本",IF(ROUNDUP(I1382/(G1382-H1382),0)&gt;MIN(F1382,J1382),"未回本",MAX(1,ROUNDUP(I1382/(G1382-H1382),0))))</x:f>
        <x:v>未回本</x:v>
      </x:c>
    </x:row>
    <x:row r="1383" ht="22" customHeight="1">
      <x:c r="A1383" s="11" t="str">
        <x:v>lade_0826_30aoi</x:v>
      </x:c>
      <x:c r="B1383" s="10" t="n">
        <x:v>30</x:v>
      </x:c>
      <x:c r="C1383" s="10" t="n">
        <x:v>43</x:v>
      </x:c>
      <x:c r="D1383" s="10" t="str">
        <x:v>M2 / M4</x:v>
      </x:c>
      <x:c r="E1383" s="16" t="n">
        <x:v>3</x:v>
      </x:c>
      <x:c r="F1383" s="14" t="n">
        <x:v>10</x:v>
      </x:c>
      <x:c r="G1383" s="26" t="n">
        <x:f>'成本明细'!U208+'成本明细'!G208*(E1383-'参数'!$B$6)</x:f>
        <x:v>2958.024039388889</x:v>
      </x:c>
      <x:c r="H1383" s="26" t="n">
        <x:f>'成本明细'!U214</x:f>
        <x:v>3667.3137053816668</x:v>
      </x:c>
      <x:c r="I1383" s="26" t="n">
        <x:f>'成本明细'!V214</x:f>
        <x:v>8322</x:v>
      </x:c>
      <x:c r="J1383" s="22" t="n">
        <x:f>'参数'!$B$9</x:f>
        <x:v>300</x:v>
      </x:c>
      <x:c r="K1383" s="26" t="n">
        <x:f>J1383*(G1383-H1383)-I1383*ROUNDUP(J1383/F1383,0)</x:f>
        <x:v>-462446.89979783335</x:v>
      </x:c>
      <x:c r="L1383" s="10" t="str">
        <x:f>IF(G1383-H1383&lt;=0,"未回本",IF(ROUNDUP(I1383/(G1383-H1383),0)&gt;MIN(F1383,J1383),"未回本",MAX(1,ROUNDUP(I1383/(G1383-H1383),0))))</x:f>
        <x:v>未回本</x:v>
      </x:c>
    </x:row>
    <x:row r="1384" ht="22" customHeight="1">
      <x:c r="A1384" s="11" t="str">
        <x:v>lade_0826_30aoi</x:v>
      </x:c>
      <x:c r="B1384" s="10" t="n">
        <x:v>30</x:v>
      </x:c>
      <x:c r="C1384" s="10" t="n">
        <x:v>43</x:v>
      </x:c>
      <x:c r="D1384" s="10" t="str">
        <x:v>M1 / M3</x:v>
      </x:c>
      <x:c r="E1384" s="16" t="n">
        <x:v>3</x:v>
      </x:c>
      <x:c r="F1384" s="14" t="n">
        <x:v>20</x:v>
      </x:c>
      <x:c r="G1384" s="26" t="n">
        <x:f>'成本明细'!U205+'成本明细'!G205*(E1384-'参数'!$B$6)</x:f>
        <x:v>2811.425992795</x:v>
      </x:c>
      <x:c r="H1384" s="26" t="n">
        <x:f>'成本明细'!U211</x:f>
        <x:v>4569.065652000555</x:v>
      </x:c>
      <x:c r="I1384" s="26" t="n">
        <x:f>'成本明细'!V211</x:f>
        <x:v>8322</x:v>
      </x:c>
      <x:c r="J1384" s="22" t="n">
        <x:f>'参数'!$B$9</x:f>
        <x:v>300</x:v>
      </x:c>
      <x:c r="K1384" s="26" t="n">
        <x:f>J1384*(G1384-H1384)-I1384*ROUNDUP(J1384/F1384,0)</x:f>
        <x:v>-652121.8977616664</x:v>
      </x:c>
      <x:c r="L1384" s="10" t="str">
        <x:f>IF(G1384-H1384&lt;=0,"未回本",IF(ROUNDUP(I1384/(G1384-H1384),0)&gt;MIN(F1384,J1384),"未回本",MAX(1,ROUNDUP(I1384/(G1384-H1384),0))))</x:f>
        <x:v>未回本</x:v>
      </x:c>
    </x:row>
    <x:row r="1385" ht="22" customHeight="1">
      <x:c r="A1385" s="11" t="str">
        <x:v>lade_0826_30aoi</x:v>
      </x:c>
      <x:c r="B1385" s="10" t="n">
        <x:v>30</x:v>
      </x:c>
      <x:c r="C1385" s="10" t="n">
        <x:v>43</x:v>
      </x:c>
      <x:c r="D1385" s="10" t="str">
        <x:v>M2 / M4</x:v>
      </x:c>
      <x:c r="E1385" s="16" t="n">
        <x:v>3</x:v>
      </x:c>
      <x:c r="F1385" s="14" t="n">
        <x:v>20</x:v>
      </x:c>
      <x:c r="G1385" s="26" t="n">
        <x:f>'成本明细'!U208+'成本明细'!G208*(E1385-'参数'!$B$6)</x:f>
        <x:v>2958.024039388889</x:v>
      </x:c>
      <x:c r="H1385" s="26" t="n">
        <x:f>'成本明细'!U214</x:f>
        <x:v>3667.3137053816668</x:v>
      </x:c>
      <x:c r="I1385" s="26" t="n">
        <x:f>'成本明细'!V214</x:f>
        <x:v>8322</x:v>
      </x:c>
      <x:c r="J1385" s="22" t="n">
        <x:f>'参数'!$B$9</x:f>
        <x:v>300</x:v>
      </x:c>
      <x:c r="K1385" s="26" t="n">
        <x:f>J1385*(G1385-H1385)-I1385*ROUNDUP(J1385/F1385,0)</x:f>
        <x:v>-337616.89979783335</x:v>
      </x:c>
      <x:c r="L1385" s="10" t="str">
        <x:f>IF(G1385-H1385&lt;=0,"未回本",IF(ROUNDUP(I1385/(G1385-H1385),0)&gt;MIN(F1385,J1385),"未回本",MAX(1,ROUNDUP(I1385/(G1385-H1385),0))))</x:f>
        <x:v>未回本</x:v>
      </x:c>
    </x:row>
    <x:row r="1386" ht="22" customHeight="1">
      <x:c r="A1386" s="11" t="str">
        <x:v>lade_0826_30aoi</x:v>
      </x:c>
      <x:c r="B1386" s="10" t="n">
        <x:v>30</x:v>
      </x:c>
      <x:c r="C1386" s="10" t="n">
        <x:v>43</x:v>
      </x:c>
      <x:c r="D1386" s="10" t="str">
        <x:v>M1 / M3</x:v>
      </x:c>
      <x:c r="E1386" s="16" t="n">
        <x:v>3</x:v>
      </x:c>
      <x:c r="F1386" s="14" t="n">
        <x:v>30</x:v>
      </x:c>
      <x:c r="G1386" s="26" t="n">
        <x:f>'成本明细'!U205+'成本明细'!G205*(E1386-'参数'!$B$6)</x:f>
        <x:v>2811.425992795</x:v>
      </x:c>
      <x:c r="H1386" s="26" t="n">
        <x:f>'成本明细'!U211</x:f>
        <x:v>4569.065652000555</x:v>
      </x:c>
      <x:c r="I1386" s="26" t="n">
        <x:f>'成本明细'!V211</x:f>
        <x:v>8322</x:v>
      </x:c>
      <x:c r="J1386" s="22" t="n">
        <x:f>'参数'!$B$9</x:f>
        <x:v>300</x:v>
      </x:c>
      <x:c r="K1386" s="26" t="n">
        <x:f>J1386*(G1386-H1386)-I1386*ROUNDUP(J1386/F1386,0)</x:f>
        <x:v>-610511.8977616664</x:v>
      </x:c>
      <x:c r="L1386" s="10" t="str">
        <x:f>IF(G1386-H1386&lt;=0,"未回本",IF(ROUNDUP(I1386/(G1386-H1386),0)&gt;MIN(F1386,J1386),"未回本",MAX(1,ROUNDUP(I1386/(G1386-H1386),0))))</x:f>
        <x:v>未回本</x:v>
      </x:c>
    </x:row>
    <x:row r="1387" ht="22" customHeight="1">
      <x:c r="A1387" s="11" t="str">
        <x:v>lade_0826_30aoi</x:v>
      </x:c>
      <x:c r="B1387" s="10" t="n">
        <x:v>30</x:v>
      </x:c>
      <x:c r="C1387" s="10" t="n">
        <x:v>43</x:v>
      </x:c>
      <x:c r="D1387" s="10" t="str">
        <x:v>M2 / M4</x:v>
      </x:c>
      <x:c r="E1387" s="16" t="n">
        <x:v>3</x:v>
      </x:c>
      <x:c r="F1387" s="14" t="n">
        <x:v>30</x:v>
      </x:c>
      <x:c r="G1387" s="26" t="n">
        <x:f>'成本明细'!U208+'成本明细'!G208*(E1387-'参数'!$B$6)</x:f>
        <x:v>2958.024039388889</x:v>
      </x:c>
      <x:c r="H1387" s="26" t="n">
        <x:f>'成本明细'!U214</x:f>
        <x:v>3667.3137053816668</x:v>
      </x:c>
      <x:c r="I1387" s="26" t="n">
        <x:f>'成本明细'!V214</x:f>
        <x:v>8322</x:v>
      </x:c>
      <x:c r="J1387" s="22" t="n">
        <x:f>'参数'!$B$9</x:f>
        <x:v>300</x:v>
      </x:c>
      <x:c r="K1387" s="26" t="n">
        <x:f>J1387*(G1387-H1387)-I1387*ROUNDUP(J1387/F1387,0)</x:f>
        <x:v>-296006.89979783335</x:v>
      </x:c>
      <x:c r="L1387" s="10" t="str">
        <x:f>IF(G1387-H1387&lt;=0,"未回本",IF(ROUNDUP(I1387/(G1387-H1387),0)&gt;MIN(F1387,J1387),"未回本",MAX(1,ROUNDUP(I1387/(G1387-H1387),0))))</x:f>
        <x:v>未回本</x:v>
      </x:c>
    </x:row>
    <x:row r="1388" ht="22" customHeight="1">
      <x:c r="A1388" s="11" t="str">
        <x:v>lade_0826_30aoi</x:v>
      </x:c>
      <x:c r="B1388" s="10" t="n">
        <x:v>30</x:v>
      </x:c>
      <x:c r="C1388" s="10" t="n">
        <x:v>43</x:v>
      </x:c>
      <x:c r="D1388" s="10" t="str">
        <x:v>M1 / M3</x:v>
      </x:c>
      <x:c r="E1388" s="16" t="n">
        <x:v>3</x:v>
      </x:c>
      <x:c r="F1388" s="14" t="n">
        <x:v>50</x:v>
      </x:c>
      <x:c r="G1388" s="26" t="n">
        <x:f>'成本明细'!U205+'成本明细'!G205*(E1388-'参数'!$B$6)</x:f>
        <x:v>2811.425992795</x:v>
      </x:c>
      <x:c r="H1388" s="26" t="n">
        <x:f>'成本明细'!U211</x:f>
        <x:v>4569.065652000555</x:v>
      </x:c>
      <x:c r="I1388" s="26" t="n">
        <x:f>'成本明细'!V211</x:f>
        <x:v>8322</x:v>
      </x:c>
      <x:c r="J1388" s="22" t="n">
        <x:f>'参数'!$B$9</x:f>
        <x:v>300</x:v>
      </x:c>
      <x:c r="K1388" s="26" t="n">
        <x:f>J1388*(G1388-H1388)-I1388*ROUNDUP(J1388/F1388,0)</x:f>
        <x:v>-577223.8977616664</x:v>
      </x:c>
      <x:c r="L1388" s="10" t="str">
        <x:f>IF(G1388-H1388&lt;=0,"未回本",IF(ROUNDUP(I1388/(G1388-H1388),0)&gt;MIN(F1388,J1388),"未回本",MAX(1,ROUNDUP(I1388/(G1388-H1388),0))))</x:f>
        <x:v>未回本</x:v>
      </x:c>
    </x:row>
    <x:row r="1389" ht="22" customHeight="1">
      <x:c r="A1389" s="11" t="str">
        <x:v>lade_0826_30aoi</x:v>
      </x:c>
      <x:c r="B1389" s="10" t="n">
        <x:v>30</x:v>
      </x:c>
      <x:c r="C1389" s="10" t="n">
        <x:v>43</x:v>
      </x:c>
      <x:c r="D1389" s="10" t="str">
        <x:v>M2 / M4</x:v>
      </x:c>
      <x:c r="E1389" s="16" t="n">
        <x:v>3</x:v>
      </x:c>
      <x:c r="F1389" s="14" t="n">
        <x:v>50</x:v>
      </x:c>
      <x:c r="G1389" s="26" t="n">
        <x:f>'成本明细'!U208+'成本明细'!G208*(E1389-'参数'!$B$6)</x:f>
        <x:v>2958.024039388889</x:v>
      </x:c>
      <x:c r="H1389" s="26" t="n">
        <x:f>'成本明细'!U214</x:f>
        <x:v>3667.3137053816668</x:v>
      </x:c>
      <x:c r="I1389" s="26" t="n">
        <x:f>'成本明细'!V214</x:f>
        <x:v>8322</x:v>
      </x:c>
      <x:c r="J1389" s="22" t="n">
        <x:f>'参数'!$B$9</x:f>
        <x:v>300</x:v>
      </x:c>
      <x:c r="K1389" s="26" t="n">
        <x:f>J1389*(G1389-H1389)-I1389*ROUNDUP(J1389/F1389,0)</x:f>
        <x:v>-262718.89979783335</x:v>
      </x:c>
      <x:c r="L1389" s="10" t="str">
        <x:f>IF(G1389-H1389&lt;=0,"未回本",IF(ROUNDUP(I1389/(G1389-H1389),0)&gt;MIN(F1389,J1389),"未回本",MAX(1,ROUNDUP(I1389/(G1389-H1389),0))))</x:f>
        <x:v>未回本</x:v>
      </x:c>
    </x:row>
    <x:row r="1390" ht="22" customHeight="1">
      <x:c r="A1390" s="11" t="str">
        <x:v>lade_0826_30aoi</x:v>
      </x:c>
      <x:c r="B1390" s="10" t="n">
        <x:v>30</x:v>
      </x:c>
      <x:c r="C1390" s="10" t="n">
        <x:v>43</x:v>
      </x:c>
      <x:c r="D1390" s="10" t="str">
        <x:v>M1 / M3</x:v>
      </x:c>
      <x:c r="E1390" s="16" t="n">
        <x:v>4</x:v>
      </x:c>
      <x:c r="F1390" s="14" t="n">
        <x:v>10</x:v>
      </x:c>
      <x:c r="G1390" s="26" t="n">
        <x:f>'成本明细'!U205+'成本明细'!G205*(E1390-'参数'!$B$6)</x:f>
        <x:v>3039.425992795</x:v>
      </x:c>
      <x:c r="H1390" s="26" t="n">
        <x:f>'成本明细'!U211</x:f>
        <x:v>4569.065652000555</x:v>
      </x:c>
      <x:c r="I1390" s="26" t="n">
        <x:f>'成本明细'!V211</x:f>
        <x:v>8322</x:v>
      </x:c>
      <x:c r="J1390" s="22" t="n">
        <x:f>'参数'!$B$9</x:f>
        <x:v>300</x:v>
      </x:c>
      <x:c r="K1390" s="26" t="n">
        <x:f>J1390*(G1390-H1390)-I1390*ROUNDUP(J1390/F1390,0)</x:f>
        <x:v>-708551.8977616664</x:v>
      </x:c>
      <x:c r="L1390" s="10" t="str">
        <x:f>IF(G1390-H1390&lt;=0,"未回本",IF(ROUNDUP(I1390/(G1390-H1390),0)&gt;MIN(F1390,J1390),"未回本",MAX(1,ROUNDUP(I1390/(G1390-H1390),0))))</x:f>
        <x:v>未回本</x:v>
      </x:c>
    </x:row>
    <x:row r="1391" ht="22" customHeight="1">
      <x:c r="A1391" s="11" t="str">
        <x:v>lade_0826_30aoi</x:v>
      </x:c>
      <x:c r="B1391" s="10" t="n">
        <x:v>30</x:v>
      </x:c>
      <x:c r="C1391" s="10" t="n">
        <x:v>43</x:v>
      </x:c>
      <x:c r="D1391" s="10" t="str">
        <x:v>M2 / M4</x:v>
      </x:c>
      <x:c r="E1391" s="16" t="n">
        <x:v>4</x:v>
      </x:c>
      <x:c r="F1391" s="14" t="n">
        <x:v>10</x:v>
      </x:c>
      <x:c r="G1391" s="26" t="n">
        <x:f>'成本明细'!U208+'成本明细'!G208*(E1391-'参数'!$B$6)</x:f>
        <x:v>3186.024039388889</x:v>
      </x:c>
      <x:c r="H1391" s="26" t="n">
        <x:f>'成本明细'!U214</x:f>
        <x:v>3667.3137053816668</x:v>
      </x:c>
      <x:c r="I1391" s="26" t="n">
        <x:f>'成本明细'!V214</x:f>
        <x:v>8322</x:v>
      </x:c>
      <x:c r="J1391" s="22" t="n">
        <x:f>'参数'!$B$9</x:f>
        <x:v>300</x:v>
      </x:c>
      <x:c r="K1391" s="26" t="n">
        <x:f>J1391*(G1391-H1391)-I1391*ROUNDUP(J1391/F1391,0)</x:f>
        <x:v>-394046.89979783335</x:v>
      </x:c>
      <x:c r="L1391" s="10" t="str">
        <x:f>IF(G1391-H1391&lt;=0,"未回本",IF(ROUNDUP(I1391/(G1391-H1391),0)&gt;MIN(F1391,J1391),"未回本",MAX(1,ROUNDUP(I1391/(G1391-H1391),0))))</x:f>
        <x:v>未回本</x:v>
      </x:c>
    </x:row>
    <x:row r="1392" ht="22" customHeight="1">
      <x:c r="A1392" s="11" t="str">
        <x:v>lade_0826_30aoi</x:v>
      </x:c>
      <x:c r="B1392" s="10" t="n">
        <x:v>30</x:v>
      </x:c>
      <x:c r="C1392" s="10" t="n">
        <x:v>43</x:v>
      </x:c>
      <x:c r="D1392" s="10" t="str">
        <x:v>M1 / M3</x:v>
      </x:c>
      <x:c r="E1392" s="16" t="n">
        <x:v>4</x:v>
      </x:c>
      <x:c r="F1392" s="14" t="n">
        <x:v>20</x:v>
      </x:c>
      <x:c r="G1392" s="26" t="n">
        <x:f>'成本明细'!U205+'成本明细'!G205*(E1392-'参数'!$B$6)</x:f>
        <x:v>3039.425992795</x:v>
      </x:c>
      <x:c r="H1392" s="26" t="n">
        <x:f>'成本明细'!U211</x:f>
        <x:v>4569.065652000555</x:v>
      </x:c>
      <x:c r="I1392" s="26" t="n">
        <x:f>'成本明细'!V211</x:f>
        <x:v>8322</x:v>
      </x:c>
      <x:c r="J1392" s="22" t="n">
        <x:f>'参数'!$B$9</x:f>
        <x:v>300</x:v>
      </x:c>
      <x:c r="K1392" s="26" t="n">
        <x:f>J1392*(G1392-H1392)-I1392*ROUNDUP(J1392/F1392,0)</x:f>
        <x:v>-583721.8977616664</x:v>
      </x:c>
      <x:c r="L1392" s="10" t="str">
        <x:f>IF(G1392-H1392&lt;=0,"未回本",IF(ROUNDUP(I1392/(G1392-H1392),0)&gt;MIN(F1392,J1392),"未回本",MAX(1,ROUNDUP(I1392/(G1392-H1392),0))))</x:f>
        <x:v>未回本</x:v>
      </x:c>
    </x:row>
    <x:row r="1393" ht="22" customHeight="1">
      <x:c r="A1393" s="11" t="str">
        <x:v>lade_0826_30aoi</x:v>
      </x:c>
      <x:c r="B1393" s="10" t="n">
        <x:v>30</x:v>
      </x:c>
      <x:c r="C1393" s="10" t="n">
        <x:v>43</x:v>
      </x:c>
      <x:c r="D1393" s="10" t="str">
        <x:v>M2 / M4</x:v>
      </x:c>
      <x:c r="E1393" s="16" t="n">
        <x:v>4</x:v>
      </x:c>
      <x:c r="F1393" s="14" t="n">
        <x:v>20</x:v>
      </x:c>
      <x:c r="G1393" s="26" t="n">
        <x:f>'成本明细'!U208+'成本明细'!G208*(E1393-'参数'!$B$6)</x:f>
        <x:v>3186.024039388889</x:v>
      </x:c>
      <x:c r="H1393" s="26" t="n">
        <x:f>'成本明细'!U214</x:f>
        <x:v>3667.3137053816668</x:v>
      </x:c>
      <x:c r="I1393" s="26" t="n">
        <x:f>'成本明细'!V214</x:f>
        <x:v>8322</x:v>
      </x:c>
      <x:c r="J1393" s="22" t="n">
        <x:f>'参数'!$B$9</x:f>
        <x:v>300</x:v>
      </x:c>
      <x:c r="K1393" s="26" t="n">
        <x:f>J1393*(G1393-H1393)-I1393*ROUNDUP(J1393/F1393,0)</x:f>
        <x:v>-269216.89979783335</x:v>
      </x:c>
      <x:c r="L1393" s="10" t="str">
        <x:f>IF(G1393-H1393&lt;=0,"未回本",IF(ROUNDUP(I1393/(G1393-H1393),0)&gt;MIN(F1393,J1393),"未回本",MAX(1,ROUNDUP(I1393/(G1393-H1393),0))))</x:f>
        <x:v>未回本</x:v>
      </x:c>
    </x:row>
    <x:row r="1394" ht="22" customHeight="1">
      <x:c r="A1394" s="11" t="str">
        <x:v>lade_0826_30aoi</x:v>
      </x:c>
      <x:c r="B1394" s="10" t="n">
        <x:v>30</x:v>
      </x:c>
      <x:c r="C1394" s="10" t="n">
        <x:v>43</x:v>
      </x:c>
      <x:c r="D1394" s="10" t="str">
        <x:v>M1 / M3</x:v>
      </x:c>
      <x:c r="E1394" s="16" t="n">
        <x:v>4</x:v>
      </x:c>
      <x:c r="F1394" s="14" t="n">
        <x:v>30</x:v>
      </x:c>
      <x:c r="G1394" s="26" t="n">
        <x:f>'成本明细'!U205+'成本明细'!G205*(E1394-'参数'!$B$6)</x:f>
        <x:v>3039.425992795</x:v>
      </x:c>
      <x:c r="H1394" s="26" t="n">
        <x:f>'成本明细'!U211</x:f>
        <x:v>4569.065652000555</x:v>
      </x:c>
      <x:c r="I1394" s="26" t="n">
        <x:f>'成本明细'!V211</x:f>
        <x:v>8322</x:v>
      </x:c>
      <x:c r="J1394" s="22" t="n">
        <x:f>'参数'!$B$9</x:f>
        <x:v>300</x:v>
      </x:c>
      <x:c r="K1394" s="26" t="n">
        <x:f>J1394*(G1394-H1394)-I1394*ROUNDUP(J1394/F1394,0)</x:f>
        <x:v>-542111.8977616664</x:v>
      </x:c>
      <x:c r="L1394" s="10" t="str">
        <x:f>IF(G1394-H1394&lt;=0,"未回本",IF(ROUNDUP(I1394/(G1394-H1394),0)&gt;MIN(F1394,J1394),"未回本",MAX(1,ROUNDUP(I1394/(G1394-H1394),0))))</x:f>
        <x:v>未回本</x:v>
      </x:c>
    </x:row>
    <x:row r="1395" ht="22" customHeight="1">
      <x:c r="A1395" s="11" t="str">
        <x:v>lade_0826_30aoi</x:v>
      </x:c>
      <x:c r="B1395" s="10" t="n">
        <x:v>30</x:v>
      </x:c>
      <x:c r="C1395" s="10" t="n">
        <x:v>43</x:v>
      </x:c>
      <x:c r="D1395" s="10" t="str">
        <x:v>M2 / M4</x:v>
      </x:c>
      <x:c r="E1395" s="16" t="n">
        <x:v>4</x:v>
      </x:c>
      <x:c r="F1395" s="14" t="n">
        <x:v>30</x:v>
      </x:c>
      <x:c r="G1395" s="26" t="n">
        <x:f>'成本明细'!U208+'成本明细'!G208*(E1395-'参数'!$B$6)</x:f>
        <x:v>3186.024039388889</x:v>
      </x:c>
      <x:c r="H1395" s="26" t="n">
        <x:f>'成本明细'!U214</x:f>
        <x:v>3667.3137053816668</x:v>
      </x:c>
      <x:c r="I1395" s="26" t="n">
        <x:f>'成本明细'!V214</x:f>
        <x:v>8322</x:v>
      </x:c>
      <x:c r="J1395" s="22" t="n">
        <x:f>'参数'!$B$9</x:f>
        <x:v>300</x:v>
      </x:c>
      <x:c r="K1395" s="26" t="n">
        <x:f>J1395*(G1395-H1395)-I1395*ROUNDUP(J1395/F1395,0)</x:f>
        <x:v>-227606.89979783335</x:v>
      </x:c>
      <x:c r="L1395" s="10" t="str">
        <x:f>IF(G1395-H1395&lt;=0,"未回本",IF(ROUNDUP(I1395/(G1395-H1395),0)&gt;MIN(F1395,J1395),"未回本",MAX(1,ROUNDUP(I1395/(G1395-H1395),0))))</x:f>
        <x:v>未回本</x:v>
      </x:c>
    </x:row>
    <x:row r="1396" ht="22" customHeight="1">
      <x:c r="A1396" s="11" t="str">
        <x:v>lade_0826_30aoi</x:v>
      </x:c>
      <x:c r="B1396" s="10" t="n">
        <x:v>30</x:v>
      </x:c>
      <x:c r="C1396" s="10" t="n">
        <x:v>43</x:v>
      </x:c>
      <x:c r="D1396" s="10" t="str">
        <x:v>M1 / M3</x:v>
      </x:c>
      <x:c r="E1396" s="16" t="n">
        <x:v>4</x:v>
      </x:c>
      <x:c r="F1396" s="14" t="n">
        <x:v>50</x:v>
      </x:c>
      <x:c r="G1396" s="26" t="n">
        <x:f>'成本明细'!U205+'成本明细'!G205*(E1396-'参数'!$B$6)</x:f>
        <x:v>3039.425992795</x:v>
      </x:c>
      <x:c r="H1396" s="26" t="n">
        <x:f>'成本明细'!U211</x:f>
        <x:v>4569.065652000555</x:v>
      </x:c>
      <x:c r="I1396" s="26" t="n">
        <x:f>'成本明细'!V211</x:f>
        <x:v>8322</x:v>
      </x:c>
      <x:c r="J1396" s="22" t="n">
        <x:f>'参数'!$B$9</x:f>
        <x:v>300</x:v>
      </x:c>
      <x:c r="K1396" s="26" t="n">
        <x:f>J1396*(G1396-H1396)-I1396*ROUNDUP(J1396/F1396,0)</x:f>
        <x:v>-508823.89776166645</x:v>
      </x:c>
      <x:c r="L1396" s="10" t="str">
        <x:f>IF(G1396-H1396&lt;=0,"未回本",IF(ROUNDUP(I1396/(G1396-H1396),0)&gt;MIN(F1396,J1396),"未回本",MAX(1,ROUNDUP(I1396/(G1396-H1396),0))))</x:f>
        <x:v>未回本</x:v>
      </x:c>
    </x:row>
    <x:row r="1397" ht="22" customHeight="1">
      <x:c r="A1397" s="11" t="str">
        <x:v>lade_0826_30aoi</x:v>
      </x:c>
      <x:c r="B1397" s="10" t="n">
        <x:v>30</x:v>
      </x:c>
      <x:c r="C1397" s="10" t="n">
        <x:v>43</x:v>
      </x:c>
      <x:c r="D1397" s="10" t="str">
        <x:v>M2 / M4</x:v>
      </x:c>
      <x:c r="E1397" s="16" t="n">
        <x:v>4</x:v>
      </x:c>
      <x:c r="F1397" s="14" t="n">
        <x:v>50</x:v>
      </x:c>
      <x:c r="G1397" s="26" t="n">
        <x:f>'成本明细'!U208+'成本明细'!G208*(E1397-'参数'!$B$6)</x:f>
        <x:v>3186.024039388889</x:v>
      </x:c>
      <x:c r="H1397" s="26" t="n">
        <x:f>'成本明细'!U214</x:f>
        <x:v>3667.3137053816668</x:v>
      </x:c>
      <x:c r="I1397" s="26" t="n">
        <x:f>'成本明细'!V214</x:f>
        <x:v>8322</x:v>
      </x:c>
      <x:c r="J1397" s="22" t="n">
        <x:f>'参数'!$B$9</x:f>
        <x:v>300</x:v>
      </x:c>
      <x:c r="K1397" s="26" t="n">
        <x:f>J1397*(G1397-H1397)-I1397*ROUNDUP(J1397/F1397,0)</x:f>
        <x:v>-194318.89979783335</x:v>
      </x:c>
      <x:c r="L1397" s="10" t="str">
        <x:f>IF(G1397-H1397&lt;=0,"未回本",IF(ROUNDUP(I1397/(G1397-H1397),0)&gt;MIN(F1397,J1397),"未回本",MAX(1,ROUNDUP(I1397/(G1397-H1397),0))))</x:f>
        <x:v>未回本</x:v>
      </x:c>
    </x:row>
    <x:row r="1398" ht="22" customHeight="1">
      <x:c r="A1398" s="11" t="str">
        <x:v>lade_0826_30aoi</x:v>
      </x:c>
      <x:c r="B1398" s="10" t="n">
        <x:v>30</x:v>
      </x:c>
      <x:c r="C1398" s="10" t="n">
        <x:v>43</x:v>
      </x:c>
      <x:c r="D1398" s="10" t="str">
        <x:v>M1 / M3</x:v>
      </x:c>
      <x:c r="E1398" s="16" t="n">
        <x:v>5</x:v>
      </x:c>
      <x:c r="F1398" s="14" t="n">
        <x:v>10</x:v>
      </x:c>
      <x:c r="G1398" s="26" t="n">
        <x:f>'成本明细'!U205+'成本明细'!G205*(E1398-'参数'!$B$6)</x:f>
        <x:v>3267.425992795</x:v>
      </x:c>
      <x:c r="H1398" s="26" t="n">
        <x:f>'成本明细'!U211</x:f>
        <x:v>4569.065652000555</x:v>
      </x:c>
      <x:c r="I1398" s="26" t="n">
        <x:f>'成本明细'!V211</x:f>
        <x:v>8322</x:v>
      </x:c>
      <x:c r="J1398" s="22" t="n">
        <x:f>'参数'!$B$9</x:f>
        <x:v>300</x:v>
      </x:c>
      <x:c r="K1398" s="26" t="n">
        <x:f>J1398*(G1398-H1398)-I1398*ROUNDUP(J1398/F1398,0)</x:f>
        <x:v>-640151.8977616664</x:v>
      </x:c>
      <x:c r="L1398" s="10" t="str">
        <x:f>IF(G1398-H1398&lt;=0,"未回本",IF(ROUNDUP(I1398/(G1398-H1398),0)&gt;MIN(F1398,J1398),"未回本",MAX(1,ROUNDUP(I1398/(G1398-H1398),0))))</x:f>
        <x:v>未回本</x:v>
      </x:c>
    </x:row>
    <x:row r="1399" ht="22" customHeight="1">
      <x:c r="A1399" s="11" t="str">
        <x:v>lade_0826_30aoi</x:v>
      </x:c>
      <x:c r="B1399" s="10" t="n">
        <x:v>30</x:v>
      </x:c>
      <x:c r="C1399" s="10" t="n">
        <x:v>43</x:v>
      </x:c>
      <x:c r="D1399" s="10" t="str">
        <x:v>M2 / M4</x:v>
      </x:c>
      <x:c r="E1399" s="16" t="n">
        <x:v>5</x:v>
      </x:c>
      <x:c r="F1399" s="14" t="n">
        <x:v>10</x:v>
      </x:c>
      <x:c r="G1399" s="26" t="n">
        <x:f>'成本明细'!U208+'成本明细'!G208*(E1399-'参数'!$B$6)</x:f>
        <x:v>3414.024039388889</x:v>
      </x:c>
      <x:c r="H1399" s="26" t="n">
        <x:f>'成本明细'!U214</x:f>
        <x:v>3667.3137053816668</x:v>
      </x:c>
      <x:c r="I1399" s="26" t="n">
        <x:f>'成本明细'!V214</x:f>
        <x:v>8322</x:v>
      </x:c>
      <x:c r="J1399" s="22" t="n">
        <x:f>'参数'!$B$9</x:f>
        <x:v>300</x:v>
      </x:c>
      <x:c r="K1399" s="26" t="n">
        <x:f>J1399*(G1399-H1399)-I1399*ROUNDUP(J1399/F1399,0)</x:f>
        <x:v>-325646.89979783335</x:v>
      </x:c>
      <x:c r="L1399" s="10" t="str">
        <x:f>IF(G1399-H1399&lt;=0,"未回本",IF(ROUNDUP(I1399/(G1399-H1399),0)&gt;MIN(F1399,J1399),"未回本",MAX(1,ROUNDUP(I1399/(G1399-H1399),0))))</x:f>
        <x:v>未回本</x:v>
      </x:c>
    </x:row>
    <x:row r="1400" ht="22" customHeight="1">
      <x:c r="A1400" s="11" t="str">
        <x:v>lade_0826_30aoi</x:v>
      </x:c>
      <x:c r="B1400" s="10" t="n">
        <x:v>30</x:v>
      </x:c>
      <x:c r="C1400" s="10" t="n">
        <x:v>43</x:v>
      </x:c>
      <x:c r="D1400" s="10" t="str">
        <x:v>M1 / M3</x:v>
      </x:c>
      <x:c r="E1400" s="16" t="n">
        <x:v>5</x:v>
      </x:c>
      <x:c r="F1400" s="14" t="n">
        <x:v>20</x:v>
      </x:c>
      <x:c r="G1400" s="26" t="n">
        <x:f>'成本明细'!U205+'成本明细'!G205*(E1400-'参数'!$B$6)</x:f>
        <x:v>3267.425992795</x:v>
      </x:c>
      <x:c r="H1400" s="26" t="n">
        <x:f>'成本明细'!U211</x:f>
        <x:v>4569.065652000555</x:v>
      </x:c>
      <x:c r="I1400" s="26" t="n">
        <x:f>'成本明细'!V211</x:f>
        <x:v>8322</x:v>
      </x:c>
      <x:c r="J1400" s="22" t="n">
        <x:f>'参数'!$B$9</x:f>
        <x:v>300</x:v>
      </x:c>
      <x:c r="K1400" s="26" t="n">
        <x:f>J1400*(G1400-H1400)-I1400*ROUNDUP(J1400/F1400,0)</x:f>
        <x:v>-515321.89776166645</x:v>
      </x:c>
      <x:c r="L1400" s="10" t="str">
        <x:f>IF(G1400-H1400&lt;=0,"未回本",IF(ROUNDUP(I1400/(G1400-H1400),0)&gt;MIN(F1400,J1400),"未回本",MAX(1,ROUNDUP(I1400/(G1400-H1400),0))))</x:f>
        <x:v>未回本</x:v>
      </x:c>
    </x:row>
    <x:row r="1401" ht="22" customHeight="1">
      <x:c r="A1401" s="11" t="str">
        <x:v>lade_0826_30aoi</x:v>
      </x:c>
      <x:c r="B1401" s="10" t="n">
        <x:v>30</x:v>
      </x:c>
      <x:c r="C1401" s="10" t="n">
        <x:v>43</x:v>
      </x:c>
      <x:c r="D1401" s="10" t="str">
        <x:v>M2 / M4</x:v>
      </x:c>
      <x:c r="E1401" s="16" t="n">
        <x:v>5</x:v>
      </x:c>
      <x:c r="F1401" s="14" t="n">
        <x:v>20</x:v>
      </x:c>
      <x:c r="G1401" s="26" t="n">
        <x:f>'成本明细'!U208+'成本明细'!G208*(E1401-'参数'!$B$6)</x:f>
        <x:v>3414.024039388889</x:v>
      </x:c>
      <x:c r="H1401" s="26" t="n">
        <x:f>'成本明细'!U214</x:f>
        <x:v>3667.3137053816668</x:v>
      </x:c>
      <x:c r="I1401" s="26" t="n">
        <x:f>'成本明细'!V214</x:f>
        <x:v>8322</x:v>
      </x:c>
      <x:c r="J1401" s="22" t="n">
        <x:f>'参数'!$B$9</x:f>
        <x:v>300</x:v>
      </x:c>
      <x:c r="K1401" s="26" t="n">
        <x:f>J1401*(G1401-H1401)-I1401*ROUNDUP(J1401/F1401,0)</x:f>
        <x:v>-200816.89979783335</x:v>
      </x:c>
      <x:c r="L1401" s="10" t="str">
        <x:f>IF(G1401-H1401&lt;=0,"未回本",IF(ROUNDUP(I1401/(G1401-H1401),0)&gt;MIN(F1401,J1401),"未回本",MAX(1,ROUNDUP(I1401/(G1401-H1401),0))))</x:f>
        <x:v>未回本</x:v>
      </x:c>
    </x:row>
    <x:row r="1402" ht="22" customHeight="1">
      <x:c r="A1402" s="11" t="str">
        <x:v>lade_0826_30aoi</x:v>
      </x:c>
      <x:c r="B1402" s="10" t="n">
        <x:v>30</x:v>
      </x:c>
      <x:c r="C1402" s="10" t="n">
        <x:v>43</x:v>
      </x:c>
      <x:c r="D1402" s="10" t="str">
        <x:v>M1 / M3</x:v>
      </x:c>
      <x:c r="E1402" s="16" t="n">
        <x:v>5</x:v>
      </x:c>
      <x:c r="F1402" s="14" t="n">
        <x:v>30</x:v>
      </x:c>
      <x:c r="G1402" s="26" t="n">
        <x:f>'成本明细'!U205+'成本明细'!G205*(E1402-'参数'!$B$6)</x:f>
        <x:v>3267.425992795</x:v>
      </x:c>
      <x:c r="H1402" s="26" t="n">
        <x:f>'成本明细'!U211</x:f>
        <x:v>4569.065652000555</x:v>
      </x:c>
      <x:c r="I1402" s="26" t="n">
        <x:f>'成本明细'!V211</x:f>
        <x:v>8322</x:v>
      </x:c>
      <x:c r="J1402" s="22" t="n">
        <x:f>'参数'!$B$9</x:f>
        <x:v>300</x:v>
      </x:c>
      <x:c r="K1402" s="26" t="n">
        <x:f>J1402*(G1402-H1402)-I1402*ROUNDUP(J1402/F1402,0)</x:f>
        <x:v>-473711.89776166645</x:v>
      </x:c>
      <x:c r="L1402" s="10" t="str">
        <x:f>IF(G1402-H1402&lt;=0,"未回本",IF(ROUNDUP(I1402/(G1402-H1402),0)&gt;MIN(F1402,J1402),"未回本",MAX(1,ROUNDUP(I1402/(G1402-H1402),0))))</x:f>
        <x:v>未回本</x:v>
      </x:c>
    </x:row>
    <x:row r="1403" ht="22" customHeight="1">
      <x:c r="A1403" s="11" t="str">
        <x:v>lade_0826_30aoi</x:v>
      </x:c>
      <x:c r="B1403" s="10" t="n">
        <x:v>30</x:v>
      </x:c>
      <x:c r="C1403" s="10" t="n">
        <x:v>43</x:v>
      </x:c>
      <x:c r="D1403" s="10" t="str">
        <x:v>M2 / M4</x:v>
      </x:c>
      <x:c r="E1403" s="16" t="n">
        <x:v>5</x:v>
      </x:c>
      <x:c r="F1403" s="14" t="n">
        <x:v>30</x:v>
      </x:c>
      <x:c r="G1403" s="26" t="n">
        <x:f>'成本明细'!U208+'成本明细'!G208*(E1403-'参数'!$B$6)</x:f>
        <x:v>3414.024039388889</x:v>
      </x:c>
      <x:c r="H1403" s="26" t="n">
        <x:f>'成本明细'!U214</x:f>
        <x:v>3667.3137053816668</x:v>
      </x:c>
      <x:c r="I1403" s="26" t="n">
        <x:f>'成本明细'!V214</x:f>
        <x:v>8322</x:v>
      </x:c>
      <x:c r="J1403" s="22" t="n">
        <x:f>'参数'!$B$9</x:f>
        <x:v>300</x:v>
      </x:c>
      <x:c r="K1403" s="26" t="n">
        <x:f>J1403*(G1403-H1403)-I1403*ROUNDUP(J1403/F1403,0)</x:f>
        <x:v>-159206.89979783335</x:v>
      </x:c>
      <x:c r="L1403" s="10" t="str">
        <x:f>IF(G1403-H1403&lt;=0,"未回本",IF(ROUNDUP(I1403/(G1403-H1403),0)&gt;MIN(F1403,J1403),"未回本",MAX(1,ROUNDUP(I1403/(G1403-H1403),0))))</x:f>
        <x:v>未回本</x:v>
      </x:c>
    </x:row>
    <x:row r="1404" ht="22" customHeight="1">
      <x:c r="A1404" s="11" t="str">
        <x:v>lade_0826_30aoi</x:v>
      </x:c>
      <x:c r="B1404" s="10" t="n">
        <x:v>30</x:v>
      </x:c>
      <x:c r="C1404" s="10" t="n">
        <x:v>43</x:v>
      </x:c>
      <x:c r="D1404" s="10" t="str">
        <x:v>M1 / M3</x:v>
      </x:c>
      <x:c r="E1404" s="16" t="n">
        <x:v>5</x:v>
      </x:c>
      <x:c r="F1404" s="14" t="n">
        <x:v>50</x:v>
      </x:c>
      <x:c r="G1404" s="26" t="n">
        <x:f>'成本明细'!U205+'成本明细'!G205*(E1404-'参数'!$B$6)</x:f>
        <x:v>3267.425992795</x:v>
      </x:c>
      <x:c r="H1404" s="26" t="n">
        <x:f>'成本明细'!U211</x:f>
        <x:v>4569.065652000555</x:v>
      </x:c>
      <x:c r="I1404" s="26" t="n">
        <x:f>'成本明细'!V211</x:f>
        <x:v>8322</x:v>
      </x:c>
      <x:c r="J1404" s="22" t="n">
        <x:f>'参数'!$B$9</x:f>
        <x:v>300</x:v>
      </x:c>
      <x:c r="K1404" s="26" t="n">
        <x:f>J1404*(G1404-H1404)-I1404*ROUNDUP(J1404/F1404,0)</x:f>
        <x:v>-440423.89776166645</x:v>
      </x:c>
      <x:c r="L1404" s="10" t="str">
        <x:f>IF(G1404-H1404&lt;=0,"未回本",IF(ROUNDUP(I1404/(G1404-H1404),0)&gt;MIN(F1404,J1404),"未回本",MAX(1,ROUNDUP(I1404/(G1404-H1404),0))))</x:f>
        <x:v>未回本</x:v>
      </x:c>
    </x:row>
    <x:row r="1405" ht="22" customHeight="1">
      <x:c r="A1405" s="11" t="str">
        <x:v>lade_0826_30aoi</x:v>
      </x:c>
      <x:c r="B1405" s="10" t="n">
        <x:v>30</x:v>
      </x:c>
      <x:c r="C1405" s="10" t="n">
        <x:v>43</x:v>
      </x:c>
      <x:c r="D1405" s="10" t="str">
        <x:v>M2 / M4</x:v>
      </x:c>
      <x:c r="E1405" s="16" t="n">
        <x:v>5</x:v>
      </x:c>
      <x:c r="F1405" s="14" t="n">
        <x:v>50</x:v>
      </x:c>
      <x:c r="G1405" s="26" t="n">
        <x:f>'成本明细'!U208+'成本明细'!G208*(E1405-'参数'!$B$6)</x:f>
        <x:v>3414.024039388889</x:v>
      </x:c>
      <x:c r="H1405" s="26" t="n">
        <x:f>'成本明细'!U214</x:f>
        <x:v>3667.3137053816668</x:v>
      </x:c>
      <x:c r="I1405" s="26" t="n">
        <x:f>'成本明细'!V214</x:f>
        <x:v>8322</x:v>
      </x:c>
      <x:c r="J1405" s="22" t="n">
        <x:f>'参数'!$B$9</x:f>
        <x:v>300</x:v>
      </x:c>
      <x:c r="K1405" s="26" t="n">
        <x:f>J1405*(G1405-H1405)-I1405*ROUNDUP(J1405/F1405,0)</x:f>
        <x:v>-125918.89979783335</x:v>
      </x:c>
      <x:c r="L1405" s="10" t="str">
        <x:f>IF(G1405-H1405&lt;=0,"未回本",IF(ROUNDUP(I1405/(G1405-H1405),0)&gt;MIN(F1405,J1405),"未回本",MAX(1,ROUNDUP(I1405/(G1405-H1405),0))))</x:f>
        <x:v>未回本</x:v>
      </x:c>
    </x:row>
    <x:row r="1406" ht="22" customHeight="1">
      <x:c r="A1406" s="11" t="str">
        <x:v>lade_0826_30aoi</x:v>
      </x:c>
      <x:c r="B1406" s="10" t="n">
        <x:v>30</x:v>
      </x:c>
      <x:c r="C1406" s="10" t="n">
        <x:v>44</x:v>
      </x:c>
      <x:c r="D1406" s="10" t="str">
        <x:v>M1 / M3</x:v>
      </x:c>
      <x:c r="E1406" s="16" t="n">
        <x:v>1</x:v>
      </x:c>
      <x:c r="F1406" s="14" t="n">
        <x:v>10</x:v>
      </x:c>
      <x:c r="G1406" s="26" t="n">
        <x:f>'成本明细'!U206+'成本明细'!G206*(E1406-'参数'!$B$6)</x:f>
        <x:v>2669.5016498311115</x:v>
      </x:c>
      <x:c r="H1406" s="26" t="n">
        <x:f>'成本明细'!U212</x:f>
        <x:v>4412.181401124444</x:v>
      </x:c>
      <x:c r="I1406" s="26" t="n">
        <x:f>'成本明细'!V212</x:f>
        <x:v>8322</x:v>
      </x:c>
      <x:c r="J1406" s="22" t="n">
        <x:f>'参数'!$B$9</x:f>
        <x:v>300</x:v>
      </x:c>
      <x:c r="K1406" s="26" t="n">
        <x:f>J1406*(G1406-H1406)-I1406*ROUNDUP(J1406/F1406,0)</x:f>
        <x:v>-772463.9253879997</x:v>
      </x:c>
      <x:c r="L1406" s="10" t="str">
        <x:f>IF(G1406-H1406&lt;=0,"未回本",IF(ROUNDUP(I1406/(G1406-H1406),0)&gt;MIN(F1406,J1406),"未回本",MAX(1,ROUNDUP(I1406/(G1406-H1406),0))))</x:f>
        <x:v>未回本</x:v>
      </x:c>
    </x:row>
    <x:row r="1407" ht="22" customHeight="1">
      <x:c r="A1407" s="11" t="str">
        <x:v>lade_0826_30aoi</x:v>
      </x:c>
      <x:c r="B1407" s="10" t="n">
        <x:v>30</x:v>
      </x:c>
      <x:c r="C1407" s="10" t="n">
        <x:v>44</x:v>
      </x:c>
      <x:c r="D1407" s="10" t="str">
        <x:v>M2 / M4</x:v>
      </x:c>
      <x:c r="E1407" s="16" t="n">
        <x:v>1</x:v>
      </x:c>
      <x:c r="F1407" s="14" t="n">
        <x:v>10</x:v>
      </x:c>
      <x:c r="G1407" s="26" t="n">
        <x:f>'成本明细'!U209+'成本明细'!G209*(E1407-'参数'!$B$6)</x:f>
        <x:v>2501.7181542338894</x:v>
      </x:c>
      <x:c r="H1407" s="26" t="n">
        <x:f>'成本明细'!U215</x:f>
        <x:v>4598.230019359444</x:v>
      </x:c>
      <x:c r="I1407" s="26" t="n">
        <x:f>'成本明细'!V215</x:f>
        <x:v>8322</x:v>
      </x:c>
      <x:c r="J1407" s="22" t="n">
        <x:f>'参数'!$B$9</x:f>
        <x:v>300</x:v>
      </x:c>
      <x:c r="K1407" s="26" t="n">
        <x:f>J1407*(G1407-H1407)-I1407*ROUNDUP(J1407/F1407,0)</x:f>
        <x:v>-878613.5595376663</x:v>
      </x:c>
      <x:c r="L1407" s="10" t="str">
        <x:f>IF(G1407-H1407&lt;=0,"未回本",IF(ROUNDUP(I1407/(G1407-H1407),0)&gt;MIN(F1407,J1407),"未回本",MAX(1,ROUNDUP(I1407/(G1407-H1407),0))))</x:f>
        <x:v>未回本</x:v>
      </x:c>
    </x:row>
    <x:row r="1408" ht="22" customHeight="1">
      <x:c r="A1408" s="11" t="str">
        <x:v>lade_0826_30aoi</x:v>
      </x:c>
      <x:c r="B1408" s="10" t="n">
        <x:v>30</x:v>
      </x:c>
      <x:c r="C1408" s="10" t="n">
        <x:v>44</x:v>
      </x:c>
      <x:c r="D1408" s="10" t="str">
        <x:v>M1 / M3</x:v>
      </x:c>
      <x:c r="E1408" s="16" t="n">
        <x:v>1</x:v>
      </x:c>
      <x:c r="F1408" s="14" t="n">
        <x:v>20</x:v>
      </x:c>
      <x:c r="G1408" s="26" t="n">
        <x:f>'成本明细'!U206+'成本明细'!G206*(E1408-'参数'!$B$6)</x:f>
        <x:v>2669.5016498311115</x:v>
      </x:c>
      <x:c r="H1408" s="26" t="n">
        <x:f>'成本明细'!U212</x:f>
        <x:v>4412.181401124444</x:v>
      </x:c>
      <x:c r="I1408" s="26" t="n">
        <x:f>'成本明细'!V212</x:f>
        <x:v>8322</x:v>
      </x:c>
      <x:c r="J1408" s="22" t="n">
        <x:f>'参数'!$B$9</x:f>
        <x:v>300</x:v>
      </x:c>
      <x:c r="K1408" s="26" t="n">
        <x:f>J1408*(G1408-H1408)-I1408*ROUNDUP(J1408/F1408,0)</x:f>
        <x:v>-647633.9253879997</x:v>
      </x:c>
      <x:c r="L1408" s="10" t="str">
        <x:f>IF(G1408-H1408&lt;=0,"未回本",IF(ROUNDUP(I1408/(G1408-H1408),0)&gt;MIN(F1408,J1408),"未回本",MAX(1,ROUNDUP(I1408/(G1408-H1408),0))))</x:f>
        <x:v>未回本</x:v>
      </x:c>
    </x:row>
    <x:row r="1409" ht="22" customHeight="1">
      <x:c r="A1409" s="11" t="str">
        <x:v>lade_0826_30aoi</x:v>
      </x:c>
      <x:c r="B1409" s="10" t="n">
        <x:v>30</x:v>
      </x:c>
      <x:c r="C1409" s="10" t="n">
        <x:v>44</x:v>
      </x:c>
      <x:c r="D1409" s="10" t="str">
        <x:v>M2 / M4</x:v>
      </x:c>
      <x:c r="E1409" s="16" t="n">
        <x:v>1</x:v>
      </x:c>
      <x:c r="F1409" s="14" t="n">
        <x:v>20</x:v>
      </x:c>
      <x:c r="G1409" s="26" t="n">
        <x:f>'成本明细'!U209+'成本明细'!G209*(E1409-'参数'!$B$6)</x:f>
        <x:v>2501.7181542338894</x:v>
      </x:c>
      <x:c r="H1409" s="26" t="n">
        <x:f>'成本明细'!U215</x:f>
        <x:v>4598.230019359444</x:v>
      </x:c>
      <x:c r="I1409" s="26" t="n">
        <x:f>'成本明细'!V215</x:f>
        <x:v>8322</x:v>
      </x:c>
      <x:c r="J1409" s="22" t="n">
        <x:f>'参数'!$B$9</x:f>
        <x:v>300</x:v>
      </x:c>
      <x:c r="K1409" s="26" t="n">
        <x:f>J1409*(G1409-H1409)-I1409*ROUNDUP(J1409/F1409,0)</x:f>
        <x:v>-753783.5595376663</x:v>
      </x:c>
      <x:c r="L1409" s="10" t="str">
        <x:f>IF(G1409-H1409&lt;=0,"未回本",IF(ROUNDUP(I1409/(G1409-H1409),0)&gt;MIN(F1409,J1409),"未回本",MAX(1,ROUNDUP(I1409/(G1409-H1409),0))))</x:f>
        <x:v>未回本</x:v>
      </x:c>
    </x:row>
    <x:row r="1410" ht="22" customHeight="1">
      <x:c r="A1410" s="11" t="str">
        <x:v>lade_0826_30aoi</x:v>
      </x:c>
      <x:c r="B1410" s="10" t="n">
        <x:v>30</x:v>
      </x:c>
      <x:c r="C1410" s="10" t="n">
        <x:v>44</x:v>
      </x:c>
      <x:c r="D1410" s="10" t="str">
        <x:v>M1 / M3</x:v>
      </x:c>
      <x:c r="E1410" s="16" t="n">
        <x:v>1</x:v>
      </x:c>
      <x:c r="F1410" s="14" t="n">
        <x:v>30</x:v>
      </x:c>
      <x:c r="G1410" s="26" t="n">
        <x:f>'成本明细'!U206+'成本明细'!G206*(E1410-'参数'!$B$6)</x:f>
        <x:v>2669.5016498311115</x:v>
      </x:c>
      <x:c r="H1410" s="26" t="n">
        <x:f>'成本明细'!U212</x:f>
        <x:v>4412.181401124444</x:v>
      </x:c>
      <x:c r="I1410" s="26" t="n">
        <x:f>'成本明细'!V212</x:f>
        <x:v>8322</x:v>
      </x:c>
      <x:c r="J1410" s="22" t="n">
        <x:f>'参数'!$B$9</x:f>
        <x:v>300</x:v>
      </x:c>
      <x:c r="K1410" s="26" t="n">
        <x:f>J1410*(G1410-H1410)-I1410*ROUNDUP(J1410/F1410,0)</x:f>
        <x:v>-606023.9253879997</x:v>
      </x:c>
      <x:c r="L1410" s="10" t="str">
        <x:f>IF(G1410-H1410&lt;=0,"未回本",IF(ROUNDUP(I1410/(G1410-H1410),0)&gt;MIN(F1410,J1410),"未回本",MAX(1,ROUNDUP(I1410/(G1410-H1410),0))))</x:f>
        <x:v>未回本</x:v>
      </x:c>
    </x:row>
    <x:row r="1411" ht="22" customHeight="1">
      <x:c r="A1411" s="11" t="str">
        <x:v>lade_0826_30aoi</x:v>
      </x:c>
      <x:c r="B1411" s="10" t="n">
        <x:v>30</x:v>
      </x:c>
      <x:c r="C1411" s="10" t="n">
        <x:v>44</x:v>
      </x:c>
      <x:c r="D1411" s="10" t="str">
        <x:v>M2 / M4</x:v>
      </x:c>
      <x:c r="E1411" s="16" t="n">
        <x:v>1</x:v>
      </x:c>
      <x:c r="F1411" s="14" t="n">
        <x:v>30</x:v>
      </x:c>
      <x:c r="G1411" s="26" t="n">
        <x:f>'成本明细'!U209+'成本明细'!G209*(E1411-'参数'!$B$6)</x:f>
        <x:v>2501.7181542338894</x:v>
      </x:c>
      <x:c r="H1411" s="26" t="n">
        <x:f>'成本明细'!U215</x:f>
        <x:v>4598.230019359444</x:v>
      </x:c>
      <x:c r="I1411" s="26" t="n">
        <x:f>'成本明细'!V215</x:f>
        <x:v>8322</x:v>
      </x:c>
      <x:c r="J1411" s="22" t="n">
        <x:f>'参数'!$B$9</x:f>
        <x:v>300</x:v>
      </x:c>
      <x:c r="K1411" s="26" t="n">
        <x:f>J1411*(G1411-H1411)-I1411*ROUNDUP(J1411/F1411,0)</x:f>
        <x:v>-712173.5595376663</x:v>
      </x:c>
      <x:c r="L1411" s="10" t="str">
        <x:f>IF(G1411-H1411&lt;=0,"未回本",IF(ROUNDUP(I1411/(G1411-H1411),0)&gt;MIN(F1411,J1411),"未回本",MAX(1,ROUNDUP(I1411/(G1411-H1411),0))))</x:f>
        <x:v>未回本</x:v>
      </x:c>
    </x:row>
    <x:row r="1412" ht="22" customHeight="1">
      <x:c r="A1412" s="11" t="str">
        <x:v>lade_0826_30aoi</x:v>
      </x:c>
      <x:c r="B1412" s="10" t="n">
        <x:v>30</x:v>
      </x:c>
      <x:c r="C1412" s="10" t="n">
        <x:v>44</x:v>
      </x:c>
      <x:c r="D1412" s="10" t="str">
        <x:v>M1 / M3</x:v>
      </x:c>
      <x:c r="E1412" s="16" t="n">
        <x:v>1</x:v>
      </x:c>
      <x:c r="F1412" s="14" t="n">
        <x:v>50</x:v>
      </x:c>
      <x:c r="G1412" s="26" t="n">
        <x:f>'成本明细'!U206+'成本明细'!G206*(E1412-'参数'!$B$6)</x:f>
        <x:v>2669.5016498311115</x:v>
      </x:c>
      <x:c r="H1412" s="26" t="n">
        <x:f>'成本明细'!U212</x:f>
        <x:v>4412.181401124444</x:v>
      </x:c>
      <x:c r="I1412" s="26" t="n">
        <x:f>'成本明细'!V212</x:f>
        <x:v>8322</x:v>
      </x:c>
      <x:c r="J1412" s="22" t="n">
        <x:f>'参数'!$B$9</x:f>
        <x:v>300</x:v>
      </x:c>
      <x:c r="K1412" s="26" t="n">
        <x:f>J1412*(G1412-H1412)-I1412*ROUNDUP(J1412/F1412,0)</x:f>
        <x:v>-572735.9253879997</x:v>
      </x:c>
      <x:c r="L1412" s="10" t="str">
        <x:f>IF(G1412-H1412&lt;=0,"未回本",IF(ROUNDUP(I1412/(G1412-H1412),0)&gt;MIN(F1412,J1412),"未回本",MAX(1,ROUNDUP(I1412/(G1412-H1412),0))))</x:f>
        <x:v>未回本</x:v>
      </x:c>
    </x:row>
    <x:row r="1413" ht="22" customHeight="1">
      <x:c r="A1413" s="11" t="str">
        <x:v>lade_0826_30aoi</x:v>
      </x:c>
      <x:c r="B1413" s="10" t="n">
        <x:v>30</x:v>
      </x:c>
      <x:c r="C1413" s="10" t="n">
        <x:v>44</x:v>
      </x:c>
      <x:c r="D1413" s="10" t="str">
        <x:v>M2 / M4</x:v>
      </x:c>
      <x:c r="E1413" s="16" t="n">
        <x:v>1</x:v>
      </x:c>
      <x:c r="F1413" s="14" t="n">
        <x:v>50</x:v>
      </x:c>
      <x:c r="G1413" s="26" t="n">
        <x:f>'成本明细'!U209+'成本明细'!G209*(E1413-'参数'!$B$6)</x:f>
        <x:v>2501.7181542338894</x:v>
      </x:c>
      <x:c r="H1413" s="26" t="n">
        <x:f>'成本明细'!U215</x:f>
        <x:v>4598.230019359444</x:v>
      </x:c>
      <x:c r="I1413" s="26" t="n">
        <x:f>'成本明细'!V215</x:f>
        <x:v>8322</x:v>
      </x:c>
      <x:c r="J1413" s="22" t="n">
        <x:f>'参数'!$B$9</x:f>
        <x:v>300</x:v>
      </x:c>
      <x:c r="K1413" s="26" t="n">
        <x:f>J1413*(G1413-H1413)-I1413*ROUNDUP(J1413/F1413,0)</x:f>
        <x:v>-678885.5595376663</x:v>
      </x:c>
      <x:c r="L1413" s="10" t="str">
        <x:f>IF(G1413-H1413&lt;=0,"未回本",IF(ROUNDUP(I1413/(G1413-H1413),0)&gt;MIN(F1413,J1413),"未回本",MAX(1,ROUNDUP(I1413/(G1413-H1413),0))))</x:f>
        <x:v>未回本</x:v>
      </x:c>
    </x:row>
    <x:row r="1414" ht="22" customHeight="1">
      <x:c r="A1414" s="11" t="str">
        <x:v>lade_0826_30aoi</x:v>
      </x:c>
      <x:c r="B1414" s="10" t="n">
        <x:v>30</x:v>
      </x:c>
      <x:c r="C1414" s="10" t="n">
        <x:v>44</x:v>
      </x:c>
      <x:c r="D1414" s="10" t="str">
        <x:v>M1 / M3</x:v>
      </x:c>
      <x:c r="E1414" s="16" t="n">
        <x:v>2</x:v>
      </x:c>
      <x:c r="F1414" s="14" t="n">
        <x:v>10</x:v>
      </x:c>
      <x:c r="G1414" s="26" t="n">
        <x:f>'成本明细'!U206+'成本明细'!G206*(E1414-'参数'!$B$6)</x:f>
        <x:v>2897.5016498311115</x:v>
      </x:c>
      <x:c r="H1414" s="26" t="n">
        <x:f>'成本明细'!U212</x:f>
        <x:v>4412.181401124444</x:v>
      </x:c>
      <x:c r="I1414" s="26" t="n">
        <x:f>'成本明细'!V212</x:f>
        <x:v>8322</x:v>
      </x:c>
      <x:c r="J1414" s="22" t="n">
        <x:f>'参数'!$B$9</x:f>
        <x:v>300</x:v>
      </x:c>
      <x:c r="K1414" s="26" t="n">
        <x:f>J1414*(G1414-H1414)-I1414*ROUNDUP(J1414/F1414,0)</x:f>
        <x:v>-704063.9253879997</x:v>
      </x:c>
      <x:c r="L1414" s="10" t="str">
        <x:f>IF(G1414-H1414&lt;=0,"未回本",IF(ROUNDUP(I1414/(G1414-H1414),0)&gt;MIN(F1414,J1414),"未回本",MAX(1,ROUNDUP(I1414/(G1414-H1414),0))))</x:f>
        <x:v>未回本</x:v>
      </x:c>
    </x:row>
    <x:row r="1415" ht="22" customHeight="1">
      <x:c r="A1415" s="11" t="str">
        <x:v>lade_0826_30aoi</x:v>
      </x:c>
      <x:c r="B1415" s="10" t="n">
        <x:v>30</x:v>
      </x:c>
      <x:c r="C1415" s="10" t="n">
        <x:v>44</x:v>
      </x:c>
      <x:c r="D1415" s="10" t="str">
        <x:v>M2 / M4</x:v>
      </x:c>
      <x:c r="E1415" s="16" t="n">
        <x:v>2</x:v>
      </x:c>
      <x:c r="F1415" s="14" t="n">
        <x:v>10</x:v>
      </x:c>
      <x:c r="G1415" s="26" t="n">
        <x:f>'成本明细'!U209+'成本明细'!G209*(E1415-'参数'!$B$6)</x:f>
        <x:v>2729.7181542338894</x:v>
      </x:c>
      <x:c r="H1415" s="26" t="n">
        <x:f>'成本明细'!U215</x:f>
        <x:v>4598.230019359444</x:v>
      </x:c>
      <x:c r="I1415" s="26" t="n">
        <x:f>'成本明细'!V215</x:f>
        <x:v>8322</x:v>
      </x:c>
      <x:c r="J1415" s="22" t="n">
        <x:f>'参数'!$B$9</x:f>
        <x:v>300</x:v>
      </x:c>
      <x:c r="K1415" s="26" t="n">
        <x:f>J1415*(G1415-H1415)-I1415*ROUNDUP(J1415/F1415,0)</x:f>
        <x:v>-810213.5595376663</x:v>
      </x:c>
      <x:c r="L1415" s="10" t="str">
        <x:f>IF(G1415-H1415&lt;=0,"未回本",IF(ROUNDUP(I1415/(G1415-H1415),0)&gt;MIN(F1415,J1415),"未回本",MAX(1,ROUNDUP(I1415/(G1415-H1415),0))))</x:f>
        <x:v>未回本</x:v>
      </x:c>
    </x:row>
    <x:row r="1416" ht="22" customHeight="1">
      <x:c r="A1416" s="11" t="str">
        <x:v>lade_0826_30aoi</x:v>
      </x:c>
      <x:c r="B1416" s="10" t="n">
        <x:v>30</x:v>
      </x:c>
      <x:c r="C1416" s="10" t="n">
        <x:v>44</x:v>
      </x:c>
      <x:c r="D1416" s="10" t="str">
        <x:v>M1 / M3</x:v>
      </x:c>
      <x:c r="E1416" s="16" t="n">
        <x:v>2</x:v>
      </x:c>
      <x:c r="F1416" s="14" t="n">
        <x:v>20</x:v>
      </x:c>
      <x:c r="G1416" s="26" t="n">
        <x:f>'成本明细'!U206+'成本明细'!G206*(E1416-'参数'!$B$6)</x:f>
        <x:v>2897.5016498311115</x:v>
      </x:c>
      <x:c r="H1416" s="26" t="n">
        <x:f>'成本明细'!U212</x:f>
        <x:v>4412.181401124444</x:v>
      </x:c>
      <x:c r="I1416" s="26" t="n">
        <x:f>'成本明细'!V212</x:f>
        <x:v>8322</x:v>
      </x:c>
      <x:c r="J1416" s="22" t="n">
        <x:f>'参数'!$B$9</x:f>
        <x:v>300</x:v>
      </x:c>
      <x:c r="K1416" s="26" t="n">
        <x:f>J1416*(G1416-H1416)-I1416*ROUNDUP(J1416/F1416,0)</x:f>
        <x:v>-579233.9253879997</x:v>
      </x:c>
      <x:c r="L1416" s="10" t="str">
        <x:f>IF(G1416-H1416&lt;=0,"未回本",IF(ROUNDUP(I1416/(G1416-H1416),0)&gt;MIN(F1416,J1416),"未回本",MAX(1,ROUNDUP(I1416/(G1416-H1416),0))))</x:f>
        <x:v>未回本</x:v>
      </x:c>
    </x:row>
    <x:row r="1417" ht="22" customHeight="1">
      <x:c r="A1417" s="11" t="str">
        <x:v>lade_0826_30aoi</x:v>
      </x:c>
      <x:c r="B1417" s="10" t="n">
        <x:v>30</x:v>
      </x:c>
      <x:c r="C1417" s="10" t="n">
        <x:v>44</x:v>
      </x:c>
      <x:c r="D1417" s="10" t="str">
        <x:v>M2 / M4</x:v>
      </x:c>
      <x:c r="E1417" s="16" t="n">
        <x:v>2</x:v>
      </x:c>
      <x:c r="F1417" s="14" t="n">
        <x:v>20</x:v>
      </x:c>
      <x:c r="G1417" s="26" t="n">
        <x:f>'成本明细'!U209+'成本明细'!G209*(E1417-'参数'!$B$6)</x:f>
        <x:v>2729.7181542338894</x:v>
      </x:c>
      <x:c r="H1417" s="26" t="n">
        <x:f>'成本明细'!U215</x:f>
        <x:v>4598.230019359444</x:v>
      </x:c>
      <x:c r="I1417" s="26" t="n">
        <x:f>'成本明细'!V215</x:f>
        <x:v>8322</x:v>
      </x:c>
      <x:c r="J1417" s="22" t="n">
        <x:f>'参数'!$B$9</x:f>
        <x:v>300</x:v>
      </x:c>
      <x:c r="K1417" s="26" t="n">
        <x:f>J1417*(G1417-H1417)-I1417*ROUNDUP(J1417/F1417,0)</x:f>
        <x:v>-685383.5595376663</x:v>
      </x:c>
      <x:c r="L1417" s="10" t="str">
        <x:f>IF(G1417-H1417&lt;=0,"未回本",IF(ROUNDUP(I1417/(G1417-H1417),0)&gt;MIN(F1417,J1417),"未回本",MAX(1,ROUNDUP(I1417/(G1417-H1417),0))))</x:f>
        <x:v>未回本</x:v>
      </x:c>
    </x:row>
    <x:row r="1418" ht="22" customHeight="1">
      <x:c r="A1418" s="11" t="str">
        <x:v>lade_0826_30aoi</x:v>
      </x:c>
      <x:c r="B1418" s="10" t="n">
        <x:v>30</x:v>
      </x:c>
      <x:c r="C1418" s="10" t="n">
        <x:v>44</x:v>
      </x:c>
      <x:c r="D1418" s="10" t="str">
        <x:v>M1 / M3</x:v>
      </x:c>
      <x:c r="E1418" s="16" t="n">
        <x:v>2</x:v>
      </x:c>
      <x:c r="F1418" s="14" t="n">
        <x:v>30</x:v>
      </x:c>
      <x:c r="G1418" s="26" t="n">
        <x:f>'成本明细'!U206+'成本明细'!G206*(E1418-'参数'!$B$6)</x:f>
        <x:v>2897.5016498311115</x:v>
      </x:c>
      <x:c r="H1418" s="26" t="n">
        <x:f>'成本明细'!U212</x:f>
        <x:v>4412.181401124444</x:v>
      </x:c>
      <x:c r="I1418" s="26" t="n">
        <x:f>'成本明细'!V212</x:f>
        <x:v>8322</x:v>
      </x:c>
      <x:c r="J1418" s="22" t="n">
        <x:f>'参数'!$B$9</x:f>
        <x:v>300</x:v>
      </x:c>
      <x:c r="K1418" s="26" t="n">
        <x:f>J1418*(G1418-H1418)-I1418*ROUNDUP(J1418/F1418,0)</x:f>
        <x:v>-537623.9253879997</x:v>
      </x:c>
      <x:c r="L1418" s="10" t="str">
        <x:f>IF(G1418-H1418&lt;=0,"未回本",IF(ROUNDUP(I1418/(G1418-H1418),0)&gt;MIN(F1418,J1418),"未回本",MAX(1,ROUNDUP(I1418/(G1418-H1418),0))))</x:f>
        <x:v>未回本</x:v>
      </x:c>
    </x:row>
    <x:row r="1419" ht="22" customHeight="1">
      <x:c r="A1419" s="11" t="str">
        <x:v>lade_0826_30aoi</x:v>
      </x:c>
      <x:c r="B1419" s="10" t="n">
        <x:v>30</x:v>
      </x:c>
      <x:c r="C1419" s="10" t="n">
        <x:v>44</x:v>
      </x:c>
      <x:c r="D1419" s="10" t="str">
        <x:v>M2 / M4</x:v>
      </x:c>
      <x:c r="E1419" s="16" t="n">
        <x:v>2</x:v>
      </x:c>
      <x:c r="F1419" s="14" t="n">
        <x:v>30</x:v>
      </x:c>
      <x:c r="G1419" s="26" t="n">
        <x:f>'成本明细'!U209+'成本明细'!G209*(E1419-'参数'!$B$6)</x:f>
        <x:v>2729.7181542338894</x:v>
      </x:c>
      <x:c r="H1419" s="26" t="n">
        <x:f>'成本明细'!U215</x:f>
        <x:v>4598.230019359444</x:v>
      </x:c>
      <x:c r="I1419" s="26" t="n">
        <x:f>'成本明细'!V215</x:f>
        <x:v>8322</x:v>
      </x:c>
      <x:c r="J1419" s="22" t="n">
        <x:f>'参数'!$B$9</x:f>
        <x:v>300</x:v>
      </x:c>
      <x:c r="K1419" s="26" t="n">
        <x:f>J1419*(G1419-H1419)-I1419*ROUNDUP(J1419/F1419,0)</x:f>
        <x:v>-643773.5595376663</x:v>
      </x:c>
      <x:c r="L1419" s="10" t="str">
        <x:f>IF(G1419-H1419&lt;=0,"未回本",IF(ROUNDUP(I1419/(G1419-H1419),0)&gt;MIN(F1419,J1419),"未回本",MAX(1,ROUNDUP(I1419/(G1419-H1419),0))))</x:f>
        <x:v>未回本</x:v>
      </x:c>
    </x:row>
    <x:row r="1420" ht="22" customHeight="1">
      <x:c r="A1420" s="11" t="str">
        <x:v>lade_0826_30aoi</x:v>
      </x:c>
      <x:c r="B1420" s="10" t="n">
        <x:v>30</x:v>
      </x:c>
      <x:c r="C1420" s="10" t="n">
        <x:v>44</x:v>
      </x:c>
      <x:c r="D1420" s="10" t="str">
        <x:v>M1 / M3</x:v>
      </x:c>
      <x:c r="E1420" s="16" t="n">
        <x:v>2</x:v>
      </x:c>
      <x:c r="F1420" s="14" t="n">
        <x:v>50</x:v>
      </x:c>
      <x:c r="G1420" s="26" t="n">
        <x:f>'成本明细'!U206+'成本明细'!G206*(E1420-'参数'!$B$6)</x:f>
        <x:v>2897.5016498311115</x:v>
      </x:c>
      <x:c r="H1420" s="26" t="n">
        <x:f>'成本明细'!U212</x:f>
        <x:v>4412.181401124444</x:v>
      </x:c>
      <x:c r="I1420" s="26" t="n">
        <x:f>'成本明细'!V212</x:f>
        <x:v>8322</x:v>
      </x:c>
      <x:c r="J1420" s="22" t="n">
        <x:f>'参数'!$B$9</x:f>
        <x:v>300</x:v>
      </x:c>
      <x:c r="K1420" s="26" t="n">
        <x:f>J1420*(G1420-H1420)-I1420*ROUNDUP(J1420/F1420,0)</x:f>
        <x:v>-504335.9253879998</x:v>
      </x:c>
      <x:c r="L1420" s="10" t="str">
        <x:f>IF(G1420-H1420&lt;=0,"未回本",IF(ROUNDUP(I1420/(G1420-H1420),0)&gt;MIN(F1420,J1420),"未回本",MAX(1,ROUNDUP(I1420/(G1420-H1420),0))))</x:f>
        <x:v>未回本</x:v>
      </x:c>
    </x:row>
    <x:row r="1421" ht="22" customHeight="1">
      <x:c r="A1421" s="11" t="str">
        <x:v>lade_0826_30aoi</x:v>
      </x:c>
      <x:c r="B1421" s="10" t="n">
        <x:v>30</x:v>
      </x:c>
      <x:c r="C1421" s="10" t="n">
        <x:v>44</x:v>
      </x:c>
      <x:c r="D1421" s="10" t="str">
        <x:v>M2 / M4</x:v>
      </x:c>
      <x:c r="E1421" s="16" t="n">
        <x:v>2</x:v>
      </x:c>
      <x:c r="F1421" s="14" t="n">
        <x:v>50</x:v>
      </x:c>
      <x:c r="G1421" s="26" t="n">
        <x:f>'成本明细'!U209+'成本明细'!G209*(E1421-'参数'!$B$6)</x:f>
        <x:v>2729.7181542338894</x:v>
      </x:c>
      <x:c r="H1421" s="26" t="n">
        <x:f>'成本明细'!U215</x:f>
        <x:v>4598.230019359444</x:v>
      </x:c>
      <x:c r="I1421" s="26" t="n">
        <x:f>'成本明细'!V215</x:f>
        <x:v>8322</x:v>
      </x:c>
      <x:c r="J1421" s="22" t="n">
        <x:f>'参数'!$B$9</x:f>
        <x:v>300</x:v>
      </x:c>
      <x:c r="K1421" s="26" t="n">
        <x:f>J1421*(G1421-H1421)-I1421*ROUNDUP(J1421/F1421,0)</x:f>
        <x:v>-610485.5595376663</x:v>
      </x:c>
      <x:c r="L1421" s="10" t="str">
        <x:f>IF(G1421-H1421&lt;=0,"未回本",IF(ROUNDUP(I1421/(G1421-H1421),0)&gt;MIN(F1421,J1421),"未回本",MAX(1,ROUNDUP(I1421/(G1421-H1421),0))))</x:f>
        <x:v>未回本</x:v>
      </x:c>
    </x:row>
    <x:row r="1422" ht="22" customHeight="1">
      <x:c r="A1422" s="11" t="str">
        <x:v>lade_0826_30aoi</x:v>
      </x:c>
      <x:c r="B1422" s="10" t="n">
        <x:v>30</x:v>
      </x:c>
      <x:c r="C1422" s="10" t="n">
        <x:v>44</x:v>
      </x:c>
      <x:c r="D1422" s="10" t="str">
        <x:v>M1 / M3</x:v>
      </x:c>
      <x:c r="E1422" s="16" t="n">
        <x:v>3</x:v>
      </x:c>
      <x:c r="F1422" s="14" t="n">
        <x:v>10</x:v>
      </x:c>
      <x:c r="G1422" s="26" t="n">
        <x:f>'成本明细'!U206+'成本明细'!G206*(E1422-'参数'!$B$6)</x:f>
        <x:v>3125.5016498311115</x:v>
      </x:c>
      <x:c r="H1422" s="26" t="n">
        <x:f>'成本明细'!U212</x:f>
        <x:v>4412.181401124444</x:v>
      </x:c>
      <x:c r="I1422" s="26" t="n">
        <x:f>'成本明细'!V212</x:f>
        <x:v>8322</x:v>
      </x:c>
      <x:c r="J1422" s="22" t="n">
        <x:f>'参数'!$B$9</x:f>
        <x:v>300</x:v>
      </x:c>
      <x:c r="K1422" s="26" t="n">
        <x:f>J1422*(G1422-H1422)-I1422*ROUNDUP(J1422/F1422,0)</x:f>
        <x:v>-635663.9253879997</x:v>
      </x:c>
      <x:c r="L1422" s="10" t="str">
        <x:f>IF(G1422-H1422&lt;=0,"未回本",IF(ROUNDUP(I1422/(G1422-H1422),0)&gt;MIN(F1422,J1422),"未回本",MAX(1,ROUNDUP(I1422/(G1422-H1422),0))))</x:f>
        <x:v>未回本</x:v>
      </x:c>
    </x:row>
    <x:row r="1423" ht="22" customHeight="1">
      <x:c r="A1423" s="11" t="str">
        <x:v>lade_0826_30aoi</x:v>
      </x:c>
      <x:c r="B1423" s="10" t="n">
        <x:v>30</x:v>
      </x:c>
      <x:c r="C1423" s="10" t="n">
        <x:v>44</x:v>
      </x:c>
      <x:c r="D1423" s="10" t="str">
        <x:v>M2 / M4</x:v>
      </x:c>
      <x:c r="E1423" s="16" t="n">
        <x:v>3</x:v>
      </x:c>
      <x:c r="F1423" s="14" t="n">
        <x:v>10</x:v>
      </x:c>
      <x:c r="G1423" s="26" t="n">
        <x:f>'成本明细'!U209+'成本明细'!G209*(E1423-'参数'!$B$6)</x:f>
        <x:v>2957.7181542338894</x:v>
      </x:c>
      <x:c r="H1423" s="26" t="n">
        <x:f>'成本明细'!U215</x:f>
        <x:v>4598.230019359444</x:v>
      </x:c>
      <x:c r="I1423" s="26" t="n">
        <x:f>'成本明细'!V215</x:f>
        <x:v>8322</x:v>
      </x:c>
      <x:c r="J1423" s="22" t="n">
        <x:f>'参数'!$B$9</x:f>
        <x:v>300</x:v>
      </x:c>
      <x:c r="K1423" s="26" t="n">
        <x:f>J1423*(G1423-H1423)-I1423*ROUNDUP(J1423/F1423,0)</x:f>
        <x:v>-741813.5595376663</x:v>
      </x:c>
      <x:c r="L1423" s="10" t="str">
        <x:f>IF(G1423-H1423&lt;=0,"未回本",IF(ROUNDUP(I1423/(G1423-H1423),0)&gt;MIN(F1423,J1423),"未回本",MAX(1,ROUNDUP(I1423/(G1423-H1423),0))))</x:f>
        <x:v>未回本</x:v>
      </x:c>
    </x:row>
    <x:row r="1424" ht="22" customHeight="1">
      <x:c r="A1424" s="11" t="str">
        <x:v>lade_0826_30aoi</x:v>
      </x:c>
      <x:c r="B1424" s="10" t="n">
        <x:v>30</x:v>
      </x:c>
      <x:c r="C1424" s="10" t="n">
        <x:v>44</x:v>
      </x:c>
      <x:c r="D1424" s="10" t="str">
        <x:v>M1 / M3</x:v>
      </x:c>
      <x:c r="E1424" s="16" t="n">
        <x:v>3</x:v>
      </x:c>
      <x:c r="F1424" s="14" t="n">
        <x:v>20</x:v>
      </x:c>
      <x:c r="G1424" s="26" t="n">
        <x:f>'成本明细'!U206+'成本明细'!G206*(E1424-'参数'!$B$6)</x:f>
        <x:v>3125.5016498311115</x:v>
      </x:c>
      <x:c r="H1424" s="26" t="n">
        <x:f>'成本明细'!U212</x:f>
        <x:v>4412.181401124444</x:v>
      </x:c>
      <x:c r="I1424" s="26" t="n">
        <x:f>'成本明细'!V212</x:f>
        <x:v>8322</x:v>
      </x:c>
      <x:c r="J1424" s="22" t="n">
        <x:f>'参数'!$B$9</x:f>
        <x:v>300</x:v>
      </x:c>
      <x:c r="K1424" s="26" t="n">
        <x:f>J1424*(G1424-H1424)-I1424*ROUNDUP(J1424/F1424,0)</x:f>
        <x:v>-510833.9253879998</x:v>
      </x:c>
      <x:c r="L1424" s="10" t="str">
        <x:f>IF(G1424-H1424&lt;=0,"未回本",IF(ROUNDUP(I1424/(G1424-H1424),0)&gt;MIN(F1424,J1424),"未回本",MAX(1,ROUNDUP(I1424/(G1424-H1424),0))))</x:f>
        <x:v>未回本</x:v>
      </x:c>
    </x:row>
    <x:row r="1425" ht="22" customHeight="1">
      <x:c r="A1425" s="11" t="str">
        <x:v>lade_0826_30aoi</x:v>
      </x:c>
      <x:c r="B1425" s="10" t="n">
        <x:v>30</x:v>
      </x:c>
      <x:c r="C1425" s="10" t="n">
        <x:v>44</x:v>
      </x:c>
      <x:c r="D1425" s="10" t="str">
        <x:v>M2 / M4</x:v>
      </x:c>
      <x:c r="E1425" s="16" t="n">
        <x:v>3</x:v>
      </x:c>
      <x:c r="F1425" s="14" t="n">
        <x:v>20</x:v>
      </x:c>
      <x:c r="G1425" s="26" t="n">
        <x:f>'成本明细'!U209+'成本明细'!G209*(E1425-'参数'!$B$6)</x:f>
        <x:v>2957.7181542338894</x:v>
      </x:c>
      <x:c r="H1425" s="26" t="n">
        <x:f>'成本明细'!U215</x:f>
        <x:v>4598.230019359444</x:v>
      </x:c>
      <x:c r="I1425" s="26" t="n">
        <x:f>'成本明细'!V215</x:f>
        <x:v>8322</x:v>
      </x:c>
      <x:c r="J1425" s="22" t="n">
        <x:f>'参数'!$B$9</x:f>
        <x:v>300</x:v>
      </x:c>
      <x:c r="K1425" s="26" t="n">
        <x:f>J1425*(G1425-H1425)-I1425*ROUNDUP(J1425/F1425,0)</x:f>
        <x:v>-616983.5595376663</x:v>
      </x:c>
      <x:c r="L1425" s="10" t="str">
        <x:f>IF(G1425-H1425&lt;=0,"未回本",IF(ROUNDUP(I1425/(G1425-H1425),0)&gt;MIN(F1425,J1425),"未回本",MAX(1,ROUNDUP(I1425/(G1425-H1425),0))))</x:f>
        <x:v>未回本</x:v>
      </x:c>
    </x:row>
    <x:row r="1426" ht="22" customHeight="1">
      <x:c r="A1426" s="11" t="str">
        <x:v>lade_0826_30aoi</x:v>
      </x:c>
      <x:c r="B1426" s="10" t="n">
        <x:v>30</x:v>
      </x:c>
      <x:c r="C1426" s="10" t="n">
        <x:v>44</x:v>
      </x:c>
      <x:c r="D1426" s="10" t="str">
        <x:v>M1 / M3</x:v>
      </x:c>
      <x:c r="E1426" s="16" t="n">
        <x:v>3</x:v>
      </x:c>
      <x:c r="F1426" s="14" t="n">
        <x:v>30</x:v>
      </x:c>
      <x:c r="G1426" s="26" t="n">
        <x:f>'成本明细'!U206+'成本明细'!G206*(E1426-'参数'!$B$6)</x:f>
        <x:v>3125.5016498311115</x:v>
      </x:c>
      <x:c r="H1426" s="26" t="n">
        <x:f>'成本明细'!U212</x:f>
        <x:v>4412.181401124444</x:v>
      </x:c>
      <x:c r="I1426" s="26" t="n">
        <x:f>'成本明细'!V212</x:f>
        <x:v>8322</x:v>
      </x:c>
      <x:c r="J1426" s="22" t="n">
        <x:f>'参数'!$B$9</x:f>
        <x:v>300</x:v>
      </x:c>
      <x:c r="K1426" s="26" t="n">
        <x:f>J1426*(G1426-H1426)-I1426*ROUNDUP(J1426/F1426,0)</x:f>
        <x:v>-469223.9253879998</x:v>
      </x:c>
      <x:c r="L1426" s="10" t="str">
        <x:f>IF(G1426-H1426&lt;=0,"未回本",IF(ROUNDUP(I1426/(G1426-H1426),0)&gt;MIN(F1426,J1426),"未回本",MAX(1,ROUNDUP(I1426/(G1426-H1426),0))))</x:f>
        <x:v>未回本</x:v>
      </x:c>
    </x:row>
    <x:row r="1427" ht="22" customHeight="1">
      <x:c r="A1427" s="11" t="str">
        <x:v>lade_0826_30aoi</x:v>
      </x:c>
      <x:c r="B1427" s="10" t="n">
        <x:v>30</x:v>
      </x:c>
      <x:c r="C1427" s="10" t="n">
        <x:v>44</x:v>
      </x:c>
      <x:c r="D1427" s="10" t="str">
        <x:v>M2 / M4</x:v>
      </x:c>
      <x:c r="E1427" s="16" t="n">
        <x:v>3</x:v>
      </x:c>
      <x:c r="F1427" s="14" t="n">
        <x:v>30</x:v>
      </x:c>
      <x:c r="G1427" s="26" t="n">
        <x:f>'成本明细'!U209+'成本明细'!G209*(E1427-'参数'!$B$6)</x:f>
        <x:v>2957.7181542338894</x:v>
      </x:c>
      <x:c r="H1427" s="26" t="n">
        <x:f>'成本明细'!U215</x:f>
        <x:v>4598.230019359444</x:v>
      </x:c>
      <x:c r="I1427" s="26" t="n">
        <x:f>'成本明细'!V215</x:f>
        <x:v>8322</x:v>
      </x:c>
      <x:c r="J1427" s="22" t="n">
        <x:f>'参数'!$B$9</x:f>
        <x:v>300</x:v>
      </x:c>
      <x:c r="K1427" s="26" t="n">
        <x:f>J1427*(G1427-H1427)-I1427*ROUNDUP(J1427/F1427,0)</x:f>
        <x:v>-575373.5595376663</x:v>
      </x:c>
      <x:c r="L1427" s="10" t="str">
        <x:f>IF(G1427-H1427&lt;=0,"未回本",IF(ROUNDUP(I1427/(G1427-H1427),0)&gt;MIN(F1427,J1427),"未回本",MAX(1,ROUNDUP(I1427/(G1427-H1427),0))))</x:f>
        <x:v>未回本</x:v>
      </x:c>
    </x:row>
    <x:row r="1428" ht="22" customHeight="1">
      <x:c r="A1428" s="11" t="str">
        <x:v>lade_0826_30aoi</x:v>
      </x:c>
      <x:c r="B1428" s="10" t="n">
        <x:v>30</x:v>
      </x:c>
      <x:c r="C1428" s="10" t="n">
        <x:v>44</x:v>
      </x:c>
      <x:c r="D1428" s="10" t="str">
        <x:v>M1 / M3</x:v>
      </x:c>
      <x:c r="E1428" s="16" t="n">
        <x:v>3</x:v>
      </x:c>
      <x:c r="F1428" s="14" t="n">
        <x:v>50</x:v>
      </x:c>
      <x:c r="G1428" s="26" t="n">
        <x:f>'成本明细'!U206+'成本明细'!G206*(E1428-'参数'!$B$6)</x:f>
        <x:v>3125.5016498311115</x:v>
      </x:c>
      <x:c r="H1428" s="26" t="n">
        <x:f>'成本明细'!U212</x:f>
        <x:v>4412.181401124444</x:v>
      </x:c>
      <x:c r="I1428" s="26" t="n">
        <x:f>'成本明细'!V212</x:f>
        <x:v>8322</x:v>
      </x:c>
      <x:c r="J1428" s="22" t="n">
        <x:f>'参数'!$B$9</x:f>
        <x:v>300</x:v>
      </x:c>
      <x:c r="K1428" s="26" t="n">
        <x:f>J1428*(G1428-H1428)-I1428*ROUNDUP(J1428/F1428,0)</x:f>
        <x:v>-435935.9253879998</x:v>
      </x:c>
      <x:c r="L1428" s="10" t="str">
        <x:f>IF(G1428-H1428&lt;=0,"未回本",IF(ROUNDUP(I1428/(G1428-H1428),0)&gt;MIN(F1428,J1428),"未回本",MAX(1,ROUNDUP(I1428/(G1428-H1428),0))))</x:f>
        <x:v>未回本</x:v>
      </x:c>
    </x:row>
    <x:row r="1429" ht="22" customHeight="1">
      <x:c r="A1429" s="11" t="str">
        <x:v>lade_0826_30aoi</x:v>
      </x:c>
      <x:c r="B1429" s="10" t="n">
        <x:v>30</x:v>
      </x:c>
      <x:c r="C1429" s="10" t="n">
        <x:v>44</x:v>
      </x:c>
      <x:c r="D1429" s="10" t="str">
        <x:v>M2 / M4</x:v>
      </x:c>
      <x:c r="E1429" s="16" t="n">
        <x:v>3</x:v>
      </x:c>
      <x:c r="F1429" s="14" t="n">
        <x:v>50</x:v>
      </x:c>
      <x:c r="G1429" s="26" t="n">
        <x:f>'成本明细'!U209+'成本明细'!G209*(E1429-'参数'!$B$6)</x:f>
        <x:v>2957.7181542338894</x:v>
      </x:c>
      <x:c r="H1429" s="26" t="n">
        <x:f>'成本明细'!U215</x:f>
        <x:v>4598.230019359444</x:v>
      </x:c>
      <x:c r="I1429" s="26" t="n">
        <x:f>'成本明细'!V215</x:f>
        <x:v>8322</x:v>
      </x:c>
      <x:c r="J1429" s="22" t="n">
        <x:f>'参数'!$B$9</x:f>
        <x:v>300</x:v>
      </x:c>
      <x:c r="K1429" s="26" t="n">
        <x:f>J1429*(G1429-H1429)-I1429*ROUNDUP(J1429/F1429,0)</x:f>
        <x:v>-542085.5595376663</x:v>
      </x:c>
      <x:c r="L1429" s="10" t="str">
        <x:f>IF(G1429-H1429&lt;=0,"未回本",IF(ROUNDUP(I1429/(G1429-H1429),0)&gt;MIN(F1429,J1429),"未回本",MAX(1,ROUNDUP(I1429/(G1429-H1429),0))))</x:f>
        <x:v>未回本</x:v>
      </x:c>
    </x:row>
    <x:row r="1430" ht="22" customHeight="1">
      <x:c r="A1430" s="11" t="str">
        <x:v>lade_0826_30aoi</x:v>
      </x:c>
      <x:c r="B1430" s="10" t="n">
        <x:v>30</x:v>
      </x:c>
      <x:c r="C1430" s="10" t="n">
        <x:v>44</x:v>
      </x:c>
      <x:c r="D1430" s="10" t="str">
        <x:v>M1 / M3</x:v>
      </x:c>
      <x:c r="E1430" s="16" t="n">
        <x:v>4</x:v>
      </x:c>
      <x:c r="F1430" s="14" t="n">
        <x:v>10</x:v>
      </x:c>
      <x:c r="G1430" s="26" t="n">
        <x:f>'成本明细'!U206+'成本明细'!G206*(E1430-'参数'!$B$6)</x:f>
        <x:v>3353.5016498311115</x:v>
      </x:c>
      <x:c r="H1430" s="26" t="n">
        <x:f>'成本明细'!U212</x:f>
        <x:v>4412.181401124444</x:v>
      </x:c>
      <x:c r="I1430" s="26" t="n">
        <x:f>'成本明细'!V212</x:f>
        <x:v>8322</x:v>
      </x:c>
      <x:c r="J1430" s="22" t="n">
        <x:f>'参数'!$B$9</x:f>
        <x:v>300</x:v>
      </x:c>
      <x:c r="K1430" s="26" t="n">
        <x:f>J1430*(G1430-H1430)-I1430*ROUNDUP(J1430/F1430,0)</x:f>
        <x:v>-567263.9253879997</x:v>
      </x:c>
      <x:c r="L1430" s="10" t="str">
        <x:f>IF(G1430-H1430&lt;=0,"未回本",IF(ROUNDUP(I1430/(G1430-H1430),0)&gt;MIN(F1430,J1430),"未回本",MAX(1,ROUNDUP(I1430/(G1430-H1430),0))))</x:f>
        <x:v>未回本</x:v>
      </x:c>
    </x:row>
    <x:row r="1431" ht="22" customHeight="1">
      <x:c r="A1431" s="11" t="str">
        <x:v>lade_0826_30aoi</x:v>
      </x:c>
      <x:c r="B1431" s="10" t="n">
        <x:v>30</x:v>
      </x:c>
      <x:c r="C1431" s="10" t="n">
        <x:v>44</x:v>
      </x:c>
      <x:c r="D1431" s="10" t="str">
        <x:v>M2 / M4</x:v>
      </x:c>
      <x:c r="E1431" s="16" t="n">
        <x:v>4</x:v>
      </x:c>
      <x:c r="F1431" s="14" t="n">
        <x:v>10</x:v>
      </x:c>
      <x:c r="G1431" s="26" t="n">
        <x:f>'成本明细'!U209+'成本明细'!G209*(E1431-'参数'!$B$6)</x:f>
        <x:v>3185.7181542338894</x:v>
      </x:c>
      <x:c r="H1431" s="26" t="n">
        <x:f>'成本明细'!U215</x:f>
        <x:v>4598.230019359444</x:v>
      </x:c>
      <x:c r="I1431" s="26" t="n">
        <x:f>'成本明细'!V215</x:f>
        <x:v>8322</x:v>
      </x:c>
      <x:c r="J1431" s="22" t="n">
        <x:f>'参数'!$B$9</x:f>
        <x:v>300</x:v>
      </x:c>
      <x:c r="K1431" s="26" t="n">
        <x:f>J1431*(G1431-H1431)-I1431*ROUNDUP(J1431/F1431,0)</x:f>
        <x:v>-673413.5595376663</x:v>
      </x:c>
      <x:c r="L1431" s="10" t="str">
        <x:f>IF(G1431-H1431&lt;=0,"未回本",IF(ROUNDUP(I1431/(G1431-H1431),0)&gt;MIN(F1431,J1431),"未回本",MAX(1,ROUNDUP(I1431/(G1431-H1431),0))))</x:f>
        <x:v>未回本</x:v>
      </x:c>
    </x:row>
    <x:row r="1432" ht="22" customHeight="1">
      <x:c r="A1432" s="11" t="str">
        <x:v>lade_0826_30aoi</x:v>
      </x:c>
      <x:c r="B1432" s="10" t="n">
        <x:v>30</x:v>
      </x:c>
      <x:c r="C1432" s="10" t="n">
        <x:v>44</x:v>
      </x:c>
      <x:c r="D1432" s="10" t="str">
        <x:v>M1 / M3</x:v>
      </x:c>
      <x:c r="E1432" s="16" t="n">
        <x:v>4</x:v>
      </x:c>
      <x:c r="F1432" s="14" t="n">
        <x:v>20</x:v>
      </x:c>
      <x:c r="G1432" s="26" t="n">
        <x:f>'成本明细'!U206+'成本明细'!G206*(E1432-'参数'!$B$6)</x:f>
        <x:v>3353.5016498311115</x:v>
      </x:c>
      <x:c r="H1432" s="26" t="n">
        <x:f>'成本明细'!U212</x:f>
        <x:v>4412.181401124444</x:v>
      </x:c>
      <x:c r="I1432" s="26" t="n">
        <x:f>'成本明细'!V212</x:f>
        <x:v>8322</x:v>
      </x:c>
      <x:c r="J1432" s="22" t="n">
        <x:f>'参数'!$B$9</x:f>
        <x:v>300</x:v>
      </x:c>
      <x:c r="K1432" s="26" t="n">
        <x:f>J1432*(G1432-H1432)-I1432*ROUNDUP(J1432/F1432,0)</x:f>
        <x:v>-442433.9253879998</x:v>
      </x:c>
      <x:c r="L1432" s="10" t="str">
        <x:f>IF(G1432-H1432&lt;=0,"未回本",IF(ROUNDUP(I1432/(G1432-H1432),0)&gt;MIN(F1432,J1432),"未回本",MAX(1,ROUNDUP(I1432/(G1432-H1432),0))))</x:f>
        <x:v>未回本</x:v>
      </x:c>
    </x:row>
    <x:row r="1433" ht="22" customHeight="1">
      <x:c r="A1433" s="11" t="str">
        <x:v>lade_0826_30aoi</x:v>
      </x:c>
      <x:c r="B1433" s="10" t="n">
        <x:v>30</x:v>
      </x:c>
      <x:c r="C1433" s="10" t="n">
        <x:v>44</x:v>
      </x:c>
      <x:c r="D1433" s="10" t="str">
        <x:v>M2 / M4</x:v>
      </x:c>
      <x:c r="E1433" s="16" t="n">
        <x:v>4</x:v>
      </x:c>
      <x:c r="F1433" s="14" t="n">
        <x:v>20</x:v>
      </x:c>
      <x:c r="G1433" s="26" t="n">
        <x:f>'成本明细'!U209+'成本明细'!G209*(E1433-'参数'!$B$6)</x:f>
        <x:v>3185.7181542338894</x:v>
      </x:c>
      <x:c r="H1433" s="26" t="n">
        <x:f>'成本明细'!U215</x:f>
        <x:v>4598.230019359444</x:v>
      </x:c>
      <x:c r="I1433" s="26" t="n">
        <x:f>'成本明细'!V215</x:f>
        <x:v>8322</x:v>
      </x:c>
      <x:c r="J1433" s="22" t="n">
        <x:f>'参数'!$B$9</x:f>
        <x:v>300</x:v>
      </x:c>
      <x:c r="K1433" s="26" t="n">
        <x:f>J1433*(G1433-H1433)-I1433*ROUNDUP(J1433/F1433,0)</x:f>
        <x:v>-548583.5595376663</x:v>
      </x:c>
      <x:c r="L1433" s="10" t="str">
        <x:f>IF(G1433-H1433&lt;=0,"未回本",IF(ROUNDUP(I1433/(G1433-H1433),0)&gt;MIN(F1433,J1433),"未回本",MAX(1,ROUNDUP(I1433/(G1433-H1433),0))))</x:f>
        <x:v>未回本</x:v>
      </x:c>
    </x:row>
    <x:row r="1434" ht="22" customHeight="1">
      <x:c r="A1434" s="11" t="str">
        <x:v>lade_0826_30aoi</x:v>
      </x:c>
      <x:c r="B1434" s="10" t="n">
        <x:v>30</x:v>
      </x:c>
      <x:c r="C1434" s="10" t="n">
        <x:v>44</x:v>
      </x:c>
      <x:c r="D1434" s="10" t="str">
        <x:v>M1 / M3</x:v>
      </x:c>
      <x:c r="E1434" s="16" t="n">
        <x:v>4</x:v>
      </x:c>
      <x:c r="F1434" s="14" t="n">
        <x:v>30</x:v>
      </x:c>
      <x:c r="G1434" s="26" t="n">
        <x:f>'成本明细'!U206+'成本明细'!G206*(E1434-'参数'!$B$6)</x:f>
        <x:v>3353.5016498311115</x:v>
      </x:c>
      <x:c r="H1434" s="26" t="n">
        <x:f>'成本明细'!U212</x:f>
        <x:v>4412.181401124444</x:v>
      </x:c>
      <x:c r="I1434" s="26" t="n">
        <x:f>'成本明细'!V212</x:f>
        <x:v>8322</x:v>
      </x:c>
      <x:c r="J1434" s="22" t="n">
        <x:f>'参数'!$B$9</x:f>
        <x:v>300</x:v>
      </x:c>
      <x:c r="K1434" s="26" t="n">
        <x:f>J1434*(G1434-H1434)-I1434*ROUNDUP(J1434/F1434,0)</x:f>
        <x:v>-400823.9253879998</x:v>
      </x:c>
      <x:c r="L1434" s="10" t="str">
        <x:f>IF(G1434-H1434&lt;=0,"未回本",IF(ROUNDUP(I1434/(G1434-H1434),0)&gt;MIN(F1434,J1434),"未回本",MAX(1,ROUNDUP(I1434/(G1434-H1434),0))))</x:f>
        <x:v>未回本</x:v>
      </x:c>
    </x:row>
    <x:row r="1435" ht="22" customHeight="1">
      <x:c r="A1435" s="11" t="str">
        <x:v>lade_0826_30aoi</x:v>
      </x:c>
      <x:c r="B1435" s="10" t="n">
        <x:v>30</x:v>
      </x:c>
      <x:c r="C1435" s="10" t="n">
        <x:v>44</x:v>
      </x:c>
      <x:c r="D1435" s="10" t="str">
        <x:v>M2 / M4</x:v>
      </x:c>
      <x:c r="E1435" s="16" t="n">
        <x:v>4</x:v>
      </x:c>
      <x:c r="F1435" s="14" t="n">
        <x:v>30</x:v>
      </x:c>
      <x:c r="G1435" s="26" t="n">
        <x:f>'成本明细'!U209+'成本明细'!G209*(E1435-'参数'!$B$6)</x:f>
        <x:v>3185.7181542338894</x:v>
      </x:c>
      <x:c r="H1435" s="26" t="n">
        <x:f>'成本明细'!U215</x:f>
        <x:v>4598.230019359444</x:v>
      </x:c>
      <x:c r="I1435" s="26" t="n">
        <x:f>'成本明细'!V215</x:f>
        <x:v>8322</x:v>
      </x:c>
      <x:c r="J1435" s="22" t="n">
        <x:f>'参数'!$B$9</x:f>
        <x:v>300</x:v>
      </x:c>
      <x:c r="K1435" s="26" t="n">
        <x:f>J1435*(G1435-H1435)-I1435*ROUNDUP(J1435/F1435,0)</x:f>
        <x:v>-506973.55953766627</x:v>
      </x:c>
      <x:c r="L1435" s="10" t="str">
        <x:f>IF(G1435-H1435&lt;=0,"未回本",IF(ROUNDUP(I1435/(G1435-H1435),0)&gt;MIN(F1435,J1435),"未回本",MAX(1,ROUNDUP(I1435/(G1435-H1435),0))))</x:f>
        <x:v>未回本</x:v>
      </x:c>
    </x:row>
    <x:row r="1436" ht="22" customHeight="1">
      <x:c r="A1436" s="11" t="str">
        <x:v>lade_0826_30aoi</x:v>
      </x:c>
      <x:c r="B1436" s="10" t="n">
        <x:v>30</x:v>
      </x:c>
      <x:c r="C1436" s="10" t="n">
        <x:v>44</x:v>
      </x:c>
      <x:c r="D1436" s="10" t="str">
        <x:v>M1 / M3</x:v>
      </x:c>
      <x:c r="E1436" s="16" t="n">
        <x:v>4</x:v>
      </x:c>
      <x:c r="F1436" s="14" t="n">
        <x:v>50</x:v>
      </x:c>
      <x:c r="G1436" s="26" t="n">
        <x:f>'成本明细'!U206+'成本明细'!G206*(E1436-'参数'!$B$6)</x:f>
        <x:v>3353.5016498311115</x:v>
      </x:c>
      <x:c r="H1436" s="26" t="n">
        <x:f>'成本明细'!U212</x:f>
        <x:v>4412.181401124444</x:v>
      </x:c>
      <x:c r="I1436" s="26" t="n">
        <x:f>'成本明细'!V212</x:f>
        <x:v>8322</x:v>
      </x:c>
      <x:c r="J1436" s="22" t="n">
        <x:f>'参数'!$B$9</x:f>
        <x:v>300</x:v>
      </x:c>
      <x:c r="K1436" s="26" t="n">
        <x:f>J1436*(G1436-H1436)-I1436*ROUNDUP(J1436/F1436,0)</x:f>
        <x:v>-367535.9253879998</x:v>
      </x:c>
      <x:c r="L1436" s="10" t="str">
        <x:f>IF(G1436-H1436&lt;=0,"未回本",IF(ROUNDUP(I1436/(G1436-H1436),0)&gt;MIN(F1436,J1436),"未回本",MAX(1,ROUNDUP(I1436/(G1436-H1436),0))))</x:f>
        <x:v>未回本</x:v>
      </x:c>
    </x:row>
    <x:row r="1437" ht="22" customHeight="1">
      <x:c r="A1437" s="11" t="str">
        <x:v>lade_0826_30aoi</x:v>
      </x:c>
      <x:c r="B1437" s="10" t="n">
        <x:v>30</x:v>
      </x:c>
      <x:c r="C1437" s="10" t="n">
        <x:v>44</x:v>
      </x:c>
      <x:c r="D1437" s="10" t="str">
        <x:v>M2 / M4</x:v>
      </x:c>
      <x:c r="E1437" s="16" t="n">
        <x:v>4</x:v>
      </x:c>
      <x:c r="F1437" s="14" t="n">
        <x:v>50</x:v>
      </x:c>
      <x:c r="G1437" s="26" t="n">
        <x:f>'成本明细'!U209+'成本明细'!G209*(E1437-'参数'!$B$6)</x:f>
        <x:v>3185.7181542338894</x:v>
      </x:c>
      <x:c r="H1437" s="26" t="n">
        <x:f>'成本明细'!U215</x:f>
        <x:v>4598.230019359444</x:v>
      </x:c>
      <x:c r="I1437" s="26" t="n">
        <x:f>'成本明细'!V215</x:f>
        <x:v>8322</x:v>
      </x:c>
      <x:c r="J1437" s="22" t="n">
        <x:f>'参数'!$B$9</x:f>
        <x:v>300</x:v>
      </x:c>
      <x:c r="K1437" s="26" t="n">
        <x:f>J1437*(G1437-H1437)-I1437*ROUNDUP(J1437/F1437,0)</x:f>
        <x:v>-473685.55953766627</x:v>
      </x:c>
      <x:c r="L1437" s="10" t="str">
        <x:f>IF(G1437-H1437&lt;=0,"未回本",IF(ROUNDUP(I1437/(G1437-H1437),0)&gt;MIN(F1437,J1437),"未回本",MAX(1,ROUNDUP(I1437/(G1437-H1437),0))))</x:f>
        <x:v>未回本</x:v>
      </x:c>
    </x:row>
    <x:row r="1438" ht="22" customHeight="1">
      <x:c r="A1438" s="11" t="str">
        <x:v>lade_0826_30aoi</x:v>
      </x:c>
      <x:c r="B1438" s="10" t="n">
        <x:v>30</x:v>
      </x:c>
      <x:c r="C1438" s="10" t="n">
        <x:v>44</x:v>
      </x:c>
      <x:c r="D1438" s="10" t="str">
        <x:v>M1 / M3</x:v>
      </x:c>
      <x:c r="E1438" s="16" t="n">
        <x:v>5</x:v>
      </x:c>
      <x:c r="F1438" s="14" t="n">
        <x:v>10</x:v>
      </x:c>
      <x:c r="G1438" s="26" t="n">
        <x:f>'成本明细'!U206+'成本明细'!G206*(E1438-'参数'!$B$6)</x:f>
        <x:v>3581.5016498311115</x:v>
      </x:c>
      <x:c r="H1438" s="26" t="n">
        <x:f>'成本明细'!U212</x:f>
        <x:v>4412.181401124444</x:v>
      </x:c>
      <x:c r="I1438" s="26" t="n">
        <x:f>'成本明细'!V212</x:f>
        <x:v>8322</x:v>
      </x:c>
      <x:c r="J1438" s="22" t="n">
        <x:f>'参数'!$B$9</x:f>
        <x:v>300</x:v>
      </x:c>
      <x:c r="K1438" s="26" t="n">
        <x:f>J1438*(G1438-H1438)-I1438*ROUNDUP(J1438/F1438,0)</x:f>
        <x:v>-498863.9253879998</x:v>
      </x:c>
      <x:c r="L1438" s="10" t="str">
        <x:f>IF(G1438-H1438&lt;=0,"未回本",IF(ROUNDUP(I1438/(G1438-H1438),0)&gt;MIN(F1438,J1438),"未回本",MAX(1,ROUNDUP(I1438/(G1438-H1438),0))))</x:f>
        <x:v>未回本</x:v>
      </x:c>
    </x:row>
    <x:row r="1439" ht="22" customHeight="1">
      <x:c r="A1439" s="11" t="str">
        <x:v>lade_0826_30aoi</x:v>
      </x:c>
      <x:c r="B1439" s="10" t="n">
        <x:v>30</x:v>
      </x:c>
      <x:c r="C1439" s="10" t="n">
        <x:v>44</x:v>
      </x:c>
      <x:c r="D1439" s="10" t="str">
        <x:v>M2 / M4</x:v>
      </x:c>
      <x:c r="E1439" s="16" t="n">
        <x:v>5</x:v>
      </x:c>
      <x:c r="F1439" s="14" t="n">
        <x:v>10</x:v>
      </x:c>
      <x:c r="G1439" s="26" t="n">
        <x:f>'成本明细'!U209+'成本明细'!G209*(E1439-'参数'!$B$6)</x:f>
        <x:v>3413.7181542338894</x:v>
      </x:c>
      <x:c r="H1439" s="26" t="n">
        <x:f>'成本明细'!U215</x:f>
        <x:v>4598.230019359444</x:v>
      </x:c>
      <x:c r="I1439" s="26" t="n">
        <x:f>'成本明细'!V215</x:f>
        <x:v>8322</x:v>
      </x:c>
      <x:c r="J1439" s="22" t="n">
        <x:f>'参数'!$B$9</x:f>
        <x:v>300</x:v>
      </x:c>
      <x:c r="K1439" s="26" t="n">
        <x:f>J1439*(G1439-H1439)-I1439*ROUNDUP(J1439/F1439,0)</x:f>
        <x:v>-605013.5595376663</x:v>
      </x:c>
      <x:c r="L1439" s="10" t="str">
        <x:f>IF(G1439-H1439&lt;=0,"未回本",IF(ROUNDUP(I1439/(G1439-H1439),0)&gt;MIN(F1439,J1439),"未回本",MAX(1,ROUNDUP(I1439/(G1439-H1439),0))))</x:f>
        <x:v>未回本</x:v>
      </x:c>
    </x:row>
    <x:row r="1440" ht="22" customHeight="1">
      <x:c r="A1440" s="11" t="str">
        <x:v>lade_0826_30aoi</x:v>
      </x:c>
      <x:c r="B1440" s="10" t="n">
        <x:v>30</x:v>
      </x:c>
      <x:c r="C1440" s="10" t="n">
        <x:v>44</x:v>
      </x:c>
      <x:c r="D1440" s="10" t="str">
        <x:v>M1 / M3</x:v>
      </x:c>
      <x:c r="E1440" s="16" t="n">
        <x:v>5</x:v>
      </x:c>
      <x:c r="F1440" s="14" t="n">
        <x:v>20</x:v>
      </x:c>
      <x:c r="G1440" s="26" t="n">
        <x:f>'成本明细'!U206+'成本明细'!G206*(E1440-'参数'!$B$6)</x:f>
        <x:v>3581.5016498311115</x:v>
      </x:c>
      <x:c r="H1440" s="26" t="n">
        <x:f>'成本明细'!U212</x:f>
        <x:v>4412.181401124444</x:v>
      </x:c>
      <x:c r="I1440" s="26" t="n">
        <x:f>'成本明细'!V212</x:f>
        <x:v>8322</x:v>
      </x:c>
      <x:c r="J1440" s="22" t="n">
        <x:f>'参数'!$B$9</x:f>
        <x:v>300</x:v>
      </x:c>
      <x:c r="K1440" s="26" t="n">
        <x:f>J1440*(G1440-H1440)-I1440*ROUNDUP(J1440/F1440,0)</x:f>
        <x:v>-374033.9253879998</x:v>
      </x:c>
      <x:c r="L1440" s="10" t="str">
        <x:f>IF(G1440-H1440&lt;=0,"未回本",IF(ROUNDUP(I1440/(G1440-H1440),0)&gt;MIN(F1440,J1440),"未回本",MAX(1,ROUNDUP(I1440/(G1440-H1440),0))))</x:f>
        <x:v>未回本</x:v>
      </x:c>
    </x:row>
    <x:row r="1441" ht="22" customHeight="1">
      <x:c r="A1441" s="11" t="str">
        <x:v>lade_0826_30aoi</x:v>
      </x:c>
      <x:c r="B1441" s="10" t="n">
        <x:v>30</x:v>
      </x:c>
      <x:c r="C1441" s="10" t="n">
        <x:v>44</x:v>
      </x:c>
      <x:c r="D1441" s="10" t="str">
        <x:v>M2 / M4</x:v>
      </x:c>
      <x:c r="E1441" s="16" t="n">
        <x:v>5</x:v>
      </x:c>
      <x:c r="F1441" s="14" t="n">
        <x:v>20</x:v>
      </x:c>
      <x:c r="G1441" s="26" t="n">
        <x:f>'成本明细'!U209+'成本明细'!G209*(E1441-'参数'!$B$6)</x:f>
        <x:v>3413.7181542338894</x:v>
      </x:c>
      <x:c r="H1441" s="26" t="n">
        <x:f>'成本明细'!U215</x:f>
        <x:v>4598.230019359444</x:v>
      </x:c>
      <x:c r="I1441" s="26" t="n">
        <x:f>'成本明细'!V215</x:f>
        <x:v>8322</x:v>
      </x:c>
      <x:c r="J1441" s="22" t="n">
        <x:f>'参数'!$B$9</x:f>
        <x:v>300</x:v>
      </x:c>
      <x:c r="K1441" s="26" t="n">
        <x:f>J1441*(G1441-H1441)-I1441*ROUNDUP(J1441/F1441,0)</x:f>
        <x:v>-480183.55953766627</x:v>
      </x:c>
      <x:c r="L1441" s="10" t="str">
        <x:f>IF(G1441-H1441&lt;=0,"未回本",IF(ROUNDUP(I1441/(G1441-H1441),0)&gt;MIN(F1441,J1441),"未回本",MAX(1,ROUNDUP(I1441/(G1441-H1441),0))))</x:f>
        <x:v>未回本</x:v>
      </x:c>
    </x:row>
    <x:row r="1442" ht="22" customHeight="1">
      <x:c r="A1442" s="11" t="str">
        <x:v>lade_0826_30aoi</x:v>
      </x:c>
      <x:c r="B1442" s="10" t="n">
        <x:v>30</x:v>
      </x:c>
      <x:c r="C1442" s="10" t="n">
        <x:v>44</x:v>
      </x:c>
      <x:c r="D1442" s="10" t="str">
        <x:v>M1 / M3</x:v>
      </x:c>
      <x:c r="E1442" s="16" t="n">
        <x:v>5</x:v>
      </x:c>
      <x:c r="F1442" s="14" t="n">
        <x:v>30</x:v>
      </x:c>
      <x:c r="G1442" s="26" t="n">
        <x:f>'成本明细'!U206+'成本明细'!G206*(E1442-'参数'!$B$6)</x:f>
        <x:v>3581.5016498311115</x:v>
      </x:c>
      <x:c r="H1442" s="26" t="n">
        <x:f>'成本明细'!U212</x:f>
        <x:v>4412.181401124444</x:v>
      </x:c>
      <x:c r="I1442" s="26" t="n">
        <x:f>'成本明细'!V212</x:f>
        <x:v>8322</x:v>
      </x:c>
      <x:c r="J1442" s="22" t="n">
        <x:f>'参数'!$B$9</x:f>
        <x:v>300</x:v>
      </x:c>
      <x:c r="K1442" s="26" t="n">
        <x:f>J1442*(G1442-H1442)-I1442*ROUNDUP(J1442/F1442,0)</x:f>
        <x:v>-332423.9253879998</x:v>
      </x:c>
      <x:c r="L1442" s="10" t="str">
        <x:f>IF(G1442-H1442&lt;=0,"未回本",IF(ROUNDUP(I1442/(G1442-H1442),0)&gt;MIN(F1442,J1442),"未回本",MAX(1,ROUNDUP(I1442/(G1442-H1442),0))))</x:f>
        <x:v>未回本</x:v>
      </x:c>
    </x:row>
    <x:row r="1443" ht="22" customHeight="1">
      <x:c r="A1443" s="11" t="str">
        <x:v>lade_0826_30aoi</x:v>
      </x:c>
      <x:c r="B1443" s="10" t="n">
        <x:v>30</x:v>
      </x:c>
      <x:c r="C1443" s="10" t="n">
        <x:v>44</x:v>
      </x:c>
      <x:c r="D1443" s="10" t="str">
        <x:v>M2 / M4</x:v>
      </x:c>
      <x:c r="E1443" s="16" t="n">
        <x:v>5</x:v>
      </x:c>
      <x:c r="F1443" s="14" t="n">
        <x:v>30</x:v>
      </x:c>
      <x:c r="G1443" s="26" t="n">
        <x:f>'成本明细'!U209+'成本明细'!G209*(E1443-'参数'!$B$6)</x:f>
        <x:v>3413.7181542338894</x:v>
      </x:c>
      <x:c r="H1443" s="26" t="n">
        <x:f>'成本明细'!U215</x:f>
        <x:v>4598.230019359444</x:v>
      </x:c>
      <x:c r="I1443" s="26" t="n">
        <x:f>'成本明细'!V215</x:f>
        <x:v>8322</x:v>
      </x:c>
      <x:c r="J1443" s="22" t="n">
        <x:f>'参数'!$B$9</x:f>
        <x:v>300</x:v>
      </x:c>
      <x:c r="K1443" s="26" t="n">
        <x:f>J1443*(G1443-H1443)-I1443*ROUNDUP(J1443/F1443,0)</x:f>
        <x:v>-438573.55953766627</x:v>
      </x:c>
      <x:c r="L1443" s="10" t="str">
        <x:f>IF(G1443-H1443&lt;=0,"未回本",IF(ROUNDUP(I1443/(G1443-H1443),0)&gt;MIN(F1443,J1443),"未回本",MAX(1,ROUNDUP(I1443/(G1443-H1443),0))))</x:f>
        <x:v>未回本</x:v>
      </x:c>
    </x:row>
    <x:row r="1444" ht="22" customHeight="1">
      <x:c r="A1444" s="11" t="str">
        <x:v>lade_0826_30aoi</x:v>
      </x:c>
      <x:c r="B1444" s="10" t="n">
        <x:v>30</x:v>
      </x:c>
      <x:c r="C1444" s="10" t="n">
        <x:v>44</x:v>
      </x:c>
      <x:c r="D1444" s="10" t="str">
        <x:v>M1 / M3</x:v>
      </x:c>
      <x:c r="E1444" s="16" t="n">
        <x:v>5</x:v>
      </x:c>
      <x:c r="F1444" s="14" t="n">
        <x:v>50</x:v>
      </x:c>
      <x:c r="G1444" s="26" t="n">
        <x:f>'成本明细'!U206+'成本明细'!G206*(E1444-'参数'!$B$6)</x:f>
        <x:v>3581.5016498311115</x:v>
      </x:c>
      <x:c r="H1444" s="26" t="n">
        <x:f>'成本明细'!U212</x:f>
        <x:v>4412.181401124444</x:v>
      </x:c>
      <x:c r="I1444" s="26" t="n">
        <x:f>'成本明细'!V212</x:f>
        <x:v>8322</x:v>
      </x:c>
      <x:c r="J1444" s="22" t="n">
        <x:f>'参数'!$B$9</x:f>
        <x:v>300</x:v>
      </x:c>
      <x:c r="K1444" s="26" t="n">
        <x:f>J1444*(G1444-H1444)-I1444*ROUNDUP(J1444/F1444,0)</x:f>
        <x:v>-299135.9253879998</x:v>
      </x:c>
      <x:c r="L1444" s="10" t="str">
        <x:f>IF(G1444-H1444&lt;=0,"未回本",IF(ROUNDUP(I1444/(G1444-H1444),0)&gt;MIN(F1444,J1444),"未回本",MAX(1,ROUNDUP(I1444/(G1444-H1444),0))))</x:f>
        <x:v>未回本</x:v>
      </x:c>
    </x:row>
    <x:row r="1445" ht="22" customHeight="1">
      <x:c r="A1445" s="11" t="str">
        <x:v>lade_0826_30aoi</x:v>
      </x:c>
      <x:c r="B1445" s="10" t="n">
        <x:v>30</x:v>
      </x:c>
      <x:c r="C1445" s="10" t="n">
        <x:v>44</x:v>
      </x:c>
      <x:c r="D1445" s="10" t="str">
        <x:v>M2 / M4</x:v>
      </x:c>
      <x:c r="E1445" s="16" t="n">
        <x:v>5</x:v>
      </x:c>
      <x:c r="F1445" s="14" t="n">
        <x:v>50</x:v>
      </x:c>
      <x:c r="G1445" s="26" t="n">
        <x:f>'成本明细'!U209+'成本明细'!G209*(E1445-'参数'!$B$6)</x:f>
        <x:v>3413.7181542338894</x:v>
      </x:c>
      <x:c r="H1445" s="26" t="n">
        <x:f>'成本明细'!U215</x:f>
        <x:v>4598.230019359444</x:v>
      </x:c>
      <x:c r="I1445" s="26" t="n">
        <x:f>'成本明细'!V215</x:f>
        <x:v>8322</x:v>
      </x:c>
      <x:c r="J1445" s="22" t="n">
        <x:f>'参数'!$B$9</x:f>
        <x:v>300</x:v>
      </x:c>
      <x:c r="K1445" s="26" t="n">
        <x:f>J1445*(G1445-H1445)-I1445*ROUNDUP(J1445/F1445,0)</x:f>
        <x:v>-405285.55953766627</x:v>
      </x:c>
      <x:c r="L1445" s="10" t="str">
        <x:f>IF(G1445-H1445&lt;=0,"未回本",IF(ROUNDUP(I1445/(G1445-H1445),0)&gt;MIN(F1445,J1445),"未回本",MAX(1,ROUNDUP(I1445/(G1445-H1445),0))))</x:f>
        <x:v>未回本</x:v>
      </x:c>
    </x:row>
    <x:row r="1446" ht="22" customHeight="1">
      <x:c r="A1446" s="11" t="str">
        <x:v>lade_0827_10aoi</x:v>
      </x:c>
      <x:c r="B1446" s="10" t="n">
        <x:v>10</x:v>
      </x:c>
      <x:c r="C1446" s="10" t="n">
        <x:v>42</x:v>
      </x:c>
      <x:c r="D1446" s="10" t="str">
        <x:v>M1 / M3</x:v>
      </x:c>
      <x:c r="E1446" s="16" t="n">
        <x:v>1</x:v>
      </x:c>
      <x:c r="F1446" s="14" t="n">
        <x:v>10</x:v>
      </x:c>
      <x:c r="G1446" s="26" t="n">
        <x:f>'成本明细'!U222+'成本明细'!G222*(E1446-'参数'!$B$6)</x:f>
        <x:v>1445.0033778788888</x:v>
      </x:c>
      <x:c r="H1446" s="26" t="n">
        <x:f>'成本明细'!U228</x:f>
        <x:v>2323.768246568889</x:v>
      </x:c>
      <x:c r="I1446" s="26" t="n">
        <x:f>'成本明细'!V228</x:f>
        <x:v>4416.5</x:v>
      </x:c>
      <x:c r="J1446" s="22" t="n">
        <x:f>'参数'!$B$9</x:f>
        <x:v>300</x:v>
      </x:c>
      <x:c r="K1446" s="26" t="n">
        <x:f>J1446*(G1446-H1446)-I1446*ROUNDUP(J1446/F1446,0)</x:f>
        <x:v>-396124.46060700004</x:v>
      </x:c>
      <x:c r="L1446" s="10" t="str">
        <x:f>IF(G1446-H1446&lt;=0,"未回本",IF(ROUNDUP(I1446/(G1446-H1446),0)&gt;MIN(F1446,J1446),"未回本",MAX(1,ROUNDUP(I1446/(G1446-H1446),0))))</x:f>
        <x:v>未回本</x:v>
      </x:c>
    </x:row>
    <x:row r="1447" ht="22" customHeight="1">
      <x:c r="A1447" s="11" t="str">
        <x:v>lade_0827_10aoi</x:v>
      </x:c>
      <x:c r="B1447" s="10" t="n">
        <x:v>10</x:v>
      </x:c>
      <x:c r="C1447" s="10" t="n">
        <x:v>42</x:v>
      </x:c>
      <x:c r="D1447" s="10" t="str">
        <x:v>M2 / M4</x:v>
      </x:c>
      <x:c r="E1447" s="16" t="n">
        <x:v>1</x:v>
      </x:c>
      <x:c r="F1447" s="14" t="n">
        <x:v>10</x:v>
      </x:c>
      <x:c r="G1447" s="26" t="n">
        <x:f>'成本明细'!U225+'成本明细'!G225*(E1447-'参数'!$B$6)</x:f>
        <x:v>1097.098726087222</x:v>
      </x:c>
      <x:c r="H1447" s="26" t="n">
        <x:f>'成本明细'!U231</x:f>
        <x:v>2324.5040865555557</x:v>
      </x:c>
      <x:c r="I1447" s="26" t="n">
        <x:f>'成本明细'!V231</x:f>
        <x:v>4416.5</x:v>
      </x:c>
      <x:c r="J1447" s="22" t="n">
        <x:f>'参数'!$B$9</x:f>
        <x:v>300</x:v>
      </x:c>
      <x:c r="K1447" s="26" t="n">
        <x:f>J1447*(G1447-H1447)-I1447*ROUNDUP(J1447/F1447,0)</x:f>
        <x:v>-500716.6081405001</x:v>
      </x:c>
      <x:c r="L1447" s="10" t="str">
        <x:f>IF(G1447-H1447&lt;=0,"未回本",IF(ROUNDUP(I1447/(G1447-H1447),0)&gt;MIN(F1447,J1447),"未回本",MAX(1,ROUNDUP(I1447/(G1447-H1447),0))))</x:f>
        <x:v>未回本</x:v>
      </x:c>
    </x:row>
    <x:row r="1448" ht="22" customHeight="1">
      <x:c r="A1448" s="11" t="str">
        <x:v>lade_0827_10aoi</x:v>
      </x:c>
      <x:c r="B1448" s="10" t="n">
        <x:v>10</x:v>
      </x:c>
      <x:c r="C1448" s="10" t="n">
        <x:v>42</x:v>
      </x:c>
      <x:c r="D1448" s="10" t="str">
        <x:v>M1 / M3</x:v>
      </x:c>
      <x:c r="E1448" s="16" t="n">
        <x:v>1</x:v>
      </x:c>
      <x:c r="F1448" s="14" t="n">
        <x:v>20</x:v>
      </x:c>
      <x:c r="G1448" s="26" t="n">
        <x:f>'成本明细'!U222+'成本明细'!G222*(E1448-'参数'!$B$6)</x:f>
        <x:v>1445.0033778788888</x:v>
      </x:c>
      <x:c r="H1448" s="26" t="n">
        <x:f>'成本明细'!U228</x:f>
        <x:v>2323.768246568889</x:v>
      </x:c>
      <x:c r="I1448" s="26" t="n">
        <x:f>'成本明细'!V228</x:f>
        <x:v>4416.5</x:v>
      </x:c>
      <x:c r="J1448" s="22" t="n">
        <x:f>'参数'!$B$9</x:f>
        <x:v>300</x:v>
      </x:c>
      <x:c r="K1448" s="26" t="n">
        <x:f>J1448*(G1448-H1448)-I1448*ROUNDUP(J1448/F1448,0)</x:f>
        <x:v>-329876.96060700004</x:v>
      </x:c>
      <x:c r="L1448" s="10" t="str">
        <x:f>IF(G1448-H1448&lt;=0,"未回本",IF(ROUNDUP(I1448/(G1448-H1448),0)&gt;MIN(F1448,J1448),"未回本",MAX(1,ROUNDUP(I1448/(G1448-H1448),0))))</x:f>
        <x:v>未回本</x:v>
      </x:c>
    </x:row>
    <x:row r="1449" ht="22" customHeight="1">
      <x:c r="A1449" s="11" t="str">
        <x:v>lade_0827_10aoi</x:v>
      </x:c>
      <x:c r="B1449" s="10" t="n">
        <x:v>10</x:v>
      </x:c>
      <x:c r="C1449" s="10" t="n">
        <x:v>42</x:v>
      </x:c>
      <x:c r="D1449" s="10" t="str">
        <x:v>M2 / M4</x:v>
      </x:c>
      <x:c r="E1449" s="16" t="n">
        <x:v>1</x:v>
      </x:c>
      <x:c r="F1449" s="14" t="n">
        <x:v>20</x:v>
      </x:c>
      <x:c r="G1449" s="26" t="n">
        <x:f>'成本明细'!U225+'成本明细'!G225*(E1449-'参数'!$B$6)</x:f>
        <x:v>1097.098726087222</x:v>
      </x:c>
      <x:c r="H1449" s="26" t="n">
        <x:f>'成本明细'!U231</x:f>
        <x:v>2324.5040865555557</x:v>
      </x:c>
      <x:c r="I1449" s="26" t="n">
        <x:f>'成本明细'!V231</x:f>
        <x:v>4416.5</x:v>
      </x:c>
      <x:c r="J1449" s="22" t="n">
        <x:f>'参数'!$B$9</x:f>
        <x:v>300</x:v>
      </x:c>
      <x:c r="K1449" s="26" t="n">
        <x:f>J1449*(G1449-H1449)-I1449*ROUNDUP(J1449/F1449,0)</x:f>
        <x:v>-434469.1081405001</x:v>
      </x:c>
      <x:c r="L1449" s="10" t="str">
        <x:f>IF(G1449-H1449&lt;=0,"未回本",IF(ROUNDUP(I1449/(G1449-H1449),0)&gt;MIN(F1449,J1449),"未回本",MAX(1,ROUNDUP(I1449/(G1449-H1449),0))))</x:f>
        <x:v>未回本</x:v>
      </x:c>
    </x:row>
    <x:row r="1450" ht="22" customHeight="1">
      <x:c r="A1450" s="11" t="str">
        <x:v>lade_0827_10aoi</x:v>
      </x:c>
      <x:c r="B1450" s="10" t="n">
        <x:v>10</x:v>
      </x:c>
      <x:c r="C1450" s="10" t="n">
        <x:v>42</x:v>
      </x:c>
      <x:c r="D1450" s="10" t="str">
        <x:v>M1 / M3</x:v>
      </x:c>
      <x:c r="E1450" s="16" t="n">
        <x:v>1</x:v>
      </x:c>
      <x:c r="F1450" s="14" t="n">
        <x:v>30</x:v>
      </x:c>
      <x:c r="G1450" s="26" t="n">
        <x:f>'成本明细'!U222+'成本明细'!G222*(E1450-'参数'!$B$6)</x:f>
        <x:v>1445.0033778788888</x:v>
      </x:c>
      <x:c r="H1450" s="26" t="n">
        <x:f>'成本明细'!U228</x:f>
        <x:v>2323.768246568889</x:v>
      </x:c>
      <x:c r="I1450" s="26" t="n">
        <x:f>'成本明细'!V228</x:f>
        <x:v>4416.5</x:v>
      </x:c>
      <x:c r="J1450" s="22" t="n">
        <x:f>'参数'!$B$9</x:f>
        <x:v>300</x:v>
      </x:c>
      <x:c r="K1450" s="26" t="n">
        <x:f>J1450*(G1450-H1450)-I1450*ROUNDUP(J1450/F1450,0)</x:f>
        <x:v>-307794.46060700004</x:v>
      </x:c>
      <x:c r="L1450" s="10" t="str">
        <x:f>IF(G1450-H1450&lt;=0,"未回本",IF(ROUNDUP(I1450/(G1450-H1450),0)&gt;MIN(F1450,J1450),"未回本",MAX(1,ROUNDUP(I1450/(G1450-H1450),0))))</x:f>
        <x:v>未回本</x:v>
      </x:c>
    </x:row>
    <x:row r="1451" ht="22" customHeight="1">
      <x:c r="A1451" s="11" t="str">
        <x:v>lade_0827_10aoi</x:v>
      </x:c>
      <x:c r="B1451" s="10" t="n">
        <x:v>10</x:v>
      </x:c>
      <x:c r="C1451" s="10" t="n">
        <x:v>42</x:v>
      </x:c>
      <x:c r="D1451" s="10" t="str">
        <x:v>M2 / M4</x:v>
      </x:c>
      <x:c r="E1451" s="16" t="n">
        <x:v>1</x:v>
      </x:c>
      <x:c r="F1451" s="14" t="n">
        <x:v>30</x:v>
      </x:c>
      <x:c r="G1451" s="26" t="n">
        <x:f>'成本明细'!U225+'成本明细'!G225*(E1451-'参数'!$B$6)</x:f>
        <x:v>1097.098726087222</x:v>
      </x:c>
      <x:c r="H1451" s="26" t="n">
        <x:f>'成本明细'!U231</x:f>
        <x:v>2324.5040865555557</x:v>
      </x:c>
      <x:c r="I1451" s="26" t="n">
        <x:f>'成本明细'!V231</x:f>
        <x:v>4416.5</x:v>
      </x:c>
      <x:c r="J1451" s="22" t="n">
        <x:f>'参数'!$B$9</x:f>
        <x:v>300</x:v>
      </x:c>
      <x:c r="K1451" s="26" t="n">
        <x:f>J1451*(G1451-H1451)-I1451*ROUNDUP(J1451/F1451,0)</x:f>
        <x:v>-412386.6081405001</x:v>
      </x:c>
      <x:c r="L1451" s="10" t="str">
        <x:f>IF(G1451-H1451&lt;=0,"未回本",IF(ROUNDUP(I1451/(G1451-H1451),0)&gt;MIN(F1451,J1451),"未回本",MAX(1,ROUNDUP(I1451/(G1451-H1451),0))))</x:f>
        <x:v>未回本</x:v>
      </x:c>
    </x:row>
    <x:row r="1452" ht="22" customHeight="1">
      <x:c r="A1452" s="11" t="str">
        <x:v>lade_0827_10aoi</x:v>
      </x:c>
      <x:c r="B1452" s="10" t="n">
        <x:v>10</x:v>
      </x:c>
      <x:c r="C1452" s="10" t="n">
        <x:v>42</x:v>
      </x:c>
      <x:c r="D1452" s="10" t="str">
        <x:v>M1 / M3</x:v>
      </x:c>
      <x:c r="E1452" s="16" t="n">
        <x:v>1</x:v>
      </x:c>
      <x:c r="F1452" s="14" t="n">
        <x:v>50</x:v>
      </x:c>
      <x:c r="G1452" s="26" t="n">
        <x:f>'成本明细'!U222+'成本明细'!G222*(E1452-'参数'!$B$6)</x:f>
        <x:v>1445.0033778788888</x:v>
      </x:c>
      <x:c r="H1452" s="26" t="n">
        <x:f>'成本明细'!U228</x:f>
        <x:v>2323.768246568889</x:v>
      </x:c>
      <x:c r="I1452" s="26" t="n">
        <x:f>'成本明细'!V228</x:f>
        <x:v>4416.5</x:v>
      </x:c>
      <x:c r="J1452" s="22" t="n">
        <x:f>'参数'!$B$9</x:f>
        <x:v>300</x:v>
      </x:c>
      <x:c r="K1452" s="26" t="n">
        <x:f>J1452*(G1452-H1452)-I1452*ROUNDUP(J1452/F1452,0)</x:f>
        <x:v>-290128.46060700004</x:v>
      </x:c>
      <x:c r="L1452" s="10" t="str">
        <x:f>IF(G1452-H1452&lt;=0,"未回本",IF(ROUNDUP(I1452/(G1452-H1452),0)&gt;MIN(F1452,J1452),"未回本",MAX(1,ROUNDUP(I1452/(G1452-H1452),0))))</x:f>
        <x:v>未回本</x:v>
      </x:c>
    </x:row>
    <x:row r="1453" ht="22" customHeight="1">
      <x:c r="A1453" s="11" t="str">
        <x:v>lade_0827_10aoi</x:v>
      </x:c>
      <x:c r="B1453" s="10" t="n">
        <x:v>10</x:v>
      </x:c>
      <x:c r="C1453" s="10" t="n">
        <x:v>42</x:v>
      </x:c>
      <x:c r="D1453" s="10" t="str">
        <x:v>M2 / M4</x:v>
      </x:c>
      <x:c r="E1453" s="16" t="n">
        <x:v>1</x:v>
      </x:c>
      <x:c r="F1453" s="14" t="n">
        <x:v>50</x:v>
      </x:c>
      <x:c r="G1453" s="26" t="n">
        <x:f>'成本明细'!U225+'成本明细'!G225*(E1453-'参数'!$B$6)</x:f>
        <x:v>1097.098726087222</x:v>
      </x:c>
      <x:c r="H1453" s="26" t="n">
        <x:f>'成本明细'!U231</x:f>
        <x:v>2324.5040865555557</x:v>
      </x:c>
      <x:c r="I1453" s="26" t="n">
        <x:f>'成本明细'!V231</x:f>
        <x:v>4416.5</x:v>
      </x:c>
      <x:c r="J1453" s="22" t="n">
        <x:f>'参数'!$B$9</x:f>
        <x:v>300</x:v>
      </x:c>
      <x:c r="K1453" s="26" t="n">
        <x:f>J1453*(G1453-H1453)-I1453*ROUNDUP(J1453/F1453,0)</x:f>
        <x:v>-394720.6081405001</x:v>
      </x:c>
      <x:c r="L1453" s="10" t="str">
        <x:f>IF(G1453-H1453&lt;=0,"未回本",IF(ROUNDUP(I1453/(G1453-H1453),0)&gt;MIN(F1453,J1453),"未回本",MAX(1,ROUNDUP(I1453/(G1453-H1453),0))))</x:f>
        <x:v>未回本</x:v>
      </x:c>
    </x:row>
    <x:row r="1454" ht="22" customHeight="1">
      <x:c r="A1454" s="11" t="str">
        <x:v>lade_0827_10aoi</x:v>
      </x:c>
      <x:c r="B1454" s="10" t="n">
        <x:v>10</x:v>
      </x:c>
      <x:c r="C1454" s="10" t="n">
        <x:v>42</x:v>
      </x:c>
      <x:c r="D1454" s="10" t="str">
        <x:v>M1 / M3</x:v>
      </x:c>
      <x:c r="E1454" s="16" t="n">
        <x:v>2</x:v>
      </x:c>
      <x:c r="F1454" s="14" t="n">
        <x:v>10</x:v>
      </x:c>
      <x:c r="G1454" s="26" t="n">
        <x:f>'成本明细'!U222+'成本明细'!G222*(E1454-'参数'!$B$6)</x:f>
        <x:v>1566.0033778788888</x:v>
      </x:c>
      <x:c r="H1454" s="26" t="n">
        <x:f>'成本明细'!U228</x:f>
        <x:v>2323.768246568889</x:v>
      </x:c>
      <x:c r="I1454" s="26" t="n">
        <x:f>'成本明细'!V228</x:f>
        <x:v>4416.5</x:v>
      </x:c>
      <x:c r="J1454" s="22" t="n">
        <x:f>'参数'!$B$9</x:f>
        <x:v>300</x:v>
      </x:c>
      <x:c r="K1454" s="26" t="n">
        <x:f>J1454*(G1454-H1454)-I1454*ROUNDUP(J1454/F1454,0)</x:f>
        <x:v>-359824.46060700004</x:v>
      </x:c>
      <x:c r="L1454" s="10" t="str">
        <x:f>IF(G1454-H1454&lt;=0,"未回本",IF(ROUNDUP(I1454/(G1454-H1454),0)&gt;MIN(F1454,J1454),"未回本",MAX(1,ROUNDUP(I1454/(G1454-H1454),0))))</x:f>
        <x:v>未回本</x:v>
      </x:c>
    </x:row>
    <x:row r="1455" ht="22" customHeight="1">
      <x:c r="A1455" s="11" t="str">
        <x:v>lade_0827_10aoi</x:v>
      </x:c>
      <x:c r="B1455" s="10" t="n">
        <x:v>10</x:v>
      </x:c>
      <x:c r="C1455" s="10" t="n">
        <x:v>42</x:v>
      </x:c>
      <x:c r="D1455" s="10" t="str">
        <x:v>M2 / M4</x:v>
      </x:c>
      <x:c r="E1455" s="16" t="n">
        <x:v>2</x:v>
      </x:c>
      <x:c r="F1455" s="14" t="n">
        <x:v>10</x:v>
      </x:c>
      <x:c r="G1455" s="26" t="n">
        <x:f>'成本明细'!U225+'成本明细'!G225*(E1455-'参数'!$B$6)</x:f>
        <x:v>1218.098726087222</x:v>
      </x:c>
      <x:c r="H1455" s="26" t="n">
        <x:f>'成本明细'!U231</x:f>
        <x:v>2324.5040865555557</x:v>
      </x:c>
      <x:c r="I1455" s="26" t="n">
        <x:f>'成本明细'!V231</x:f>
        <x:v>4416.5</x:v>
      </x:c>
      <x:c r="J1455" s="22" t="n">
        <x:f>'参数'!$B$9</x:f>
        <x:v>300</x:v>
      </x:c>
      <x:c r="K1455" s="26" t="n">
        <x:f>J1455*(G1455-H1455)-I1455*ROUNDUP(J1455/F1455,0)</x:f>
        <x:v>-464416.6081405001</x:v>
      </x:c>
      <x:c r="L1455" s="10" t="str">
        <x:f>IF(G1455-H1455&lt;=0,"未回本",IF(ROUNDUP(I1455/(G1455-H1455),0)&gt;MIN(F1455,J1455),"未回本",MAX(1,ROUNDUP(I1455/(G1455-H1455),0))))</x:f>
        <x:v>未回本</x:v>
      </x:c>
    </x:row>
    <x:row r="1456" ht="22" customHeight="1">
      <x:c r="A1456" s="11" t="str">
        <x:v>lade_0827_10aoi</x:v>
      </x:c>
      <x:c r="B1456" s="10" t="n">
        <x:v>10</x:v>
      </x:c>
      <x:c r="C1456" s="10" t="n">
        <x:v>42</x:v>
      </x:c>
      <x:c r="D1456" s="10" t="str">
        <x:v>M1 / M3</x:v>
      </x:c>
      <x:c r="E1456" s="16" t="n">
        <x:v>2</x:v>
      </x:c>
      <x:c r="F1456" s="14" t="n">
        <x:v>20</x:v>
      </x:c>
      <x:c r="G1456" s="26" t="n">
        <x:f>'成本明细'!U222+'成本明细'!G222*(E1456-'参数'!$B$6)</x:f>
        <x:v>1566.0033778788888</x:v>
      </x:c>
      <x:c r="H1456" s="26" t="n">
        <x:f>'成本明细'!U228</x:f>
        <x:v>2323.768246568889</x:v>
      </x:c>
      <x:c r="I1456" s="26" t="n">
        <x:f>'成本明细'!V228</x:f>
        <x:v>4416.5</x:v>
      </x:c>
      <x:c r="J1456" s="22" t="n">
        <x:f>'参数'!$B$9</x:f>
        <x:v>300</x:v>
      </x:c>
      <x:c r="K1456" s="26" t="n">
        <x:f>J1456*(G1456-H1456)-I1456*ROUNDUP(J1456/F1456,0)</x:f>
        <x:v>-293576.96060700004</x:v>
      </x:c>
      <x:c r="L1456" s="10" t="str">
        <x:f>IF(G1456-H1456&lt;=0,"未回本",IF(ROUNDUP(I1456/(G1456-H1456),0)&gt;MIN(F1456,J1456),"未回本",MAX(1,ROUNDUP(I1456/(G1456-H1456),0))))</x:f>
        <x:v>未回本</x:v>
      </x:c>
    </x:row>
    <x:row r="1457" ht="22" customHeight="1">
      <x:c r="A1457" s="11" t="str">
        <x:v>lade_0827_10aoi</x:v>
      </x:c>
      <x:c r="B1457" s="10" t="n">
        <x:v>10</x:v>
      </x:c>
      <x:c r="C1457" s="10" t="n">
        <x:v>42</x:v>
      </x:c>
      <x:c r="D1457" s="10" t="str">
        <x:v>M2 / M4</x:v>
      </x:c>
      <x:c r="E1457" s="16" t="n">
        <x:v>2</x:v>
      </x:c>
      <x:c r="F1457" s="14" t="n">
        <x:v>20</x:v>
      </x:c>
      <x:c r="G1457" s="26" t="n">
        <x:f>'成本明细'!U225+'成本明细'!G225*(E1457-'参数'!$B$6)</x:f>
        <x:v>1218.098726087222</x:v>
      </x:c>
      <x:c r="H1457" s="26" t="n">
        <x:f>'成本明细'!U231</x:f>
        <x:v>2324.5040865555557</x:v>
      </x:c>
      <x:c r="I1457" s="26" t="n">
        <x:f>'成本明细'!V231</x:f>
        <x:v>4416.5</x:v>
      </x:c>
      <x:c r="J1457" s="22" t="n">
        <x:f>'参数'!$B$9</x:f>
        <x:v>300</x:v>
      </x:c>
      <x:c r="K1457" s="26" t="n">
        <x:f>J1457*(G1457-H1457)-I1457*ROUNDUP(J1457/F1457,0)</x:f>
        <x:v>-398169.1081405001</x:v>
      </x:c>
      <x:c r="L1457" s="10" t="str">
        <x:f>IF(G1457-H1457&lt;=0,"未回本",IF(ROUNDUP(I1457/(G1457-H1457),0)&gt;MIN(F1457,J1457),"未回本",MAX(1,ROUNDUP(I1457/(G1457-H1457),0))))</x:f>
        <x:v>未回本</x:v>
      </x:c>
    </x:row>
    <x:row r="1458" ht="22" customHeight="1">
      <x:c r="A1458" s="11" t="str">
        <x:v>lade_0827_10aoi</x:v>
      </x:c>
      <x:c r="B1458" s="10" t="n">
        <x:v>10</x:v>
      </x:c>
      <x:c r="C1458" s="10" t="n">
        <x:v>42</x:v>
      </x:c>
      <x:c r="D1458" s="10" t="str">
        <x:v>M1 / M3</x:v>
      </x:c>
      <x:c r="E1458" s="16" t="n">
        <x:v>2</x:v>
      </x:c>
      <x:c r="F1458" s="14" t="n">
        <x:v>30</x:v>
      </x:c>
      <x:c r="G1458" s="26" t="n">
        <x:f>'成本明细'!U222+'成本明细'!G222*(E1458-'参数'!$B$6)</x:f>
        <x:v>1566.0033778788888</x:v>
      </x:c>
      <x:c r="H1458" s="26" t="n">
        <x:f>'成本明细'!U228</x:f>
        <x:v>2323.768246568889</x:v>
      </x:c>
      <x:c r="I1458" s="26" t="n">
        <x:f>'成本明细'!V228</x:f>
        <x:v>4416.5</x:v>
      </x:c>
      <x:c r="J1458" s="22" t="n">
        <x:f>'参数'!$B$9</x:f>
        <x:v>300</x:v>
      </x:c>
      <x:c r="K1458" s="26" t="n">
        <x:f>J1458*(G1458-H1458)-I1458*ROUNDUP(J1458/F1458,0)</x:f>
        <x:v>-271494.46060700004</x:v>
      </x:c>
      <x:c r="L1458" s="10" t="str">
        <x:f>IF(G1458-H1458&lt;=0,"未回本",IF(ROUNDUP(I1458/(G1458-H1458),0)&gt;MIN(F1458,J1458),"未回本",MAX(1,ROUNDUP(I1458/(G1458-H1458),0))))</x:f>
        <x:v>未回本</x:v>
      </x:c>
    </x:row>
    <x:row r="1459" ht="22" customHeight="1">
      <x:c r="A1459" s="11" t="str">
        <x:v>lade_0827_10aoi</x:v>
      </x:c>
      <x:c r="B1459" s="10" t="n">
        <x:v>10</x:v>
      </x:c>
      <x:c r="C1459" s="10" t="n">
        <x:v>42</x:v>
      </x:c>
      <x:c r="D1459" s="10" t="str">
        <x:v>M2 / M4</x:v>
      </x:c>
      <x:c r="E1459" s="16" t="n">
        <x:v>2</x:v>
      </x:c>
      <x:c r="F1459" s="14" t="n">
        <x:v>30</x:v>
      </x:c>
      <x:c r="G1459" s="26" t="n">
        <x:f>'成本明细'!U225+'成本明细'!G225*(E1459-'参数'!$B$6)</x:f>
        <x:v>1218.098726087222</x:v>
      </x:c>
      <x:c r="H1459" s="26" t="n">
        <x:f>'成本明细'!U231</x:f>
        <x:v>2324.5040865555557</x:v>
      </x:c>
      <x:c r="I1459" s="26" t="n">
        <x:f>'成本明细'!V231</x:f>
        <x:v>4416.5</x:v>
      </x:c>
      <x:c r="J1459" s="22" t="n">
        <x:f>'参数'!$B$9</x:f>
        <x:v>300</x:v>
      </x:c>
      <x:c r="K1459" s="26" t="n">
        <x:f>J1459*(G1459-H1459)-I1459*ROUNDUP(J1459/F1459,0)</x:f>
        <x:v>-376086.6081405001</x:v>
      </x:c>
      <x:c r="L1459" s="10" t="str">
        <x:f>IF(G1459-H1459&lt;=0,"未回本",IF(ROUNDUP(I1459/(G1459-H1459),0)&gt;MIN(F1459,J1459),"未回本",MAX(1,ROUNDUP(I1459/(G1459-H1459),0))))</x:f>
        <x:v>未回本</x:v>
      </x:c>
    </x:row>
    <x:row r="1460" ht="22" customHeight="1">
      <x:c r="A1460" s="11" t="str">
        <x:v>lade_0827_10aoi</x:v>
      </x:c>
      <x:c r="B1460" s="10" t="n">
        <x:v>10</x:v>
      </x:c>
      <x:c r="C1460" s="10" t="n">
        <x:v>42</x:v>
      </x:c>
      <x:c r="D1460" s="10" t="str">
        <x:v>M1 / M3</x:v>
      </x:c>
      <x:c r="E1460" s="16" t="n">
        <x:v>2</x:v>
      </x:c>
      <x:c r="F1460" s="14" t="n">
        <x:v>50</x:v>
      </x:c>
      <x:c r="G1460" s="26" t="n">
        <x:f>'成本明细'!U222+'成本明细'!G222*(E1460-'参数'!$B$6)</x:f>
        <x:v>1566.0033778788888</x:v>
      </x:c>
      <x:c r="H1460" s="26" t="n">
        <x:f>'成本明细'!U228</x:f>
        <x:v>2323.768246568889</x:v>
      </x:c>
      <x:c r="I1460" s="26" t="n">
        <x:f>'成本明细'!V228</x:f>
        <x:v>4416.5</x:v>
      </x:c>
      <x:c r="J1460" s="22" t="n">
        <x:f>'参数'!$B$9</x:f>
        <x:v>300</x:v>
      </x:c>
      <x:c r="K1460" s="26" t="n">
        <x:f>J1460*(G1460-H1460)-I1460*ROUNDUP(J1460/F1460,0)</x:f>
        <x:v>-253828.46060700004</x:v>
      </x:c>
      <x:c r="L1460" s="10" t="str">
        <x:f>IF(G1460-H1460&lt;=0,"未回本",IF(ROUNDUP(I1460/(G1460-H1460),0)&gt;MIN(F1460,J1460),"未回本",MAX(1,ROUNDUP(I1460/(G1460-H1460),0))))</x:f>
        <x:v>未回本</x:v>
      </x:c>
    </x:row>
    <x:row r="1461" ht="22" customHeight="1">
      <x:c r="A1461" s="11" t="str">
        <x:v>lade_0827_10aoi</x:v>
      </x:c>
      <x:c r="B1461" s="10" t="n">
        <x:v>10</x:v>
      </x:c>
      <x:c r="C1461" s="10" t="n">
        <x:v>42</x:v>
      </x:c>
      <x:c r="D1461" s="10" t="str">
        <x:v>M2 / M4</x:v>
      </x:c>
      <x:c r="E1461" s="16" t="n">
        <x:v>2</x:v>
      </x:c>
      <x:c r="F1461" s="14" t="n">
        <x:v>50</x:v>
      </x:c>
      <x:c r="G1461" s="26" t="n">
        <x:f>'成本明细'!U225+'成本明细'!G225*(E1461-'参数'!$B$6)</x:f>
        <x:v>1218.098726087222</x:v>
      </x:c>
      <x:c r="H1461" s="26" t="n">
        <x:f>'成本明细'!U231</x:f>
        <x:v>2324.5040865555557</x:v>
      </x:c>
      <x:c r="I1461" s="26" t="n">
        <x:f>'成本明细'!V231</x:f>
        <x:v>4416.5</x:v>
      </x:c>
      <x:c r="J1461" s="22" t="n">
        <x:f>'参数'!$B$9</x:f>
        <x:v>300</x:v>
      </x:c>
      <x:c r="K1461" s="26" t="n">
        <x:f>J1461*(G1461-H1461)-I1461*ROUNDUP(J1461/F1461,0)</x:f>
        <x:v>-358420.6081405001</x:v>
      </x:c>
      <x:c r="L1461" s="10" t="str">
        <x:f>IF(G1461-H1461&lt;=0,"未回本",IF(ROUNDUP(I1461/(G1461-H1461),0)&gt;MIN(F1461,J1461),"未回本",MAX(1,ROUNDUP(I1461/(G1461-H1461),0))))</x:f>
        <x:v>未回本</x:v>
      </x:c>
    </x:row>
    <x:row r="1462" ht="22" customHeight="1">
      <x:c r="A1462" s="11" t="str">
        <x:v>lade_0827_10aoi</x:v>
      </x:c>
      <x:c r="B1462" s="10" t="n">
        <x:v>10</x:v>
      </x:c>
      <x:c r="C1462" s="10" t="n">
        <x:v>42</x:v>
      </x:c>
      <x:c r="D1462" s="10" t="str">
        <x:v>M1 / M3</x:v>
      </x:c>
      <x:c r="E1462" s="16" t="n">
        <x:v>3</x:v>
      </x:c>
      <x:c r="F1462" s="14" t="n">
        <x:v>10</x:v>
      </x:c>
      <x:c r="G1462" s="26" t="n">
        <x:f>'成本明细'!U222+'成本明细'!G222*(E1462-'参数'!$B$6)</x:f>
        <x:v>1687.0033778788888</x:v>
      </x:c>
      <x:c r="H1462" s="26" t="n">
        <x:f>'成本明细'!U228</x:f>
        <x:v>2323.768246568889</x:v>
      </x:c>
      <x:c r="I1462" s="26" t="n">
        <x:f>'成本明细'!V228</x:f>
        <x:v>4416.5</x:v>
      </x:c>
      <x:c r="J1462" s="22" t="n">
        <x:f>'参数'!$B$9</x:f>
        <x:v>300</x:v>
      </x:c>
      <x:c r="K1462" s="26" t="n">
        <x:f>J1462*(G1462-H1462)-I1462*ROUNDUP(J1462/F1462,0)</x:f>
        <x:v>-323524.46060700004</x:v>
      </x:c>
      <x:c r="L1462" s="10" t="str">
        <x:f>IF(G1462-H1462&lt;=0,"未回本",IF(ROUNDUP(I1462/(G1462-H1462),0)&gt;MIN(F1462,J1462),"未回本",MAX(1,ROUNDUP(I1462/(G1462-H1462),0))))</x:f>
        <x:v>未回本</x:v>
      </x:c>
    </x:row>
    <x:row r="1463" ht="22" customHeight="1">
      <x:c r="A1463" s="11" t="str">
        <x:v>lade_0827_10aoi</x:v>
      </x:c>
      <x:c r="B1463" s="10" t="n">
        <x:v>10</x:v>
      </x:c>
      <x:c r="C1463" s="10" t="n">
        <x:v>42</x:v>
      </x:c>
      <x:c r="D1463" s="10" t="str">
        <x:v>M2 / M4</x:v>
      </x:c>
      <x:c r="E1463" s="16" t="n">
        <x:v>3</x:v>
      </x:c>
      <x:c r="F1463" s="14" t="n">
        <x:v>10</x:v>
      </x:c>
      <x:c r="G1463" s="26" t="n">
        <x:f>'成本明细'!U225+'成本明细'!G225*(E1463-'参数'!$B$6)</x:f>
        <x:v>1339.098726087222</x:v>
      </x:c>
      <x:c r="H1463" s="26" t="n">
        <x:f>'成本明细'!U231</x:f>
        <x:v>2324.5040865555557</x:v>
      </x:c>
      <x:c r="I1463" s="26" t="n">
        <x:f>'成本明细'!V231</x:f>
        <x:v>4416.5</x:v>
      </x:c>
      <x:c r="J1463" s="22" t="n">
        <x:f>'参数'!$B$9</x:f>
        <x:v>300</x:v>
      </x:c>
      <x:c r="K1463" s="26" t="n">
        <x:f>J1463*(G1463-H1463)-I1463*ROUNDUP(J1463/F1463,0)</x:f>
        <x:v>-428116.6081405001</x:v>
      </x:c>
      <x:c r="L1463" s="10" t="str">
        <x:f>IF(G1463-H1463&lt;=0,"未回本",IF(ROUNDUP(I1463/(G1463-H1463),0)&gt;MIN(F1463,J1463),"未回本",MAX(1,ROUNDUP(I1463/(G1463-H1463),0))))</x:f>
        <x:v>未回本</x:v>
      </x:c>
    </x:row>
    <x:row r="1464" ht="22" customHeight="1">
      <x:c r="A1464" s="11" t="str">
        <x:v>lade_0827_10aoi</x:v>
      </x:c>
      <x:c r="B1464" s="10" t="n">
        <x:v>10</x:v>
      </x:c>
      <x:c r="C1464" s="10" t="n">
        <x:v>42</x:v>
      </x:c>
      <x:c r="D1464" s="10" t="str">
        <x:v>M1 / M3</x:v>
      </x:c>
      <x:c r="E1464" s="16" t="n">
        <x:v>3</x:v>
      </x:c>
      <x:c r="F1464" s="14" t="n">
        <x:v>20</x:v>
      </x:c>
      <x:c r="G1464" s="26" t="n">
        <x:f>'成本明细'!U222+'成本明细'!G222*(E1464-'参数'!$B$6)</x:f>
        <x:v>1687.0033778788888</x:v>
      </x:c>
      <x:c r="H1464" s="26" t="n">
        <x:f>'成本明细'!U228</x:f>
        <x:v>2323.768246568889</x:v>
      </x:c>
      <x:c r="I1464" s="26" t="n">
        <x:f>'成本明细'!V228</x:f>
        <x:v>4416.5</x:v>
      </x:c>
      <x:c r="J1464" s="22" t="n">
        <x:f>'参数'!$B$9</x:f>
        <x:v>300</x:v>
      </x:c>
      <x:c r="K1464" s="26" t="n">
        <x:f>J1464*(G1464-H1464)-I1464*ROUNDUP(J1464/F1464,0)</x:f>
        <x:v>-257276.96060700004</x:v>
      </x:c>
      <x:c r="L1464" s="10" t="str">
        <x:f>IF(G1464-H1464&lt;=0,"未回本",IF(ROUNDUP(I1464/(G1464-H1464),0)&gt;MIN(F1464,J1464),"未回本",MAX(1,ROUNDUP(I1464/(G1464-H1464),0))))</x:f>
        <x:v>未回本</x:v>
      </x:c>
    </x:row>
    <x:row r="1465" ht="22" customHeight="1">
      <x:c r="A1465" s="11" t="str">
        <x:v>lade_0827_10aoi</x:v>
      </x:c>
      <x:c r="B1465" s="10" t="n">
        <x:v>10</x:v>
      </x:c>
      <x:c r="C1465" s="10" t="n">
        <x:v>42</x:v>
      </x:c>
      <x:c r="D1465" s="10" t="str">
        <x:v>M2 / M4</x:v>
      </x:c>
      <x:c r="E1465" s="16" t="n">
        <x:v>3</x:v>
      </x:c>
      <x:c r="F1465" s="14" t="n">
        <x:v>20</x:v>
      </x:c>
      <x:c r="G1465" s="26" t="n">
        <x:f>'成本明细'!U225+'成本明细'!G225*(E1465-'参数'!$B$6)</x:f>
        <x:v>1339.098726087222</x:v>
      </x:c>
      <x:c r="H1465" s="26" t="n">
        <x:f>'成本明细'!U231</x:f>
        <x:v>2324.5040865555557</x:v>
      </x:c>
      <x:c r="I1465" s="26" t="n">
        <x:f>'成本明细'!V231</x:f>
        <x:v>4416.5</x:v>
      </x:c>
      <x:c r="J1465" s="22" t="n">
        <x:f>'参数'!$B$9</x:f>
        <x:v>300</x:v>
      </x:c>
      <x:c r="K1465" s="26" t="n">
        <x:f>J1465*(G1465-H1465)-I1465*ROUNDUP(J1465/F1465,0)</x:f>
        <x:v>-361869.1081405001</x:v>
      </x:c>
      <x:c r="L1465" s="10" t="str">
        <x:f>IF(G1465-H1465&lt;=0,"未回本",IF(ROUNDUP(I1465/(G1465-H1465),0)&gt;MIN(F1465,J1465),"未回本",MAX(1,ROUNDUP(I1465/(G1465-H1465),0))))</x:f>
        <x:v>未回本</x:v>
      </x:c>
    </x:row>
    <x:row r="1466" ht="22" customHeight="1">
      <x:c r="A1466" s="11" t="str">
        <x:v>lade_0827_10aoi</x:v>
      </x:c>
      <x:c r="B1466" s="10" t="n">
        <x:v>10</x:v>
      </x:c>
      <x:c r="C1466" s="10" t="n">
        <x:v>42</x:v>
      </x:c>
      <x:c r="D1466" s="10" t="str">
        <x:v>M1 / M3</x:v>
      </x:c>
      <x:c r="E1466" s="16" t="n">
        <x:v>3</x:v>
      </x:c>
      <x:c r="F1466" s="14" t="n">
        <x:v>30</x:v>
      </x:c>
      <x:c r="G1466" s="26" t="n">
        <x:f>'成本明细'!U222+'成本明细'!G222*(E1466-'参数'!$B$6)</x:f>
        <x:v>1687.0033778788888</x:v>
      </x:c>
      <x:c r="H1466" s="26" t="n">
        <x:f>'成本明细'!U228</x:f>
        <x:v>2323.768246568889</x:v>
      </x:c>
      <x:c r="I1466" s="26" t="n">
        <x:f>'成本明细'!V228</x:f>
        <x:v>4416.5</x:v>
      </x:c>
      <x:c r="J1466" s="22" t="n">
        <x:f>'参数'!$B$9</x:f>
        <x:v>300</x:v>
      </x:c>
      <x:c r="K1466" s="26" t="n">
        <x:f>J1466*(G1466-H1466)-I1466*ROUNDUP(J1466/F1466,0)</x:f>
        <x:v>-235194.46060700004</x:v>
      </x:c>
      <x:c r="L1466" s="10" t="str">
        <x:f>IF(G1466-H1466&lt;=0,"未回本",IF(ROUNDUP(I1466/(G1466-H1466),0)&gt;MIN(F1466,J1466),"未回本",MAX(1,ROUNDUP(I1466/(G1466-H1466),0))))</x:f>
        <x:v>未回本</x:v>
      </x:c>
    </x:row>
    <x:row r="1467" ht="22" customHeight="1">
      <x:c r="A1467" s="11" t="str">
        <x:v>lade_0827_10aoi</x:v>
      </x:c>
      <x:c r="B1467" s="10" t="n">
        <x:v>10</x:v>
      </x:c>
      <x:c r="C1467" s="10" t="n">
        <x:v>42</x:v>
      </x:c>
      <x:c r="D1467" s="10" t="str">
        <x:v>M2 / M4</x:v>
      </x:c>
      <x:c r="E1467" s="16" t="n">
        <x:v>3</x:v>
      </x:c>
      <x:c r="F1467" s="14" t="n">
        <x:v>30</x:v>
      </x:c>
      <x:c r="G1467" s="26" t="n">
        <x:f>'成本明细'!U225+'成本明细'!G225*(E1467-'参数'!$B$6)</x:f>
        <x:v>1339.098726087222</x:v>
      </x:c>
      <x:c r="H1467" s="26" t="n">
        <x:f>'成本明细'!U231</x:f>
        <x:v>2324.5040865555557</x:v>
      </x:c>
      <x:c r="I1467" s="26" t="n">
        <x:f>'成本明细'!V231</x:f>
        <x:v>4416.5</x:v>
      </x:c>
      <x:c r="J1467" s="22" t="n">
        <x:f>'参数'!$B$9</x:f>
        <x:v>300</x:v>
      </x:c>
      <x:c r="K1467" s="26" t="n">
        <x:f>J1467*(G1467-H1467)-I1467*ROUNDUP(J1467/F1467,0)</x:f>
        <x:v>-339786.6081405001</x:v>
      </x:c>
      <x:c r="L1467" s="10" t="str">
        <x:f>IF(G1467-H1467&lt;=0,"未回本",IF(ROUNDUP(I1467/(G1467-H1467),0)&gt;MIN(F1467,J1467),"未回本",MAX(1,ROUNDUP(I1467/(G1467-H1467),0))))</x:f>
        <x:v>未回本</x:v>
      </x:c>
    </x:row>
    <x:row r="1468" ht="22" customHeight="1">
      <x:c r="A1468" s="11" t="str">
        <x:v>lade_0827_10aoi</x:v>
      </x:c>
      <x:c r="B1468" s="10" t="n">
        <x:v>10</x:v>
      </x:c>
      <x:c r="C1468" s="10" t="n">
        <x:v>42</x:v>
      </x:c>
      <x:c r="D1468" s="10" t="str">
        <x:v>M1 / M3</x:v>
      </x:c>
      <x:c r="E1468" s="16" t="n">
        <x:v>3</x:v>
      </x:c>
      <x:c r="F1468" s="14" t="n">
        <x:v>50</x:v>
      </x:c>
      <x:c r="G1468" s="26" t="n">
        <x:f>'成本明细'!U222+'成本明细'!G222*(E1468-'参数'!$B$6)</x:f>
        <x:v>1687.0033778788888</x:v>
      </x:c>
      <x:c r="H1468" s="26" t="n">
        <x:f>'成本明细'!U228</x:f>
        <x:v>2323.768246568889</x:v>
      </x:c>
      <x:c r="I1468" s="26" t="n">
        <x:f>'成本明细'!V228</x:f>
        <x:v>4416.5</x:v>
      </x:c>
      <x:c r="J1468" s="22" t="n">
        <x:f>'参数'!$B$9</x:f>
        <x:v>300</x:v>
      </x:c>
      <x:c r="K1468" s="26" t="n">
        <x:f>J1468*(G1468-H1468)-I1468*ROUNDUP(J1468/F1468,0)</x:f>
        <x:v>-217528.46060700004</x:v>
      </x:c>
      <x:c r="L1468" s="10" t="str">
        <x:f>IF(G1468-H1468&lt;=0,"未回本",IF(ROUNDUP(I1468/(G1468-H1468),0)&gt;MIN(F1468,J1468),"未回本",MAX(1,ROUNDUP(I1468/(G1468-H1468),0))))</x:f>
        <x:v>未回本</x:v>
      </x:c>
    </x:row>
    <x:row r="1469" ht="22" customHeight="1">
      <x:c r="A1469" s="11" t="str">
        <x:v>lade_0827_10aoi</x:v>
      </x:c>
      <x:c r="B1469" s="10" t="n">
        <x:v>10</x:v>
      </x:c>
      <x:c r="C1469" s="10" t="n">
        <x:v>42</x:v>
      </x:c>
      <x:c r="D1469" s="10" t="str">
        <x:v>M2 / M4</x:v>
      </x:c>
      <x:c r="E1469" s="16" t="n">
        <x:v>3</x:v>
      </x:c>
      <x:c r="F1469" s="14" t="n">
        <x:v>50</x:v>
      </x:c>
      <x:c r="G1469" s="26" t="n">
        <x:f>'成本明细'!U225+'成本明细'!G225*(E1469-'参数'!$B$6)</x:f>
        <x:v>1339.098726087222</x:v>
      </x:c>
      <x:c r="H1469" s="26" t="n">
        <x:f>'成本明细'!U231</x:f>
        <x:v>2324.5040865555557</x:v>
      </x:c>
      <x:c r="I1469" s="26" t="n">
        <x:f>'成本明细'!V231</x:f>
        <x:v>4416.5</x:v>
      </x:c>
      <x:c r="J1469" s="22" t="n">
        <x:f>'参数'!$B$9</x:f>
        <x:v>300</x:v>
      </x:c>
      <x:c r="K1469" s="26" t="n">
        <x:f>J1469*(G1469-H1469)-I1469*ROUNDUP(J1469/F1469,0)</x:f>
        <x:v>-322120.6081405001</x:v>
      </x:c>
      <x:c r="L1469" s="10" t="str">
        <x:f>IF(G1469-H1469&lt;=0,"未回本",IF(ROUNDUP(I1469/(G1469-H1469),0)&gt;MIN(F1469,J1469),"未回本",MAX(1,ROUNDUP(I1469/(G1469-H1469),0))))</x:f>
        <x:v>未回本</x:v>
      </x:c>
    </x:row>
    <x:row r="1470" ht="22" customHeight="1">
      <x:c r="A1470" s="11" t="str">
        <x:v>lade_0827_10aoi</x:v>
      </x:c>
      <x:c r="B1470" s="10" t="n">
        <x:v>10</x:v>
      </x:c>
      <x:c r="C1470" s="10" t="n">
        <x:v>42</x:v>
      </x:c>
      <x:c r="D1470" s="10" t="str">
        <x:v>M1 / M3</x:v>
      </x:c>
      <x:c r="E1470" s="16" t="n">
        <x:v>4</x:v>
      </x:c>
      <x:c r="F1470" s="14" t="n">
        <x:v>10</x:v>
      </x:c>
      <x:c r="G1470" s="26" t="n">
        <x:f>'成本明细'!U222+'成本明细'!G222*(E1470-'参数'!$B$6)</x:f>
        <x:v>1808.0033778788888</x:v>
      </x:c>
      <x:c r="H1470" s="26" t="n">
        <x:f>'成本明细'!U228</x:f>
        <x:v>2323.768246568889</x:v>
      </x:c>
      <x:c r="I1470" s="26" t="n">
        <x:f>'成本明细'!V228</x:f>
        <x:v>4416.5</x:v>
      </x:c>
      <x:c r="J1470" s="22" t="n">
        <x:f>'参数'!$B$9</x:f>
        <x:v>300</x:v>
      </x:c>
      <x:c r="K1470" s="26" t="n">
        <x:f>J1470*(G1470-H1470)-I1470*ROUNDUP(J1470/F1470,0)</x:f>
        <x:v>-287224.46060700004</x:v>
      </x:c>
      <x:c r="L1470" s="10" t="str">
        <x:f>IF(G1470-H1470&lt;=0,"未回本",IF(ROUNDUP(I1470/(G1470-H1470),0)&gt;MIN(F1470,J1470),"未回本",MAX(1,ROUNDUP(I1470/(G1470-H1470),0))))</x:f>
        <x:v>未回本</x:v>
      </x:c>
    </x:row>
    <x:row r="1471" ht="22" customHeight="1">
      <x:c r="A1471" s="11" t="str">
        <x:v>lade_0827_10aoi</x:v>
      </x:c>
      <x:c r="B1471" s="10" t="n">
        <x:v>10</x:v>
      </x:c>
      <x:c r="C1471" s="10" t="n">
        <x:v>42</x:v>
      </x:c>
      <x:c r="D1471" s="10" t="str">
        <x:v>M2 / M4</x:v>
      </x:c>
      <x:c r="E1471" s="16" t="n">
        <x:v>4</x:v>
      </x:c>
      <x:c r="F1471" s="14" t="n">
        <x:v>10</x:v>
      </x:c>
      <x:c r="G1471" s="26" t="n">
        <x:f>'成本明细'!U225+'成本明细'!G225*(E1471-'参数'!$B$6)</x:f>
        <x:v>1460.098726087222</x:v>
      </x:c>
      <x:c r="H1471" s="26" t="n">
        <x:f>'成本明细'!U231</x:f>
        <x:v>2324.5040865555557</x:v>
      </x:c>
      <x:c r="I1471" s="26" t="n">
        <x:f>'成本明细'!V231</x:f>
        <x:v>4416.5</x:v>
      </x:c>
      <x:c r="J1471" s="22" t="n">
        <x:f>'参数'!$B$9</x:f>
        <x:v>300</x:v>
      </x:c>
      <x:c r="K1471" s="26" t="n">
        <x:f>J1471*(G1471-H1471)-I1471*ROUNDUP(J1471/F1471,0)</x:f>
        <x:v>-391816.6081405001</x:v>
      </x:c>
      <x:c r="L1471" s="10" t="str">
        <x:f>IF(G1471-H1471&lt;=0,"未回本",IF(ROUNDUP(I1471/(G1471-H1471),0)&gt;MIN(F1471,J1471),"未回本",MAX(1,ROUNDUP(I1471/(G1471-H1471),0))))</x:f>
        <x:v>未回本</x:v>
      </x:c>
    </x:row>
    <x:row r="1472" ht="22" customHeight="1">
      <x:c r="A1472" s="11" t="str">
        <x:v>lade_0827_10aoi</x:v>
      </x:c>
      <x:c r="B1472" s="10" t="n">
        <x:v>10</x:v>
      </x:c>
      <x:c r="C1472" s="10" t="n">
        <x:v>42</x:v>
      </x:c>
      <x:c r="D1472" s="10" t="str">
        <x:v>M1 / M3</x:v>
      </x:c>
      <x:c r="E1472" s="16" t="n">
        <x:v>4</x:v>
      </x:c>
      <x:c r="F1472" s="14" t="n">
        <x:v>20</x:v>
      </x:c>
      <x:c r="G1472" s="26" t="n">
        <x:f>'成本明细'!U222+'成本明细'!G222*(E1472-'参数'!$B$6)</x:f>
        <x:v>1808.0033778788888</x:v>
      </x:c>
      <x:c r="H1472" s="26" t="n">
        <x:f>'成本明细'!U228</x:f>
        <x:v>2323.768246568889</x:v>
      </x:c>
      <x:c r="I1472" s="26" t="n">
        <x:f>'成本明细'!V228</x:f>
        <x:v>4416.5</x:v>
      </x:c>
      <x:c r="J1472" s="22" t="n">
        <x:f>'参数'!$B$9</x:f>
        <x:v>300</x:v>
      </x:c>
      <x:c r="K1472" s="26" t="n">
        <x:f>J1472*(G1472-H1472)-I1472*ROUNDUP(J1472/F1472,0)</x:f>
        <x:v>-220976.96060700004</x:v>
      </x:c>
      <x:c r="L1472" s="10" t="str">
        <x:f>IF(G1472-H1472&lt;=0,"未回本",IF(ROUNDUP(I1472/(G1472-H1472),0)&gt;MIN(F1472,J1472),"未回本",MAX(1,ROUNDUP(I1472/(G1472-H1472),0))))</x:f>
        <x:v>未回本</x:v>
      </x:c>
    </x:row>
    <x:row r="1473" ht="22" customHeight="1">
      <x:c r="A1473" s="11" t="str">
        <x:v>lade_0827_10aoi</x:v>
      </x:c>
      <x:c r="B1473" s="10" t="n">
        <x:v>10</x:v>
      </x:c>
      <x:c r="C1473" s="10" t="n">
        <x:v>42</x:v>
      </x:c>
      <x:c r="D1473" s="10" t="str">
        <x:v>M2 / M4</x:v>
      </x:c>
      <x:c r="E1473" s="16" t="n">
        <x:v>4</x:v>
      </x:c>
      <x:c r="F1473" s="14" t="n">
        <x:v>20</x:v>
      </x:c>
      <x:c r="G1473" s="26" t="n">
        <x:f>'成本明细'!U225+'成本明细'!G225*(E1473-'参数'!$B$6)</x:f>
        <x:v>1460.098726087222</x:v>
      </x:c>
      <x:c r="H1473" s="26" t="n">
        <x:f>'成本明细'!U231</x:f>
        <x:v>2324.5040865555557</x:v>
      </x:c>
      <x:c r="I1473" s="26" t="n">
        <x:f>'成本明细'!V231</x:f>
        <x:v>4416.5</x:v>
      </x:c>
      <x:c r="J1473" s="22" t="n">
        <x:f>'参数'!$B$9</x:f>
        <x:v>300</x:v>
      </x:c>
      <x:c r="K1473" s="26" t="n">
        <x:f>J1473*(G1473-H1473)-I1473*ROUNDUP(J1473/F1473,0)</x:f>
        <x:v>-325569.1081405001</x:v>
      </x:c>
      <x:c r="L1473" s="10" t="str">
        <x:f>IF(G1473-H1473&lt;=0,"未回本",IF(ROUNDUP(I1473/(G1473-H1473),0)&gt;MIN(F1473,J1473),"未回本",MAX(1,ROUNDUP(I1473/(G1473-H1473),0))))</x:f>
        <x:v>未回本</x:v>
      </x:c>
    </x:row>
    <x:row r="1474" ht="22" customHeight="1">
      <x:c r="A1474" s="11" t="str">
        <x:v>lade_0827_10aoi</x:v>
      </x:c>
      <x:c r="B1474" s="10" t="n">
        <x:v>10</x:v>
      </x:c>
      <x:c r="C1474" s="10" t="n">
        <x:v>42</x:v>
      </x:c>
      <x:c r="D1474" s="10" t="str">
        <x:v>M1 / M3</x:v>
      </x:c>
      <x:c r="E1474" s="16" t="n">
        <x:v>4</x:v>
      </x:c>
      <x:c r="F1474" s="14" t="n">
        <x:v>30</x:v>
      </x:c>
      <x:c r="G1474" s="26" t="n">
        <x:f>'成本明细'!U222+'成本明细'!G222*(E1474-'参数'!$B$6)</x:f>
        <x:v>1808.0033778788888</x:v>
      </x:c>
      <x:c r="H1474" s="26" t="n">
        <x:f>'成本明细'!U228</x:f>
        <x:v>2323.768246568889</x:v>
      </x:c>
      <x:c r="I1474" s="26" t="n">
        <x:f>'成本明细'!V228</x:f>
        <x:v>4416.5</x:v>
      </x:c>
      <x:c r="J1474" s="22" t="n">
        <x:f>'参数'!$B$9</x:f>
        <x:v>300</x:v>
      </x:c>
      <x:c r="K1474" s="26" t="n">
        <x:f>J1474*(G1474-H1474)-I1474*ROUNDUP(J1474/F1474,0)</x:f>
        <x:v>-198894.46060700004</x:v>
      </x:c>
      <x:c r="L1474" s="10" t="str">
        <x:f>IF(G1474-H1474&lt;=0,"未回本",IF(ROUNDUP(I1474/(G1474-H1474),0)&gt;MIN(F1474,J1474),"未回本",MAX(1,ROUNDUP(I1474/(G1474-H1474),0))))</x:f>
        <x:v>未回本</x:v>
      </x:c>
    </x:row>
    <x:row r="1475" ht="22" customHeight="1">
      <x:c r="A1475" s="11" t="str">
        <x:v>lade_0827_10aoi</x:v>
      </x:c>
      <x:c r="B1475" s="10" t="n">
        <x:v>10</x:v>
      </x:c>
      <x:c r="C1475" s="10" t="n">
        <x:v>42</x:v>
      </x:c>
      <x:c r="D1475" s="10" t="str">
        <x:v>M2 / M4</x:v>
      </x:c>
      <x:c r="E1475" s="16" t="n">
        <x:v>4</x:v>
      </x:c>
      <x:c r="F1475" s="14" t="n">
        <x:v>30</x:v>
      </x:c>
      <x:c r="G1475" s="26" t="n">
        <x:f>'成本明细'!U225+'成本明细'!G225*(E1475-'参数'!$B$6)</x:f>
        <x:v>1460.098726087222</x:v>
      </x:c>
      <x:c r="H1475" s="26" t="n">
        <x:f>'成本明细'!U231</x:f>
        <x:v>2324.5040865555557</x:v>
      </x:c>
      <x:c r="I1475" s="26" t="n">
        <x:f>'成本明细'!V231</x:f>
        <x:v>4416.5</x:v>
      </x:c>
      <x:c r="J1475" s="22" t="n">
        <x:f>'参数'!$B$9</x:f>
        <x:v>300</x:v>
      </x:c>
      <x:c r="K1475" s="26" t="n">
        <x:f>J1475*(G1475-H1475)-I1475*ROUNDUP(J1475/F1475,0)</x:f>
        <x:v>-303486.6081405001</x:v>
      </x:c>
      <x:c r="L1475" s="10" t="str">
        <x:f>IF(G1475-H1475&lt;=0,"未回本",IF(ROUNDUP(I1475/(G1475-H1475),0)&gt;MIN(F1475,J1475),"未回本",MAX(1,ROUNDUP(I1475/(G1475-H1475),0))))</x:f>
        <x:v>未回本</x:v>
      </x:c>
    </x:row>
    <x:row r="1476" ht="22" customHeight="1">
      <x:c r="A1476" s="11" t="str">
        <x:v>lade_0827_10aoi</x:v>
      </x:c>
      <x:c r="B1476" s="10" t="n">
        <x:v>10</x:v>
      </x:c>
      <x:c r="C1476" s="10" t="n">
        <x:v>42</x:v>
      </x:c>
      <x:c r="D1476" s="10" t="str">
        <x:v>M1 / M3</x:v>
      </x:c>
      <x:c r="E1476" s="16" t="n">
        <x:v>4</x:v>
      </x:c>
      <x:c r="F1476" s="14" t="n">
        <x:v>50</x:v>
      </x:c>
      <x:c r="G1476" s="26" t="n">
        <x:f>'成本明细'!U222+'成本明细'!G222*(E1476-'参数'!$B$6)</x:f>
        <x:v>1808.0033778788888</x:v>
      </x:c>
      <x:c r="H1476" s="26" t="n">
        <x:f>'成本明细'!U228</x:f>
        <x:v>2323.768246568889</x:v>
      </x:c>
      <x:c r="I1476" s="26" t="n">
        <x:f>'成本明细'!V228</x:f>
        <x:v>4416.5</x:v>
      </x:c>
      <x:c r="J1476" s="22" t="n">
        <x:f>'参数'!$B$9</x:f>
        <x:v>300</x:v>
      </x:c>
      <x:c r="K1476" s="26" t="n">
        <x:f>J1476*(G1476-H1476)-I1476*ROUNDUP(J1476/F1476,0)</x:f>
        <x:v>-181228.46060700004</x:v>
      </x:c>
      <x:c r="L1476" s="10" t="str">
        <x:f>IF(G1476-H1476&lt;=0,"未回本",IF(ROUNDUP(I1476/(G1476-H1476),0)&gt;MIN(F1476,J1476),"未回本",MAX(1,ROUNDUP(I1476/(G1476-H1476),0))))</x:f>
        <x:v>未回本</x:v>
      </x:c>
    </x:row>
    <x:row r="1477" ht="22" customHeight="1">
      <x:c r="A1477" s="11" t="str">
        <x:v>lade_0827_10aoi</x:v>
      </x:c>
      <x:c r="B1477" s="10" t="n">
        <x:v>10</x:v>
      </x:c>
      <x:c r="C1477" s="10" t="n">
        <x:v>42</x:v>
      </x:c>
      <x:c r="D1477" s="10" t="str">
        <x:v>M2 / M4</x:v>
      </x:c>
      <x:c r="E1477" s="16" t="n">
        <x:v>4</x:v>
      </x:c>
      <x:c r="F1477" s="14" t="n">
        <x:v>50</x:v>
      </x:c>
      <x:c r="G1477" s="26" t="n">
        <x:f>'成本明细'!U225+'成本明细'!G225*(E1477-'参数'!$B$6)</x:f>
        <x:v>1460.098726087222</x:v>
      </x:c>
      <x:c r="H1477" s="26" t="n">
        <x:f>'成本明细'!U231</x:f>
        <x:v>2324.5040865555557</x:v>
      </x:c>
      <x:c r="I1477" s="26" t="n">
        <x:f>'成本明细'!V231</x:f>
        <x:v>4416.5</x:v>
      </x:c>
      <x:c r="J1477" s="22" t="n">
        <x:f>'参数'!$B$9</x:f>
        <x:v>300</x:v>
      </x:c>
      <x:c r="K1477" s="26" t="n">
        <x:f>J1477*(G1477-H1477)-I1477*ROUNDUP(J1477/F1477,0)</x:f>
        <x:v>-285820.6081405001</x:v>
      </x:c>
      <x:c r="L1477" s="10" t="str">
        <x:f>IF(G1477-H1477&lt;=0,"未回本",IF(ROUNDUP(I1477/(G1477-H1477),0)&gt;MIN(F1477,J1477),"未回本",MAX(1,ROUNDUP(I1477/(G1477-H1477),0))))</x:f>
        <x:v>未回本</x:v>
      </x:c>
    </x:row>
    <x:row r="1478" ht="22" customHeight="1">
      <x:c r="A1478" s="11" t="str">
        <x:v>lade_0827_10aoi</x:v>
      </x:c>
      <x:c r="B1478" s="10" t="n">
        <x:v>10</x:v>
      </x:c>
      <x:c r="C1478" s="10" t="n">
        <x:v>42</x:v>
      </x:c>
      <x:c r="D1478" s="10" t="str">
        <x:v>M1 / M3</x:v>
      </x:c>
      <x:c r="E1478" s="16" t="n">
        <x:v>5</x:v>
      </x:c>
      <x:c r="F1478" s="14" t="n">
        <x:v>10</x:v>
      </x:c>
      <x:c r="G1478" s="26" t="n">
        <x:f>'成本明细'!U222+'成本明细'!G222*(E1478-'参数'!$B$6)</x:f>
        <x:v>1929.0033778788888</x:v>
      </x:c>
      <x:c r="H1478" s="26" t="n">
        <x:f>'成本明细'!U228</x:f>
        <x:v>2323.768246568889</x:v>
      </x:c>
      <x:c r="I1478" s="26" t="n">
        <x:f>'成本明细'!V228</x:f>
        <x:v>4416.5</x:v>
      </x:c>
      <x:c r="J1478" s="22" t="n">
        <x:f>'参数'!$B$9</x:f>
        <x:v>300</x:v>
      </x:c>
      <x:c r="K1478" s="26" t="n">
        <x:f>J1478*(G1478-H1478)-I1478*ROUNDUP(J1478/F1478,0)</x:f>
        <x:v>-250924.46060700004</x:v>
      </x:c>
      <x:c r="L1478" s="10" t="str">
        <x:f>IF(G1478-H1478&lt;=0,"未回本",IF(ROUNDUP(I1478/(G1478-H1478),0)&gt;MIN(F1478,J1478),"未回本",MAX(1,ROUNDUP(I1478/(G1478-H1478),0))))</x:f>
        <x:v>未回本</x:v>
      </x:c>
    </x:row>
    <x:row r="1479" ht="22" customHeight="1">
      <x:c r="A1479" s="11" t="str">
        <x:v>lade_0827_10aoi</x:v>
      </x:c>
      <x:c r="B1479" s="10" t="n">
        <x:v>10</x:v>
      </x:c>
      <x:c r="C1479" s="10" t="n">
        <x:v>42</x:v>
      </x:c>
      <x:c r="D1479" s="10" t="str">
        <x:v>M2 / M4</x:v>
      </x:c>
      <x:c r="E1479" s="16" t="n">
        <x:v>5</x:v>
      </x:c>
      <x:c r="F1479" s="14" t="n">
        <x:v>10</x:v>
      </x:c>
      <x:c r="G1479" s="26" t="n">
        <x:f>'成本明细'!U225+'成本明细'!G225*(E1479-'参数'!$B$6)</x:f>
        <x:v>1581.098726087222</x:v>
      </x:c>
      <x:c r="H1479" s="26" t="n">
        <x:f>'成本明细'!U231</x:f>
        <x:v>2324.5040865555557</x:v>
      </x:c>
      <x:c r="I1479" s="26" t="n">
        <x:f>'成本明细'!V231</x:f>
        <x:v>4416.5</x:v>
      </x:c>
      <x:c r="J1479" s="22" t="n">
        <x:f>'参数'!$B$9</x:f>
        <x:v>300</x:v>
      </x:c>
      <x:c r="K1479" s="26" t="n">
        <x:f>J1479*(G1479-H1479)-I1479*ROUNDUP(J1479/F1479,0)</x:f>
        <x:v>-355516.6081405001</x:v>
      </x:c>
      <x:c r="L1479" s="10" t="str">
        <x:f>IF(G1479-H1479&lt;=0,"未回本",IF(ROUNDUP(I1479/(G1479-H1479),0)&gt;MIN(F1479,J1479),"未回本",MAX(1,ROUNDUP(I1479/(G1479-H1479),0))))</x:f>
        <x:v>未回本</x:v>
      </x:c>
    </x:row>
    <x:row r="1480" ht="22" customHeight="1">
      <x:c r="A1480" s="11" t="str">
        <x:v>lade_0827_10aoi</x:v>
      </x:c>
      <x:c r="B1480" s="10" t="n">
        <x:v>10</x:v>
      </x:c>
      <x:c r="C1480" s="10" t="n">
        <x:v>42</x:v>
      </x:c>
      <x:c r="D1480" s="10" t="str">
        <x:v>M1 / M3</x:v>
      </x:c>
      <x:c r="E1480" s="16" t="n">
        <x:v>5</x:v>
      </x:c>
      <x:c r="F1480" s="14" t="n">
        <x:v>20</x:v>
      </x:c>
      <x:c r="G1480" s="26" t="n">
        <x:f>'成本明细'!U222+'成本明细'!G222*(E1480-'参数'!$B$6)</x:f>
        <x:v>1929.0033778788888</x:v>
      </x:c>
      <x:c r="H1480" s="26" t="n">
        <x:f>'成本明细'!U228</x:f>
        <x:v>2323.768246568889</x:v>
      </x:c>
      <x:c r="I1480" s="26" t="n">
        <x:f>'成本明细'!V228</x:f>
        <x:v>4416.5</x:v>
      </x:c>
      <x:c r="J1480" s="22" t="n">
        <x:f>'参数'!$B$9</x:f>
        <x:v>300</x:v>
      </x:c>
      <x:c r="K1480" s="26" t="n">
        <x:f>J1480*(G1480-H1480)-I1480*ROUNDUP(J1480/F1480,0)</x:f>
        <x:v>-184676.96060700004</x:v>
      </x:c>
      <x:c r="L1480" s="10" t="str">
        <x:f>IF(G1480-H1480&lt;=0,"未回本",IF(ROUNDUP(I1480/(G1480-H1480),0)&gt;MIN(F1480,J1480),"未回本",MAX(1,ROUNDUP(I1480/(G1480-H1480),0))))</x:f>
        <x:v>未回本</x:v>
      </x:c>
    </x:row>
    <x:row r="1481" ht="22" customHeight="1">
      <x:c r="A1481" s="11" t="str">
        <x:v>lade_0827_10aoi</x:v>
      </x:c>
      <x:c r="B1481" s="10" t="n">
        <x:v>10</x:v>
      </x:c>
      <x:c r="C1481" s="10" t="n">
        <x:v>42</x:v>
      </x:c>
      <x:c r="D1481" s="10" t="str">
        <x:v>M2 / M4</x:v>
      </x:c>
      <x:c r="E1481" s="16" t="n">
        <x:v>5</x:v>
      </x:c>
      <x:c r="F1481" s="14" t="n">
        <x:v>20</x:v>
      </x:c>
      <x:c r="G1481" s="26" t="n">
        <x:f>'成本明细'!U225+'成本明细'!G225*(E1481-'参数'!$B$6)</x:f>
        <x:v>1581.098726087222</x:v>
      </x:c>
      <x:c r="H1481" s="26" t="n">
        <x:f>'成本明细'!U231</x:f>
        <x:v>2324.5040865555557</x:v>
      </x:c>
      <x:c r="I1481" s="26" t="n">
        <x:f>'成本明细'!V231</x:f>
        <x:v>4416.5</x:v>
      </x:c>
      <x:c r="J1481" s="22" t="n">
        <x:f>'参数'!$B$9</x:f>
        <x:v>300</x:v>
      </x:c>
      <x:c r="K1481" s="26" t="n">
        <x:f>J1481*(G1481-H1481)-I1481*ROUNDUP(J1481/F1481,0)</x:f>
        <x:v>-289269.1081405001</x:v>
      </x:c>
      <x:c r="L1481" s="10" t="str">
        <x:f>IF(G1481-H1481&lt;=0,"未回本",IF(ROUNDUP(I1481/(G1481-H1481),0)&gt;MIN(F1481,J1481),"未回本",MAX(1,ROUNDUP(I1481/(G1481-H1481),0))))</x:f>
        <x:v>未回本</x:v>
      </x:c>
    </x:row>
    <x:row r="1482" ht="22" customHeight="1">
      <x:c r="A1482" s="11" t="str">
        <x:v>lade_0827_10aoi</x:v>
      </x:c>
      <x:c r="B1482" s="10" t="n">
        <x:v>10</x:v>
      </x:c>
      <x:c r="C1482" s="10" t="n">
        <x:v>42</x:v>
      </x:c>
      <x:c r="D1482" s="10" t="str">
        <x:v>M1 / M3</x:v>
      </x:c>
      <x:c r="E1482" s="16" t="n">
        <x:v>5</x:v>
      </x:c>
      <x:c r="F1482" s="14" t="n">
        <x:v>30</x:v>
      </x:c>
      <x:c r="G1482" s="26" t="n">
        <x:f>'成本明细'!U222+'成本明细'!G222*(E1482-'参数'!$B$6)</x:f>
        <x:v>1929.0033778788888</x:v>
      </x:c>
      <x:c r="H1482" s="26" t="n">
        <x:f>'成本明细'!U228</x:f>
        <x:v>2323.768246568889</x:v>
      </x:c>
      <x:c r="I1482" s="26" t="n">
        <x:f>'成本明细'!V228</x:f>
        <x:v>4416.5</x:v>
      </x:c>
      <x:c r="J1482" s="22" t="n">
        <x:f>'参数'!$B$9</x:f>
        <x:v>300</x:v>
      </x:c>
      <x:c r="K1482" s="26" t="n">
        <x:f>J1482*(G1482-H1482)-I1482*ROUNDUP(J1482/F1482,0)</x:f>
        <x:v>-162594.46060700004</x:v>
      </x:c>
      <x:c r="L1482" s="10" t="str">
        <x:f>IF(G1482-H1482&lt;=0,"未回本",IF(ROUNDUP(I1482/(G1482-H1482),0)&gt;MIN(F1482,J1482),"未回本",MAX(1,ROUNDUP(I1482/(G1482-H1482),0))))</x:f>
        <x:v>未回本</x:v>
      </x:c>
    </x:row>
    <x:row r="1483" ht="22" customHeight="1">
      <x:c r="A1483" s="11" t="str">
        <x:v>lade_0827_10aoi</x:v>
      </x:c>
      <x:c r="B1483" s="10" t="n">
        <x:v>10</x:v>
      </x:c>
      <x:c r="C1483" s="10" t="n">
        <x:v>42</x:v>
      </x:c>
      <x:c r="D1483" s="10" t="str">
        <x:v>M2 / M4</x:v>
      </x:c>
      <x:c r="E1483" s="16" t="n">
        <x:v>5</x:v>
      </x:c>
      <x:c r="F1483" s="14" t="n">
        <x:v>30</x:v>
      </x:c>
      <x:c r="G1483" s="26" t="n">
        <x:f>'成本明细'!U225+'成本明细'!G225*(E1483-'参数'!$B$6)</x:f>
        <x:v>1581.098726087222</x:v>
      </x:c>
      <x:c r="H1483" s="26" t="n">
        <x:f>'成本明细'!U231</x:f>
        <x:v>2324.5040865555557</x:v>
      </x:c>
      <x:c r="I1483" s="26" t="n">
        <x:f>'成本明细'!V231</x:f>
        <x:v>4416.5</x:v>
      </x:c>
      <x:c r="J1483" s="22" t="n">
        <x:f>'参数'!$B$9</x:f>
        <x:v>300</x:v>
      </x:c>
      <x:c r="K1483" s="26" t="n">
        <x:f>J1483*(G1483-H1483)-I1483*ROUNDUP(J1483/F1483,0)</x:f>
        <x:v>-267186.6081405001</x:v>
      </x:c>
      <x:c r="L1483" s="10" t="str">
        <x:f>IF(G1483-H1483&lt;=0,"未回本",IF(ROUNDUP(I1483/(G1483-H1483),0)&gt;MIN(F1483,J1483),"未回本",MAX(1,ROUNDUP(I1483/(G1483-H1483),0))))</x:f>
        <x:v>未回本</x:v>
      </x:c>
    </x:row>
    <x:row r="1484" ht="22" customHeight="1">
      <x:c r="A1484" s="11" t="str">
        <x:v>lade_0827_10aoi</x:v>
      </x:c>
      <x:c r="B1484" s="10" t="n">
        <x:v>10</x:v>
      </x:c>
      <x:c r="C1484" s="10" t="n">
        <x:v>42</x:v>
      </x:c>
      <x:c r="D1484" s="10" t="str">
        <x:v>M1 / M3</x:v>
      </x:c>
      <x:c r="E1484" s="16" t="n">
        <x:v>5</x:v>
      </x:c>
      <x:c r="F1484" s="14" t="n">
        <x:v>50</x:v>
      </x:c>
      <x:c r="G1484" s="26" t="n">
        <x:f>'成本明细'!U222+'成本明细'!G222*(E1484-'参数'!$B$6)</x:f>
        <x:v>1929.0033778788888</x:v>
      </x:c>
      <x:c r="H1484" s="26" t="n">
        <x:f>'成本明细'!U228</x:f>
        <x:v>2323.768246568889</x:v>
      </x:c>
      <x:c r="I1484" s="26" t="n">
        <x:f>'成本明细'!V228</x:f>
        <x:v>4416.5</x:v>
      </x:c>
      <x:c r="J1484" s="22" t="n">
        <x:f>'参数'!$B$9</x:f>
        <x:v>300</x:v>
      </x:c>
      <x:c r="K1484" s="26" t="n">
        <x:f>J1484*(G1484-H1484)-I1484*ROUNDUP(J1484/F1484,0)</x:f>
        <x:v>-144928.46060700004</x:v>
      </x:c>
      <x:c r="L1484" s="10" t="str">
        <x:f>IF(G1484-H1484&lt;=0,"未回本",IF(ROUNDUP(I1484/(G1484-H1484),0)&gt;MIN(F1484,J1484),"未回本",MAX(1,ROUNDUP(I1484/(G1484-H1484),0))))</x:f>
        <x:v>未回本</x:v>
      </x:c>
    </x:row>
    <x:row r="1485" ht="22" customHeight="1">
      <x:c r="A1485" s="11" t="str">
        <x:v>lade_0827_10aoi</x:v>
      </x:c>
      <x:c r="B1485" s="10" t="n">
        <x:v>10</x:v>
      </x:c>
      <x:c r="C1485" s="10" t="n">
        <x:v>42</x:v>
      </x:c>
      <x:c r="D1485" s="10" t="str">
        <x:v>M2 / M4</x:v>
      </x:c>
      <x:c r="E1485" s="16" t="n">
        <x:v>5</x:v>
      </x:c>
      <x:c r="F1485" s="14" t="n">
        <x:v>50</x:v>
      </x:c>
      <x:c r="G1485" s="26" t="n">
        <x:f>'成本明细'!U225+'成本明细'!G225*(E1485-'参数'!$B$6)</x:f>
        <x:v>1581.098726087222</x:v>
      </x:c>
      <x:c r="H1485" s="26" t="n">
        <x:f>'成本明细'!U231</x:f>
        <x:v>2324.5040865555557</x:v>
      </x:c>
      <x:c r="I1485" s="26" t="n">
        <x:f>'成本明细'!V231</x:f>
        <x:v>4416.5</x:v>
      </x:c>
      <x:c r="J1485" s="22" t="n">
        <x:f>'参数'!$B$9</x:f>
        <x:v>300</x:v>
      </x:c>
      <x:c r="K1485" s="26" t="n">
        <x:f>J1485*(G1485-H1485)-I1485*ROUNDUP(J1485/F1485,0)</x:f>
        <x:v>-249520.6081405001</x:v>
      </x:c>
      <x:c r="L1485" s="10" t="str">
        <x:f>IF(G1485-H1485&lt;=0,"未回本",IF(ROUNDUP(I1485/(G1485-H1485),0)&gt;MIN(F1485,J1485),"未回本",MAX(1,ROUNDUP(I1485/(G1485-H1485),0))))</x:f>
        <x:v>未回本</x:v>
      </x:c>
    </x:row>
    <x:row r="1486" ht="22" customHeight="1">
      <x:c r="A1486" s="11" t="str">
        <x:v>lade_0827_10aoi</x:v>
      </x:c>
      <x:c r="B1486" s="10" t="n">
        <x:v>10</x:v>
      </x:c>
      <x:c r="C1486" s="10" t="n">
        <x:v>43</x:v>
      </x:c>
      <x:c r="D1486" s="10" t="str">
        <x:v>M1 / M3</x:v>
      </x:c>
      <x:c r="E1486" s="16" t="n">
        <x:v>1</x:v>
      </x:c>
      <x:c r="F1486" s="14" t="n">
        <x:v>10</x:v>
      </x:c>
      <x:c r="G1486" s="26" t="n">
        <x:f>'成本明细'!U223+'成本明细'!G223*(E1486-'参数'!$B$6)</x:f>
        <x:v>1445.0033778788888</x:v>
      </x:c>
      <x:c r="H1486" s="26" t="n">
        <x:f>'成本明细'!U229</x:f>
        <x:v>2323.768246568889</x:v>
      </x:c>
      <x:c r="I1486" s="26" t="n">
        <x:f>'成本明细'!V229</x:f>
        <x:v>4416.5</x:v>
      </x:c>
      <x:c r="J1486" s="22" t="n">
        <x:f>'参数'!$B$9</x:f>
        <x:v>300</x:v>
      </x:c>
      <x:c r="K1486" s="26" t="n">
        <x:f>J1486*(G1486-H1486)-I1486*ROUNDUP(J1486/F1486,0)</x:f>
        <x:v>-396124.46060700004</x:v>
      </x:c>
      <x:c r="L1486" s="10" t="str">
        <x:f>IF(G1486-H1486&lt;=0,"未回本",IF(ROUNDUP(I1486/(G1486-H1486),0)&gt;MIN(F1486,J1486),"未回本",MAX(1,ROUNDUP(I1486/(G1486-H1486),0))))</x:f>
        <x:v>未回本</x:v>
      </x:c>
    </x:row>
    <x:row r="1487" ht="22" customHeight="1">
      <x:c r="A1487" s="11" t="str">
        <x:v>lade_0827_10aoi</x:v>
      </x:c>
      <x:c r="B1487" s="10" t="n">
        <x:v>10</x:v>
      </x:c>
      <x:c r="C1487" s="10" t="n">
        <x:v>43</x:v>
      </x:c>
      <x:c r="D1487" s="10" t="str">
        <x:v>M2 / M4</x:v>
      </x:c>
      <x:c r="E1487" s="16" t="n">
        <x:v>1</x:v>
      </x:c>
      <x:c r="F1487" s="14" t="n">
        <x:v>10</x:v>
      </x:c>
      <x:c r="G1487" s="26" t="n">
        <x:f>'成本明细'!U226+'成本明细'!G226*(E1487-'参数'!$B$6)</x:f>
        <x:v>1014.2700316961113</x:v>
      </x:c>
      <x:c r="H1487" s="26" t="n">
        <x:f>'成本明细'!U232</x:f>
        <x:v>2321.9794290155555</x:v>
      </x:c>
      <x:c r="I1487" s="26" t="n">
        <x:f>'成本明细'!V232</x:f>
        <x:v>4416.5</x:v>
      </x:c>
      <x:c r="J1487" s="22" t="n">
        <x:f>'参数'!$B$9</x:f>
        <x:v>300</x:v>
      </x:c>
      <x:c r="K1487" s="26" t="n">
        <x:f>J1487*(G1487-H1487)-I1487*ROUNDUP(J1487/F1487,0)</x:f>
        <x:v>-524807.8191958333</x:v>
      </x:c>
      <x:c r="L1487" s="10" t="str">
        <x:f>IF(G1487-H1487&lt;=0,"未回本",IF(ROUNDUP(I1487/(G1487-H1487),0)&gt;MIN(F1487,J1487),"未回本",MAX(1,ROUNDUP(I1487/(G1487-H1487),0))))</x:f>
        <x:v>未回本</x:v>
      </x:c>
    </x:row>
    <x:row r="1488" ht="22" customHeight="1">
      <x:c r="A1488" s="11" t="str">
        <x:v>lade_0827_10aoi</x:v>
      </x:c>
      <x:c r="B1488" s="10" t="n">
        <x:v>10</x:v>
      </x:c>
      <x:c r="C1488" s="10" t="n">
        <x:v>43</x:v>
      </x:c>
      <x:c r="D1488" s="10" t="str">
        <x:v>M1 / M3</x:v>
      </x:c>
      <x:c r="E1488" s="16" t="n">
        <x:v>1</x:v>
      </x:c>
      <x:c r="F1488" s="14" t="n">
        <x:v>20</x:v>
      </x:c>
      <x:c r="G1488" s="26" t="n">
        <x:f>'成本明细'!U223+'成本明细'!G223*(E1488-'参数'!$B$6)</x:f>
        <x:v>1445.0033778788888</x:v>
      </x:c>
      <x:c r="H1488" s="26" t="n">
        <x:f>'成本明细'!U229</x:f>
        <x:v>2323.768246568889</x:v>
      </x:c>
      <x:c r="I1488" s="26" t="n">
        <x:f>'成本明细'!V229</x:f>
        <x:v>4416.5</x:v>
      </x:c>
      <x:c r="J1488" s="22" t="n">
        <x:f>'参数'!$B$9</x:f>
        <x:v>300</x:v>
      </x:c>
      <x:c r="K1488" s="26" t="n">
        <x:f>J1488*(G1488-H1488)-I1488*ROUNDUP(J1488/F1488,0)</x:f>
        <x:v>-329876.96060700004</x:v>
      </x:c>
      <x:c r="L1488" s="10" t="str">
        <x:f>IF(G1488-H1488&lt;=0,"未回本",IF(ROUNDUP(I1488/(G1488-H1488),0)&gt;MIN(F1488,J1488),"未回本",MAX(1,ROUNDUP(I1488/(G1488-H1488),0))))</x:f>
        <x:v>未回本</x:v>
      </x:c>
    </x:row>
    <x:row r="1489" ht="22" customHeight="1">
      <x:c r="A1489" s="11" t="str">
        <x:v>lade_0827_10aoi</x:v>
      </x:c>
      <x:c r="B1489" s="10" t="n">
        <x:v>10</x:v>
      </x:c>
      <x:c r="C1489" s="10" t="n">
        <x:v>43</x:v>
      </x:c>
      <x:c r="D1489" s="10" t="str">
        <x:v>M2 / M4</x:v>
      </x:c>
      <x:c r="E1489" s="16" t="n">
        <x:v>1</x:v>
      </x:c>
      <x:c r="F1489" s="14" t="n">
        <x:v>20</x:v>
      </x:c>
      <x:c r="G1489" s="26" t="n">
        <x:f>'成本明细'!U226+'成本明细'!G226*(E1489-'参数'!$B$6)</x:f>
        <x:v>1014.2700316961113</x:v>
      </x:c>
      <x:c r="H1489" s="26" t="n">
        <x:f>'成本明细'!U232</x:f>
        <x:v>2321.9794290155555</x:v>
      </x:c>
      <x:c r="I1489" s="26" t="n">
        <x:f>'成本明细'!V232</x:f>
        <x:v>4416.5</x:v>
      </x:c>
      <x:c r="J1489" s="22" t="n">
        <x:f>'参数'!$B$9</x:f>
        <x:v>300</x:v>
      </x:c>
      <x:c r="K1489" s="26" t="n">
        <x:f>J1489*(G1489-H1489)-I1489*ROUNDUP(J1489/F1489,0)</x:f>
        <x:v>-458560.31919583323</x:v>
      </x:c>
      <x:c r="L1489" s="10" t="str">
        <x:f>IF(G1489-H1489&lt;=0,"未回本",IF(ROUNDUP(I1489/(G1489-H1489),0)&gt;MIN(F1489,J1489),"未回本",MAX(1,ROUNDUP(I1489/(G1489-H1489),0))))</x:f>
        <x:v>未回本</x:v>
      </x:c>
    </x:row>
    <x:row r="1490" ht="22" customHeight="1">
      <x:c r="A1490" s="11" t="str">
        <x:v>lade_0827_10aoi</x:v>
      </x:c>
      <x:c r="B1490" s="10" t="n">
        <x:v>10</x:v>
      </x:c>
      <x:c r="C1490" s="10" t="n">
        <x:v>43</x:v>
      </x:c>
      <x:c r="D1490" s="10" t="str">
        <x:v>M1 / M3</x:v>
      </x:c>
      <x:c r="E1490" s="16" t="n">
        <x:v>1</x:v>
      </x:c>
      <x:c r="F1490" s="14" t="n">
        <x:v>30</x:v>
      </x:c>
      <x:c r="G1490" s="26" t="n">
        <x:f>'成本明细'!U223+'成本明细'!G223*(E1490-'参数'!$B$6)</x:f>
        <x:v>1445.0033778788888</x:v>
      </x:c>
      <x:c r="H1490" s="26" t="n">
        <x:f>'成本明细'!U229</x:f>
        <x:v>2323.768246568889</x:v>
      </x:c>
      <x:c r="I1490" s="26" t="n">
        <x:f>'成本明细'!V229</x:f>
        <x:v>4416.5</x:v>
      </x:c>
      <x:c r="J1490" s="22" t="n">
        <x:f>'参数'!$B$9</x:f>
        <x:v>300</x:v>
      </x:c>
      <x:c r="K1490" s="26" t="n">
        <x:f>J1490*(G1490-H1490)-I1490*ROUNDUP(J1490/F1490,0)</x:f>
        <x:v>-307794.46060700004</x:v>
      </x:c>
      <x:c r="L1490" s="10" t="str">
        <x:f>IF(G1490-H1490&lt;=0,"未回本",IF(ROUNDUP(I1490/(G1490-H1490),0)&gt;MIN(F1490,J1490),"未回本",MAX(1,ROUNDUP(I1490/(G1490-H1490),0))))</x:f>
        <x:v>未回本</x:v>
      </x:c>
    </x:row>
    <x:row r="1491" ht="22" customHeight="1">
      <x:c r="A1491" s="11" t="str">
        <x:v>lade_0827_10aoi</x:v>
      </x:c>
      <x:c r="B1491" s="10" t="n">
        <x:v>10</x:v>
      </x:c>
      <x:c r="C1491" s="10" t="n">
        <x:v>43</x:v>
      </x:c>
      <x:c r="D1491" s="10" t="str">
        <x:v>M2 / M4</x:v>
      </x:c>
      <x:c r="E1491" s="16" t="n">
        <x:v>1</x:v>
      </x:c>
      <x:c r="F1491" s="14" t="n">
        <x:v>30</x:v>
      </x:c>
      <x:c r="G1491" s="26" t="n">
        <x:f>'成本明细'!U226+'成本明细'!G226*(E1491-'参数'!$B$6)</x:f>
        <x:v>1014.2700316961113</x:v>
      </x:c>
      <x:c r="H1491" s="26" t="n">
        <x:f>'成本明细'!U232</x:f>
        <x:v>2321.9794290155555</x:v>
      </x:c>
      <x:c r="I1491" s="26" t="n">
        <x:f>'成本明细'!V232</x:f>
        <x:v>4416.5</x:v>
      </x:c>
      <x:c r="J1491" s="22" t="n">
        <x:f>'参数'!$B$9</x:f>
        <x:v>300</x:v>
      </x:c>
      <x:c r="K1491" s="26" t="n">
        <x:f>J1491*(G1491-H1491)-I1491*ROUNDUP(J1491/F1491,0)</x:f>
        <x:v>-436477.81919583323</x:v>
      </x:c>
      <x:c r="L1491" s="10" t="str">
        <x:f>IF(G1491-H1491&lt;=0,"未回本",IF(ROUNDUP(I1491/(G1491-H1491),0)&gt;MIN(F1491,J1491),"未回本",MAX(1,ROUNDUP(I1491/(G1491-H1491),0))))</x:f>
        <x:v>未回本</x:v>
      </x:c>
    </x:row>
    <x:row r="1492" ht="22" customHeight="1">
      <x:c r="A1492" s="11" t="str">
        <x:v>lade_0827_10aoi</x:v>
      </x:c>
      <x:c r="B1492" s="10" t="n">
        <x:v>10</x:v>
      </x:c>
      <x:c r="C1492" s="10" t="n">
        <x:v>43</x:v>
      </x:c>
      <x:c r="D1492" s="10" t="str">
        <x:v>M1 / M3</x:v>
      </x:c>
      <x:c r="E1492" s="16" t="n">
        <x:v>1</x:v>
      </x:c>
      <x:c r="F1492" s="14" t="n">
        <x:v>50</x:v>
      </x:c>
      <x:c r="G1492" s="26" t="n">
        <x:f>'成本明细'!U223+'成本明细'!G223*(E1492-'参数'!$B$6)</x:f>
        <x:v>1445.0033778788888</x:v>
      </x:c>
      <x:c r="H1492" s="26" t="n">
        <x:f>'成本明细'!U229</x:f>
        <x:v>2323.768246568889</x:v>
      </x:c>
      <x:c r="I1492" s="26" t="n">
        <x:f>'成本明细'!V229</x:f>
        <x:v>4416.5</x:v>
      </x:c>
      <x:c r="J1492" s="22" t="n">
        <x:f>'参数'!$B$9</x:f>
        <x:v>300</x:v>
      </x:c>
      <x:c r="K1492" s="26" t="n">
        <x:f>J1492*(G1492-H1492)-I1492*ROUNDUP(J1492/F1492,0)</x:f>
        <x:v>-290128.46060700004</x:v>
      </x:c>
      <x:c r="L1492" s="10" t="str">
        <x:f>IF(G1492-H1492&lt;=0,"未回本",IF(ROUNDUP(I1492/(G1492-H1492),0)&gt;MIN(F1492,J1492),"未回本",MAX(1,ROUNDUP(I1492/(G1492-H1492),0))))</x:f>
        <x:v>未回本</x:v>
      </x:c>
    </x:row>
    <x:row r="1493" ht="22" customHeight="1">
      <x:c r="A1493" s="11" t="str">
        <x:v>lade_0827_10aoi</x:v>
      </x:c>
      <x:c r="B1493" s="10" t="n">
        <x:v>10</x:v>
      </x:c>
      <x:c r="C1493" s="10" t="n">
        <x:v>43</x:v>
      </x:c>
      <x:c r="D1493" s="10" t="str">
        <x:v>M2 / M4</x:v>
      </x:c>
      <x:c r="E1493" s="16" t="n">
        <x:v>1</x:v>
      </x:c>
      <x:c r="F1493" s="14" t="n">
        <x:v>50</x:v>
      </x:c>
      <x:c r="G1493" s="26" t="n">
        <x:f>'成本明细'!U226+'成本明细'!G226*(E1493-'参数'!$B$6)</x:f>
        <x:v>1014.2700316961113</x:v>
      </x:c>
      <x:c r="H1493" s="26" t="n">
        <x:f>'成本明细'!U232</x:f>
        <x:v>2321.9794290155555</x:v>
      </x:c>
      <x:c r="I1493" s="26" t="n">
        <x:f>'成本明细'!V232</x:f>
        <x:v>4416.5</x:v>
      </x:c>
      <x:c r="J1493" s="22" t="n">
        <x:f>'参数'!$B$9</x:f>
        <x:v>300</x:v>
      </x:c>
      <x:c r="K1493" s="26" t="n">
        <x:f>J1493*(G1493-H1493)-I1493*ROUNDUP(J1493/F1493,0)</x:f>
        <x:v>-418811.81919583323</x:v>
      </x:c>
      <x:c r="L1493" s="10" t="str">
        <x:f>IF(G1493-H1493&lt;=0,"未回本",IF(ROUNDUP(I1493/(G1493-H1493),0)&gt;MIN(F1493,J1493),"未回本",MAX(1,ROUNDUP(I1493/(G1493-H1493),0))))</x:f>
        <x:v>未回本</x:v>
      </x:c>
    </x:row>
    <x:row r="1494" ht="22" customHeight="1">
      <x:c r="A1494" s="11" t="str">
        <x:v>lade_0827_10aoi</x:v>
      </x:c>
      <x:c r="B1494" s="10" t="n">
        <x:v>10</x:v>
      </x:c>
      <x:c r="C1494" s="10" t="n">
        <x:v>43</x:v>
      </x:c>
      <x:c r="D1494" s="10" t="str">
        <x:v>M1 / M3</x:v>
      </x:c>
      <x:c r="E1494" s="16" t="n">
        <x:v>2</x:v>
      </x:c>
      <x:c r="F1494" s="14" t="n">
        <x:v>10</x:v>
      </x:c>
      <x:c r="G1494" s="26" t="n">
        <x:f>'成本明细'!U223+'成本明细'!G223*(E1494-'参数'!$B$6)</x:f>
        <x:v>1566.0033778788888</x:v>
      </x:c>
      <x:c r="H1494" s="26" t="n">
        <x:f>'成本明细'!U229</x:f>
        <x:v>2323.768246568889</x:v>
      </x:c>
      <x:c r="I1494" s="26" t="n">
        <x:f>'成本明细'!V229</x:f>
        <x:v>4416.5</x:v>
      </x:c>
      <x:c r="J1494" s="22" t="n">
        <x:f>'参数'!$B$9</x:f>
        <x:v>300</x:v>
      </x:c>
      <x:c r="K1494" s="26" t="n">
        <x:f>J1494*(G1494-H1494)-I1494*ROUNDUP(J1494/F1494,0)</x:f>
        <x:v>-359824.46060700004</x:v>
      </x:c>
      <x:c r="L1494" s="10" t="str">
        <x:f>IF(G1494-H1494&lt;=0,"未回本",IF(ROUNDUP(I1494/(G1494-H1494),0)&gt;MIN(F1494,J1494),"未回本",MAX(1,ROUNDUP(I1494/(G1494-H1494),0))))</x:f>
        <x:v>未回本</x:v>
      </x:c>
    </x:row>
    <x:row r="1495" ht="22" customHeight="1">
      <x:c r="A1495" s="11" t="str">
        <x:v>lade_0827_10aoi</x:v>
      </x:c>
      <x:c r="B1495" s="10" t="n">
        <x:v>10</x:v>
      </x:c>
      <x:c r="C1495" s="10" t="n">
        <x:v>43</x:v>
      </x:c>
      <x:c r="D1495" s="10" t="str">
        <x:v>M2 / M4</x:v>
      </x:c>
      <x:c r="E1495" s="16" t="n">
        <x:v>2</x:v>
      </x:c>
      <x:c r="F1495" s="14" t="n">
        <x:v>10</x:v>
      </x:c>
      <x:c r="G1495" s="26" t="n">
        <x:f>'成本明细'!U226+'成本明细'!G226*(E1495-'参数'!$B$6)</x:f>
        <x:v>1135.2700316961113</x:v>
      </x:c>
      <x:c r="H1495" s="26" t="n">
        <x:f>'成本明细'!U232</x:f>
        <x:v>2321.9794290155555</x:v>
      </x:c>
      <x:c r="I1495" s="26" t="n">
        <x:f>'成本明细'!V232</x:f>
        <x:v>4416.5</x:v>
      </x:c>
      <x:c r="J1495" s="22" t="n">
        <x:f>'参数'!$B$9</x:f>
        <x:v>300</x:v>
      </x:c>
      <x:c r="K1495" s="26" t="n">
        <x:f>J1495*(G1495-H1495)-I1495*ROUNDUP(J1495/F1495,0)</x:f>
        <x:v>-488507.81919583323</x:v>
      </x:c>
      <x:c r="L1495" s="10" t="str">
        <x:f>IF(G1495-H1495&lt;=0,"未回本",IF(ROUNDUP(I1495/(G1495-H1495),0)&gt;MIN(F1495,J1495),"未回本",MAX(1,ROUNDUP(I1495/(G1495-H1495),0))))</x:f>
        <x:v>未回本</x:v>
      </x:c>
    </x:row>
    <x:row r="1496" ht="22" customHeight="1">
      <x:c r="A1496" s="11" t="str">
        <x:v>lade_0827_10aoi</x:v>
      </x:c>
      <x:c r="B1496" s="10" t="n">
        <x:v>10</x:v>
      </x:c>
      <x:c r="C1496" s="10" t="n">
        <x:v>43</x:v>
      </x:c>
      <x:c r="D1496" s="10" t="str">
        <x:v>M1 / M3</x:v>
      </x:c>
      <x:c r="E1496" s="16" t="n">
        <x:v>2</x:v>
      </x:c>
      <x:c r="F1496" s="14" t="n">
        <x:v>20</x:v>
      </x:c>
      <x:c r="G1496" s="26" t="n">
        <x:f>'成本明细'!U223+'成本明细'!G223*(E1496-'参数'!$B$6)</x:f>
        <x:v>1566.0033778788888</x:v>
      </x:c>
      <x:c r="H1496" s="26" t="n">
        <x:f>'成本明细'!U229</x:f>
        <x:v>2323.768246568889</x:v>
      </x:c>
      <x:c r="I1496" s="26" t="n">
        <x:f>'成本明细'!V229</x:f>
        <x:v>4416.5</x:v>
      </x:c>
      <x:c r="J1496" s="22" t="n">
        <x:f>'参数'!$B$9</x:f>
        <x:v>300</x:v>
      </x:c>
      <x:c r="K1496" s="26" t="n">
        <x:f>J1496*(G1496-H1496)-I1496*ROUNDUP(J1496/F1496,0)</x:f>
        <x:v>-293576.96060700004</x:v>
      </x:c>
      <x:c r="L1496" s="10" t="str">
        <x:f>IF(G1496-H1496&lt;=0,"未回本",IF(ROUNDUP(I1496/(G1496-H1496),0)&gt;MIN(F1496,J1496),"未回本",MAX(1,ROUNDUP(I1496/(G1496-H1496),0))))</x:f>
        <x:v>未回本</x:v>
      </x:c>
    </x:row>
    <x:row r="1497" ht="22" customHeight="1">
      <x:c r="A1497" s="11" t="str">
        <x:v>lade_0827_10aoi</x:v>
      </x:c>
      <x:c r="B1497" s="10" t="n">
        <x:v>10</x:v>
      </x:c>
      <x:c r="C1497" s="10" t="n">
        <x:v>43</x:v>
      </x:c>
      <x:c r="D1497" s="10" t="str">
        <x:v>M2 / M4</x:v>
      </x:c>
      <x:c r="E1497" s="16" t="n">
        <x:v>2</x:v>
      </x:c>
      <x:c r="F1497" s="14" t="n">
        <x:v>20</x:v>
      </x:c>
      <x:c r="G1497" s="26" t="n">
        <x:f>'成本明细'!U226+'成本明细'!G226*(E1497-'参数'!$B$6)</x:f>
        <x:v>1135.2700316961113</x:v>
      </x:c>
      <x:c r="H1497" s="26" t="n">
        <x:f>'成本明细'!U232</x:f>
        <x:v>2321.9794290155555</x:v>
      </x:c>
      <x:c r="I1497" s="26" t="n">
        <x:f>'成本明细'!V232</x:f>
        <x:v>4416.5</x:v>
      </x:c>
      <x:c r="J1497" s="22" t="n">
        <x:f>'参数'!$B$9</x:f>
        <x:v>300</x:v>
      </x:c>
      <x:c r="K1497" s="26" t="n">
        <x:f>J1497*(G1497-H1497)-I1497*ROUNDUP(J1497/F1497,0)</x:f>
        <x:v>-422260.31919583323</x:v>
      </x:c>
      <x:c r="L1497" s="10" t="str">
        <x:f>IF(G1497-H1497&lt;=0,"未回本",IF(ROUNDUP(I1497/(G1497-H1497),0)&gt;MIN(F1497,J1497),"未回本",MAX(1,ROUNDUP(I1497/(G1497-H1497),0))))</x:f>
        <x:v>未回本</x:v>
      </x:c>
    </x:row>
    <x:row r="1498" ht="22" customHeight="1">
      <x:c r="A1498" s="11" t="str">
        <x:v>lade_0827_10aoi</x:v>
      </x:c>
      <x:c r="B1498" s="10" t="n">
        <x:v>10</x:v>
      </x:c>
      <x:c r="C1498" s="10" t="n">
        <x:v>43</x:v>
      </x:c>
      <x:c r="D1498" s="10" t="str">
        <x:v>M1 / M3</x:v>
      </x:c>
      <x:c r="E1498" s="16" t="n">
        <x:v>2</x:v>
      </x:c>
      <x:c r="F1498" s="14" t="n">
        <x:v>30</x:v>
      </x:c>
      <x:c r="G1498" s="26" t="n">
        <x:f>'成本明细'!U223+'成本明细'!G223*(E1498-'参数'!$B$6)</x:f>
        <x:v>1566.0033778788888</x:v>
      </x:c>
      <x:c r="H1498" s="26" t="n">
        <x:f>'成本明细'!U229</x:f>
        <x:v>2323.768246568889</x:v>
      </x:c>
      <x:c r="I1498" s="26" t="n">
        <x:f>'成本明细'!V229</x:f>
        <x:v>4416.5</x:v>
      </x:c>
      <x:c r="J1498" s="22" t="n">
        <x:f>'参数'!$B$9</x:f>
        <x:v>300</x:v>
      </x:c>
      <x:c r="K1498" s="26" t="n">
        <x:f>J1498*(G1498-H1498)-I1498*ROUNDUP(J1498/F1498,0)</x:f>
        <x:v>-271494.46060700004</x:v>
      </x:c>
      <x:c r="L1498" s="10" t="str">
        <x:f>IF(G1498-H1498&lt;=0,"未回本",IF(ROUNDUP(I1498/(G1498-H1498),0)&gt;MIN(F1498,J1498),"未回本",MAX(1,ROUNDUP(I1498/(G1498-H1498),0))))</x:f>
        <x:v>未回本</x:v>
      </x:c>
    </x:row>
    <x:row r="1499" ht="22" customHeight="1">
      <x:c r="A1499" s="11" t="str">
        <x:v>lade_0827_10aoi</x:v>
      </x:c>
      <x:c r="B1499" s="10" t="n">
        <x:v>10</x:v>
      </x:c>
      <x:c r="C1499" s="10" t="n">
        <x:v>43</x:v>
      </x:c>
      <x:c r="D1499" s="10" t="str">
        <x:v>M2 / M4</x:v>
      </x:c>
      <x:c r="E1499" s="16" t="n">
        <x:v>2</x:v>
      </x:c>
      <x:c r="F1499" s="14" t="n">
        <x:v>30</x:v>
      </x:c>
      <x:c r="G1499" s="26" t="n">
        <x:f>'成本明细'!U226+'成本明细'!G226*(E1499-'参数'!$B$6)</x:f>
        <x:v>1135.2700316961113</x:v>
      </x:c>
      <x:c r="H1499" s="26" t="n">
        <x:f>'成本明细'!U232</x:f>
        <x:v>2321.9794290155555</x:v>
      </x:c>
      <x:c r="I1499" s="26" t="n">
        <x:f>'成本明细'!V232</x:f>
        <x:v>4416.5</x:v>
      </x:c>
      <x:c r="J1499" s="22" t="n">
        <x:f>'参数'!$B$9</x:f>
        <x:v>300</x:v>
      </x:c>
      <x:c r="K1499" s="26" t="n">
        <x:f>J1499*(G1499-H1499)-I1499*ROUNDUP(J1499/F1499,0)</x:f>
        <x:v>-400177.81919583323</x:v>
      </x:c>
      <x:c r="L1499" s="10" t="str">
        <x:f>IF(G1499-H1499&lt;=0,"未回本",IF(ROUNDUP(I1499/(G1499-H1499),0)&gt;MIN(F1499,J1499),"未回本",MAX(1,ROUNDUP(I1499/(G1499-H1499),0))))</x:f>
        <x:v>未回本</x:v>
      </x:c>
    </x:row>
    <x:row r="1500" ht="22" customHeight="1">
      <x:c r="A1500" s="11" t="str">
        <x:v>lade_0827_10aoi</x:v>
      </x:c>
      <x:c r="B1500" s="10" t="n">
        <x:v>10</x:v>
      </x:c>
      <x:c r="C1500" s="10" t="n">
        <x:v>43</x:v>
      </x:c>
      <x:c r="D1500" s="10" t="str">
        <x:v>M1 / M3</x:v>
      </x:c>
      <x:c r="E1500" s="16" t="n">
        <x:v>2</x:v>
      </x:c>
      <x:c r="F1500" s="14" t="n">
        <x:v>50</x:v>
      </x:c>
      <x:c r="G1500" s="26" t="n">
        <x:f>'成本明细'!U223+'成本明细'!G223*(E1500-'参数'!$B$6)</x:f>
        <x:v>1566.0033778788888</x:v>
      </x:c>
      <x:c r="H1500" s="26" t="n">
        <x:f>'成本明细'!U229</x:f>
        <x:v>2323.768246568889</x:v>
      </x:c>
      <x:c r="I1500" s="26" t="n">
        <x:f>'成本明细'!V229</x:f>
        <x:v>4416.5</x:v>
      </x:c>
      <x:c r="J1500" s="22" t="n">
        <x:f>'参数'!$B$9</x:f>
        <x:v>300</x:v>
      </x:c>
      <x:c r="K1500" s="26" t="n">
        <x:f>J1500*(G1500-H1500)-I1500*ROUNDUP(J1500/F1500,0)</x:f>
        <x:v>-253828.46060700004</x:v>
      </x:c>
      <x:c r="L1500" s="10" t="str">
        <x:f>IF(G1500-H1500&lt;=0,"未回本",IF(ROUNDUP(I1500/(G1500-H1500),0)&gt;MIN(F1500,J1500),"未回本",MAX(1,ROUNDUP(I1500/(G1500-H1500),0))))</x:f>
        <x:v>未回本</x:v>
      </x:c>
    </x:row>
    <x:row r="1501" ht="22" customHeight="1">
      <x:c r="A1501" s="11" t="str">
        <x:v>lade_0827_10aoi</x:v>
      </x:c>
      <x:c r="B1501" s="10" t="n">
        <x:v>10</x:v>
      </x:c>
      <x:c r="C1501" s="10" t="n">
        <x:v>43</x:v>
      </x:c>
      <x:c r="D1501" s="10" t="str">
        <x:v>M2 / M4</x:v>
      </x:c>
      <x:c r="E1501" s="16" t="n">
        <x:v>2</x:v>
      </x:c>
      <x:c r="F1501" s="14" t="n">
        <x:v>50</x:v>
      </x:c>
      <x:c r="G1501" s="26" t="n">
        <x:f>'成本明细'!U226+'成本明细'!G226*(E1501-'参数'!$B$6)</x:f>
        <x:v>1135.2700316961113</x:v>
      </x:c>
      <x:c r="H1501" s="26" t="n">
        <x:f>'成本明细'!U232</x:f>
        <x:v>2321.9794290155555</x:v>
      </x:c>
      <x:c r="I1501" s="26" t="n">
        <x:f>'成本明细'!V232</x:f>
        <x:v>4416.5</x:v>
      </x:c>
      <x:c r="J1501" s="22" t="n">
        <x:f>'参数'!$B$9</x:f>
        <x:v>300</x:v>
      </x:c>
      <x:c r="K1501" s="26" t="n">
        <x:f>J1501*(G1501-H1501)-I1501*ROUNDUP(J1501/F1501,0)</x:f>
        <x:v>-382511.81919583323</x:v>
      </x:c>
      <x:c r="L1501" s="10" t="str">
        <x:f>IF(G1501-H1501&lt;=0,"未回本",IF(ROUNDUP(I1501/(G1501-H1501),0)&gt;MIN(F1501,J1501),"未回本",MAX(1,ROUNDUP(I1501/(G1501-H1501),0))))</x:f>
        <x:v>未回本</x:v>
      </x:c>
    </x:row>
    <x:row r="1502" ht="22" customHeight="1">
      <x:c r="A1502" s="11" t="str">
        <x:v>lade_0827_10aoi</x:v>
      </x:c>
      <x:c r="B1502" s="10" t="n">
        <x:v>10</x:v>
      </x:c>
      <x:c r="C1502" s="10" t="n">
        <x:v>43</x:v>
      </x:c>
      <x:c r="D1502" s="10" t="str">
        <x:v>M1 / M3</x:v>
      </x:c>
      <x:c r="E1502" s="16" t="n">
        <x:v>3</x:v>
      </x:c>
      <x:c r="F1502" s="14" t="n">
        <x:v>10</x:v>
      </x:c>
      <x:c r="G1502" s="26" t="n">
        <x:f>'成本明细'!U223+'成本明细'!G223*(E1502-'参数'!$B$6)</x:f>
        <x:v>1687.0033778788888</x:v>
      </x:c>
      <x:c r="H1502" s="26" t="n">
        <x:f>'成本明细'!U229</x:f>
        <x:v>2323.768246568889</x:v>
      </x:c>
      <x:c r="I1502" s="26" t="n">
        <x:f>'成本明细'!V229</x:f>
        <x:v>4416.5</x:v>
      </x:c>
      <x:c r="J1502" s="22" t="n">
        <x:f>'参数'!$B$9</x:f>
        <x:v>300</x:v>
      </x:c>
      <x:c r="K1502" s="26" t="n">
        <x:f>J1502*(G1502-H1502)-I1502*ROUNDUP(J1502/F1502,0)</x:f>
        <x:v>-323524.46060700004</x:v>
      </x:c>
      <x:c r="L1502" s="10" t="str">
        <x:f>IF(G1502-H1502&lt;=0,"未回本",IF(ROUNDUP(I1502/(G1502-H1502),0)&gt;MIN(F1502,J1502),"未回本",MAX(1,ROUNDUP(I1502/(G1502-H1502),0))))</x:f>
        <x:v>未回本</x:v>
      </x:c>
    </x:row>
    <x:row r="1503" ht="22" customHeight="1">
      <x:c r="A1503" s="11" t="str">
        <x:v>lade_0827_10aoi</x:v>
      </x:c>
      <x:c r="B1503" s="10" t="n">
        <x:v>10</x:v>
      </x:c>
      <x:c r="C1503" s="10" t="n">
        <x:v>43</x:v>
      </x:c>
      <x:c r="D1503" s="10" t="str">
        <x:v>M2 / M4</x:v>
      </x:c>
      <x:c r="E1503" s="16" t="n">
        <x:v>3</x:v>
      </x:c>
      <x:c r="F1503" s="14" t="n">
        <x:v>10</x:v>
      </x:c>
      <x:c r="G1503" s="26" t="n">
        <x:f>'成本明细'!U226+'成本明细'!G226*(E1503-'参数'!$B$6)</x:f>
        <x:v>1256.2700316961113</x:v>
      </x:c>
      <x:c r="H1503" s="26" t="n">
        <x:f>'成本明细'!U232</x:f>
        <x:v>2321.9794290155555</x:v>
      </x:c>
      <x:c r="I1503" s="26" t="n">
        <x:f>'成本明细'!V232</x:f>
        <x:v>4416.5</x:v>
      </x:c>
      <x:c r="J1503" s="22" t="n">
        <x:f>'参数'!$B$9</x:f>
        <x:v>300</x:v>
      </x:c>
      <x:c r="K1503" s="26" t="n">
        <x:f>J1503*(G1503-H1503)-I1503*ROUNDUP(J1503/F1503,0)</x:f>
        <x:v>-452207.81919583323</x:v>
      </x:c>
      <x:c r="L1503" s="10" t="str">
        <x:f>IF(G1503-H1503&lt;=0,"未回本",IF(ROUNDUP(I1503/(G1503-H1503),0)&gt;MIN(F1503,J1503),"未回本",MAX(1,ROUNDUP(I1503/(G1503-H1503),0))))</x:f>
        <x:v>未回本</x:v>
      </x:c>
    </x:row>
    <x:row r="1504" ht="22" customHeight="1">
      <x:c r="A1504" s="11" t="str">
        <x:v>lade_0827_10aoi</x:v>
      </x:c>
      <x:c r="B1504" s="10" t="n">
        <x:v>10</x:v>
      </x:c>
      <x:c r="C1504" s="10" t="n">
        <x:v>43</x:v>
      </x:c>
      <x:c r="D1504" s="10" t="str">
        <x:v>M1 / M3</x:v>
      </x:c>
      <x:c r="E1504" s="16" t="n">
        <x:v>3</x:v>
      </x:c>
      <x:c r="F1504" s="14" t="n">
        <x:v>20</x:v>
      </x:c>
      <x:c r="G1504" s="26" t="n">
        <x:f>'成本明细'!U223+'成本明细'!G223*(E1504-'参数'!$B$6)</x:f>
        <x:v>1687.0033778788888</x:v>
      </x:c>
      <x:c r="H1504" s="26" t="n">
        <x:f>'成本明细'!U229</x:f>
        <x:v>2323.768246568889</x:v>
      </x:c>
      <x:c r="I1504" s="26" t="n">
        <x:f>'成本明细'!V229</x:f>
        <x:v>4416.5</x:v>
      </x:c>
      <x:c r="J1504" s="22" t="n">
        <x:f>'参数'!$B$9</x:f>
        <x:v>300</x:v>
      </x:c>
      <x:c r="K1504" s="26" t="n">
        <x:f>J1504*(G1504-H1504)-I1504*ROUNDUP(J1504/F1504,0)</x:f>
        <x:v>-257276.96060700004</x:v>
      </x:c>
      <x:c r="L1504" s="10" t="str">
        <x:f>IF(G1504-H1504&lt;=0,"未回本",IF(ROUNDUP(I1504/(G1504-H1504),0)&gt;MIN(F1504,J1504),"未回本",MAX(1,ROUNDUP(I1504/(G1504-H1504),0))))</x:f>
        <x:v>未回本</x:v>
      </x:c>
    </x:row>
    <x:row r="1505" ht="22" customHeight="1">
      <x:c r="A1505" s="11" t="str">
        <x:v>lade_0827_10aoi</x:v>
      </x:c>
      <x:c r="B1505" s="10" t="n">
        <x:v>10</x:v>
      </x:c>
      <x:c r="C1505" s="10" t="n">
        <x:v>43</x:v>
      </x:c>
      <x:c r="D1505" s="10" t="str">
        <x:v>M2 / M4</x:v>
      </x:c>
      <x:c r="E1505" s="16" t="n">
        <x:v>3</x:v>
      </x:c>
      <x:c r="F1505" s="14" t="n">
        <x:v>20</x:v>
      </x:c>
      <x:c r="G1505" s="26" t="n">
        <x:f>'成本明细'!U226+'成本明细'!G226*(E1505-'参数'!$B$6)</x:f>
        <x:v>1256.2700316961113</x:v>
      </x:c>
      <x:c r="H1505" s="26" t="n">
        <x:f>'成本明细'!U232</x:f>
        <x:v>2321.9794290155555</x:v>
      </x:c>
      <x:c r="I1505" s="26" t="n">
        <x:f>'成本明细'!V232</x:f>
        <x:v>4416.5</x:v>
      </x:c>
      <x:c r="J1505" s="22" t="n">
        <x:f>'参数'!$B$9</x:f>
        <x:v>300</x:v>
      </x:c>
      <x:c r="K1505" s="26" t="n">
        <x:f>J1505*(G1505-H1505)-I1505*ROUNDUP(J1505/F1505,0)</x:f>
        <x:v>-385960.31919583323</x:v>
      </x:c>
      <x:c r="L1505" s="10" t="str">
        <x:f>IF(G1505-H1505&lt;=0,"未回本",IF(ROUNDUP(I1505/(G1505-H1505),0)&gt;MIN(F1505,J1505),"未回本",MAX(1,ROUNDUP(I1505/(G1505-H1505),0))))</x:f>
        <x:v>未回本</x:v>
      </x:c>
    </x:row>
    <x:row r="1506" ht="22" customHeight="1">
      <x:c r="A1506" s="11" t="str">
        <x:v>lade_0827_10aoi</x:v>
      </x:c>
      <x:c r="B1506" s="10" t="n">
        <x:v>10</x:v>
      </x:c>
      <x:c r="C1506" s="10" t="n">
        <x:v>43</x:v>
      </x:c>
      <x:c r="D1506" s="10" t="str">
        <x:v>M1 / M3</x:v>
      </x:c>
      <x:c r="E1506" s="16" t="n">
        <x:v>3</x:v>
      </x:c>
      <x:c r="F1506" s="14" t="n">
        <x:v>30</x:v>
      </x:c>
      <x:c r="G1506" s="26" t="n">
        <x:f>'成本明细'!U223+'成本明细'!G223*(E1506-'参数'!$B$6)</x:f>
        <x:v>1687.0033778788888</x:v>
      </x:c>
      <x:c r="H1506" s="26" t="n">
        <x:f>'成本明细'!U229</x:f>
        <x:v>2323.768246568889</x:v>
      </x:c>
      <x:c r="I1506" s="26" t="n">
        <x:f>'成本明细'!V229</x:f>
        <x:v>4416.5</x:v>
      </x:c>
      <x:c r="J1506" s="22" t="n">
        <x:f>'参数'!$B$9</x:f>
        <x:v>300</x:v>
      </x:c>
      <x:c r="K1506" s="26" t="n">
        <x:f>J1506*(G1506-H1506)-I1506*ROUNDUP(J1506/F1506,0)</x:f>
        <x:v>-235194.46060700004</x:v>
      </x:c>
      <x:c r="L1506" s="10" t="str">
        <x:f>IF(G1506-H1506&lt;=0,"未回本",IF(ROUNDUP(I1506/(G1506-H1506),0)&gt;MIN(F1506,J1506),"未回本",MAX(1,ROUNDUP(I1506/(G1506-H1506),0))))</x:f>
        <x:v>未回本</x:v>
      </x:c>
    </x:row>
    <x:row r="1507" ht="22" customHeight="1">
      <x:c r="A1507" s="11" t="str">
        <x:v>lade_0827_10aoi</x:v>
      </x:c>
      <x:c r="B1507" s="10" t="n">
        <x:v>10</x:v>
      </x:c>
      <x:c r="C1507" s="10" t="n">
        <x:v>43</x:v>
      </x:c>
      <x:c r="D1507" s="10" t="str">
        <x:v>M2 / M4</x:v>
      </x:c>
      <x:c r="E1507" s="16" t="n">
        <x:v>3</x:v>
      </x:c>
      <x:c r="F1507" s="14" t="n">
        <x:v>30</x:v>
      </x:c>
      <x:c r="G1507" s="26" t="n">
        <x:f>'成本明细'!U226+'成本明细'!G226*(E1507-'参数'!$B$6)</x:f>
        <x:v>1256.2700316961113</x:v>
      </x:c>
      <x:c r="H1507" s="26" t="n">
        <x:f>'成本明细'!U232</x:f>
        <x:v>2321.9794290155555</x:v>
      </x:c>
      <x:c r="I1507" s="26" t="n">
        <x:f>'成本明细'!V232</x:f>
        <x:v>4416.5</x:v>
      </x:c>
      <x:c r="J1507" s="22" t="n">
        <x:f>'参数'!$B$9</x:f>
        <x:v>300</x:v>
      </x:c>
      <x:c r="K1507" s="26" t="n">
        <x:f>J1507*(G1507-H1507)-I1507*ROUNDUP(J1507/F1507,0)</x:f>
        <x:v>-363877.81919583323</x:v>
      </x:c>
      <x:c r="L1507" s="10" t="str">
        <x:f>IF(G1507-H1507&lt;=0,"未回本",IF(ROUNDUP(I1507/(G1507-H1507),0)&gt;MIN(F1507,J1507),"未回本",MAX(1,ROUNDUP(I1507/(G1507-H1507),0))))</x:f>
        <x:v>未回本</x:v>
      </x:c>
    </x:row>
    <x:row r="1508" ht="22" customHeight="1">
      <x:c r="A1508" s="11" t="str">
        <x:v>lade_0827_10aoi</x:v>
      </x:c>
      <x:c r="B1508" s="10" t="n">
        <x:v>10</x:v>
      </x:c>
      <x:c r="C1508" s="10" t="n">
        <x:v>43</x:v>
      </x:c>
      <x:c r="D1508" s="10" t="str">
        <x:v>M1 / M3</x:v>
      </x:c>
      <x:c r="E1508" s="16" t="n">
        <x:v>3</x:v>
      </x:c>
      <x:c r="F1508" s="14" t="n">
        <x:v>50</x:v>
      </x:c>
      <x:c r="G1508" s="26" t="n">
        <x:f>'成本明细'!U223+'成本明细'!G223*(E1508-'参数'!$B$6)</x:f>
        <x:v>1687.0033778788888</x:v>
      </x:c>
      <x:c r="H1508" s="26" t="n">
        <x:f>'成本明细'!U229</x:f>
        <x:v>2323.768246568889</x:v>
      </x:c>
      <x:c r="I1508" s="26" t="n">
        <x:f>'成本明细'!V229</x:f>
        <x:v>4416.5</x:v>
      </x:c>
      <x:c r="J1508" s="22" t="n">
        <x:f>'参数'!$B$9</x:f>
        <x:v>300</x:v>
      </x:c>
      <x:c r="K1508" s="26" t="n">
        <x:f>J1508*(G1508-H1508)-I1508*ROUNDUP(J1508/F1508,0)</x:f>
        <x:v>-217528.46060700004</x:v>
      </x:c>
      <x:c r="L1508" s="10" t="str">
        <x:f>IF(G1508-H1508&lt;=0,"未回本",IF(ROUNDUP(I1508/(G1508-H1508),0)&gt;MIN(F1508,J1508),"未回本",MAX(1,ROUNDUP(I1508/(G1508-H1508),0))))</x:f>
        <x:v>未回本</x:v>
      </x:c>
    </x:row>
    <x:row r="1509" ht="22" customHeight="1">
      <x:c r="A1509" s="11" t="str">
        <x:v>lade_0827_10aoi</x:v>
      </x:c>
      <x:c r="B1509" s="10" t="n">
        <x:v>10</x:v>
      </x:c>
      <x:c r="C1509" s="10" t="n">
        <x:v>43</x:v>
      </x:c>
      <x:c r="D1509" s="10" t="str">
        <x:v>M2 / M4</x:v>
      </x:c>
      <x:c r="E1509" s="16" t="n">
        <x:v>3</x:v>
      </x:c>
      <x:c r="F1509" s="14" t="n">
        <x:v>50</x:v>
      </x:c>
      <x:c r="G1509" s="26" t="n">
        <x:f>'成本明细'!U226+'成本明细'!G226*(E1509-'参数'!$B$6)</x:f>
        <x:v>1256.2700316961113</x:v>
      </x:c>
      <x:c r="H1509" s="26" t="n">
        <x:f>'成本明细'!U232</x:f>
        <x:v>2321.9794290155555</x:v>
      </x:c>
      <x:c r="I1509" s="26" t="n">
        <x:f>'成本明细'!V232</x:f>
        <x:v>4416.5</x:v>
      </x:c>
      <x:c r="J1509" s="22" t="n">
        <x:f>'参数'!$B$9</x:f>
        <x:v>300</x:v>
      </x:c>
      <x:c r="K1509" s="26" t="n">
        <x:f>J1509*(G1509-H1509)-I1509*ROUNDUP(J1509/F1509,0)</x:f>
        <x:v>-346211.81919583323</x:v>
      </x:c>
      <x:c r="L1509" s="10" t="str">
        <x:f>IF(G1509-H1509&lt;=0,"未回本",IF(ROUNDUP(I1509/(G1509-H1509),0)&gt;MIN(F1509,J1509),"未回本",MAX(1,ROUNDUP(I1509/(G1509-H1509),0))))</x:f>
        <x:v>未回本</x:v>
      </x:c>
    </x:row>
    <x:row r="1510" ht="22" customHeight="1">
      <x:c r="A1510" s="11" t="str">
        <x:v>lade_0827_10aoi</x:v>
      </x:c>
      <x:c r="B1510" s="10" t="n">
        <x:v>10</x:v>
      </x:c>
      <x:c r="C1510" s="10" t="n">
        <x:v>43</x:v>
      </x:c>
      <x:c r="D1510" s="10" t="str">
        <x:v>M1 / M3</x:v>
      </x:c>
      <x:c r="E1510" s="16" t="n">
        <x:v>4</x:v>
      </x:c>
      <x:c r="F1510" s="14" t="n">
        <x:v>10</x:v>
      </x:c>
      <x:c r="G1510" s="26" t="n">
        <x:f>'成本明细'!U223+'成本明细'!G223*(E1510-'参数'!$B$6)</x:f>
        <x:v>1808.0033778788888</x:v>
      </x:c>
      <x:c r="H1510" s="26" t="n">
        <x:f>'成本明细'!U229</x:f>
        <x:v>2323.768246568889</x:v>
      </x:c>
      <x:c r="I1510" s="26" t="n">
        <x:f>'成本明细'!V229</x:f>
        <x:v>4416.5</x:v>
      </x:c>
      <x:c r="J1510" s="22" t="n">
        <x:f>'参数'!$B$9</x:f>
        <x:v>300</x:v>
      </x:c>
      <x:c r="K1510" s="26" t="n">
        <x:f>J1510*(G1510-H1510)-I1510*ROUNDUP(J1510/F1510,0)</x:f>
        <x:v>-287224.46060700004</x:v>
      </x:c>
      <x:c r="L1510" s="10" t="str">
        <x:f>IF(G1510-H1510&lt;=0,"未回本",IF(ROUNDUP(I1510/(G1510-H1510),0)&gt;MIN(F1510,J1510),"未回本",MAX(1,ROUNDUP(I1510/(G1510-H1510),0))))</x:f>
        <x:v>未回本</x:v>
      </x:c>
    </x:row>
    <x:row r="1511" ht="22" customHeight="1">
      <x:c r="A1511" s="11" t="str">
        <x:v>lade_0827_10aoi</x:v>
      </x:c>
      <x:c r="B1511" s="10" t="n">
        <x:v>10</x:v>
      </x:c>
      <x:c r="C1511" s="10" t="n">
        <x:v>43</x:v>
      </x:c>
      <x:c r="D1511" s="10" t="str">
        <x:v>M2 / M4</x:v>
      </x:c>
      <x:c r="E1511" s="16" t="n">
        <x:v>4</x:v>
      </x:c>
      <x:c r="F1511" s="14" t="n">
        <x:v>10</x:v>
      </x:c>
      <x:c r="G1511" s="26" t="n">
        <x:f>'成本明细'!U226+'成本明细'!G226*(E1511-'参数'!$B$6)</x:f>
        <x:v>1377.2700316961113</x:v>
      </x:c>
      <x:c r="H1511" s="26" t="n">
        <x:f>'成本明细'!U232</x:f>
        <x:v>2321.9794290155555</x:v>
      </x:c>
      <x:c r="I1511" s="26" t="n">
        <x:f>'成本明细'!V232</x:f>
        <x:v>4416.5</x:v>
      </x:c>
      <x:c r="J1511" s="22" t="n">
        <x:f>'参数'!$B$9</x:f>
        <x:v>300</x:v>
      </x:c>
      <x:c r="K1511" s="26" t="n">
        <x:f>J1511*(G1511-H1511)-I1511*ROUNDUP(J1511/F1511,0)</x:f>
        <x:v>-415907.81919583323</x:v>
      </x:c>
      <x:c r="L1511" s="10" t="str">
        <x:f>IF(G1511-H1511&lt;=0,"未回本",IF(ROUNDUP(I1511/(G1511-H1511),0)&gt;MIN(F1511,J1511),"未回本",MAX(1,ROUNDUP(I1511/(G1511-H1511),0))))</x:f>
        <x:v>未回本</x:v>
      </x:c>
    </x:row>
    <x:row r="1512" ht="22" customHeight="1">
      <x:c r="A1512" s="11" t="str">
        <x:v>lade_0827_10aoi</x:v>
      </x:c>
      <x:c r="B1512" s="10" t="n">
        <x:v>10</x:v>
      </x:c>
      <x:c r="C1512" s="10" t="n">
        <x:v>43</x:v>
      </x:c>
      <x:c r="D1512" s="10" t="str">
        <x:v>M1 / M3</x:v>
      </x:c>
      <x:c r="E1512" s="16" t="n">
        <x:v>4</x:v>
      </x:c>
      <x:c r="F1512" s="14" t="n">
        <x:v>20</x:v>
      </x:c>
      <x:c r="G1512" s="26" t="n">
        <x:f>'成本明细'!U223+'成本明细'!G223*(E1512-'参数'!$B$6)</x:f>
        <x:v>1808.0033778788888</x:v>
      </x:c>
      <x:c r="H1512" s="26" t="n">
        <x:f>'成本明细'!U229</x:f>
        <x:v>2323.768246568889</x:v>
      </x:c>
      <x:c r="I1512" s="26" t="n">
        <x:f>'成本明细'!V229</x:f>
        <x:v>4416.5</x:v>
      </x:c>
      <x:c r="J1512" s="22" t="n">
        <x:f>'参数'!$B$9</x:f>
        <x:v>300</x:v>
      </x:c>
      <x:c r="K1512" s="26" t="n">
        <x:f>J1512*(G1512-H1512)-I1512*ROUNDUP(J1512/F1512,0)</x:f>
        <x:v>-220976.96060700004</x:v>
      </x:c>
      <x:c r="L1512" s="10" t="str">
        <x:f>IF(G1512-H1512&lt;=0,"未回本",IF(ROUNDUP(I1512/(G1512-H1512),0)&gt;MIN(F1512,J1512),"未回本",MAX(1,ROUNDUP(I1512/(G1512-H1512),0))))</x:f>
        <x:v>未回本</x:v>
      </x:c>
    </x:row>
    <x:row r="1513" ht="22" customHeight="1">
      <x:c r="A1513" s="11" t="str">
        <x:v>lade_0827_10aoi</x:v>
      </x:c>
      <x:c r="B1513" s="10" t="n">
        <x:v>10</x:v>
      </x:c>
      <x:c r="C1513" s="10" t="n">
        <x:v>43</x:v>
      </x:c>
      <x:c r="D1513" s="10" t="str">
        <x:v>M2 / M4</x:v>
      </x:c>
      <x:c r="E1513" s="16" t="n">
        <x:v>4</x:v>
      </x:c>
      <x:c r="F1513" s="14" t="n">
        <x:v>20</x:v>
      </x:c>
      <x:c r="G1513" s="26" t="n">
        <x:f>'成本明细'!U226+'成本明细'!G226*(E1513-'参数'!$B$6)</x:f>
        <x:v>1377.2700316961113</x:v>
      </x:c>
      <x:c r="H1513" s="26" t="n">
        <x:f>'成本明细'!U232</x:f>
        <x:v>2321.9794290155555</x:v>
      </x:c>
      <x:c r="I1513" s="26" t="n">
        <x:f>'成本明细'!V232</x:f>
        <x:v>4416.5</x:v>
      </x:c>
      <x:c r="J1513" s="22" t="n">
        <x:f>'参数'!$B$9</x:f>
        <x:v>300</x:v>
      </x:c>
      <x:c r="K1513" s="26" t="n">
        <x:f>J1513*(G1513-H1513)-I1513*ROUNDUP(J1513/F1513,0)</x:f>
        <x:v>-349660.31919583323</x:v>
      </x:c>
      <x:c r="L1513" s="10" t="str">
        <x:f>IF(G1513-H1513&lt;=0,"未回本",IF(ROUNDUP(I1513/(G1513-H1513),0)&gt;MIN(F1513,J1513),"未回本",MAX(1,ROUNDUP(I1513/(G1513-H1513),0))))</x:f>
        <x:v>未回本</x:v>
      </x:c>
    </x:row>
    <x:row r="1514" ht="22" customHeight="1">
      <x:c r="A1514" s="11" t="str">
        <x:v>lade_0827_10aoi</x:v>
      </x:c>
      <x:c r="B1514" s="10" t="n">
        <x:v>10</x:v>
      </x:c>
      <x:c r="C1514" s="10" t="n">
        <x:v>43</x:v>
      </x:c>
      <x:c r="D1514" s="10" t="str">
        <x:v>M1 / M3</x:v>
      </x:c>
      <x:c r="E1514" s="16" t="n">
        <x:v>4</x:v>
      </x:c>
      <x:c r="F1514" s="14" t="n">
        <x:v>30</x:v>
      </x:c>
      <x:c r="G1514" s="26" t="n">
        <x:f>'成本明细'!U223+'成本明细'!G223*(E1514-'参数'!$B$6)</x:f>
        <x:v>1808.0033778788888</x:v>
      </x:c>
      <x:c r="H1514" s="26" t="n">
        <x:f>'成本明细'!U229</x:f>
        <x:v>2323.768246568889</x:v>
      </x:c>
      <x:c r="I1514" s="26" t="n">
        <x:f>'成本明细'!V229</x:f>
        <x:v>4416.5</x:v>
      </x:c>
      <x:c r="J1514" s="22" t="n">
        <x:f>'参数'!$B$9</x:f>
        <x:v>300</x:v>
      </x:c>
      <x:c r="K1514" s="26" t="n">
        <x:f>J1514*(G1514-H1514)-I1514*ROUNDUP(J1514/F1514,0)</x:f>
        <x:v>-198894.46060700004</x:v>
      </x:c>
      <x:c r="L1514" s="10" t="str">
        <x:f>IF(G1514-H1514&lt;=0,"未回本",IF(ROUNDUP(I1514/(G1514-H1514),0)&gt;MIN(F1514,J1514),"未回本",MAX(1,ROUNDUP(I1514/(G1514-H1514),0))))</x:f>
        <x:v>未回本</x:v>
      </x:c>
    </x:row>
    <x:row r="1515" ht="22" customHeight="1">
      <x:c r="A1515" s="11" t="str">
        <x:v>lade_0827_10aoi</x:v>
      </x:c>
      <x:c r="B1515" s="10" t="n">
        <x:v>10</x:v>
      </x:c>
      <x:c r="C1515" s="10" t="n">
        <x:v>43</x:v>
      </x:c>
      <x:c r="D1515" s="10" t="str">
        <x:v>M2 / M4</x:v>
      </x:c>
      <x:c r="E1515" s="16" t="n">
        <x:v>4</x:v>
      </x:c>
      <x:c r="F1515" s="14" t="n">
        <x:v>30</x:v>
      </x:c>
      <x:c r="G1515" s="26" t="n">
        <x:f>'成本明细'!U226+'成本明细'!G226*(E1515-'参数'!$B$6)</x:f>
        <x:v>1377.2700316961113</x:v>
      </x:c>
      <x:c r="H1515" s="26" t="n">
        <x:f>'成本明细'!U232</x:f>
        <x:v>2321.9794290155555</x:v>
      </x:c>
      <x:c r="I1515" s="26" t="n">
        <x:f>'成本明细'!V232</x:f>
        <x:v>4416.5</x:v>
      </x:c>
      <x:c r="J1515" s="22" t="n">
        <x:f>'参数'!$B$9</x:f>
        <x:v>300</x:v>
      </x:c>
      <x:c r="K1515" s="26" t="n">
        <x:f>J1515*(G1515-H1515)-I1515*ROUNDUP(J1515/F1515,0)</x:f>
        <x:v>-327577.81919583323</x:v>
      </x:c>
      <x:c r="L1515" s="10" t="str">
        <x:f>IF(G1515-H1515&lt;=0,"未回本",IF(ROUNDUP(I1515/(G1515-H1515),0)&gt;MIN(F1515,J1515),"未回本",MAX(1,ROUNDUP(I1515/(G1515-H1515),0))))</x:f>
        <x:v>未回本</x:v>
      </x:c>
    </x:row>
    <x:row r="1516" ht="22" customHeight="1">
      <x:c r="A1516" s="11" t="str">
        <x:v>lade_0827_10aoi</x:v>
      </x:c>
      <x:c r="B1516" s="10" t="n">
        <x:v>10</x:v>
      </x:c>
      <x:c r="C1516" s="10" t="n">
        <x:v>43</x:v>
      </x:c>
      <x:c r="D1516" s="10" t="str">
        <x:v>M1 / M3</x:v>
      </x:c>
      <x:c r="E1516" s="16" t="n">
        <x:v>4</x:v>
      </x:c>
      <x:c r="F1516" s="14" t="n">
        <x:v>50</x:v>
      </x:c>
      <x:c r="G1516" s="26" t="n">
        <x:f>'成本明细'!U223+'成本明细'!G223*(E1516-'参数'!$B$6)</x:f>
        <x:v>1808.0033778788888</x:v>
      </x:c>
      <x:c r="H1516" s="26" t="n">
        <x:f>'成本明细'!U229</x:f>
        <x:v>2323.768246568889</x:v>
      </x:c>
      <x:c r="I1516" s="26" t="n">
        <x:f>'成本明细'!V229</x:f>
        <x:v>4416.5</x:v>
      </x:c>
      <x:c r="J1516" s="22" t="n">
        <x:f>'参数'!$B$9</x:f>
        <x:v>300</x:v>
      </x:c>
      <x:c r="K1516" s="26" t="n">
        <x:f>J1516*(G1516-H1516)-I1516*ROUNDUP(J1516/F1516,0)</x:f>
        <x:v>-181228.46060700004</x:v>
      </x:c>
      <x:c r="L1516" s="10" t="str">
        <x:f>IF(G1516-H1516&lt;=0,"未回本",IF(ROUNDUP(I1516/(G1516-H1516),0)&gt;MIN(F1516,J1516),"未回本",MAX(1,ROUNDUP(I1516/(G1516-H1516),0))))</x:f>
        <x:v>未回本</x:v>
      </x:c>
    </x:row>
    <x:row r="1517" ht="22" customHeight="1">
      <x:c r="A1517" s="11" t="str">
        <x:v>lade_0827_10aoi</x:v>
      </x:c>
      <x:c r="B1517" s="10" t="n">
        <x:v>10</x:v>
      </x:c>
      <x:c r="C1517" s="10" t="n">
        <x:v>43</x:v>
      </x:c>
      <x:c r="D1517" s="10" t="str">
        <x:v>M2 / M4</x:v>
      </x:c>
      <x:c r="E1517" s="16" t="n">
        <x:v>4</x:v>
      </x:c>
      <x:c r="F1517" s="14" t="n">
        <x:v>50</x:v>
      </x:c>
      <x:c r="G1517" s="26" t="n">
        <x:f>'成本明细'!U226+'成本明细'!G226*(E1517-'参数'!$B$6)</x:f>
        <x:v>1377.2700316961113</x:v>
      </x:c>
      <x:c r="H1517" s="26" t="n">
        <x:f>'成本明细'!U232</x:f>
        <x:v>2321.9794290155555</x:v>
      </x:c>
      <x:c r="I1517" s="26" t="n">
        <x:f>'成本明细'!V232</x:f>
        <x:v>4416.5</x:v>
      </x:c>
      <x:c r="J1517" s="22" t="n">
        <x:f>'参数'!$B$9</x:f>
        <x:v>300</x:v>
      </x:c>
      <x:c r="K1517" s="26" t="n">
        <x:f>J1517*(G1517-H1517)-I1517*ROUNDUP(J1517/F1517,0)</x:f>
        <x:v>-309911.81919583323</x:v>
      </x:c>
      <x:c r="L1517" s="10" t="str">
        <x:f>IF(G1517-H1517&lt;=0,"未回本",IF(ROUNDUP(I1517/(G1517-H1517),0)&gt;MIN(F1517,J1517),"未回本",MAX(1,ROUNDUP(I1517/(G1517-H1517),0))))</x:f>
        <x:v>未回本</x:v>
      </x:c>
    </x:row>
    <x:row r="1518" ht="22" customHeight="1">
      <x:c r="A1518" s="11" t="str">
        <x:v>lade_0827_10aoi</x:v>
      </x:c>
      <x:c r="B1518" s="10" t="n">
        <x:v>10</x:v>
      </x:c>
      <x:c r="C1518" s="10" t="n">
        <x:v>43</x:v>
      </x:c>
      <x:c r="D1518" s="10" t="str">
        <x:v>M1 / M3</x:v>
      </x:c>
      <x:c r="E1518" s="16" t="n">
        <x:v>5</x:v>
      </x:c>
      <x:c r="F1518" s="14" t="n">
        <x:v>10</x:v>
      </x:c>
      <x:c r="G1518" s="26" t="n">
        <x:f>'成本明细'!U223+'成本明细'!G223*(E1518-'参数'!$B$6)</x:f>
        <x:v>1929.0033778788888</x:v>
      </x:c>
      <x:c r="H1518" s="26" t="n">
        <x:f>'成本明细'!U229</x:f>
        <x:v>2323.768246568889</x:v>
      </x:c>
      <x:c r="I1518" s="26" t="n">
        <x:f>'成本明细'!V229</x:f>
        <x:v>4416.5</x:v>
      </x:c>
      <x:c r="J1518" s="22" t="n">
        <x:f>'参数'!$B$9</x:f>
        <x:v>300</x:v>
      </x:c>
      <x:c r="K1518" s="26" t="n">
        <x:f>J1518*(G1518-H1518)-I1518*ROUNDUP(J1518/F1518,0)</x:f>
        <x:v>-250924.46060700004</x:v>
      </x:c>
      <x:c r="L1518" s="10" t="str">
        <x:f>IF(G1518-H1518&lt;=0,"未回本",IF(ROUNDUP(I1518/(G1518-H1518),0)&gt;MIN(F1518,J1518),"未回本",MAX(1,ROUNDUP(I1518/(G1518-H1518),0))))</x:f>
        <x:v>未回本</x:v>
      </x:c>
    </x:row>
    <x:row r="1519" ht="22" customHeight="1">
      <x:c r="A1519" s="11" t="str">
        <x:v>lade_0827_10aoi</x:v>
      </x:c>
      <x:c r="B1519" s="10" t="n">
        <x:v>10</x:v>
      </x:c>
      <x:c r="C1519" s="10" t="n">
        <x:v>43</x:v>
      </x:c>
      <x:c r="D1519" s="10" t="str">
        <x:v>M2 / M4</x:v>
      </x:c>
      <x:c r="E1519" s="16" t="n">
        <x:v>5</x:v>
      </x:c>
      <x:c r="F1519" s="14" t="n">
        <x:v>10</x:v>
      </x:c>
      <x:c r="G1519" s="26" t="n">
        <x:f>'成本明细'!U226+'成本明细'!G226*(E1519-'参数'!$B$6)</x:f>
        <x:v>1498.2700316961113</x:v>
      </x:c>
      <x:c r="H1519" s="26" t="n">
        <x:f>'成本明细'!U232</x:f>
        <x:v>2321.9794290155555</x:v>
      </x:c>
      <x:c r="I1519" s="26" t="n">
        <x:f>'成本明细'!V232</x:f>
        <x:v>4416.5</x:v>
      </x:c>
      <x:c r="J1519" s="22" t="n">
        <x:f>'参数'!$B$9</x:f>
        <x:v>300</x:v>
      </x:c>
      <x:c r="K1519" s="26" t="n">
        <x:f>J1519*(G1519-H1519)-I1519*ROUNDUP(J1519/F1519,0)</x:f>
        <x:v>-379607.8191958333</x:v>
      </x:c>
      <x:c r="L1519" s="10" t="str">
        <x:f>IF(G1519-H1519&lt;=0,"未回本",IF(ROUNDUP(I1519/(G1519-H1519),0)&gt;MIN(F1519,J1519),"未回本",MAX(1,ROUNDUP(I1519/(G1519-H1519),0))))</x:f>
        <x:v>未回本</x:v>
      </x:c>
    </x:row>
    <x:row r="1520" ht="22" customHeight="1">
      <x:c r="A1520" s="11" t="str">
        <x:v>lade_0827_10aoi</x:v>
      </x:c>
      <x:c r="B1520" s="10" t="n">
        <x:v>10</x:v>
      </x:c>
      <x:c r="C1520" s="10" t="n">
        <x:v>43</x:v>
      </x:c>
      <x:c r="D1520" s="10" t="str">
        <x:v>M1 / M3</x:v>
      </x:c>
      <x:c r="E1520" s="16" t="n">
        <x:v>5</x:v>
      </x:c>
      <x:c r="F1520" s="14" t="n">
        <x:v>20</x:v>
      </x:c>
      <x:c r="G1520" s="26" t="n">
        <x:f>'成本明细'!U223+'成本明细'!G223*(E1520-'参数'!$B$6)</x:f>
        <x:v>1929.0033778788888</x:v>
      </x:c>
      <x:c r="H1520" s="26" t="n">
        <x:f>'成本明细'!U229</x:f>
        <x:v>2323.768246568889</x:v>
      </x:c>
      <x:c r="I1520" s="26" t="n">
        <x:f>'成本明细'!V229</x:f>
        <x:v>4416.5</x:v>
      </x:c>
      <x:c r="J1520" s="22" t="n">
        <x:f>'参数'!$B$9</x:f>
        <x:v>300</x:v>
      </x:c>
      <x:c r="K1520" s="26" t="n">
        <x:f>J1520*(G1520-H1520)-I1520*ROUNDUP(J1520/F1520,0)</x:f>
        <x:v>-184676.96060700004</x:v>
      </x:c>
      <x:c r="L1520" s="10" t="str">
        <x:f>IF(G1520-H1520&lt;=0,"未回本",IF(ROUNDUP(I1520/(G1520-H1520),0)&gt;MIN(F1520,J1520),"未回本",MAX(1,ROUNDUP(I1520/(G1520-H1520),0))))</x:f>
        <x:v>未回本</x:v>
      </x:c>
    </x:row>
    <x:row r="1521" ht="22" customHeight="1">
      <x:c r="A1521" s="11" t="str">
        <x:v>lade_0827_10aoi</x:v>
      </x:c>
      <x:c r="B1521" s="10" t="n">
        <x:v>10</x:v>
      </x:c>
      <x:c r="C1521" s="10" t="n">
        <x:v>43</x:v>
      </x:c>
      <x:c r="D1521" s="10" t="str">
        <x:v>M2 / M4</x:v>
      </x:c>
      <x:c r="E1521" s="16" t="n">
        <x:v>5</x:v>
      </x:c>
      <x:c r="F1521" s="14" t="n">
        <x:v>20</x:v>
      </x:c>
      <x:c r="G1521" s="26" t="n">
        <x:f>'成本明细'!U226+'成本明细'!G226*(E1521-'参数'!$B$6)</x:f>
        <x:v>1498.2700316961113</x:v>
      </x:c>
      <x:c r="H1521" s="26" t="n">
        <x:f>'成本明细'!U232</x:f>
        <x:v>2321.9794290155555</x:v>
      </x:c>
      <x:c r="I1521" s="26" t="n">
        <x:f>'成本明细'!V232</x:f>
        <x:v>4416.5</x:v>
      </x:c>
      <x:c r="J1521" s="22" t="n">
        <x:f>'参数'!$B$9</x:f>
        <x:v>300</x:v>
      </x:c>
      <x:c r="K1521" s="26" t="n">
        <x:f>J1521*(G1521-H1521)-I1521*ROUNDUP(J1521/F1521,0)</x:f>
        <x:v>-313360.3191958333</x:v>
      </x:c>
      <x:c r="L1521" s="10" t="str">
        <x:f>IF(G1521-H1521&lt;=0,"未回本",IF(ROUNDUP(I1521/(G1521-H1521),0)&gt;MIN(F1521,J1521),"未回本",MAX(1,ROUNDUP(I1521/(G1521-H1521),0))))</x:f>
        <x:v>未回本</x:v>
      </x:c>
    </x:row>
    <x:row r="1522" ht="22" customHeight="1">
      <x:c r="A1522" s="11" t="str">
        <x:v>lade_0827_10aoi</x:v>
      </x:c>
      <x:c r="B1522" s="10" t="n">
        <x:v>10</x:v>
      </x:c>
      <x:c r="C1522" s="10" t="n">
        <x:v>43</x:v>
      </x:c>
      <x:c r="D1522" s="10" t="str">
        <x:v>M1 / M3</x:v>
      </x:c>
      <x:c r="E1522" s="16" t="n">
        <x:v>5</x:v>
      </x:c>
      <x:c r="F1522" s="14" t="n">
        <x:v>30</x:v>
      </x:c>
      <x:c r="G1522" s="26" t="n">
        <x:f>'成本明细'!U223+'成本明细'!G223*(E1522-'参数'!$B$6)</x:f>
        <x:v>1929.0033778788888</x:v>
      </x:c>
      <x:c r="H1522" s="26" t="n">
        <x:f>'成本明细'!U229</x:f>
        <x:v>2323.768246568889</x:v>
      </x:c>
      <x:c r="I1522" s="26" t="n">
        <x:f>'成本明细'!V229</x:f>
        <x:v>4416.5</x:v>
      </x:c>
      <x:c r="J1522" s="22" t="n">
        <x:f>'参数'!$B$9</x:f>
        <x:v>300</x:v>
      </x:c>
      <x:c r="K1522" s="26" t="n">
        <x:f>J1522*(G1522-H1522)-I1522*ROUNDUP(J1522/F1522,0)</x:f>
        <x:v>-162594.46060700004</x:v>
      </x:c>
      <x:c r="L1522" s="10" t="str">
        <x:f>IF(G1522-H1522&lt;=0,"未回本",IF(ROUNDUP(I1522/(G1522-H1522),0)&gt;MIN(F1522,J1522),"未回本",MAX(1,ROUNDUP(I1522/(G1522-H1522),0))))</x:f>
        <x:v>未回本</x:v>
      </x:c>
    </x:row>
    <x:row r="1523" ht="22" customHeight="1">
      <x:c r="A1523" s="11" t="str">
        <x:v>lade_0827_10aoi</x:v>
      </x:c>
      <x:c r="B1523" s="10" t="n">
        <x:v>10</x:v>
      </x:c>
      <x:c r="C1523" s="10" t="n">
        <x:v>43</x:v>
      </x:c>
      <x:c r="D1523" s="10" t="str">
        <x:v>M2 / M4</x:v>
      </x:c>
      <x:c r="E1523" s="16" t="n">
        <x:v>5</x:v>
      </x:c>
      <x:c r="F1523" s="14" t="n">
        <x:v>30</x:v>
      </x:c>
      <x:c r="G1523" s="26" t="n">
        <x:f>'成本明细'!U226+'成本明细'!G226*(E1523-'参数'!$B$6)</x:f>
        <x:v>1498.2700316961113</x:v>
      </x:c>
      <x:c r="H1523" s="26" t="n">
        <x:f>'成本明细'!U232</x:f>
        <x:v>2321.9794290155555</x:v>
      </x:c>
      <x:c r="I1523" s="26" t="n">
        <x:f>'成本明细'!V232</x:f>
        <x:v>4416.5</x:v>
      </x:c>
      <x:c r="J1523" s="22" t="n">
        <x:f>'参数'!$B$9</x:f>
        <x:v>300</x:v>
      </x:c>
      <x:c r="K1523" s="26" t="n">
        <x:f>J1523*(G1523-H1523)-I1523*ROUNDUP(J1523/F1523,0)</x:f>
        <x:v>-291277.8191958333</x:v>
      </x:c>
      <x:c r="L1523" s="10" t="str">
        <x:f>IF(G1523-H1523&lt;=0,"未回本",IF(ROUNDUP(I1523/(G1523-H1523),0)&gt;MIN(F1523,J1523),"未回本",MAX(1,ROUNDUP(I1523/(G1523-H1523),0))))</x:f>
        <x:v>未回本</x:v>
      </x:c>
    </x:row>
    <x:row r="1524" ht="22" customHeight="1">
      <x:c r="A1524" s="11" t="str">
        <x:v>lade_0827_10aoi</x:v>
      </x:c>
      <x:c r="B1524" s="10" t="n">
        <x:v>10</x:v>
      </x:c>
      <x:c r="C1524" s="10" t="n">
        <x:v>43</x:v>
      </x:c>
      <x:c r="D1524" s="10" t="str">
        <x:v>M1 / M3</x:v>
      </x:c>
      <x:c r="E1524" s="16" t="n">
        <x:v>5</x:v>
      </x:c>
      <x:c r="F1524" s="14" t="n">
        <x:v>50</x:v>
      </x:c>
      <x:c r="G1524" s="26" t="n">
        <x:f>'成本明细'!U223+'成本明细'!G223*(E1524-'参数'!$B$6)</x:f>
        <x:v>1929.0033778788888</x:v>
      </x:c>
      <x:c r="H1524" s="26" t="n">
        <x:f>'成本明细'!U229</x:f>
        <x:v>2323.768246568889</x:v>
      </x:c>
      <x:c r="I1524" s="26" t="n">
        <x:f>'成本明细'!V229</x:f>
        <x:v>4416.5</x:v>
      </x:c>
      <x:c r="J1524" s="22" t="n">
        <x:f>'参数'!$B$9</x:f>
        <x:v>300</x:v>
      </x:c>
      <x:c r="K1524" s="26" t="n">
        <x:f>J1524*(G1524-H1524)-I1524*ROUNDUP(J1524/F1524,0)</x:f>
        <x:v>-144928.46060700004</x:v>
      </x:c>
      <x:c r="L1524" s="10" t="str">
        <x:f>IF(G1524-H1524&lt;=0,"未回本",IF(ROUNDUP(I1524/(G1524-H1524),0)&gt;MIN(F1524,J1524),"未回本",MAX(1,ROUNDUP(I1524/(G1524-H1524),0))))</x:f>
        <x:v>未回本</x:v>
      </x:c>
    </x:row>
    <x:row r="1525" ht="22" customHeight="1">
      <x:c r="A1525" s="11" t="str">
        <x:v>lade_0827_10aoi</x:v>
      </x:c>
      <x:c r="B1525" s="10" t="n">
        <x:v>10</x:v>
      </x:c>
      <x:c r="C1525" s="10" t="n">
        <x:v>43</x:v>
      </x:c>
      <x:c r="D1525" s="10" t="str">
        <x:v>M2 / M4</x:v>
      </x:c>
      <x:c r="E1525" s="16" t="n">
        <x:v>5</x:v>
      </x:c>
      <x:c r="F1525" s="14" t="n">
        <x:v>50</x:v>
      </x:c>
      <x:c r="G1525" s="26" t="n">
        <x:f>'成本明细'!U226+'成本明细'!G226*(E1525-'参数'!$B$6)</x:f>
        <x:v>1498.2700316961113</x:v>
      </x:c>
      <x:c r="H1525" s="26" t="n">
        <x:f>'成本明细'!U232</x:f>
        <x:v>2321.9794290155555</x:v>
      </x:c>
      <x:c r="I1525" s="26" t="n">
        <x:f>'成本明细'!V232</x:f>
        <x:v>4416.5</x:v>
      </x:c>
      <x:c r="J1525" s="22" t="n">
        <x:f>'参数'!$B$9</x:f>
        <x:v>300</x:v>
      </x:c>
      <x:c r="K1525" s="26" t="n">
        <x:f>J1525*(G1525-H1525)-I1525*ROUNDUP(J1525/F1525,0)</x:f>
        <x:v>-273611.8191958333</x:v>
      </x:c>
      <x:c r="L1525" s="10" t="str">
        <x:f>IF(G1525-H1525&lt;=0,"未回本",IF(ROUNDUP(I1525/(G1525-H1525),0)&gt;MIN(F1525,J1525),"未回本",MAX(1,ROUNDUP(I1525/(G1525-H1525),0))))</x:f>
        <x:v>未回本</x:v>
      </x:c>
    </x:row>
    <x:row r="1526" ht="22" customHeight="1">
      <x:c r="A1526" s="11" t="str">
        <x:v>lade_0827_10aoi</x:v>
      </x:c>
      <x:c r="B1526" s="10" t="n">
        <x:v>10</x:v>
      </x:c>
      <x:c r="C1526" s="10" t="n">
        <x:v>44</x:v>
      </x:c>
      <x:c r="D1526" s="10" t="str">
        <x:v>M1 / M3</x:v>
      </x:c>
      <x:c r="E1526" s="16" t="n">
        <x:v>1</x:v>
      </x:c>
      <x:c r="F1526" s="14" t="n">
        <x:v>10</x:v>
      </x:c>
      <x:c r="G1526" s="26" t="n">
        <x:f>'成本明细'!U224+'成本明细'!G224*(E1526-'参数'!$B$6)</x:f>
        <x:v>1445.0033778788888</x:v>
      </x:c>
      <x:c r="H1526" s="26" t="n">
        <x:f>'成本明细'!U230</x:f>
        <x:v>2323.768246568889</x:v>
      </x:c>
      <x:c r="I1526" s="26" t="n">
        <x:f>'成本明细'!V230</x:f>
        <x:v>4416.5</x:v>
      </x:c>
      <x:c r="J1526" s="22" t="n">
        <x:f>'参数'!$B$9</x:f>
        <x:v>300</x:v>
      </x:c>
      <x:c r="K1526" s="26" t="n">
        <x:f>J1526*(G1526-H1526)-I1526*ROUNDUP(J1526/F1526,0)</x:f>
        <x:v>-396124.46060700004</x:v>
      </x:c>
      <x:c r="L1526" s="10" t="str">
        <x:f>IF(G1526-H1526&lt;=0,"未回本",IF(ROUNDUP(I1526/(G1526-H1526),0)&gt;MIN(F1526,J1526),"未回本",MAX(1,ROUNDUP(I1526/(G1526-H1526),0))))</x:f>
        <x:v>未回本</x:v>
      </x:c>
    </x:row>
    <x:row r="1527" ht="22" customHeight="1">
      <x:c r="A1527" s="11" t="str">
        <x:v>lade_0827_10aoi</x:v>
      </x:c>
      <x:c r="B1527" s="10" t="n">
        <x:v>10</x:v>
      </x:c>
      <x:c r="C1527" s="10" t="n">
        <x:v>44</x:v>
      </x:c>
      <x:c r="D1527" s="10" t="str">
        <x:v>M2 / M4</x:v>
      </x:c>
      <x:c r="E1527" s="16" t="n">
        <x:v>1</x:v>
      </x:c>
      <x:c r="F1527" s="14" t="n">
        <x:v>10</x:v>
      </x:c>
      <x:c r="G1527" s="26" t="n">
        <x:f>'成本明细'!U227+'成本明细'!G227*(E1527-'参数'!$B$6)</x:f>
        <x:v>1097.098726087222</x:v>
      </x:c>
      <x:c r="H1527" s="26" t="n">
        <x:f>'成本明细'!U233</x:f>
        <x:v>1851.9027635483328</x:v>
      </x:c>
      <x:c r="I1527" s="26" t="n">
        <x:f>'成本明细'!V233</x:f>
        <x:v>4416.5</x:v>
      </x:c>
      <x:c r="J1527" s="22" t="n">
        <x:f>'参数'!$B$9</x:f>
        <x:v>300</x:v>
      </x:c>
      <x:c r="K1527" s="26" t="n">
        <x:f>J1527*(G1527-H1527)-I1527*ROUNDUP(J1527/F1527,0)</x:f>
        <x:v>-358936.21123833326</x:v>
      </x:c>
      <x:c r="L1527" s="10" t="str">
        <x:f>IF(G1527-H1527&lt;=0,"未回本",IF(ROUNDUP(I1527/(G1527-H1527),0)&gt;MIN(F1527,J1527),"未回本",MAX(1,ROUNDUP(I1527/(G1527-H1527),0))))</x:f>
        <x:v>未回本</x:v>
      </x:c>
    </x:row>
    <x:row r="1528" ht="22" customHeight="1">
      <x:c r="A1528" s="11" t="str">
        <x:v>lade_0827_10aoi</x:v>
      </x:c>
      <x:c r="B1528" s="10" t="n">
        <x:v>10</x:v>
      </x:c>
      <x:c r="C1528" s="10" t="n">
        <x:v>44</x:v>
      </x:c>
      <x:c r="D1528" s="10" t="str">
        <x:v>M1 / M3</x:v>
      </x:c>
      <x:c r="E1528" s="16" t="n">
        <x:v>1</x:v>
      </x:c>
      <x:c r="F1528" s="14" t="n">
        <x:v>20</x:v>
      </x:c>
      <x:c r="G1528" s="26" t="n">
        <x:f>'成本明细'!U224+'成本明细'!G224*(E1528-'参数'!$B$6)</x:f>
        <x:v>1445.0033778788888</x:v>
      </x:c>
      <x:c r="H1528" s="26" t="n">
        <x:f>'成本明细'!U230</x:f>
        <x:v>2323.768246568889</x:v>
      </x:c>
      <x:c r="I1528" s="26" t="n">
        <x:f>'成本明细'!V230</x:f>
        <x:v>4416.5</x:v>
      </x:c>
      <x:c r="J1528" s="22" t="n">
        <x:f>'参数'!$B$9</x:f>
        <x:v>300</x:v>
      </x:c>
      <x:c r="K1528" s="26" t="n">
        <x:f>J1528*(G1528-H1528)-I1528*ROUNDUP(J1528/F1528,0)</x:f>
        <x:v>-329876.96060700004</x:v>
      </x:c>
      <x:c r="L1528" s="10" t="str">
        <x:f>IF(G1528-H1528&lt;=0,"未回本",IF(ROUNDUP(I1528/(G1528-H1528),0)&gt;MIN(F1528,J1528),"未回本",MAX(1,ROUNDUP(I1528/(G1528-H1528),0))))</x:f>
        <x:v>未回本</x:v>
      </x:c>
    </x:row>
    <x:row r="1529" ht="22" customHeight="1">
      <x:c r="A1529" s="11" t="str">
        <x:v>lade_0827_10aoi</x:v>
      </x:c>
      <x:c r="B1529" s="10" t="n">
        <x:v>10</x:v>
      </x:c>
      <x:c r="C1529" s="10" t="n">
        <x:v>44</x:v>
      </x:c>
      <x:c r="D1529" s="10" t="str">
        <x:v>M2 / M4</x:v>
      </x:c>
      <x:c r="E1529" s="16" t="n">
        <x:v>1</x:v>
      </x:c>
      <x:c r="F1529" s="14" t="n">
        <x:v>20</x:v>
      </x:c>
      <x:c r="G1529" s="26" t="n">
        <x:f>'成本明细'!U227+'成本明细'!G227*(E1529-'参数'!$B$6)</x:f>
        <x:v>1097.098726087222</x:v>
      </x:c>
      <x:c r="H1529" s="26" t="n">
        <x:f>'成本明细'!U233</x:f>
        <x:v>1851.9027635483328</x:v>
      </x:c>
      <x:c r="I1529" s="26" t="n">
        <x:f>'成本明细'!V233</x:f>
        <x:v>4416.5</x:v>
      </x:c>
      <x:c r="J1529" s="22" t="n">
        <x:f>'参数'!$B$9</x:f>
        <x:v>300</x:v>
      </x:c>
      <x:c r="K1529" s="26" t="n">
        <x:f>J1529*(G1529-H1529)-I1529*ROUNDUP(J1529/F1529,0)</x:f>
        <x:v>-292688.71123833326</x:v>
      </x:c>
      <x:c r="L1529" s="10" t="str">
        <x:f>IF(G1529-H1529&lt;=0,"未回本",IF(ROUNDUP(I1529/(G1529-H1529),0)&gt;MIN(F1529,J1529),"未回本",MAX(1,ROUNDUP(I1529/(G1529-H1529),0))))</x:f>
        <x:v>未回本</x:v>
      </x:c>
    </x:row>
    <x:row r="1530" ht="22" customHeight="1">
      <x:c r="A1530" s="11" t="str">
        <x:v>lade_0827_10aoi</x:v>
      </x:c>
      <x:c r="B1530" s="10" t="n">
        <x:v>10</x:v>
      </x:c>
      <x:c r="C1530" s="10" t="n">
        <x:v>44</x:v>
      </x:c>
      <x:c r="D1530" s="10" t="str">
        <x:v>M1 / M3</x:v>
      </x:c>
      <x:c r="E1530" s="16" t="n">
        <x:v>1</x:v>
      </x:c>
      <x:c r="F1530" s="14" t="n">
        <x:v>30</x:v>
      </x:c>
      <x:c r="G1530" s="26" t="n">
        <x:f>'成本明细'!U224+'成本明细'!G224*(E1530-'参数'!$B$6)</x:f>
        <x:v>1445.0033778788888</x:v>
      </x:c>
      <x:c r="H1530" s="26" t="n">
        <x:f>'成本明细'!U230</x:f>
        <x:v>2323.768246568889</x:v>
      </x:c>
      <x:c r="I1530" s="26" t="n">
        <x:f>'成本明细'!V230</x:f>
        <x:v>4416.5</x:v>
      </x:c>
      <x:c r="J1530" s="22" t="n">
        <x:f>'参数'!$B$9</x:f>
        <x:v>300</x:v>
      </x:c>
      <x:c r="K1530" s="26" t="n">
        <x:f>J1530*(G1530-H1530)-I1530*ROUNDUP(J1530/F1530,0)</x:f>
        <x:v>-307794.46060700004</x:v>
      </x:c>
      <x:c r="L1530" s="10" t="str">
        <x:f>IF(G1530-H1530&lt;=0,"未回本",IF(ROUNDUP(I1530/(G1530-H1530),0)&gt;MIN(F1530,J1530),"未回本",MAX(1,ROUNDUP(I1530/(G1530-H1530),0))))</x:f>
        <x:v>未回本</x:v>
      </x:c>
    </x:row>
    <x:row r="1531" ht="22" customHeight="1">
      <x:c r="A1531" s="11" t="str">
        <x:v>lade_0827_10aoi</x:v>
      </x:c>
      <x:c r="B1531" s="10" t="n">
        <x:v>10</x:v>
      </x:c>
      <x:c r="C1531" s="10" t="n">
        <x:v>44</x:v>
      </x:c>
      <x:c r="D1531" s="10" t="str">
        <x:v>M2 / M4</x:v>
      </x:c>
      <x:c r="E1531" s="16" t="n">
        <x:v>1</x:v>
      </x:c>
      <x:c r="F1531" s="14" t="n">
        <x:v>30</x:v>
      </x:c>
      <x:c r="G1531" s="26" t="n">
        <x:f>'成本明细'!U227+'成本明细'!G227*(E1531-'参数'!$B$6)</x:f>
        <x:v>1097.098726087222</x:v>
      </x:c>
      <x:c r="H1531" s="26" t="n">
        <x:f>'成本明细'!U233</x:f>
        <x:v>1851.9027635483328</x:v>
      </x:c>
      <x:c r="I1531" s="26" t="n">
        <x:f>'成本明细'!V233</x:f>
        <x:v>4416.5</x:v>
      </x:c>
      <x:c r="J1531" s="22" t="n">
        <x:f>'参数'!$B$9</x:f>
        <x:v>300</x:v>
      </x:c>
      <x:c r="K1531" s="26" t="n">
        <x:f>J1531*(G1531-H1531)-I1531*ROUNDUP(J1531/F1531,0)</x:f>
        <x:v>-270606.21123833326</x:v>
      </x:c>
      <x:c r="L1531" s="10" t="str">
        <x:f>IF(G1531-H1531&lt;=0,"未回本",IF(ROUNDUP(I1531/(G1531-H1531),0)&gt;MIN(F1531,J1531),"未回本",MAX(1,ROUNDUP(I1531/(G1531-H1531),0))))</x:f>
        <x:v>未回本</x:v>
      </x:c>
    </x:row>
    <x:row r="1532" ht="22" customHeight="1">
      <x:c r="A1532" s="11" t="str">
        <x:v>lade_0827_10aoi</x:v>
      </x:c>
      <x:c r="B1532" s="10" t="n">
        <x:v>10</x:v>
      </x:c>
      <x:c r="C1532" s="10" t="n">
        <x:v>44</x:v>
      </x:c>
      <x:c r="D1532" s="10" t="str">
        <x:v>M1 / M3</x:v>
      </x:c>
      <x:c r="E1532" s="16" t="n">
        <x:v>1</x:v>
      </x:c>
      <x:c r="F1532" s="14" t="n">
        <x:v>50</x:v>
      </x:c>
      <x:c r="G1532" s="26" t="n">
        <x:f>'成本明细'!U224+'成本明细'!G224*(E1532-'参数'!$B$6)</x:f>
        <x:v>1445.0033778788888</x:v>
      </x:c>
      <x:c r="H1532" s="26" t="n">
        <x:f>'成本明细'!U230</x:f>
        <x:v>2323.768246568889</x:v>
      </x:c>
      <x:c r="I1532" s="26" t="n">
        <x:f>'成本明细'!V230</x:f>
        <x:v>4416.5</x:v>
      </x:c>
      <x:c r="J1532" s="22" t="n">
        <x:f>'参数'!$B$9</x:f>
        <x:v>300</x:v>
      </x:c>
      <x:c r="K1532" s="26" t="n">
        <x:f>J1532*(G1532-H1532)-I1532*ROUNDUP(J1532/F1532,0)</x:f>
        <x:v>-290128.46060700004</x:v>
      </x:c>
      <x:c r="L1532" s="10" t="str">
        <x:f>IF(G1532-H1532&lt;=0,"未回本",IF(ROUNDUP(I1532/(G1532-H1532),0)&gt;MIN(F1532,J1532),"未回本",MAX(1,ROUNDUP(I1532/(G1532-H1532),0))))</x:f>
        <x:v>未回本</x:v>
      </x:c>
    </x:row>
    <x:row r="1533" ht="22" customHeight="1">
      <x:c r="A1533" s="11" t="str">
        <x:v>lade_0827_10aoi</x:v>
      </x:c>
      <x:c r="B1533" s="10" t="n">
        <x:v>10</x:v>
      </x:c>
      <x:c r="C1533" s="10" t="n">
        <x:v>44</x:v>
      </x:c>
      <x:c r="D1533" s="10" t="str">
        <x:v>M2 / M4</x:v>
      </x:c>
      <x:c r="E1533" s="16" t="n">
        <x:v>1</x:v>
      </x:c>
      <x:c r="F1533" s="14" t="n">
        <x:v>50</x:v>
      </x:c>
      <x:c r="G1533" s="26" t="n">
        <x:f>'成本明细'!U227+'成本明细'!G227*(E1533-'参数'!$B$6)</x:f>
        <x:v>1097.098726087222</x:v>
      </x:c>
      <x:c r="H1533" s="26" t="n">
        <x:f>'成本明细'!U233</x:f>
        <x:v>1851.9027635483328</x:v>
      </x:c>
      <x:c r="I1533" s="26" t="n">
        <x:f>'成本明细'!V233</x:f>
        <x:v>4416.5</x:v>
      </x:c>
      <x:c r="J1533" s="22" t="n">
        <x:f>'参数'!$B$9</x:f>
        <x:v>300</x:v>
      </x:c>
      <x:c r="K1533" s="26" t="n">
        <x:f>J1533*(G1533-H1533)-I1533*ROUNDUP(J1533/F1533,0)</x:f>
        <x:v>-252940.21123833323</x:v>
      </x:c>
      <x:c r="L1533" s="10" t="str">
        <x:f>IF(G1533-H1533&lt;=0,"未回本",IF(ROUNDUP(I1533/(G1533-H1533),0)&gt;MIN(F1533,J1533),"未回本",MAX(1,ROUNDUP(I1533/(G1533-H1533),0))))</x:f>
        <x:v>未回本</x:v>
      </x:c>
    </x:row>
    <x:row r="1534" ht="22" customHeight="1">
      <x:c r="A1534" s="11" t="str">
        <x:v>lade_0827_10aoi</x:v>
      </x:c>
      <x:c r="B1534" s="10" t="n">
        <x:v>10</x:v>
      </x:c>
      <x:c r="C1534" s="10" t="n">
        <x:v>44</x:v>
      </x:c>
      <x:c r="D1534" s="10" t="str">
        <x:v>M1 / M3</x:v>
      </x:c>
      <x:c r="E1534" s="16" t="n">
        <x:v>2</x:v>
      </x:c>
      <x:c r="F1534" s="14" t="n">
        <x:v>10</x:v>
      </x:c>
      <x:c r="G1534" s="26" t="n">
        <x:f>'成本明细'!U224+'成本明细'!G224*(E1534-'参数'!$B$6)</x:f>
        <x:v>1566.0033778788888</x:v>
      </x:c>
      <x:c r="H1534" s="26" t="n">
        <x:f>'成本明细'!U230</x:f>
        <x:v>2323.768246568889</x:v>
      </x:c>
      <x:c r="I1534" s="26" t="n">
        <x:f>'成本明细'!V230</x:f>
        <x:v>4416.5</x:v>
      </x:c>
      <x:c r="J1534" s="22" t="n">
        <x:f>'参数'!$B$9</x:f>
        <x:v>300</x:v>
      </x:c>
      <x:c r="K1534" s="26" t="n">
        <x:f>J1534*(G1534-H1534)-I1534*ROUNDUP(J1534/F1534,0)</x:f>
        <x:v>-359824.46060700004</x:v>
      </x:c>
      <x:c r="L1534" s="10" t="str">
        <x:f>IF(G1534-H1534&lt;=0,"未回本",IF(ROUNDUP(I1534/(G1534-H1534),0)&gt;MIN(F1534,J1534),"未回本",MAX(1,ROUNDUP(I1534/(G1534-H1534),0))))</x:f>
        <x:v>未回本</x:v>
      </x:c>
    </x:row>
    <x:row r="1535" ht="22" customHeight="1">
      <x:c r="A1535" s="11" t="str">
        <x:v>lade_0827_10aoi</x:v>
      </x:c>
      <x:c r="B1535" s="10" t="n">
        <x:v>10</x:v>
      </x:c>
      <x:c r="C1535" s="10" t="n">
        <x:v>44</x:v>
      </x:c>
      <x:c r="D1535" s="10" t="str">
        <x:v>M2 / M4</x:v>
      </x:c>
      <x:c r="E1535" s="16" t="n">
        <x:v>2</x:v>
      </x:c>
      <x:c r="F1535" s="14" t="n">
        <x:v>10</x:v>
      </x:c>
      <x:c r="G1535" s="26" t="n">
        <x:f>'成本明细'!U227+'成本明细'!G227*(E1535-'参数'!$B$6)</x:f>
        <x:v>1218.098726087222</x:v>
      </x:c>
      <x:c r="H1535" s="26" t="n">
        <x:f>'成本明细'!U233</x:f>
        <x:v>1851.9027635483328</x:v>
      </x:c>
      <x:c r="I1535" s="26" t="n">
        <x:f>'成本明细'!V233</x:f>
        <x:v>4416.5</x:v>
      </x:c>
      <x:c r="J1535" s="22" t="n">
        <x:f>'参数'!$B$9</x:f>
        <x:v>300</x:v>
      </x:c>
      <x:c r="K1535" s="26" t="n">
        <x:f>J1535*(G1535-H1535)-I1535*ROUNDUP(J1535/F1535,0)</x:f>
        <x:v>-322636.21123833326</x:v>
      </x:c>
      <x:c r="L1535" s="10" t="str">
        <x:f>IF(G1535-H1535&lt;=0,"未回本",IF(ROUNDUP(I1535/(G1535-H1535),0)&gt;MIN(F1535,J1535),"未回本",MAX(1,ROUNDUP(I1535/(G1535-H1535),0))))</x:f>
        <x:v>未回本</x:v>
      </x:c>
    </x:row>
    <x:row r="1536" ht="22" customHeight="1">
      <x:c r="A1536" s="11" t="str">
        <x:v>lade_0827_10aoi</x:v>
      </x:c>
      <x:c r="B1536" s="10" t="n">
        <x:v>10</x:v>
      </x:c>
      <x:c r="C1536" s="10" t="n">
        <x:v>44</x:v>
      </x:c>
      <x:c r="D1536" s="10" t="str">
        <x:v>M1 / M3</x:v>
      </x:c>
      <x:c r="E1536" s="16" t="n">
        <x:v>2</x:v>
      </x:c>
      <x:c r="F1536" s="14" t="n">
        <x:v>20</x:v>
      </x:c>
      <x:c r="G1536" s="26" t="n">
        <x:f>'成本明细'!U224+'成本明细'!G224*(E1536-'参数'!$B$6)</x:f>
        <x:v>1566.0033778788888</x:v>
      </x:c>
      <x:c r="H1536" s="26" t="n">
        <x:f>'成本明细'!U230</x:f>
        <x:v>2323.768246568889</x:v>
      </x:c>
      <x:c r="I1536" s="26" t="n">
        <x:f>'成本明细'!V230</x:f>
        <x:v>4416.5</x:v>
      </x:c>
      <x:c r="J1536" s="22" t="n">
        <x:f>'参数'!$B$9</x:f>
        <x:v>300</x:v>
      </x:c>
      <x:c r="K1536" s="26" t="n">
        <x:f>J1536*(G1536-H1536)-I1536*ROUNDUP(J1536/F1536,0)</x:f>
        <x:v>-293576.96060700004</x:v>
      </x:c>
      <x:c r="L1536" s="10" t="str">
        <x:f>IF(G1536-H1536&lt;=0,"未回本",IF(ROUNDUP(I1536/(G1536-H1536),0)&gt;MIN(F1536,J1536),"未回本",MAX(1,ROUNDUP(I1536/(G1536-H1536),0))))</x:f>
        <x:v>未回本</x:v>
      </x:c>
    </x:row>
    <x:row r="1537" ht="22" customHeight="1">
      <x:c r="A1537" s="11" t="str">
        <x:v>lade_0827_10aoi</x:v>
      </x:c>
      <x:c r="B1537" s="10" t="n">
        <x:v>10</x:v>
      </x:c>
      <x:c r="C1537" s="10" t="n">
        <x:v>44</x:v>
      </x:c>
      <x:c r="D1537" s="10" t="str">
        <x:v>M2 / M4</x:v>
      </x:c>
      <x:c r="E1537" s="16" t="n">
        <x:v>2</x:v>
      </x:c>
      <x:c r="F1537" s="14" t="n">
        <x:v>20</x:v>
      </x:c>
      <x:c r="G1537" s="26" t="n">
        <x:f>'成本明细'!U227+'成本明细'!G227*(E1537-'参数'!$B$6)</x:f>
        <x:v>1218.098726087222</x:v>
      </x:c>
      <x:c r="H1537" s="26" t="n">
        <x:f>'成本明细'!U233</x:f>
        <x:v>1851.9027635483328</x:v>
      </x:c>
      <x:c r="I1537" s="26" t="n">
        <x:f>'成本明细'!V233</x:f>
        <x:v>4416.5</x:v>
      </x:c>
      <x:c r="J1537" s="22" t="n">
        <x:f>'参数'!$B$9</x:f>
        <x:v>300</x:v>
      </x:c>
      <x:c r="K1537" s="26" t="n">
        <x:f>J1537*(G1537-H1537)-I1537*ROUNDUP(J1537/F1537,0)</x:f>
        <x:v>-256388.71123833323</x:v>
      </x:c>
      <x:c r="L1537" s="10" t="str">
        <x:f>IF(G1537-H1537&lt;=0,"未回本",IF(ROUNDUP(I1537/(G1537-H1537),0)&gt;MIN(F1537,J1537),"未回本",MAX(1,ROUNDUP(I1537/(G1537-H1537),0))))</x:f>
        <x:v>未回本</x:v>
      </x:c>
    </x:row>
    <x:row r="1538" ht="22" customHeight="1">
      <x:c r="A1538" s="11" t="str">
        <x:v>lade_0827_10aoi</x:v>
      </x:c>
      <x:c r="B1538" s="10" t="n">
        <x:v>10</x:v>
      </x:c>
      <x:c r="C1538" s="10" t="n">
        <x:v>44</x:v>
      </x:c>
      <x:c r="D1538" s="10" t="str">
        <x:v>M1 / M3</x:v>
      </x:c>
      <x:c r="E1538" s="16" t="n">
        <x:v>2</x:v>
      </x:c>
      <x:c r="F1538" s="14" t="n">
        <x:v>30</x:v>
      </x:c>
      <x:c r="G1538" s="26" t="n">
        <x:f>'成本明细'!U224+'成本明细'!G224*(E1538-'参数'!$B$6)</x:f>
        <x:v>1566.0033778788888</x:v>
      </x:c>
      <x:c r="H1538" s="26" t="n">
        <x:f>'成本明细'!U230</x:f>
        <x:v>2323.768246568889</x:v>
      </x:c>
      <x:c r="I1538" s="26" t="n">
        <x:f>'成本明细'!V230</x:f>
        <x:v>4416.5</x:v>
      </x:c>
      <x:c r="J1538" s="22" t="n">
        <x:f>'参数'!$B$9</x:f>
        <x:v>300</x:v>
      </x:c>
      <x:c r="K1538" s="26" t="n">
        <x:f>J1538*(G1538-H1538)-I1538*ROUNDUP(J1538/F1538,0)</x:f>
        <x:v>-271494.46060700004</x:v>
      </x:c>
      <x:c r="L1538" s="10" t="str">
        <x:f>IF(G1538-H1538&lt;=0,"未回本",IF(ROUNDUP(I1538/(G1538-H1538),0)&gt;MIN(F1538,J1538),"未回本",MAX(1,ROUNDUP(I1538/(G1538-H1538),0))))</x:f>
        <x:v>未回本</x:v>
      </x:c>
    </x:row>
    <x:row r="1539" ht="22" customHeight="1">
      <x:c r="A1539" s="11" t="str">
        <x:v>lade_0827_10aoi</x:v>
      </x:c>
      <x:c r="B1539" s="10" t="n">
        <x:v>10</x:v>
      </x:c>
      <x:c r="C1539" s="10" t="n">
        <x:v>44</x:v>
      </x:c>
      <x:c r="D1539" s="10" t="str">
        <x:v>M2 / M4</x:v>
      </x:c>
      <x:c r="E1539" s="16" t="n">
        <x:v>2</x:v>
      </x:c>
      <x:c r="F1539" s="14" t="n">
        <x:v>30</x:v>
      </x:c>
      <x:c r="G1539" s="26" t="n">
        <x:f>'成本明细'!U227+'成本明细'!G227*(E1539-'参数'!$B$6)</x:f>
        <x:v>1218.098726087222</x:v>
      </x:c>
      <x:c r="H1539" s="26" t="n">
        <x:f>'成本明细'!U233</x:f>
        <x:v>1851.9027635483328</x:v>
      </x:c>
      <x:c r="I1539" s="26" t="n">
        <x:f>'成本明细'!V233</x:f>
        <x:v>4416.5</x:v>
      </x:c>
      <x:c r="J1539" s="22" t="n">
        <x:f>'参数'!$B$9</x:f>
        <x:v>300</x:v>
      </x:c>
      <x:c r="K1539" s="26" t="n">
        <x:f>J1539*(G1539-H1539)-I1539*ROUNDUP(J1539/F1539,0)</x:f>
        <x:v>-234306.21123833323</x:v>
      </x:c>
      <x:c r="L1539" s="10" t="str">
        <x:f>IF(G1539-H1539&lt;=0,"未回本",IF(ROUNDUP(I1539/(G1539-H1539),0)&gt;MIN(F1539,J1539),"未回本",MAX(1,ROUNDUP(I1539/(G1539-H1539),0))))</x:f>
        <x:v>未回本</x:v>
      </x:c>
    </x:row>
    <x:row r="1540" ht="22" customHeight="1">
      <x:c r="A1540" s="11" t="str">
        <x:v>lade_0827_10aoi</x:v>
      </x:c>
      <x:c r="B1540" s="10" t="n">
        <x:v>10</x:v>
      </x:c>
      <x:c r="C1540" s="10" t="n">
        <x:v>44</x:v>
      </x:c>
      <x:c r="D1540" s="10" t="str">
        <x:v>M1 / M3</x:v>
      </x:c>
      <x:c r="E1540" s="16" t="n">
        <x:v>2</x:v>
      </x:c>
      <x:c r="F1540" s="14" t="n">
        <x:v>50</x:v>
      </x:c>
      <x:c r="G1540" s="26" t="n">
        <x:f>'成本明细'!U224+'成本明细'!G224*(E1540-'参数'!$B$6)</x:f>
        <x:v>1566.0033778788888</x:v>
      </x:c>
      <x:c r="H1540" s="26" t="n">
        <x:f>'成本明细'!U230</x:f>
        <x:v>2323.768246568889</x:v>
      </x:c>
      <x:c r="I1540" s="26" t="n">
        <x:f>'成本明细'!V230</x:f>
        <x:v>4416.5</x:v>
      </x:c>
      <x:c r="J1540" s="22" t="n">
        <x:f>'参数'!$B$9</x:f>
        <x:v>300</x:v>
      </x:c>
      <x:c r="K1540" s="26" t="n">
        <x:f>J1540*(G1540-H1540)-I1540*ROUNDUP(J1540/F1540,0)</x:f>
        <x:v>-253828.46060700004</x:v>
      </x:c>
      <x:c r="L1540" s="10" t="str">
        <x:f>IF(G1540-H1540&lt;=0,"未回本",IF(ROUNDUP(I1540/(G1540-H1540),0)&gt;MIN(F1540,J1540),"未回本",MAX(1,ROUNDUP(I1540/(G1540-H1540),0))))</x:f>
        <x:v>未回本</x:v>
      </x:c>
    </x:row>
    <x:row r="1541" ht="22" customHeight="1">
      <x:c r="A1541" s="11" t="str">
        <x:v>lade_0827_10aoi</x:v>
      </x:c>
      <x:c r="B1541" s="10" t="n">
        <x:v>10</x:v>
      </x:c>
      <x:c r="C1541" s="10" t="n">
        <x:v>44</x:v>
      </x:c>
      <x:c r="D1541" s="10" t="str">
        <x:v>M2 / M4</x:v>
      </x:c>
      <x:c r="E1541" s="16" t="n">
        <x:v>2</x:v>
      </x:c>
      <x:c r="F1541" s="14" t="n">
        <x:v>50</x:v>
      </x:c>
      <x:c r="G1541" s="26" t="n">
        <x:f>'成本明细'!U227+'成本明细'!G227*(E1541-'参数'!$B$6)</x:f>
        <x:v>1218.098726087222</x:v>
      </x:c>
      <x:c r="H1541" s="26" t="n">
        <x:f>'成本明细'!U233</x:f>
        <x:v>1851.9027635483328</x:v>
      </x:c>
      <x:c r="I1541" s="26" t="n">
        <x:f>'成本明细'!V233</x:f>
        <x:v>4416.5</x:v>
      </x:c>
      <x:c r="J1541" s="22" t="n">
        <x:f>'参数'!$B$9</x:f>
        <x:v>300</x:v>
      </x:c>
      <x:c r="K1541" s="26" t="n">
        <x:f>J1541*(G1541-H1541)-I1541*ROUNDUP(J1541/F1541,0)</x:f>
        <x:v>-216640.21123833323</x:v>
      </x:c>
      <x:c r="L1541" s="10" t="str">
        <x:f>IF(G1541-H1541&lt;=0,"未回本",IF(ROUNDUP(I1541/(G1541-H1541),0)&gt;MIN(F1541,J1541),"未回本",MAX(1,ROUNDUP(I1541/(G1541-H1541),0))))</x:f>
        <x:v>未回本</x:v>
      </x:c>
    </x:row>
    <x:row r="1542" ht="22" customHeight="1">
      <x:c r="A1542" s="11" t="str">
        <x:v>lade_0827_10aoi</x:v>
      </x:c>
      <x:c r="B1542" s="10" t="n">
        <x:v>10</x:v>
      </x:c>
      <x:c r="C1542" s="10" t="n">
        <x:v>44</x:v>
      </x:c>
      <x:c r="D1542" s="10" t="str">
        <x:v>M1 / M3</x:v>
      </x:c>
      <x:c r="E1542" s="16" t="n">
        <x:v>3</x:v>
      </x:c>
      <x:c r="F1542" s="14" t="n">
        <x:v>10</x:v>
      </x:c>
      <x:c r="G1542" s="26" t="n">
        <x:f>'成本明细'!U224+'成本明细'!G224*(E1542-'参数'!$B$6)</x:f>
        <x:v>1687.0033778788888</x:v>
      </x:c>
      <x:c r="H1542" s="26" t="n">
        <x:f>'成本明细'!U230</x:f>
        <x:v>2323.768246568889</x:v>
      </x:c>
      <x:c r="I1542" s="26" t="n">
        <x:f>'成本明细'!V230</x:f>
        <x:v>4416.5</x:v>
      </x:c>
      <x:c r="J1542" s="22" t="n">
        <x:f>'参数'!$B$9</x:f>
        <x:v>300</x:v>
      </x:c>
      <x:c r="K1542" s="26" t="n">
        <x:f>J1542*(G1542-H1542)-I1542*ROUNDUP(J1542/F1542,0)</x:f>
        <x:v>-323524.46060700004</x:v>
      </x:c>
      <x:c r="L1542" s="10" t="str">
        <x:f>IF(G1542-H1542&lt;=0,"未回本",IF(ROUNDUP(I1542/(G1542-H1542),0)&gt;MIN(F1542,J1542),"未回本",MAX(1,ROUNDUP(I1542/(G1542-H1542),0))))</x:f>
        <x:v>未回本</x:v>
      </x:c>
    </x:row>
    <x:row r="1543" ht="22" customHeight="1">
      <x:c r="A1543" s="11" t="str">
        <x:v>lade_0827_10aoi</x:v>
      </x:c>
      <x:c r="B1543" s="10" t="n">
        <x:v>10</x:v>
      </x:c>
      <x:c r="C1543" s="10" t="n">
        <x:v>44</x:v>
      </x:c>
      <x:c r="D1543" s="10" t="str">
        <x:v>M2 / M4</x:v>
      </x:c>
      <x:c r="E1543" s="16" t="n">
        <x:v>3</x:v>
      </x:c>
      <x:c r="F1543" s="14" t="n">
        <x:v>10</x:v>
      </x:c>
      <x:c r="G1543" s="26" t="n">
        <x:f>'成本明细'!U227+'成本明细'!G227*(E1543-'参数'!$B$6)</x:f>
        <x:v>1339.098726087222</x:v>
      </x:c>
      <x:c r="H1543" s="26" t="n">
        <x:f>'成本明细'!U233</x:f>
        <x:v>1851.9027635483328</x:v>
      </x:c>
      <x:c r="I1543" s="26" t="n">
        <x:f>'成本明细'!V233</x:f>
        <x:v>4416.5</x:v>
      </x:c>
      <x:c r="J1543" s="22" t="n">
        <x:f>'参数'!$B$9</x:f>
        <x:v>300</x:v>
      </x:c>
      <x:c r="K1543" s="26" t="n">
        <x:f>J1543*(G1543-H1543)-I1543*ROUNDUP(J1543/F1543,0)</x:f>
        <x:v>-286336.21123833326</x:v>
      </x:c>
      <x:c r="L1543" s="10" t="str">
        <x:f>IF(G1543-H1543&lt;=0,"未回本",IF(ROUNDUP(I1543/(G1543-H1543),0)&gt;MIN(F1543,J1543),"未回本",MAX(1,ROUNDUP(I1543/(G1543-H1543),0))))</x:f>
        <x:v>未回本</x:v>
      </x:c>
    </x:row>
    <x:row r="1544" ht="22" customHeight="1">
      <x:c r="A1544" s="11" t="str">
        <x:v>lade_0827_10aoi</x:v>
      </x:c>
      <x:c r="B1544" s="10" t="n">
        <x:v>10</x:v>
      </x:c>
      <x:c r="C1544" s="10" t="n">
        <x:v>44</x:v>
      </x:c>
      <x:c r="D1544" s="10" t="str">
        <x:v>M1 / M3</x:v>
      </x:c>
      <x:c r="E1544" s="16" t="n">
        <x:v>3</x:v>
      </x:c>
      <x:c r="F1544" s="14" t="n">
        <x:v>20</x:v>
      </x:c>
      <x:c r="G1544" s="26" t="n">
        <x:f>'成本明细'!U224+'成本明细'!G224*(E1544-'参数'!$B$6)</x:f>
        <x:v>1687.0033778788888</x:v>
      </x:c>
      <x:c r="H1544" s="26" t="n">
        <x:f>'成本明细'!U230</x:f>
        <x:v>2323.768246568889</x:v>
      </x:c>
      <x:c r="I1544" s="26" t="n">
        <x:f>'成本明细'!V230</x:f>
        <x:v>4416.5</x:v>
      </x:c>
      <x:c r="J1544" s="22" t="n">
        <x:f>'参数'!$B$9</x:f>
        <x:v>300</x:v>
      </x:c>
      <x:c r="K1544" s="26" t="n">
        <x:f>J1544*(G1544-H1544)-I1544*ROUNDUP(J1544/F1544,0)</x:f>
        <x:v>-257276.96060700004</x:v>
      </x:c>
      <x:c r="L1544" s="10" t="str">
        <x:f>IF(G1544-H1544&lt;=0,"未回本",IF(ROUNDUP(I1544/(G1544-H1544),0)&gt;MIN(F1544,J1544),"未回本",MAX(1,ROUNDUP(I1544/(G1544-H1544),0))))</x:f>
        <x:v>未回本</x:v>
      </x:c>
    </x:row>
    <x:row r="1545" ht="22" customHeight="1">
      <x:c r="A1545" s="11" t="str">
        <x:v>lade_0827_10aoi</x:v>
      </x:c>
      <x:c r="B1545" s="10" t="n">
        <x:v>10</x:v>
      </x:c>
      <x:c r="C1545" s="10" t="n">
        <x:v>44</x:v>
      </x:c>
      <x:c r="D1545" s="10" t="str">
        <x:v>M2 / M4</x:v>
      </x:c>
      <x:c r="E1545" s="16" t="n">
        <x:v>3</x:v>
      </x:c>
      <x:c r="F1545" s="14" t="n">
        <x:v>20</x:v>
      </x:c>
      <x:c r="G1545" s="26" t="n">
        <x:f>'成本明细'!U227+'成本明细'!G227*(E1545-'参数'!$B$6)</x:f>
        <x:v>1339.098726087222</x:v>
      </x:c>
      <x:c r="H1545" s="26" t="n">
        <x:f>'成本明细'!U233</x:f>
        <x:v>1851.9027635483328</x:v>
      </x:c>
      <x:c r="I1545" s="26" t="n">
        <x:f>'成本明细'!V233</x:f>
        <x:v>4416.5</x:v>
      </x:c>
      <x:c r="J1545" s="22" t="n">
        <x:f>'参数'!$B$9</x:f>
        <x:v>300</x:v>
      </x:c>
      <x:c r="K1545" s="26" t="n">
        <x:f>J1545*(G1545-H1545)-I1545*ROUNDUP(J1545/F1545,0)</x:f>
        <x:v>-220088.71123833323</x:v>
      </x:c>
      <x:c r="L1545" s="10" t="str">
        <x:f>IF(G1545-H1545&lt;=0,"未回本",IF(ROUNDUP(I1545/(G1545-H1545),0)&gt;MIN(F1545,J1545),"未回本",MAX(1,ROUNDUP(I1545/(G1545-H1545),0))))</x:f>
        <x:v>未回本</x:v>
      </x:c>
    </x:row>
    <x:row r="1546" ht="22" customHeight="1">
      <x:c r="A1546" s="11" t="str">
        <x:v>lade_0827_10aoi</x:v>
      </x:c>
      <x:c r="B1546" s="10" t="n">
        <x:v>10</x:v>
      </x:c>
      <x:c r="C1546" s="10" t="n">
        <x:v>44</x:v>
      </x:c>
      <x:c r="D1546" s="10" t="str">
        <x:v>M1 / M3</x:v>
      </x:c>
      <x:c r="E1546" s="16" t="n">
        <x:v>3</x:v>
      </x:c>
      <x:c r="F1546" s="14" t="n">
        <x:v>30</x:v>
      </x:c>
      <x:c r="G1546" s="26" t="n">
        <x:f>'成本明细'!U224+'成本明细'!G224*(E1546-'参数'!$B$6)</x:f>
        <x:v>1687.0033778788888</x:v>
      </x:c>
      <x:c r="H1546" s="26" t="n">
        <x:f>'成本明细'!U230</x:f>
        <x:v>2323.768246568889</x:v>
      </x:c>
      <x:c r="I1546" s="26" t="n">
        <x:f>'成本明细'!V230</x:f>
        <x:v>4416.5</x:v>
      </x:c>
      <x:c r="J1546" s="22" t="n">
        <x:f>'参数'!$B$9</x:f>
        <x:v>300</x:v>
      </x:c>
      <x:c r="K1546" s="26" t="n">
        <x:f>J1546*(G1546-H1546)-I1546*ROUNDUP(J1546/F1546,0)</x:f>
        <x:v>-235194.46060700004</x:v>
      </x:c>
      <x:c r="L1546" s="10" t="str">
        <x:f>IF(G1546-H1546&lt;=0,"未回本",IF(ROUNDUP(I1546/(G1546-H1546),0)&gt;MIN(F1546,J1546),"未回本",MAX(1,ROUNDUP(I1546/(G1546-H1546),0))))</x:f>
        <x:v>未回本</x:v>
      </x:c>
    </x:row>
    <x:row r="1547" ht="22" customHeight="1">
      <x:c r="A1547" s="11" t="str">
        <x:v>lade_0827_10aoi</x:v>
      </x:c>
      <x:c r="B1547" s="10" t="n">
        <x:v>10</x:v>
      </x:c>
      <x:c r="C1547" s="10" t="n">
        <x:v>44</x:v>
      </x:c>
      <x:c r="D1547" s="10" t="str">
        <x:v>M2 / M4</x:v>
      </x:c>
      <x:c r="E1547" s="16" t="n">
        <x:v>3</x:v>
      </x:c>
      <x:c r="F1547" s="14" t="n">
        <x:v>30</x:v>
      </x:c>
      <x:c r="G1547" s="26" t="n">
        <x:f>'成本明细'!U227+'成本明细'!G227*(E1547-'参数'!$B$6)</x:f>
        <x:v>1339.098726087222</x:v>
      </x:c>
      <x:c r="H1547" s="26" t="n">
        <x:f>'成本明细'!U233</x:f>
        <x:v>1851.9027635483328</x:v>
      </x:c>
      <x:c r="I1547" s="26" t="n">
        <x:f>'成本明细'!V233</x:f>
        <x:v>4416.5</x:v>
      </x:c>
      <x:c r="J1547" s="22" t="n">
        <x:f>'参数'!$B$9</x:f>
        <x:v>300</x:v>
      </x:c>
      <x:c r="K1547" s="26" t="n">
        <x:f>J1547*(G1547-H1547)-I1547*ROUNDUP(J1547/F1547,0)</x:f>
        <x:v>-198006.21123833323</x:v>
      </x:c>
      <x:c r="L1547" s="10" t="str">
        <x:f>IF(G1547-H1547&lt;=0,"未回本",IF(ROUNDUP(I1547/(G1547-H1547),0)&gt;MIN(F1547,J1547),"未回本",MAX(1,ROUNDUP(I1547/(G1547-H1547),0))))</x:f>
        <x:v>未回本</x:v>
      </x:c>
    </x:row>
    <x:row r="1548" ht="22" customHeight="1">
      <x:c r="A1548" s="11" t="str">
        <x:v>lade_0827_10aoi</x:v>
      </x:c>
      <x:c r="B1548" s="10" t="n">
        <x:v>10</x:v>
      </x:c>
      <x:c r="C1548" s="10" t="n">
        <x:v>44</x:v>
      </x:c>
      <x:c r="D1548" s="10" t="str">
        <x:v>M1 / M3</x:v>
      </x:c>
      <x:c r="E1548" s="16" t="n">
        <x:v>3</x:v>
      </x:c>
      <x:c r="F1548" s="14" t="n">
        <x:v>50</x:v>
      </x:c>
      <x:c r="G1548" s="26" t="n">
        <x:f>'成本明细'!U224+'成本明细'!G224*(E1548-'参数'!$B$6)</x:f>
        <x:v>1687.0033778788888</x:v>
      </x:c>
      <x:c r="H1548" s="26" t="n">
        <x:f>'成本明细'!U230</x:f>
        <x:v>2323.768246568889</x:v>
      </x:c>
      <x:c r="I1548" s="26" t="n">
        <x:f>'成本明细'!V230</x:f>
        <x:v>4416.5</x:v>
      </x:c>
      <x:c r="J1548" s="22" t="n">
        <x:f>'参数'!$B$9</x:f>
        <x:v>300</x:v>
      </x:c>
      <x:c r="K1548" s="26" t="n">
        <x:f>J1548*(G1548-H1548)-I1548*ROUNDUP(J1548/F1548,0)</x:f>
        <x:v>-217528.46060700004</x:v>
      </x:c>
      <x:c r="L1548" s="10" t="str">
        <x:f>IF(G1548-H1548&lt;=0,"未回本",IF(ROUNDUP(I1548/(G1548-H1548),0)&gt;MIN(F1548,J1548),"未回本",MAX(1,ROUNDUP(I1548/(G1548-H1548),0))))</x:f>
        <x:v>未回本</x:v>
      </x:c>
    </x:row>
    <x:row r="1549" ht="22" customHeight="1">
      <x:c r="A1549" s="11" t="str">
        <x:v>lade_0827_10aoi</x:v>
      </x:c>
      <x:c r="B1549" s="10" t="n">
        <x:v>10</x:v>
      </x:c>
      <x:c r="C1549" s="10" t="n">
        <x:v>44</x:v>
      </x:c>
      <x:c r="D1549" s="10" t="str">
        <x:v>M2 / M4</x:v>
      </x:c>
      <x:c r="E1549" s="16" t="n">
        <x:v>3</x:v>
      </x:c>
      <x:c r="F1549" s="14" t="n">
        <x:v>50</x:v>
      </x:c>
      <x:c r="G1549" s="26" t="n">
        <x:f>'成本明细'!U227+'成本明细'!G227*(E1549-'参数'!$B$6)</x:f>
        <x:v>1339.098726087222</x:v>
      </x:c>
      <x:c r="H1549" s="26" t="n">
        <x:f>'成本明细'!U233</x:f>
        <x:v>1851.9027635483328</x:v>
      </x:c>
      <x:c r="I1549" s="26" t="n">
        <x:f>'成本明细'!V233</x:f>
        <x:v>4416.5</x:v>
      </x:c>
      <x:c r="J1549" s="22" t="n">
        <x:f>'参数'!$B$9</x:f>
        <x:v>300</x:v>
      </x:c>
      <x:c r="K1549" s="26" t="n">
        <x:f>J1549*(G1549-H1549)-I1549*ROUNDUP(J1549/F1549,0)</x:f>
        <x:v>-180340.21123833323</x:v>
      </x:c>
      <x:c r="L1549" s="10" t="str">
        <x:f>IF(G1549-H1549&lt;=0,"未回本",IF(ROUNDUP(I1549/(G1549-H1549),0)&gt;MIN(F1549,J1549),"未回本",MAX(1,ROUNDUP(I1549/(G1549-H1549),0))))</x:f>
        <x:v>未回本</x:v>
      </x:c>
    </x:row>
    <x:row r="1550" ht="22" customHeight="1">
      <x:c r="A1550" s="11" t="str">
        <x:v>lade_0827_10aoi</x:v>
      </x:c>
      <x:c r="B1550" s="10" t="n">
        <x:v>10</x:v>
      </x:c>
      <x:c r="C1550" s="10" t="n">
        <x:v>44</x:v>
      </x:c>
      <x:c r="D1550" s="10" t="str">
        <x:v>M1 / M3</x:v>
      </x:c>
      <x:c r="E1550" s="16" t="n">
        <x:v>4</x:v>
      </x:c>
      <x:c r="F1550" s="14" t="n">
        <x:v>10</x:v>
      </x:c>
      <x:c r="G1550" s="26" t="n">
        <x:f>'成本明细'!U224+'成本明细'!G224*(E1550-'参数'!$B$6)</x:f>
        <x:v>1808.0033778788888</x:v>
      </x:c>
      <x:c r="H1550" s="26" t="n">
        <x:f>'成本明细'!U230</x:f>
        <x:v>2323.768246568889</x:v>
      </x:c>
      <x:c r="I1550" s="26" t="n">
        <x:f>'成本明细'!V230</x:f>
        <x:v>4416.5</x:v>
      </x:c>
      <x:c r="J1550" s="22" t="n">
        <x:f>'参数'!$B$9</x:f>
        <x:v>300</x:v>
      </x:c>
      <x:c r="K1550" s="26" t="n">
        <x:f>J1550*(G1550-H1550)-I1550*ROUNDUP(J1550/F1550,0)</x:f>
        <x:v>-287224.46060700004</x:v>
      </x:c>
      <x:c r="L1550" s="10" t="str">
        <x:f>IF(G1550-H1550&lt;=0,"未回本",IF(ROUNDUP(I1550/(G1550-H1550),0)&gt;MIN(F1550,J1550),"未回本",MAX(1,ROUNDUP(I1550/(G1550-H1550),0))))</x:f>
        <x:v>未回本</x:v>
      </x:c>
    </x:row>
    <x:row r="1551" ht="22" customHeight="1">
      <x:c r="A1551" s="11" t="str">
        <x:v>lade_0827_10aoi</x:v>
      </x:c>
      <x:c r="B1551" s="10" t="n">
        <x:v>10</x:v>
      </x:c>
      <x:c r="C1551" s="10" t="n">
        <x:v>44</x:v>
      </x:c>
      <x:c r="D1551" s="10" t="str">
        <x:v>M2 / M4</x:v>
      </x:c>
      <x:c r="E1551" s="16" t="n">
        <x:v>4</x:v>
      </x:c>
      <x:c r="F1551" s="14" t="n">
        <x:v>10</x:v>
      </x:c>
      <x:c r="G1551" s="26" t="n">
        <x:f>'成本明细'!U227+'成本明细'!G227*(E1551-'参数'!$B$6)</x:f>
        <x:v>1460.098726087222</x:v>
      </x:c>
      <x:c r="H1551" s="26" t="n">
        <x:f>'成本明细'!U233</x:f>
        <x:v>1851.9027635483328</x:v>
      </x:c>
      <x:c r="I1551" s="26" t="n">
        <x:f>'成本明细'!V233</x:f>
        <x:v>4416.5</x:v>
      </x:c>
      <x:c r="J1551" s="22" t="n">
        <x:f>'参数'!$B$9</x:f>
        <x:v>300</x:v>
      </x:c>
      <x:c r="K1551" s="26" t="n">
        <x:f>J1551*(G1551-H1551)-I1551*ROUNDUP(J1551/F1551,0)</x:f>
        <x:v>-250036.21123833323</x:v>
      </x:c>
      <x:c r="L1551" s="10" t="str">
        <x:f>IF(G1551-H1551&lt;=0,"未回本",IF(ROUNDUP(I1551/(G1551-H1551),0)&gt;MIN(F1551,J1551),"未回本",MAX(1,ROUNDUP(I1551/(G1551-H1551),0))))</x:f>
        <x:v>未回本</x:v>
      </x:c>
    </x:row>
    <x:row r="1552" ht="22" customHeight="1">
      <x:c r="A1552" s="11" t="str">
        <x:v>lade_0827_10aoi</x:v>
      </x:c>
      <x:c r="B1552" s="10" t="n">
        <x:v>10</x:v>
      </x:c>
      <x:c r="C1552" s="10" t="n">
        <x:v>44</x:v>
      </x:c>
      <x:c r="D1552" s="10" t="str">
        <x:v>M1 / M3</x:v>
      </x:c>
      <x:c r="E1552" s="16" t="n">
        <x:v>4</x:v>
      </x:c>
      <x:c r="F1552" s="14" t="n">
        <x:v>20</x:v>
      </x:c>
      <x:c r="G1552" s="26" t="n">
        <x:f>'成本明细'!U224+'成本明细'!G224*(E1552-'参数'!$B$6)</x:f>
        <x:v>1808.0033778788888</x:v>
      </x:c>
      <x:c r="H1552" s="26" t="n">
        <x:f>'成本明细'!U230</x:f>
        <x:v>2323.768246568889</x:v>
      </x:c>
      <x:c r="I1552" s="26" t="n">
        <x:f>'成本明细'!V230</x:f>
        <x:v>4416.5</x:v>
      </x:c>
      <x:c r="J1552" s="22" t="n">
        <x:f>'参数'!$B$9</x:f>
        <x:v>300</x:v>
      </x:c>
      <x:c r="K1552" s="26" t="n">
        <x:f>J1552*(G1552-H1552)-I1552*ROUNDUP(J1552/F1552,0)</x:f>
        <x:v>-220976.96060700004</x:v>
      </x:c>
      <x:c r="L1552" s="10" t="str">
        <x:f>IF(G1552-H1552&lt;=0,"未回本",IF(ROUNDUP(I1552/(G1552-H1552),0)&gt;MIN(F1552,J1552),"未回本",MAX(1,ROUNDUP(I1552/(G1552-H1552),0))))</x:f>
        <x:v>未回本</x:v>
      </x:c>
    </x:row>
    <x:row r="1553" ht="22" customHeight="1">
      <x:c r="A1553" s="11" t="str">
        <x:v>lade_0827_10aoi</x:v>
      </x:c>
      <x:c r="B1553" s="10" t="n">
        <x:v>10</x:v>
      </x:c>
      <x:c r="C1553" s="10" t="n">
        <x:v>44</x:v>
      </x:c>
      <x:c r="D1553" s="10" t="str">
        <x:v>M2 / M4</x:v>
      </x:c>
      <x:c r="E1553" s="16" t="n">
        <x:v>4</x:v>
      </x:c>
      <x:c r="F1553" s="14" t="n">
        <x:v>20</x:v>
      </x:c>
      <x:c r="G1553" s="26" t="n">
        <x:f>'成本明细'!U227+'成本明细'!G227*(E1553-'参数'!$B$6)</x:f>
        <x:v>1460.098726087222</x:v>
      </x:c>
      <x:c r="H1553" s="26" t="n">
        <x:f>'成本明细'!U233</x:f>
        <x:v>1851.9027635483328</x:v>
      </x:c>
      <x:c r="I1553" s="26" t="n">
        <x:f>'成本明细'!V233</x:f>
        <x:v>4416.5</x:v>
      </x:c>
      <x:c r="J1553" s="22" t="n">
        <x:f>'参数'!$B$9</x:f>
        <x:v>300</x:v>
      </x:c>
      <x:c r="K1553" s="26" t="n">
        <x:f>J1553*(G1553-H1553)-I1553*ROUNDUP(J1553/F1553,0)</x:f>
        <x:v>-183788.71123833323</x:v>
      </x:c>
      <x:c r="L1553" s="10" t="str">
        <x:f>IF(G1553-H1553&lt;=0,"未回本",IF(ROUNDUP(I1553/(G1553-H1553),0)&gt;MIN(F1553,J1553),"未回本",MAX(1,ROUNDUP(I1553/(G1553-H1553),0))))</x:f>
        <x:v>未回本</x:v>
      </x:c>
    </x:row>
    <x:row r="1554" ht="22" customHeight="1">
      <x:c r="A1554" s="11" t="str">
        <x:v>lade_0827_10aoi</x:v>
      </x:c>
      <x:c r="B1554" s="10" t="n">
        <x:v>10</x:v>
      </x:c>
      <x:c r="C1554" s="10" t="n">
        <x:v>44</x:v>
      </x:c>
      <x:c r="D1554" s="10" t="str">
        <x:v>M1 / M3</x:v>
      </x:c>
      <x:c r="E1554" s="16" t="n">
        <x:v>4</x:v>
      </x:c>
      <x:c r="F1554" s="14" t="n">
        <x:v>30</x:v>
      </x:c>
      <x:c r="G1554" s="26" t="n">
        <x:f>'成本明细'!U224+'成本明细'!G224*(E1554-'参数'!$B$6)</x:f>
        <x:v>1808.0033778788888</x:v>
      </x:c>
      <x:c r="H1554" s="26" t="n">
        <x:f>'成本明细'!U230</x:f>
        <x:v>2323.768246568889</x:v>
      </x:c>
      <x:c r="I1554" s="26" t="n">
        <x:f>'成本明细'!V230</x:f>
        <x:v>4416.5</x:v>
      </x:c>
      <x:c r="J1554" s="22" t="n">
        <x:f>'参数'!$B$9</x:f>
        <x:v>300</x:v>
      </x:c>
      <x:c r="K1554" s="26" t="n">
        <x:f>J1554*(G1554-H1554)-I1554*ROUNDUP(J1554/F1554,0)</x:f>
        <x:v>-198894.46060700004</x:v>
      </x:c>
      <x:c r="L1554" s="10" t="str">
        <x:f>IF(G1554-H1554&lt;=0,"未回本",IF(ROUNDUP(I1554/(G1554-H1554),0)&gt;MIN(F1554,J1554),"未回本",MAX(1,ROUNDUP(I1554/(G1554-H1554),0))))</x:f>
        <x:v>未回本</x:v>
      </x:c>
    </x:row>
    <x:row r="1555" ht="22" customHeight="1">
      <x:c r="A1555" s="11" t="str">
        <x:v>lade_0827_10aoi</x:v>
      </x:c>
      <x:c r="B1555" s="10" t="n">
        <x:v>10</x:v>
      </x:c>
      <x:c r="C1555" s="10" t="n">
        <x:v>44</x:v>
      </x:c>
      <x:c r="D1555" s="10" t="str">
        <x:v>M2 / M4</x:v>
      </x:c>
      <x:c r="E1555" s="16" t="n">
        <x:v>4</x:v>
      </x:c>
      <x:c r="F1555" s="14" t="n">
        <x:v>30</x:v>
      </x:c>
      <x:c r="G1555" s="26" t="n">
        <x:f>'成本明细'!U227+'成本明细'!G227*(E1555-'参数'!$B$6)</x:f>
        <x:v>1460.098726087222</x:v>
      </x:c>
      <x:c r="H1555" s="26" t="n">
        <x:f>'成本明细'!U233</x:f>
        <x:v>1851.9027635483328</x:v>
      </x:c>
      <x:c r="I1555" s="26" t="n">
        <x:f>'成本明细'!V233</x:f>
        <x:v>4416.5</x:v>
      </x:c>
      <x:c r="J1555" s="22" t="n">
        <x:f>'参数'!$B$9</x:f>
        <x:v>300</x:v>
      </x:c>
      <x:c r="K1555" s="26" t="n">
        <x:f>J1555*(G1555-H1555)-I1555*ROUNDUP(J1555/F1555,0)</x:f>
        <x:v>-161706.21123833323</x:v>
      </x:c>
      <x:c r="L1555" s="10" t="str">
        <x:f>IF(G1555-H1555&lt;=0,"未回本",IF(ROUNDUP(I1555/(G1555-H1555),0)&gt;MIN(F1555,J1555),"未回本",MAX(1,ROUNDUP(I1555/(G1555-H1555),0))))</x:f>
        <x:v>未回本</x:v>
      </x:c>
    </x:row>
    <x:row r="1556" ht="22" customHeight="1">
      <x:c r="A1556" s="11" t="str">
        <x:v>lade_0827_10aoi</x:v>
      </x:c>
      <x:c r="B1556" s="10" t="n">
        <x:v>10</x:v>
      </x:c>
      <x:c r="C1556" s="10" t="n">
        <x:v>44</x:v>
      </x:c>
      <x:c r="D1556" s="10" t="str">
        <x:v>M1 / M3</x:v>
      </x:c>
      <x:c r="E1556" s="16" t="n">
        <x:v>4</x:v>
      </x:c>
      <x:c r="F1556" s="14" t="n">
        <x:v>50</x:v>
      </x:c>
      <x:c r="G1556" s="26" t="n">
        <x:f>'成本明细'!U224+'成本明细'!G224*(E1556-'参数'!$B$6)</x:f>
        <x:v>1808.0033778788888</x:v>
      </x:c>
      <x:c r="H1556" s="26" t="n">
        <x:f>'成本明细'!U230</x:f>
        <x:v>2323.768246568889</x:v>
      </x:c>
      <x:c r="I1556" s="26" t="n">
        <x:f>'成本明细'!V230</x:f>
        <x:v>4416.5</x:v>
      </x:c>
      <x:c r="J1556" s="22" t="n">
        <x:f>'参数'!$B$9</x:f>
        <x:v>300</x:v>
      </x:c>
      <x:c r="K1556" s="26" t="n">
        <x:f>J1556*(G1556-H1556)-I1556*ROUNDUP(J1556/F1556,0)</x:f>
        <x:v>-181228.46060700004</x:v>
      </x:c>
      <x:c r="L1556" s="10" t="str">
        <x:f>IF(G1556-H1556&lt;=0,"未回本",IF(ROUNDUP(I1556/(G1556-H1556),0)&gt;MIN(F1556,J1556),"未回本",MAX(1,ROUNDUP(I1556/(G1556-H1556),0))))</x:f>
        <x:v>未回本</x:v>
      </x:c>
    </x:row>
    <x:row r="1557" ht="22" customHeight="1">
      <x:c r="A1557" s="11" t="str">
        <x:v>lade_0827_10aoi</x:v>
      </x:c>
      <x:c r="B1557" s="10" t="n">
        <x:v>10</x:v>
      </x:c>
      <x:c r="C1557" s="10" t="n">
        <x:v>44</x:v>
      </x:c>
      <x:c r="D1557" s="10" t="str">
        <x:v>M2 / M4</x:v>
      </x:c>
      <x:c r="E1557" s="16" t="n">
        <x:v>4</x:v>
      </x:c>
      <x:c r="F1557" s="14" t="n">
        <x:v>50</x:v>
      </x:c>
      <x:c r="G1557" s="26" t="n">
        <x:f>'成本明细'!U227+'成本明细'!G227*(E1557-'参数'!$B$6)</x:f>
        <x:v>1460.098726087222</x:v>
      </x:c>
      <x:c r="H1557" s="26" t="n">
        <x:f>'成本明细'!U233</x:f>
        <x:v>1851.9027635483328</x:v>
      </x:c>
      <x:c r="I1557" s="26" t="n">
        <x:f>'成本明细'!V233</x:f>
        <x:v>4416.5</x:v>
      </x:c>
      <x:c r="J1557" s="22" t="n">
        <x:f>'参数'!$B$9</x:f>
        <x:v>300</x:v>
      </x:c>
      <x:c r="K1557" s="26" t="n">
        <x:f>J1557*(G1557-H1557)-I1557*ROUNDUP(J1557/F1557,0)</x:f>
        <x:v>-144040.21123833323</x:v>
      </x:c>
      <x:c r="L1557" s="10" t="str">
        <x:f>IF(G1557-H1557&lt;=0,"未回本",IF(ROUNDUP(I1557/(G1557-H1557),0)&gt;MIN(F1557,J1557),"未回本",MAX(1,ROUNDUP(I1557/(G1557-H1557),0))))</x:f>
        <x:v>未回本</x:v>
      </x:c>
    </x:row>
    <x:row r="1558" ht="22" customHeight="1">
      <x:c r="A1558" s="11" t="str">
        <x:v>lade_0827_10aoi</x:v>
      </x:c>
      <x:c r="B1558" s="10" t="n">
        <x:v>10</x:v>
      </x:c>
      <x:c r="C1558" s="10" t="n">
        <x:v>44</x:v>
      </x:c>
      <x:c r="D1558" s="10" t="str">
        <x:v>M1 / M3</x:v>
      </x:c>
      <x:c r="E1558" s="16" t="n">
        <x:v>5</x:v>
      </x:c>
      <x:c r="F1558" s="14" t="n">
        <x:v>10</x:v>
      </x:c>
      <x:c r="G1558" s="26" t="n">
        <x:f>'成本明细'!U224+'成本明细'!G224*(E1558-'参数'!$B$6)</x:f>
        <x:v>1929.0033778788888</x:v>
      </x:c>
      <x:c r="H1558" s="26" t="n">
        <x:f>'成本明细'!U230</x:f>
        <x:v>2323.768246568889</x:v>
      </x:c>
      <x:c r="I1558" s="26" t="n">
        <x:f>'成本明细'!V230</x:f>
        <x:v>4416.5</x:v>
      </x:c>
      <x:c r="J1558" s="22" t="n">
        <x:f>'参数'!$B$9</x:f>
        <x:v>300</x:v>
      </x:c>
      <x:c r="K1558" s="26" t="n">
        <x:f>J1558*(G1558-H1558)-I1558*ROUNDUP(J1558/F1558,0)</x:f>
        <x:v>-250924.46060700004</x:v>
      </x:c>
      <x:c r="L1558" s="10" t="str">
        <x:f>IF(G1558-H1558&lt;=0,"未回本",IF(ROUNDUP(I1558/(G1558-H1558),0)&gt;MIN(F1558,J1558),"未回本",MAX(1,ROUNDUP(I1558/(G1558-H1558),0))))</x:f>
        <x:v>未回本</x:v>
      </x:c>
    </x:row>
    <x:row r="1559" ht="22" customHeight="1">
      <x:c r="A1559" s="11" t="str">
        <x:v>lade_0827_10aoi</x:v>
      </x:c>
      <x:c r="B1559" s="10" t="n">
        <x:v>10</x:v>
      </x:c>
      <x:c r="C1559" s="10" t="n">
        <x:v>44</x:v>
      </x:c>
      <x:c r="D1559" s="10" t="str">
        <x:v>M2 / M4</x:v>
      </x:c>
      <x:c r="E1559" s="16" t="n">
        <x:v>5</x:v>
      </x:c>
      <x:c r="F1559" s="14" t="n">
        <x:v>10</x:v>
      </x:c>
      <x:c r="G1559" s="26" t="n">
        <x:f>'成本明细'!U227+'成本明细'!G227*(E1559-'参数'!$B$6)</x:f>
        <x:v>1581.098726087222</x:v>
      </x:c>
      <x:c r="H1559" s="26" t="n">
        <x:f>'成本明细'!U233</x:f>
        <x:v>1851.9027635483328</x:v>
      </x:c>
      <x:c r="I1559" s="26" t="n">
        <x:f>'成本明细'!V233</x:f>
        <x:v>4416.5</x:v>
      </x:c>
      <x:c r="J1559" s="22" t="n">
        <x:f>'参数'!$B$9</x:f>
        <x:v>300</x:v>
      </x:c>
      <x:c r="K1559" s="26" t="n">
        <x:f>J1559*(G1559-H1559)-I1559*ROUNDUP(J1559/F1559,0)</x:f>
        <x:v>-213736.21123833323</x:v>
      </x:c>
      <x:c r="L1559" s="10" t="str">
        <x:f>IF(G1559-H1559&lt;=0,"未回本",IF(ROUNDUP(I1559/(G1559-H1559),0)&gt;MIN(F1559,J1559),"未回本",MAX(1,ROUNDUP(I1559/(G1559-H1559),0))))</x:f>
        <x:v>未回本</x:v>
      </x:c>
    </x:row>
    <x:row r="1560" ht="22" customHeight="1">
      <x:c r="A1560" s="11" t="str">
        <x:v>lade_0827_10aoi</x:v>
      </x:c>
      <x:c r="B1560" s="10" t="n">
        <x:v>10</x:v>
      </x:c>
      <x:c r="C1560" s="10" t="n">
        <x:v>44</x:v>
      </x:c>
      <x:c r="D1560" s="10" t="str">
        <x:v>M1 / M3</x:v>
      </x:c>
      <x:c r="E1560" s="16" t="n">
        <x:v>5</x:v>
      </x:c>
      <x:c r="F1560" s="14" t="n">
        <x:v>20</x:v>
      </x:c>
      <x:c r="G1560" s="26" t="n">
        <x:f>'成本明细'!U224+'成本明细'!G224*(E1560-'参数'!$B$6)</x:f>
        <x:v>1929.0033778788888</x:v>
      </x:c>
      <x:c r="H1560" s="26" t="n">
        <x:f>'成本明细'!U230</x:f>
        <x:v>2323.768246568889</x:v>
      </x:c>
      <x:c r="I1560" s="26" t="n">
        <x:f>'成本明细'!V230</x:f>
        <x:v>4416.5</x:v>
      </x:c>
      <x:c r="J1560" s="22" t="n">
        <x:f>'参数'!$B$9</x:f>
        <x:v>300</x:v>
      </x:c>
      <x:c r="K1560" s="26" t="n">
        <x:f>J1560*(G1560-H1560)-I1560*ROUNDUP(J1560/F1560,0)</x:f>
        <x:v>-184676.96060700004</x:v>
      </x:c>
      <x:c r="L1560" s="10" t="str">
        <x:f>IF(G1560-H1560&lt;=0,"未回本",IF(ROUNDUP(I1560/(G1560-H1560),0)&gt;MIN(F1560,J1560),"未回本",MAX(1,ROUNDUP(I1560/(G1560-H1560),0))))</x:f>
        <x:v>未回本</x:v>
      </x:c>
    </x:row>
    <x:row r="1561" ht="22" customHeight="1">
      <x:c r="A1561" s="11" t="str">
        <x:v>lade_0827_10aoi</x:v>
      </x:c>
      <x:c r="B1561" s="10" t="n">
        <x:v>10</x:v>
      </x:c>
      <x:c r="C1561" s="10" t="n">
        <x:v>44</x:v>
      </x:c>
      <x:c r="D1561" s="10" t="str">
        <x:v>M2 / M4</x:v>
      </x:c>
      <x:c r="E1561" s="16" t="n">
        <x:v>5</x:v>
      </x:c>
      <x:c r="F1561" s="14" t="n">
        <x:v>20</x:v>
      </x:c>
      <x:c r="G1561" s="26" t="n">
        <x:f>'成本明细'!U227+'成本明细'!G227*(E1561-'参数'!$B$6)</x:f>
        <x:v>1581.098726087222</x:v>
      </x:c>
      <x:c r="H1561" s="26" t="n">
        <x:f>'成本明细'!U233</x:f>
        <x:v>1851.9027635483328</x:v>
      </x:c>
      <x:c r="I1561" s="26" t="n">
        <x:f>'成本明细'!V233</x:f>
        <x:v>4416.5</x:v>
      </x:c>
      <x:c r="J1561" s="22" t="n">
        <x:f>'参数'!$B$9</x:f>
        <x:v>300</x:v>
      </x:c>
      <x:c r="K1561" s="26" t="n">
        <x:f>J1561*(G1561-H1561)-I1561*ROUNDUP(J1561/F1561,0)</x:f>
        <x:v>-147488.71123833323</x:v>
      </x:c>
      <x:c r="L1561" s="10" t="str">
        <x:f>IF(G1561-H1561&lt;=0,"未回本",IF(ROUNDUP(I1561/(G1561-H1561),0)&gt;MIN(F1561,J1561),"未回本",MAX(1,ROUNDUP(I1561/(G1561-H1561),0))))</x:f>
        <x:v>未回本</x:v>
      </x:c>
    </x:row>
    <x:row r="1562" ht="22" customHeight="1">
      <x:c r="A1562" s="11" t="str">
        <x:v>lade_0827_10aoi</x:v>
      </x:c>
      <x:c r="B1562" s="10" t="n">
        <x:v>10</x:v>
      </x:c>
      <x:c r="C1562" s="10" t="n">
        <x:v>44</x:v>
      </x:c>
      <x:c r="D1562" s="10" t="str">
        <x:v>M1 / M3</x:v>
      </x:c>
      <x:c r="E1562" s="16" t="n">
        <x:v>5</x:v>
      </x:c>
      <x:c r="F1562" s="14" t="n">
        <x:v>30</x:v>
      </x:c>
      <x:c r="G1562" s="26" t="n">
        <x:f>'成本明细'!U224+'成本明细'!G224*(E1562-'参数'!$B$6)</x:f>
        <x:v>1929.0033778788888</x:v>
      </x:c>
      <x:c r="H1562" s="26" t="n">
        <x:f>'成本明细'!U230</x:f>
        <x:v>2323.768246568889</x:v>
      </x:c>
      <x:c r="I1562" s="26" t="n">
        <x:f>'成本明细'!V230</x:f>
        <x:v>4416.5</x:v>
      </x:c>
      <x:c r="J1562" s="22" t="n">
        <x:f>'参数'!$B$9</x:f>
        <x:v>300</x:v>
      </x:c>
      <x:c r="K1562" s="26" t="n">
        <x:f>J1562*(G1562-H1562)-I1562*ROUNDUP(J1562/F1562,0)</x:f>
        <x:v>-162594.46060700004</x:v>
      </x:c>
      <x:c r="L1562" s="10" t="str">
        <x:f>IF(G1562-H1562&lt;=0,"未回本",IF(ROUNDUP(I1562/(G1562-H1562),0)&gt;MIN(F1562,J1562),"未回本",MAX(1,ROUNDUP(I1562/(G1562-H1562),0))))</x:f>
        <x:v>未回本</x:v>
      </x:c>
    </x:row>
    <x:row r="1563" ht="22" customHeight="1">
      <x:c r="A1563" s="11" t="str">
        <x:v>lade_0827_10aoi</x:v>
      </x:c>
      <x:c r="B1563" s="10" t="n">
        <x:v>10</x:v>
      </x:c>
      <x:c r="C1563" s="10" t="n">
        <x:v>44</x:v>
      </x:c>
      <x:c r="D1563" s="10" t="str">
        <x:v>M2 / M4</x:v>
      </x:c>
      <x:c r="E1563" s="16" t="n">
        <x:v>5</x:v>
      </x:c>
      <x:c r="F1563" s="14" t="n">
        <x:v>30</x:v>
      </x:c>
      <x:c r="G1563" s="26" t="n">
        <x:f>'成本明细'!U227+'成本明细'!G227*(E1563-'参数'!$B$6)</x:f>
        <x:v>1581.098726087222</x:v>
      </x:c>
      <x:c r="H1563" s="26" t="n">
        <x:f>'成本明细'!U233</x:f>
        <x:v>1851.9027635483328</x:v>
      </x:c>
      <x:c r="I1563" s="26" t="n">
        <x:f>'成本明细'!V233</x:f>
        <x:v>4416.5</x:v>
      </x:c>
      <x:c r="J1563" s="22" t="n">
        <x:f>'参数'!$B$9</x:f>
        <x:v>300</x:v>
      </x:c>
      <x:c r="K1563" s="26" t="n">
        <x:f>J1563*(G1563-H1563)-I1563*ROUNDUP(J1563/F1563,0)</x:f>
        <x:v>-125406.21123833323</x:v>
      </x:c>
      <x:c r="L1563" s="10" t="str">
        <x:f>IF(G1563-H1563&lt;=0,"未回本",IF(ROUNDUP(I1563/(G1563-H1563),0)&gt;MIN(F1563,J1563),"未回本",MAX(1,ROUNDUP(I1563/(G1563-H1563),0))))</x:f>
        <x:v>未回本</x:v>
      </x:c>
    </x:row>
    <x:row r="1564" ht="22" customHeight="1">
      <x:c r="A1564" s="11" t="str">
        <x:v>lade_0827_10aoi</x:v>
      </x:c>
      <x:c r="B1564" s="10" t="n">
        <x:v>10</x:v>
      </x:c>
      <x:c r="C1564" s="10" t="n">
        <x:v>44</x:v>
      </x:c>
      <x:c r="D1564" s="10" t="str">
        <x:v>M1 / M3</x:v>
      </x:c>
      <x:c r="E1564" s="16" t="n">
        <x:v>5</x:v>
      </x:c>
      <x:c r="F1564" s="14" t="n">
        <x:v>50</x:v>
      </x:c>
      <x:c r="G1564" s="26" t="n">
        <x:f>'成本明细'!U224+'成本明细'!G224*(E1564-'参数'!$B$6)</x:f>
        <x:v>1929.0033778788888</x:v>
      </x:c>
      <x:c r="H1564" s="26" t="n">
        <x:f>'成本明细'!U230</x:f>
        <x:v>2323.768246568889</x:v>
      </x:c>
      <x:c r="I1564" s="26" t="n">
        <x:f>'成本明细'!V230</x:f>
        <x:v>4416.5</x:v>
      </x:c>
      <x:c r="J1564" s="22" t="n">
        <x:f>'参数'!$B$9</x:f>
        <x:v>300</x:v>
      </x:c>
      <x:c r="K1564" s="26" t="n">
        <x:f>J1564*(G1564-H1564)-I1564*ROUNDUP(J1564/F1564,0)</x:f>
        <x:v>-144928.46060700004</x:v>
      </x:c>
      <x:c r="L1564" s="10" t="str">
        <x:f>IF(G1564-H1564&lt;=0,"未回本",IF(ROUNDUP(I1564/(G1564-H1564),0)&gt;MIN(F1564,J1564),"未回本",MAX(1,ROUNDUP(I1564/(G1564-H1564),0))))</x:f>
        <x:v>未回本</x:v>
      </x:c>
    </x:row>
    <x:row r="1565" ht="22" customHeight="1">
      <x:c r="A1565" s="11" t="str">
        <x:v>lade_0827_10aoi</x:v>
      </x:c>
      <x:c r="B1565" s="10" t="n">
        <x:v>10</x:v>
      </x:c>
      <x:c r="C1565" s="10" t="n">
        <x:v>44</x:v>
      </x:c>
      <x:c r="D1565" s="10" t="str">
        <x:v>M2 / M4</x:v>
      </x:c>
      <x:c r="E1565" s="16" t="n">
        <x:v>5</x:v>
      </x:c>
      <x:c r="F1565" s="14" t="n">
        <x:v>50</x:v>
      </x:c>
      <x:c r="G1565" s="26" t="n">
        <x:f>'成本明细'!U227+'成本明细'!G227*(E1565-'参数'!$B$6)</x:f>
        <x:v>1581.098726087222</x:v>
      </x:c>
      <x:c r="H1565" s="26" t="n">
        <x:f>'成本明细'!U233</x:f>
        <x:v>1851.9027635483328</x:v>
      </x:c>
      <x:c r="I1565" s="26" t="n">
        <x:f>'成本明细'!V233</x:f>
        <x:v>4416.5</x:v>
      </x:c>
      <x:c r="J1565" s="22" t="n">
        <x:f>'参数'!$B$9</x:f>
        <x:v>300</x:v>
      </x:c>
      <x:c r="K1565" s="26" t="n">
        <x:f>J1565*(G1565-H1565)-I1565*ROUNDUP(J1565/F1565,0)</x:f>
        <x:v>-107740.21123833323</x:v>
      </x:c>
      <x:c r="L1565" s="10" t="str">
        <x:f>IF(G1565-H1565&lt;=0,"未回本",IF(ROUNDUP(I1565/(G1565-H1565),0)&gt;MIN(F1565,J1565),"未回本",MAX(1,ROUNDUP(I1565/(G1565-H1565),0))))</x:f>
        <x:v>未回本</x:v>
      </x:c>
    </x:row>
    <x:row r="1566" ht="22" customHeight="1">
      <x:c r="A1566" s="11" t="str">
        <x:v>lade_0827_20aoi</x:v>
      </x:c>
      <x:c r="B1566" s="10" t="n">
        <x:v>20</x:v>
      </x:c>
      <x:c r="C1566" s="10" t="n">
        <x:v>42</x:v>
      </x:c>
      <x:c r="D1566" s="10" t="str">
        <x:v>M1 / M3</x:v>
      </x:c>
      <x:c r="E1566" s="16" t="n">
        <x:v>1</x:v>
      </x:c>
      <x:c r="F1566" s="14" t="n">
        <x:v>10</x:v>
      </x:c>
      <x:c r="G1566" s="26" t="n">
        <x:f>'成本明细'!U240+'成本明细'!G240*(E1566-'参数'!$B$6)</x:f>
        <x:v>2374.3362110044445</x:v>
      </x:c>
      <x:c r="H1566" s="26" t="n">
        <x:f>'成本明细'!U246</x:f>
        <x:v>4768.419043881667</x:v>
      </x:c>
      <x:c r="I1566" s="26" t="n">
        <x:f>'成本明细'!V246</x:f>
        <x:v>6825.5</x:v>
      </x:c>
      <x:c r="J1566" s="22" t="n">
        <x:f>'参数'!$B$9</x:f>
        <x:v>300</x:v>
      </x:c>
      <x:c r="K1566" s="26" t="n">
        <x:f>J1566*(G1566-H1566)-I1566*ROUNDUP(J1566/F1566,0)</x:f>
        <x:v>-922989.8498631667</x:v>
      </x:c>
      <x:c r="L1566" s="10" t="str">
        <x:f>IF(G1566-H1566&lt;=0,"未回本",IF(ROUNDUP(I1566/(G1566-H1566),0)&gt;MIN(F1566,J1566),"未回本",MAX(1,ROUNDUP(I1566/(G1566-H1566),0))))</x:f>
        <x:v>未回本</x:v>
      </x:c>
    </x:row>
    <x:row r="1567" ht="22" customHeight="1">
      <x:c r="A1567" s="11" t="str">
        <x:v>lade_0827_20aoi</x:v>
      </x:c>
      <x:c r="B1567" s="10" t="n">
        <x:v>20</x:v>
      </x:c>
      <x:c r="C1567" s="10" t="n">
        <x:v>42</x:v>
      </x:c>
      <x:c r="D1567" s="10" t="str">
        <x:v>M2 / M4</x:v>
      </x:c>
      <x:c r="E1567" s="16" t="n">
        <x:v>1</x:v>
      </x:c>
      <x:c r="F1567" s="14" t="n">
        <x:v>10</x:v>
      </x:c>
      <x:c r="G1567" s="26" t="n">
        <x:f>'成本明细'!U243+'成本明细'!G243*(E1567-'参数'!$B$6)</x:f>
        <x:v>1781.2636976544445</x:v>
      </x:c>
      <x:c r="H1567" s="26" t="n">
        <x:f>'成本明细'!U249</x:f>
        <x:v>3875.0936405866664</x:v>
      </x:c>
      <x:c r="I1567" s="26" t="n">
        <x:f>'成本明细'!V249</x:f>
        <x:v>6825.5</x:v>
      </x:c>
      <x:c r="J1567" s="22" t="n">
        <x:f>'参数'!$B$9</x:f>
        <x:v>300</x:v>
      </x:c>
      <x:c r="K1567" s="26" t="n">
        <x:f>J1567*(G1567-H1567)-I1567*ROUNDUP(J1567/F1567,0)</x:f>
        <x:v>-832913.9828796666</x:v>
      </x:c>
      <x:c r="L1567" s="10" t="str">
        <x:f>IF(G1567-H1567&lt;=0,"未回本",IF(ROUNDUP(I1567/(G1567-H1567),0)&gt;MIN(F1567,J1567),"未回本",MAX(1,ROUNDUP(I1567/(G1567-H1567),0))))</x:f>
        <x:v>未回本</x:v>
      </x:c>
    </x:row>
    <x:row r="1568" ht="22" customHeight="1">
      <x:c r="A1568" s="11" t="str">
        <x:v>lade_0827_20aoi</x:v>
      </x:c>
      <x:c r="B1568" s="10" t="n">
        <x:v>20</x:v>
      </x:c>
      <x:c r="C1568" s="10" t="n">
        <x:v>42</x:v>
      </x:c>
      <x:c r="D1568" s="10" t="str">
        <x:v>M1 / M3</x:v>
      </x:c>
      <x:c r="E1568" s="16" t="n">
        <x:v>1</x:v>
      </x:c>
      <x:c r="F1568" s="14" t="n">
        <x:v>20</x:v>
      </x:c>
      <x:c r="G1568" s="26" t="n">
        <x:f>'成本明细'!U240+'成本明细'!G240*(E1568-'参数'!$B$6)</x:f>
        <x:v>2374.3362110044445</x:v>
      </x:c>
      <x:c r="H1568" s="26" t="n">
        <x:f>'成本明细'!U246</x:f>
        <x:v>4768.419043881667</x:v>
      </x:c>
      <x:c r="I1568" s="26" t="n">
        <x:f>'成本明细'!V246</x:f>
        <x:v>6825.5</x:v>
      </x:c>
      <x:c r="J1568" s="22" t="n">
        <x:f>'参数'!$B$9</x:f>
        <x:v>300</x:v>
      </x:c>
      <x:c r="K1568" s="26" t="n">
        <x:f>J1568*(G1568-H1568)-I1568*ROUNDUP(J1568/F1568,0)</x:f>
        <x:v>-820607.3498631667</x:v>
      </x:c>
      <x:c r="L1568" s="10" t="str">
        <x:f>IF(G1568-H1568&lt;=0,"未回本",IF(ROUNDUP(I1568/(G1568-H1568),0)&gt;MIN(F1568,J1568),"未回本",MAX(1,ROUNDUP(I1568/(G1568-H1568),0))))</x:f>
        <x:v>未回本</x:v>
      </x:c>
    </x:row>
    <x:row r="1569" ht="22" customHeight="1">
      <x:c r="A1569" s="11" t="str">
        <x:v>lade_0827_20aoi</x:v>
      </x:c>
      <x:c r="B1569" s="10" t="n">
        <x:v>20</x:v>
      </x:c>
      <x:c r="C1569" s="10" t="n">
        <x:v>42</x:v>
      </x:c>
      <x:c r="D1569" s="10" t="str">
        <x:v>M2 / M4</x:v>
      </x:c>
      <x:c r="E1569" s="16" t="n">
        <x:v>1</x:v>
      </x:c>
      <x:c r="F1569" s="14" t="n">
        <x:v>20</x:v>
      </x:c>
      <x:c r="G1569" s="26" t="n">
        <x:f>'成本明细'!U243+'成本明细'!G243*(E1569-'参数'!$B$6)</x:f>
        <x:v>1781.2636976544445</x:v>
      </x:c>
      <x:c r="H1569" s="26" t="n">
        <x:f>'成本明细'!U249</x:f>
        <x:v>3875.0936405866664</x:v>
      </x:c>
      <x:c r="I1569" s="26" t="n">
        <x:f>'成本明细'!V249</x:f>
        <x:v>6825.5</x:v>
      </x:c>
      <x:c r="J1569" s="22" t="n">
        <x:f>'参数'!$B$9</x:f>
        <x:v>300</x:v>
      </x:c>
      <x:c r="K1569" s="26" t="n">
        <x:f>J1569*(G1569-H1569)-I1569*ROUNDUP(J1569/F1569,0)</x:f>
        <x:v>-730531.4828796666</x:v>
      </x:c>
      <x:c r="L1569" s="10" t="str">
        <x:f>IF(G1569-H1569&lt;=0,"未回本",IF(ROUNDUP(I1569/(G1569-H1569),0)&gt;MIN(F1569,J1569),"未回本",MAX(1,ROUNDUP(I1569/(G1569-H1569),0))))</x:f>
        <x:v>未回本</x:v>
      </x:c>
    </x:row>
    <x:row r="1570" ht="22" customHeight="1">
      <x:c r="A1570" s="11" t="str">
        <x:v>lade_0827_20aoi</x:v>
      </x:c>
      <x:c r="B1570" s="10" t="n">
        <x:v>20</x:v>
      </x:c>
      <x:c r="C1570" s="10" t="n">
        <x:v>42</x:v>
      </x:c>
      <x:c r="D1570" s="10" t="str">
        <x:v>M1 / M3</x:v>
      </x:c>
      <x:c r="E1570" s="16" t="n">
        <x:v>1</x:v>
      </x:c>
      <x:c r="F1570" s="14" t="n">
        <x:v>30</x:v>
      </x:c>
      <x:c r="G1570" s="26" t="n">
        <x:f>'成本明细'!U240+'成本明细'!G240*(E1570-'参数'!$B$6)</x:f>
        <x:v>2374.3362110044445</x:v>
      </x:c>
      <x:c r="H1570" s="26" t="n">
        <x:f>'成本明细'!U246</x:f>
        <x:v>4768.419043881667</x:v>
      </x:c>
      <x:c r="I1570" s="26" t="n">
        <x:f>'成本明细'!V246</x:f>
        <x:v>6825.5</x:v>
      </x:c>
      <x:c r="J1570" s="22" t="n">
        <x:f>'参数'!$B$9</x:f>
        <x:v>300</x:v>
      </x:c>
      <x:c r="K1570" s="26" t="n">
        <x:f>J1570*(G1570-H1570)-I1570*ROUNDUP(J1570/F1570,0)</x:f>
        <x:v>-786479.8498631667</x:v>
      </x:c>
      <x:c r="L1570" s="10" t="str">
        <x:f>IF(G1570-H1570&lt;=0,"未回本",IF(ROUNDUP(I1570/(G1570-H1570),0)&gt;MIN(F1570,J1570),"未回本",MAX(1,ROUNDUP(I1570/(G1570-H1570),0))))</x:f>
        <x:v>未回本</x:v>
      </x:c>
    </x:row>
    <x:row r="1571" ht="22" customHeight="1">
      <x:c r="A1571" s="11" t="str">
        <x:v>lade_0827_20aoi</x:v>
      </x:c>
      <x:c r="B1571" s="10" t="n">
        <x:v>20</x:v>
      </x:c>
      <x:c r="C1571" s="10" t="n">
        <x:v>42</x:v>
      </x:c>
      <x:c r="D1571" s="10" t="str">
        <x:v>M2 / M4</x:v>
      </x:c>
      <x:c r="E1571" s="16" t="n">
        <x:v>1</x:v>
      </x:c>
      <x:c r="F1571" s="14" t="n">
        <x:v>30</x:v>
      </x:c>
      <x:c r="G1571" s="26" t="n">
        <x:f>'成本明细'!U243+'成本明细'!G243*(E1571-'参数'!$B$6)</x:f>
        <x:v>1781.2636976544445</x:v>
      </x:c>
      <x:c r="H1571" s="26" t="n">
        <x:f>'成本明细'!U249</x:f>
        <x:v>3875.0936405866664</x:v>
      </x:c>
      <x:c r="I1571" s="26" t="n">
        <x:f>'成本明细'!V249</x:f>
        <x:v>6825.5</x:v>
      </x:c>
      <x:c r="J1571" s="22" t="n">
        <x:f>'参数'!$B$9</x:f>
        <x:v>300</x:v>
      </x:c>
      <x:c r="K1571" s="26" t="n">
        <x:f>J1571*(G1571-H1571)-I1571*ROUNDUP(J1571/F1571,0)</x:f>
        <x:v>-696403.9828796666</x:v>
      </x:c>
      <x:c r="L1571" s="10" t="str">
        <x:f>IF(G1571-H1571&lt;=0,"未回本",IF(ROUNDUP(I1571/(G1571-H1571),0)&gt;MIN(F1571,J1571),"未回本",MAX(1,ROUNDUP(I1571/(G1571-H1571),0))))</x:f>
        <x:v>未回本</x:v>
      </x:c>
    </x:row>
    <x:row r="1572" ht="22" customHeight="1">
      <x:c r="A1572" s="11" t="str">
        <x:v>lade_0827_20aoi</x:v>
      </x:c>
      <x:c r="B1572" s="10" t="n">
        <x:v>20</x:v>
      </x:c>
      <x:c r="C1572" s="10" t="n">
        <x:v>42</x:v>
      </x:c>
      <x:c r="D1572" s="10" t="str">
        <x:v>M1 / M3</x:v>
      </x:c>
      <x:c r="E1572" s="16" t="n">
        <x:v>1</x:v>
      </x:c>
      <x:c r="F1572" s="14" t="n">
        <x:v>50</x:v>
      </x:c>
      <x:c r="G1572" s="26" t="n">
        <x:f>'成本明细'!U240+'成本明细'!G240*(E1572-'参数'!$B$6)</x:f>
        <x:v>2374.3362110044445</x:v>
      </x:c>
      <x:c r="H1572" s="26" t="n">
        <x:f>'成本明细'!U246</x:f>
        <x:v>4768.419043881667</x:v>
      </x:c>
      <x:c r="I1572" s="26" t="n">
        <x:f>'成本明细'!V246</x:f>
        <x:v>6825.5</x:v>
      </x:c>
      <x:c r="J1572" s="22" t="n">
        <x:f>'参数'!$B$9</x:f>
        <x:v>300</x:v>
      </x:c>
      <x:c r="K1572" s="26" t="n">
        <x:f>J1572*(G1572-H1572)-I1572*ROUNDUP(J1572/F1572,0)</x:f>
        <x:v>-759177.8498631667</x:v>
      </x:c>
      <x:c r="L1572" s="10" t="str">
        <x:f>IF(G1572-H1572&lt;=0,"未回本",IF(ROUNDUP(I1572/(G1572-H1572),0)&gt;MIN(F1572,J1572),"未回本",MAX(1,ROUNDUP(I1572/(G1572-H1572),0))))</x:f>
        <x:v>未回本</x:v>
      </x:c>
    </x:row>
    <x:row r="1573" ht="22" customHeight="1">
      <x:c r="A1573" s="11" t="str">
        <x:v>lade_0827_20aoi</x:v>
      </x:c>
      <x:c r="B1573" s="10" t="n">
        <x:v>20</x:v>
      </x:c>
      <x:c r="C1573" s="10" t="n">
        <x:v>42</x:v>
      </x:c>
      <x:c r="D1573" s="10" t="str">
        <x:v>M2 / M4</x:v>
      </x:c>
      <x:c r="E1573" s="16" t="n">
        <x:v>1</x:v>
      </x:c>
      <x:c r="F1573" s="14" t="n">
        <x:v>50</x:v>
      </x:c>
      <x:c r="G1573" s="26" t="n">
        <x:f>'成本明细'!U243+'成本明细'!G243*(E1573-'参数'!$B$6)</x:f>
        <x:v>1781.2636976544445</x:v>
      </x:c>
      <x:c r="H1573" s="26" t="n">
        <x:f>'成本明细'!U249</x:f>
        <x:v>3875.0936405866664</x:v>
      </x:c>
      <x:c r="I1573" s="26" t="n">
        <x:f>'成本明细'!V249</x:f>
        <x:v>6825.5</x:v>
      </x:c>
      <x:c r="J1573" s="22" t="n">
        <x:f>'参数'!$B$9</x:f>
        <x:v>300</x:v>
      </x:c>
      <x:c r="K1573" s="26" t="n">
        <x:f>J1573*(G1573-H1573)-I1573*ROUNDUP(J1573/F1573,0)</x:f>
        <x:v>-669101.9828796666</x:v>
      </x:c>
      <x:c r="L1573" s="10" t="str">
        <x:f>IF(G1573-H1573&lt;=0,"未回本",IF(ROUNDUP(I1573/(G1573-H1573),0)&gt;MIN(F1573,J1573),"未回本",MAX(1,ROUNDUP(I1573/(G1573-H1573),0))))</x:f>
        <x:v>未回本</x:v>
      </x:c>
    </x:row>
    <x:row r="1574" ht="22" customHeight="1">
      <x:c r="A1574" s="11" t="str">
        <x:v>lade_0827_20aoi</x:v>
      </x:c>
      <x:c r="B1574" s="10" t="n">
        <x:v>20</x:v>
      </x:c>
      <x:c r="C1574" s="10" t="n">
        <x:v>42</x:v>
      </x:c>
      <x:c r="D1574" s="10" t="str">
        <x:v>M1 / M3</x:v>
      </x:c>
      <x:c r="E1574" s="16" t="n">
        <x:v>2</x:v>
      </x:c>
      <x:c r="F1574" s="14" t="n">
        <x:v>10</x:v>
      </x:c>
      <x:c r="G1574" s="26" t="n">
        <x:f>'成本明细'!U240+'成本明细'!G240*(E1574-'参数'!$B$6)</x:f>
        <x:v>2561.3362110044445</x:v>
      </x:c>
      <x:c r="H1574" s="26" t="n">
        <x:f>'成本明细'!U246</x:f>
        <x:v>4768.419043881667</x:v>
      </x:c>
      <x:c r="I1574" s="26" t="n">
        <x:f>'成本明细'!V246</x:f>
        <x:v>6825.5</x:v>
      </x:c>
      <x:c r="J1574" s="22" t="n">
        <x:f>'参数'!$B$9</x:f>
        <x:v>300</x:v>
      </x:c>
      <x:c r="K1574" s="26" t="n">
        <x:f>J1574*(G1574-H1574)-I1574*ROUNDUP(J1574/F1574,0)</x:f>
        <x:v>-866889.8498631667</x:v>
      </x:c>
      <x:c r="L1574" s="10" t="str">
        <x:f>IF(G1574-H1574&lt;=0,"未回本",IF(ROUNDUP(I1574/(G1574-H1574),0)&gt;MIN(F1574,J1574),"未回本",MAX(1,ROUNDUP(I1574/(G1574-H1574),0))))</x:f>
        <x:v>未回本</x:v>
      </x:c>
    </x:row>
    <x:row r="1575" ht="22" customHeight="1">
      <x:c r="A1575" s="11" t="str">
        <x:v>lade_0827_20aoi</x:v>
      </x:c>
      <x:c r="B1575" s="10" t="n">
        <x:v>20</x:v>
      </x:c>
      <x:c r="C1575" s="10" t="n">
        <x:v>42</x:v>
      </x:c>
      <x:c r="D1575" s="10" t="str">
        <x:v>M2 / M4</x:v>
      </x:c>
      <x:c r="E1575" s="16" t="n">
        <x:v>2</x:v>
      </x:c>
      <x:c r="F1575" s="14" t="n">
        <x:v>10</x:v>
      </x:c>
      <x:c r="G1575" s="26" t="n">
        <x:f>'成本明细'!U243+'成本明细'!G243*(E1575-'参数'!$B$6)</x:f>
        <x:v>1968.2636976544445</x:v>
      </x:c>
      <x:c r="H1575" s="26" t="n">
        <x:f>'成本明细'!U249</x:f>
        <x:v>3875.0936405866664</x:v>
      </x:c>
      <x:c r="I1575" s="26" t="n">
        <x:f>'成本明细'!V249</x:f>
        <x:v>6825.5</x:v>
      </x:c>
      <x:c r="J1575" s="22" t="n">
        <x:f>'参数'!$B$9</x:f>
        <x:v>300</x:v>
      </x:c>
      <x:c r="K1575" s="26" t="n">
        <x:f>J1575*(G1575-H1575)-I1575*ROUNDUP(J1575/F1575,0)</x:f>
        <x:v>-776813.9828796666</x:v>
      </x:c>
      <x:c r="L1575" s="10" t="str">
        <x:f>IF(G1575-H1575&lt;=0,"未回本",IF(ROUNDUP(I1575/(G1575-H1575),0)&gt;MIN(F1575,J1575),"未回本",MAX(1,ROUNDUP(I1575/(G1575-H1575),0))))</x:f>
        <x:v>未回本</x:v>
      </x:c>
    </x:row>
    <x:row r="1576" ht="22" customHeight="1">
      <x:c r="A1576" s="11" t="str">
        <x:v>lade_0827_20aoi</x:v>
      </x:c>
      <x:c r="B1576" s="10" t="n">
        <x:v>20</x:v>
      </x:c>
      <x:c r="C1576" s="10" t="n">
        <x:v>42</x:v>
      </x:c>
      <x:c r="D1576" s="10" t="str">
        <x:v>M1 / M3</x:v>
      </x:c>
      <x:c r="E1576" s="16" t="n">
        <x:v>2</x:v>
      </x:c>
      <x:c r="F1576" s="14" t="n">
        <x:v>20</x:v>
      </x:c>
      <x:c r="G1576" s="26" t="n">
        <x:f>'成本明细'!U240+'成本明细'!G240*(E1576-'参数'!$B$6)</x:f>
        <x:v>2561.3362110044445</x:v>
      </x:c>
      <x:c r="H1576" s="26" t="n">
        <x:f>'成本明细'!U246</x:f>
        <x:v>4768.419043881667</x:v>
      </x:c>
      <x:c r="I1576" s="26" t="n">
        <x:f>'成本明细'!V246</x:f>
        <x:v>6825.5</x:v>
      </x:c>
      <x:c r="J1576" s="22" t="n">
        <x:f>'参数'!$B$9</x:f>
        <x:v>300</x:v>
      </x:c>
      <x:c r="K1576" s="26" t="n">
        <x:f>J1576*(G1576-H1576)-I1576*ROUNDUP(J1576/F1576,0)</x:f>
        <x:v>-764507.3498631667</x:v>
      </x:c>
      <x:c r="L1576" s="10" t="str">
        <x:f>IF(G1576-H1576&lt;=0,"未回本",IF(ROUNDUP(I1576/(G1576-H1576),0)&gt;MIN(F1576,J1576),"未回本",MAX(1,ROUNDUP(I1576/(G1576-H1576),0))))</x:f>
        <x:v>未回本</x:v>
      </x:c>
    </x:row>
    <x:row r="1577" ht="22" customHeight="1">
      <x:c r="A1577" s="11" t="str">
        <x:v>lade_0827_20aoi</x:v>
      </x:c>
      <x:c r="B1577" s="10" t="n">
        <x:v>20</x:v>
      </x:c>
      <x:c r="C1577" s="10" t="n">
        <x:v>42</x:v>
      </x:c>
      <x:c r="D1577" s="10" t="str">
        <x:v>M2 / M4</x:v>
      </x:c>
      <x:c r="E1577" s="16" t="n">
        <x:v>2</x:v>
      </x:c>
      <x:c r="F1577" s="14" t="n">
        <x:v>20</x:v>
      </x:c>
      <x:c r="G1577" s="26" t="n">
        <x:f>'成本明细'!U243+'成本明细'!G243*(E1577-'参数'!$B$6)</x:f>
        <x:v>1968.2636976544445</x:v>
      </x:c>
      <x:c r="H1577" s="26" t="n">
        <x:f>'成本明细'!U249</x:f>
        <x:v>3875.0936405866664</x:v>
      </x:c>
      <x:c r="I1577" s="26" t="n">
        <x:f>'成本明细'!V249</x:f>
        <x:v>6825.5</x:v>
      </x:c>
      <x:c r="J1577" s="22" t="n">
        <x:f>'参数'!$B$9</x:f>
        <x:v>300</x:v>
      </x:c>
      <x:c r="K1577" s="26" t="n">
        <x:f>J1577*(G1577-H1577)-I1577*ROUNDUP(J1577/F1577,0)</x:f>
        <x:v>-674431.4828796666</x:v>
      </x:c>
      <x:c r="L1577" s="10" t="str">
        <x:f>IF(G1577-H1577&lt;=0,"未回本",IF(ROUNDUP(I1577/(G1577-H1577),0)&gt;MIN(F1577,J1577),"未回本",MAX(1,ROUNDUP(I1577/(G1577-H1577),0))))</x:f>
        <x:v>未回本</x:v>
      </x:c>
    </x:row>
    <x:row r="1578" ht="22" customHeight="1">
      <x:c r="A1578" s="11" t="str">
        <x:v>lade_0827_20aoi</x:v>
      </x:c>
      <x:c r="B1578" s="10" t="n">
        <x:v>20</x:v>
      </x:c>
      <x:c r="C1578" s="10" t="n">
        <x:v>42</x:v>
      </x:c>
      <x:c r="D1578" s="10" t="str">
        <x:v>M1 / M3</x:v>
      </x:c>
      <x:c r="E1578" s="16" t="n">
        <x:v>2</x:v>
      </x:c>
      <x:c r="F1578" s="14" t="n">
        <x:v>30</x:v>
      </x:c>
      <x:c r="G1578" s="26" t="n">
        <x:f>'成本明细'!U240+'成本明细'!G240*(E1578-'参数'!$B$6)</x:f>
        <x:v>2561.3362110044445</x:v>
      </x:c>
      <x:c r="H1578" s="26" t="n">
        <x:f>'成本明细'!U246</x:f>
        <x:v>4768.419043881667</x:v>
      </x:c>
      <x:c r="I1578" s="26" t="n">
        <x:f>'成本明细'!V246</x:f>
        <x:v>6825.5</x:v>
      </x:c>
      <x:c r="J1578" s="22" t="n">
        <x:f>'参数'!$B$9</x:f>
        <x:v>300</x:v>
      </x:c>
      <x:c r="K1578" s="26" t="n">
        <x:f>J1578*(G1578-H1578)-I1578*ROUNDUP(J1578/F1578,0)</x:f>
        <x:v>-730379.8498631667</x:v>
      </x:c>
      <x:c r="L1578" s="10" t="str">
        <x:f>IF(G1578-H1578&lt;=0,"未回本",IF(ROUNDUP(I1578/(G1578-H1578),0)&gt;MIN(F1578,J1578),"未回本",MAX(1,ROUNDUP(I1578/(G1578-H1578),0))))</x:f>
        <x:v>未回本</x:v>
      </x:c>
    </x:row>
    <x:row r="1579" ht="22" customHeight="1">
      <x:c r="A1579" s="11" t="str">
        <x:v>lade_0827_20aoi</x:v>
      </x:c>
      <x:c r="B1579" s="10" t="n">
        <x:v>20</x:v>
      </x:c>
      <x:c r="C1579" s="10" t="n">
        <x:v>42</x:v>
      </x:c>
      <x:c r="D1579" s="10" t="str">
        <x:v>M2 / M4</x:v>
      </x:c>
      <x:c r="E1579" s="16" t="n">
        <x:v>2</x:v>
      </x:c>
      <x:c r="F1579" s="14" t="n">
        <x:v>30</x:v>
      </x:c>
      <x:c r="G1579" s="26" t="n">
        <x:f>'成本明细'!U243+'成本明细'!G243*(E1579-'参数'!$B$6)</x:f>
        <x:v>1968.2636976544445</x:v>
      </x:c>
      <x:c r="H1579" s="26" t="n">
        <x:f>'成本明细'!U249</x:f>
        <x:v>3875.0936405866664</x:v>
      </x:c>
      <x:c r="I1579" s="26" t="n">
        <x:f>'成本明细'!V249</x:f>
        <x:v>6825.5</x:v>
      </x:c>
      <x:c r="J1579" s="22" t="n">
        <x:f>'参数'!$B$9</x:f>
        <x:v>300</x:v>
      </x:c>
      <x:c r="K1579" s="26" t="n">
        <x:f>J1579*(G1579-H1579)-I1579*ROUNDUP(J1579/F1579,0)</x:f>
        <x:v>-640303.9828796666</x:v>
      </x:c>
      <x:c r="L1579" s="10" t="str">
        <x:f>IF(G1579-H1579&lt;=0,"未回本",IF(ROUNDUP(I1579/(G1579-H1579),0)&gt;MIN(F1579,J1579),"未回本",MAX(1,ROUNDUP(I1579/(G1579-H1579),0))))</x:f>
        <x:v>未回本</x:v>
      </x:c>
    </x:row>
    <x:row r="1580" ht="22" customHeight="1">
      <x:c r="A1580" s="11" t="str">
        <x:v>lade_0827_20aoi</x:v>
      </x:c>
      <x:c r="B1580" s="10" t="n">
        <x:v>20</x:v>
      </x:c>
      <x:c r="C1580" s="10" t="n">
        <x:v>42</x:v>
      </x:c>
      <x:c r="D1580" s="10" t="str">
        <x:v>M1 / M3</x:v>
      </x:c>
      <x:c r="E1580" s="16" t="n">
        <x:v>2</x:v>
      </x:c>
      <x:c r="F1580" s="14" t="n">
        <x:v>50</x:v>
      </x:c>
      <x:c r="G1580" s="26" t="n">
        <x:f>'成本明细'!U240+'成本明细'!G240*(E1580-'参数'!$B$6)</x:f>
        <x:v>2561.3362110044445</x:v>
      </x:c>
      <x:c r="H1580" s="26" t="n">
        <x:f>'成本明细'!U246</x:f>
        <x:v>4768.419043881667</x:v>
      </x:c>
      <x:c r="I1580" s="26" t="n">
        <x:f>'成本明细'!V246</x:f>
        <x:v>6825.5</x:v>
      </x:c>
      <x:c r="J1580" s="22" t="n">
        <x:f>'参数'!$B$9</x:f>
        <x:v>300</x:v>
      </x:c>
      <x:c r="K1580" s="26" t="n">
        <x:f>J1580*(G1580-H1580)-I1580*ROUNDUP(J1580/F1580,0)</x:f>
        <x:v>-703077.8498631667</x:v>
      </x:c>
      <x:c r="L1580" s="10" t="str">
        <x:f>IF(G1580-H1580&lt;=0,"未回本",IF(ROUNDUP(I1580/(G1580-H1580),0)&gt;MIN(F1580,J1580),"未回本",MAX(1,ROUNDUP(I1580/(G1580-H1580),0))))</x:f>
        <x:v>未回本</x:v>
      </x:c>
    </x:row>
    <x:row r="1581" ht="22" customHeight="1">
      <x:c r="A1581" s="11" t="str">
        <x:v>lade_0827_20aoi</x:v>
      </x:c>
      <x:c r="B1581" s="10" t="n">
        <x:v>20</x:v>
      </x:c>
      <x:c r="C1581" s="10" t="n">
        <x:v>42</x:v>
      </x:c>
      <x:c r="D1581" s="10" t="str">
        <x:v>M2 / M4</x:v>
      </x:c>
      <x:c r="E1581" s="16" t="n">
        <x:v>2</x:v>
      </x:c>
      <x:c r="F1581" s="14" t="n">
        <x:v>50</x:v>
      </x:c>
      <x:c r="G1581" s="26" t="n">
        <x:f>'成本明细'!U243+'成本明细'!G243*(E1581-'参数'!$B$6)</x:f>
        <x:v>1968.2636976544445</x:v>
      </x:c>
      <x:c r="H1581" s="26" t="n">
        <x:f>'成本明细'!U249</x:f>
        <x:v>3875.0936405866664</x:v>
      </x:c>
      <x:c r="I1581" s="26" t="n">
        <x:f>'成本明细'!V249</x:f>
        <x:v>6825.5</x:v>
      </x:c>
      <x:c r="J1581" s="22" t="n">
        <x:f>'参数'!$B$9</x:f>
        <x:v>300</x:v>
      </x:c>
      <x:c r="K1581" s="26" t="n">
        <x:f>J1581*(G1581-H1581)-I1581*ROUNDUP(J1581/F1581,0)</x:f>
        <x:v>-613001.9828796666</x:v>
      </x:c>
      <x:c r="L1581" s="10" t="str">
        <x:f>IF(G1581-H1581&lt;=0,"未回本",IF(ROUNDUP(I1581/(G1581-H1581),0)&gt;MIN(F1581,J1581),"未回本",MAX(1,ROUNDUP(I1581/(G1581-H1581),0))))</x:f>
        <x:v>未回本</x:v>
      </x:c>
    </x:row>
    <x:row r="1582" ht="22" customHeight="1">
      <x:c r="A1582" s="11" t="str">
        <x:v>lade_0827_20aoi</x:v>
      </x:c>
      <x:c r="B1582" s="10" t="n">
        <x:v>20</x:v>
      </x:c>
      <x:c r="C1582" s="10" t="n">
        <x:v>42</x:v>
      </x:c>
      <x:c r="D1582" s="10" t="str">
        <x:v>M1 / M3</x:v>
      </x:c>
      <x:c r="E1582" s="16" t="n">
        <x:v>3</x:v>
      </x:c>
      <x:c r="F1582" s="14" t="n">
        <x:v>10</x:v>
      </x:c>
      <x:c r="G1582" s="26" t="n">
        <x:f>'成本明细'!U240+'成本明细'!G240*(E1582-'参数'!$B$6)</x:f>
        <x:v>2748.3362110044445</x:v>
      </x:c>
      <x:c r="H1582" s="26" t="n">
        <x:f>'成本明细'!U246</x:f>
        <x:v>4768.419043881667</x:v>
      </x:c>
      <x:c r="I1582" s="26" t="n">
        <x:f>'成本明细'!V246</x:f>
        <x:v>6825.5</x:v>
      </x:c>
      <x:c r="J1582" s="22" t="n">
        <x:f>'参数'!$B$9</x:f>
        <x:v>300</x:v>
      </x:c>
      <x:c r="K1582" s="26" t="n">
        <x:f>J1582*(G1582-H1582)-I1582*ROUNDUP(J1582/F1582,0)</x:f>
        <x:v>-810789.8498631667</x:v>
      </x:c>
      <x:c r="L1582" s="10" t="str">
        <x:f>IF(G1582-H1582&lt;=0,"未回本",IF(ROUNDUP(I1582/(G1582-H1582),0)&gt;MIN(F1582,J1582),"未回本",MAX(1,ROUNDUP(I1582/(G1582-H1582),0))))</x:f>
        <x:v>未回本</x:v>
      </x:c>
    </x:row>
    <x:row r="1583" ht="22" customHeight="1">
      <x:c r="A1583" s="11" t="str">
        <x:v>lade_0827_20aoi</x:v>
      </x:c>
      <x:c r="B1583" s="10" t="n">
        <x:v>20</x:v>
      </x:c>
      <x:c r="C1583" s="10" t="n">
        <x:v>42</x:v>
      </x:c>
      <x:c r="D1583" s="10" t="str">
        <x:v>M2 / M4</x:v>
      </x:c>
      <x:c r="E1583" s="16" t="n">
        <x:v>3</x:v>
      </x:c>
      <x:c r="F1583" s="14" t="n">
        <x:v>10</x:v>
      </x:c>
      <x:c r="G1583" s="26" t="n">
        <x:f>'成本明细'!U243+'成本明细'!G243*(E1583-'参数'!$B$6)</x:f>
        <x:v>2155.2636976544445</x:v>
      </x:c>
      <x:c r="H1583" s="26" t="n">
        <x:f>'成本明细'!U249</x:f>
        <x:v>3875.0936405866664</x:v>
      </x:c>
      <x:c r="I1583" s="26" t="n">
        <x:f>'成本明细'!V249</x:f>
        <x:v>6825.5</x:v>
      </x:c>
      <x:c r="J1583" s="22" t="n">
        <x:f>'参数'!$B$9</x:f>
        <x:v>300</x:v>
      </x:c>
      <x:c r="K1583" s="26" t="n">
        <x:f>J1583*(G1583-H1583)-I1583*ROUNDUP(J1583/F1583,0)</x:f>
        <x:v>-720713.9828796666</x:v>
      </x:c>
      <x:c r="L1583" s="10" t="str">
        <x:f>IF(G1583-H1583&lt;=0,"未回本",IF(ROUNDUP(I1583/(G1583-H1583),0)&gt;MIN(F1583,J1583),"未回本",MAX(1,ROUNDUP(I1583/(G1583-H1583),0))))</x:f>
        <x:v>未回本</x:v>
      </x:c>
    </x:row>
    <x:row r="1584" ht="22" customHeight="1">
      <x:c r="A1584" s="11" t="str">
        <x:v>lade_0827_20aoi</x:v>
      </x:c>
      <x:c r="B1584" s="10" t="n">
        <x:v>20</x:v>
      </x:c>
      <x:c r="C1584" s="10" t="n">
        <x:v>42</x:v>
      </x:c>
      <x:c r="D1584" s="10" t="str">
        <x:v>M1 / M3</x:v>
      </x:c>
      <x:c r="E1584" s="16" t="n">
        <x:v>3</x:v>
      </x:c>
      <x:c r="F1584" s="14" t="n">
        <x:v>20</x:v>
      </x:c>
      <x:c r="G1584" s="26" t="n">
        <x:f>'成本明细'!U240+'成本明细'!G240*(E1584-'参数'!$B$6)</x:f>
        <x:v>2748.3362110044445</x:v>
      </x:c>
      <x:c r="H1584" s="26" t="n">
        <x:f>'成本明细'!U246</x:f>
        <x:v>4768.419043881667</x:v>
      </x:c>
      <x:c r="I1584" s="26" t="n">
        <x:f>'成本明细'!V246</x:f>
        <x:v>6825.5</x:v>
      </x:c>
      <x:c r="J1584" s="22" t="n">
        <x:f>'参数'!$B$9</x:f>
        <x:v>300</x:v>
      </x:c>
      <x:c r="K1584" s="26" t="n">
        <x:f>J1584*(G1584-H1584)-I1584*ROUNDUP(J1584/F1584,0)</x:f>
        <x:v>-708407.3498631667</x:v>
      </x:c>
      <x:c r="L1584" s="10" t="str">
        <x:f>IF(G1584-H1584&lt;=0,"未回本",IF(ROUNDUP(I1584/(G1584-H1584),0)&gt;MIN(F1584,J1584),"未回本",MAX(1,ROUNDUP(I1584/(G1584-H1584),0))))</x:f>
        <x:v>未回本</x:v>
      </x:c>
    </x:row>
    <x:row r="1585" ht="22" customHeight="1">
      <x:c r="A1585" s="11" t="str">
        <x:v>lade_0827_20aoi</x:v>
      </x:c>
      <x:c r="B1585" s="10" t="n">
        <x:v>20</x:v>
      </x:c>
      <x:c r="C1585" s="10" t="n">
        <x:v>42</x:v>
      </x:c>
      <x:c r="D1585" s="10" t="str">
        <x:v>M2 / M4</x:v>
      </x:c>
      <x:c r="E1585" s="16" t="n">
        <x:v>3</x:v>
      </x:c>
      <x:c r="F1585" s="14" t="n">
        <x:v>20</x:v>
      </x:c>
      <x:c r="G1585" s="26" t="n">
        <x:f>'成本明细'!U243+'成本明细'!G243*(E1585-'参数'!$B$6)</x:f>
        <x:v>2155.2636976544445</x:v>
      </x:c>
      <x:c r="H1585" s="26" t="n">
        <x:f>'成本明细'!U249</x:f>
        <x:v>3875.0936405866664</x:v>
      </x:c>
      <x:c r="I1585" s="26" t="n">
        <x:f>'成本明细'!V249</x:f>
        <x:v>6825.5</x:v>
      </x:c>
      <x:c r="J1585" s="22" t="n">
        <x:f>'参数'!$B$9</x:f>
        <x:v>300</x:v>
      </x:c>
      <x:c r="K1585" s="26" t="n">
        <x:f>J1585*(G1585-H1585)-I1585*ROUNDUP(J1585/F1585,0)</x:f>
        <x:v>-618331.4828796666</x:v>
      </x:c>
      <x:c r="L1585" s="10" t="str">
        <x:f>IF(G1585-H1585&lt;=0,"未回本",IF(ROUNDUP(I1585/(G1585-H1585),0)&gt;MIN(F1585,J1585),"未回本",MAX(1,ROUNDUP(I1585/(G1585-H1585),0))))</x:f>
        <x:v>未回本</x:v>
      </x:c>
    </x:row>
    <x:row r="1586" ht="22" customHeight="1">
      <x:c r="A1586" s="11" t="str">
        <x:v>lade_0827_20aoi</x:v>
      </x:c>
      <x:c r="B1586" s="10" t="n">
        <x:v>20</x:v>
      </x:c>
      <x:c r="C1586" s="10" t="n">
        <x:v>42</x:v>
      </x:c>
      <x:c r="D1586" s="10" t="str">
        <x:v>M1 / M3</x:v>
      </x:c>
      <x:c r="E1586" s="16" t="n">
        <x:v>3</x:v>
      </x:c>
      <x:c r="F1586" s="14" t="n">
        <x:v>30</x:v>
      </x:c>
      <x:c r="G1586" s="26" t="n">
        <x:f>'成本明细'!U240+'成本明细'!G240*(E1586-'参数'!$B$6)</x:f>
        <x:v>2748.3362110044445</x:v>
      </x:c>
      <x:c r="H1586" s="26" t="n">
        <x:f>'成本明细'!U246</x:f>
        <x:v>4768.419043881667</x:v>
      </x:c>
      <x:c r="I1586" s="26" t="n">
        <x:f>'成本明细'!V246</x:f>
        <x:v>6825.5</x:v>
      </x:c>
      <x:c r="J1586" s="22" t="n">
        <x:f>'参数'!$B$9</x:f>
        <x:v>300</x:v>
      </x:c>
      <x:c r="K1586" s="26" t="n">
        <x:f>J1586*(G1586-H1586)-I1586*ROUNDUP(J1586/F1586,0)</x:f>
        <x:v>-674279.8498631667</x:v>
      </x:c>
      <x:c r="L1586" s="10" t="str">
        <x:f>IF(G1586-H1586&lt;=0,"未回本",IF(ROUNDUP(I1586/(G1586-H1586),0)&gt;MIN(F1586,J1586),"未回本",MAX(1,ROUNDUP(I1586/(G1586-H1586),0))))</x:f>
        <x:v>未回本</x:v>
      </x:c>
    </x:row>
    <x:row r="1587" ht="22" customHeight="1">
      <x:c r="A1587" s="11" t="str">
        <x:v>lade_0827_20aoi</x:v>
      </x:c>
      <x:c r="B1587" s="10" t="n">
        <x:v>20</x:v>
      </x:c>
      <x:c r="C1587" s="10" t="n">
        <x:v>42</x:v>
      </x:c>
      <x:c r="D1587" s="10" t="str">
        <x:v>M2 / M4</x:v>
      </x:c>
      <x:c r="E1587" s="16" t="n">
        <x:v>3</x:v>
      </x:c>
      <x:c r="F1587" s="14" t="n">
        <x:v>30</x:v>
      </x:c>
      <x:c r="G1587" s="26" t="n">
        <x:f>'成本明细'!U243+'成本明细'!G243*(E1587-'参数'!$B$6)</x:f>
        <x:v>2155.2636976544445</x:v>
      </x:c>
      <x:c r="H1587" s="26" t="n">
        <x:f>'成本明细'!U249</x:f>
        <x:v>3875.0936405866664</x:v>
      </x:c>
      <x:c r="I1587" s="26" t="n">
        <x:f>'成本明细'!V249</x:f>
        <x:v>6825.5</x:v>
      </x:c>
      <x:c r="J1587" s="22" t="n">
        <x:f>'参数'!$B$9</x:f>
        <x:v>300</x:v>
      </x:c>
      <x:c r="K1587" s="26" t="n">
        <x:f>J1587*(G1587-H1587)-I1587*ROUNDUP(J1587/F1587,0)</x:f>
        <x:v>-584203.9828796666</x:v>
      </x:c>
      <x:c r="L1587" s="10" t="str">
        <x:f>IF(G1587-H1587&lt;=0,"未回本",IF(ROUNDUP(I1587/(G1587-H1587),0)&gt;MIN(F1587,J1587),"未回本",MAX(1,ROUNDUP(I1587/(G1587-H1587),0))))</x:f>
        <x:v>未回本</x:v>
      </x:c>
    </x:row>
    <x:row r="1588" ht="22" customHeight="1">
      <x:c r="A1588" s="11" t="str">
        <x:v>lade_0827_20aoi</x:v>
      </x:c>
      <x:c r="B1588" s="10" t="n">
        <x:v>20</x:v>
      </x:c>
      <x:c r="C1588" s="10" t="n">
        <x:v>42</x:v>
      </x:c>
      <x:c r="D1588" s="10" t="str">
        <x:v>M1 / M3</x:v>
      </x:c>
      <x:c r="E1588" s="16" t="n">
        <x:v>3</x:v>
      </x:c>
      <x:c r="F1588" s="14" t="n">
        <x:v>50</x:v>
      </x:c>
      <x:c r="G1588" s="26" t="n">
        <x:f>'成本明细'!U240+'成本明细'!G240*(E1588-'参数'!$B$6)</x:f>
        <x:v>2748.3362110044445</x:v>
      </x:c>
      <x:c r="H1588" s="26" t="n">
        <x:f>'成本明细'!U246</x:f>
        <x:v>4768.419043881667</x:v>
      </x:c>
      <x:c r="I1588" s="26" t="n">
        <x:f>'成本明细'!V246</x:f>
        <x:v>6825.5</x:v>
      </x:c>
      <x:c r="J1588" s="22" t="n">
        <x:f>'参数'!$B$9</x:f>
        <x:v>300</x:v>
      </x:c>
      <x:c r="K1588" s="26" t="n">
        <x:f>J1588*(G1588-H1588)-I1588*ROUNDUP(J1588/F1588,0)</x:f>
        <x:v>-646977.8498631667</x:v>
      </x:c>
      <x:c r="L1588" s="10" t="str">
        <x:f>IF(G1588-H1588&lt;=0,"未回本",IF(ROUNDUP(I1588/(G1588-H1588),0)&gt;MIN(F1588,J1588),"未回本",MAX(1,ROUNDUP(I1588/(G1588-H1588),0))))</x:f>
        <x:v>未回本</x:v>
      </x:c>
    </x:row>
    <x:row r="1589" ht="22" customHeight="1">
      <x:c r="A1589" s="11" t="str">
        <x:v>lade_0827_20aoi</x:v>
      </x:c>
      <x:c r="B1589" s="10" t="n">
        <x:v>20</x:v>
      </x:c>
      <x:c r="C1589" s="10" t="n">
        <x:v>42</x:v>
      </x:c>
      <x:c r="D1589" s="10" t="str">
        <x:v>M2 / M4</x:v>
      </x:c>
      <x:c r="E1589" s="16" t="n">
        <x:v>3</x:v>
      </x:c>
      <x:c r="F1589" s="14" t="n">
        <x:v>50</x:v>
      </x:c>
      <x:c r="G1589" s="26" t="n">
        <x:f>'成本明细'!U243+'成本明细'!G243*(E1589-'参数'!$B$6)</x:f>
        <x:v>2155.2636976544445</x:v>
      </x:c>
      <x:c r="H1589" s="26" t="n">
        <x:f>'成本明细'!U249</x:f>
        <x:v>3875.0936405866664</x:v>
      </x:c>
      <x:c r="I1589" s="26" t="n">
        <x:f>'成本明细'!V249</x:f>
        <x:v>6825.5</x:v>
      </x:c>
      <x:c r="J1589" s="22" t="n">
        <x:f>'参数'!$B$9</x:f>
        <x:v>300</x:v>
      </x:c>
      <x:c r="K1589" s="26" t="n">
        <x:f>J1589*(G1589-H1589)-I1589*ROUNDUP(J1589/F1589,0)</x:f>
        <x:v>-556901.9828796666</x:v>
      </x:c>
      <x:c r="L1589" s="10" t="str">
        <x:f>IF(G1589-H1589&lt;=0,"未回本",IF(ROUNDUP(I1589/(G1589-H1589),0)&gt;MIN(F1589,J1589),"未回本",MAX(1,ROUNDUP(I1589/(G1589-H1589),0))))</x:f>
        <x:v>未回本</x:v>
      </x:c>
    </x:row>
    <x:row r="1590" ht="22" customHeight="1">
      <x:c r="A1590" s="11" t="str">
        <x:v>lade_0827_20aoi</x:v>
      </x:c>
      <x:c r="B1590" s="10" t="n">
        <x:v>20</x:v>
      </x:c>
      <x:c r="C1590" s="10" t="n">
        <x:v>42</x:v>
      </x:c>
      <x:c r="D1590" s="10" t="str">
        <x:v>M1 / M3</x:v>
      </x:c>
      <x:c r="E1590" s="16" t="n">
        <x:v>4</x:v>
      </x:c>
      <x:c r="F1590" s="14" t="n">
        <x:v>10</x:v>
      </x:c>
      <x:c r="G1590" s="26" t="n">
        <x:f>'成本明细'!U240+'成本明细'!G240*(E1590-'参数'!$B$6)</x:f>
        <x:v>2935.3362110044445</x:v>
      </x:c>
      <x:c r="H1590" s="26" t="n">
        <x:f>'成本明细'!U246</x:f>
        <x:v>4768.419043881667</x:v>
      </x:c>
      <x:c r="I1590" s="26" t="n">
        <x:f>'成本明细'!V246</x:f>
        <x:v>6825.5</x:v>
      </x:c>
      <x:c r="J1590" s="22" t="n">
        <x:f>'参数'!$B$9</x:f>
        <x:v>300</x:v>
      </x:c>
      <x:c r="K1590" s="26" t="n">
        <x:f>J1590*(G1590-H1590)-I1590*ROUNDUP(J1590/F1590,0)</x:f>
        <x:v>-754689.8498631667</x:v>
      </x:c>
      <x:c r="L1590" s="10" t="str">
        <x:f>IF(G1590-H1590&lt;=0,"未回本",IF(ROUNDUP(I1590/(G1590-H1590),0)&gt;MIN(F1590,J1590),"未回本",MAX(1,ROUNDUP(I1590/(G1590-H1590),0))))</x:f>
        <x:v>未回本</x:v>
      </x:c>
    </x:row>
    <x:row r="1591" ht="22" customHeight="1">
      <x:c r="A1591" s="11" t="str">
        <x:v>lade_0827_20aoi</x:v>
      </x:c>
      <x:c r="B1591" s="10" t="n">
        <x:v>20</x:v>
      </x:c>
      <x:c r="C1591" s="10" t="n">
        <x:v>42</x:v>
      </x:c>
      <x:c r="D1591" s="10" t="str">
        <x:v>M2 / M4</x:v>
      </x:c>
      <x:c r="E1591" s="16" t="n">
        <x:v>4</x:v>
      </x:c>
      <x:c r="F1591" s="14" t="n">
        <x:v>10</x:v>
      </x:c>
      <x:c r="G1591" s="26" t="n">
        <x:f>'成本明细'!U243+'成本明细'!G243*(E1591-'参数'!$B$6)</x:f>
        <x:v>2342.2636976544445</x:v>
      </x:c>
      <x:c r="H1591" s="26" t="n">
        <x:f>'成本明细'!U249</x:f>
        <x:v>3875.0936405866664</x:v>
      </x:c>
      <x:c r="I1591" s="26" t="n">
        <x:f>'成本明细'!V249</x:f>
        <x:v>6825.5</x:v>
      </x:c>
      <x:c r="J1591" s="22" t="n">
        <x:f>'参数'!$B$9</x:f>
        <x:v>300</x:v>
      </x:c>
      <x:c r="K1591" s="26" t="n">
        <x:f>J1591*(G1591-H1591)-I1591*ROUNDUP(J1591/F1591,0)</x:f>
        <x:v>-664613.9828796666</x:v>
      </x:c>
      <x:c r="L1591" s="10" t="str">
        <x:f>IF(G1591-H1591&lt;=0,"未回本",IF(ROUNDUP(I1591/(G1591-H1591),0)&gt;MIN(F1591,J1591),"未回本",MAX(1,ROUNDUP(I1591/(G1591-H1591),0))))</x:f>
        <x:v>未回本</x:v>
      </x:c>
    </x:row>
    <x:row r="1592" ht="22" customHeight="1">
      <x:c r="A1592" s="11" t="str">
        <x:v>lade_0827_20aoi</x:v>
      </x:c>
      <x:c r="B1592" s="10" t="n">
        <x:v>20</x:v>
      </x:c>
      <x:c r="C1592" s="10" t="n">
        <x:v>42</x:v>
      </x:c>
      <x:c r="D1592" s="10" t="str">
        <x:v>M1 / M3</x:v>
      </x:c>
      <x:c r="E1592" s="16" t="n">
        <x:v>4</x:v>
      </x:c>
      <x:c r="F1592" s="14" t="n">
        <x:v>20</x:v>
      </x:c>
      <x:c r="G1592" s="26" t="n">
        <x:f>'成本明细'!U240+'成本明细'!G240*(E1592-'参数'!$B$6)</x:f>
        <x:v>2935.3362110044445</x:v>
      </x:c>
      <x:c r="H1592" s="26" t="n">
        <x:f>'成本明细'!U246</x:f>
        <x:v>4768.419043881667</x:v>
      </x:c>
      <x:c r="I1592" s="26" t="n">
        <x:f>'成本明细'!V246</x:f>
        <x:v>6825.5</x:v>
      </x:c>
      <x:c r="J1592" s="22" t="n">
        <x:f>'参数'!$B$9</x:f>
        <x:v>300</x:v>
      </x:c>
      <x:c r="K1592" s="26" t="n">
        <x:f>J1592*(G1592-H1592)-I1592*ROUNDUP(J1592/F1592,0)</x:f>
        <x:v>-652307.3498631667</x:v>
      </x:c>
      <x:c r="L1592" s="10" t="str">
        <x:f>IF(G1592-H1592&lt;=0,"未回本",IF(ROUNDUP(I1592/(G1592-H1592),0)&gt;MIN(F1592,J1592),"未回本",MAX(1,ROUNDUP(I1592/(G1592-H1592),0))))</x:f>
        <x:v>未回本</x:v>
      </x:c>
    </x:row>
    <x:row r="1593" ht="22" customHeight="1">
      <x:c r="A1593" s="11" t="str">
        <x:v>lade_0827_20aoi</x:v>
      </x:c>
      <x:c r="B1593" s="10" t="n">
        <x:v>20</x:v>
      </x:c>
      <x:c r="C1593" s="10" t="n">
        <x:v>42</x:v>
      </x:c>
      <x:c r="D1593" s="10" t="str">
        <x:v>M2 / M4</x:v>
      </x:c>
      <x:c r="E1593" s="16" t="n">
        <x:v>4</x:v>
      </x:c>
      <x:c r="F1593" s="14" t="n">
        <x:v>20</x:v>
      </x:c>
      <x:c r="G1593" s="26" t="n">
        <x:f>'成本明细'!U243+'成本明细'!G243*(E1593-'参数'!$B$6)</x:f>
        <x:v>2342.2636976544445</x:v>
      </x:c>
      <x:c r="H1593" s="26" t="n">
        <x:f>'成本明细'!U249</x:f>
        <x:v>3875.0936405866664</x:v>
      </x:c>
      <x:c r="I1593" s="26" t="n">
        <x:f>'成本明细'!V249</x:f>
        <x:v>6825.5</x:v>
      </x:c>
      <x:c r="J1593" s="22" t="n">
        <x:f>'参数'!$B$9</x:f>
        <x:v>300</x:v>
      </x:c>
      <x:c r="K1593" s="26" t="n">
        <x:f>J1593*(G1593-H1593)-I1593*ROUNDUP(J1593/F1593,0)</x:f>
        <x:v>-562231.4828796666</x:v>
      </x:c>
      <x:c r="L1593" s="10" t="str">
        <x:f>IF(G1593-H1593&lt;=0,"未回本",IF(ROUNDUP(I1593/(G1593-H1593),0)&gt;MIN(F1593,J1593),"未回本",MAX(1,ROUNDUP(I1593/(G1593-H1593),0))))</x:f>
        <x:v>未回本</x:v>
      </x:c>
    </x:row>
    <x:row r="1594" ht="22" customHeight="1">
      <x:c r="A1594" s="11" t="str">
        <x:v>lade_0827_20aoi</x:v>
      </x:c>
      <x:c r="B1594" s="10" t="n">
        <x:v>20</x:v>
      </x:c>
      <x:c r="C1594" s="10" t="n">
        <x:v>42</x:v>
      </x:c>
      <x:c r="D1594" s="10" t="str">
        <x:v>M1 / M3</x:v>
      </x:c>
      <x:c r="E1594" s="16" t="n">
        <x:v>4</x:v>
      </x:c>
      <x:c r="F1594" s="14" t="n">
        <x:v>30</x:v>
      </x:c>
      <x:c r="G1594" s="26" t="n">
        <x:f>'成本明细'!U240+'成本明细'!G240*(E1594-'参数'!$B$6)</x:f>
        <x:v>2935.3362110044445</x:v>
      </x:c>
      <x:c r="H1594" s="26" t="n">
        <x:f>'成本明细'!U246</x:f>
        <x:v>4768.419043881667</x:v>
      </x:c>
      <x:c r="I1594" s="26" t="n">
        <x:f>'成本明细'!V246</x:f>
        <x:v>6825.5</x:v>
      </x:c>
      <x:c r="J1594" s="22" t="n">
        <x:f>'参数'!$B$9</x:f>
        <x:v>300</x:v>
      </x:c>
      <x:c r="K1594" s="26" t="n">
        <x:f>J1594*(G1594-H1594)-I1594*ROUNDUP(J1594/F1594,0)</x:f>
        <x:v>-618179.8498631667</x:v>
      </x:c>
      <x:c r="L1594" s="10" t="str">
        <x:f>IF(G1594-H1594&lt;=0,"未回本",IF(ROUNDUP(I1594/(G1594-H1594),0)&gt;MIN(F1594,J1594),"未回本",MAX(1,ROUNDUP(I1594/(G1594-H1594),0))))</x:f>
        <x:v>未回本</x:v>
      </x:c>
    </x:row>
    <x:row r="1595" ht="22" customHeight="1">
      <x:c r="A1595" s="11" t="str">
        <x:v>lade_0827_20aoi</x:v>
      </x:c>
      <x:c r="B1595" s="10" t="n">
        <x:v>20</x:v>
      </x:c>
      <x:c r="C1595" s="10" t="n">
        <x:v>42</x:v>
      </x:c>
      <x:c r="D1595" s="10" t="str">
        <x:v>M2 / M4</x:v>
      </x:c>
      <x:c r="E1595" s="16" t="n">
        <x:v>4</x:v>
      </x:c>
      <x:c r="F1595" s="14" t="n">
        <x:v>30</x:v>
      </x:c>
      <x:c r="G1595" s="26" t="n">
        <x:f>'成本明细'!U243+'成本明细'!G243*(E1595-'参数'!$B$6)</x:f>
        <x:v>2342.2636976544445</x:v>
      </x:c>
      <x:c r="H1595" s="26" t="n">
        <x:f>'成本明细'!U249</x:f>
        <x:v>3875.0936405866664</x:v>
      </x:c>
      <x:c r="I1595" s="26" t="n">
        <x:f>'成本明细'!V249</x:f>
        <x:v>6825.5</x:v>
      </x:c>
      <x:c r="J1595" s="22" t="n">
        <x:f>'参数'!$B$9</x:f>
        <x:v>300</x:v>
      </x:c>
      <x:c r="K1595" s="26" t="n">
        <x:f>J1595*(G1595-H1595)-I1595*ROUNDUP(J1595/F1595,0)</x:f>
        <x:v>-528103.9828796666</x:v>
      </x:c>
      <x:c r="L1595" s="10" t="str">
        <x:f>IF(G1595-H1595&lt;=0,"未回本",IF(ROUNDUP(I1595/(G1595-H1595),0)&gt;MIN(F1595,J1595),"未回本",MAX(1,ROUNDUP(I1595/(G1595-H1595),0))))</x:f>
        <x:v>未回本</x:v>
      </x:c>
    </x:row>
    <x:row r="1596" ht="22" customHeight="1">
      <x:c r="A1596" s="11" t="str">
        <x:v>lade_0827_20aoi</x:v>
      </x:c>
      <x:c r="B1596" s="10" t="n">
        <x:v>20</x:v>
      </x:c>
      <x:c r="C1596" s="10" t="n">
        <x:v>42</x:v>
      </x:c>
      <x:c r="D1596" s="10" t="str">
        <x:v>M1 / M3</x:v>
      </x:c>
      <x:c r="E1596" s="16" t="n">
        <x:v>4</x:v>
      </x:c>
      <x:c r="F1596" s="14" t="n">
        <x:v>50</x:v>
      </x:c>
      <x:c r="G1596" s="26" t="n">
        <x:f>'成本明细'!U240+'成本明细'!G240*(E1596-'参数'!$B$6)</x:f>
        <x:v>2935.3362110044445</x:v>
      </x:c>
      <x:c r="H1596" s="26" t="n">
        <x:f>'成本明细'!U246</x:f>
        <x:v>4768.419043881667</x:v>
      </x:c>
      <x:c r="I1596" s="26" t="n">
        <x:f>'成本明细'!V246</x:f>
        <x:v>6825.5</x:v>
      </x:c>
      <x:c r="J1596" s="22" t="n">
        <x:f>'参数'!$B$9</x:f>
        <x:v>300</x:v>
      </x:c>
      <x:c r="K1596" s="26" t="n">
        <x:f>J1596*(G1596-H1596)-I1596*ROUNDUP(J1596/F1596,0)</x:f>
        <x:v>-590877.8498631667</x:v>
      </x:c>
      <x:c r="L1596" s="10" t="str">
        <x:f>IF(G1596-H1596&lt;=0,"未回本",IF(ROUNDUP(I1596/(G1596-H1596),0)&gt;MIN(F1596,J1596),"未回本",MAX(1,ROUNDUP(I1596/(G1596-H1596),0))))</x:f>
        <x:v>未回本</x:v>
      </x:c>
    </x:row>
    <x:row r="1597" ht="22" customHeight="1">
      <x:c r="A1597" s="11" t="str">
        <x:v>lade_0827_20aoi</x:v>
      </x:c>
      <x:c r="B1597" s="10" t="n">
        <x:v>20</x:v>
      </x:c>
      <x:c r="C1597" s="10" t="n">
        <x:v>42</x:v>
      </x:c>
      <x:c r="D1597" s="10" t="str">
        <x:v>M2 / M4</x:v>
      </x:c>
      <x:c r="E1597" s="16" t="n">
        <x:v>4</x:v>
      </x:c>
      <x:c r="F1597" s="14" t="n">
        <x:v>50</x:v>
      </x:c>
      <x:c r="G1597" s="26" t="n">
        <x:f>'成本明细'!U243+'成本明细'!G243*(E1597-'参数'!$B$6)</x:f>
        <x:v>2342.2636976544445</x:v>
      </x:c>
      <x:c r="H1597" s="26" t="n">
        <x:f>'成本明细'!U249</x:f>
        <x:v>3875.0936405866664</x:v>
      </x:c>
      <x:c r="I1597" s="26" t="n">
        <x:f>'成本明细'!V249</x:f>
        <x:v>6825.5</x:v>
      </x:c>
      <x:c r="J1597" s="22" t="n">
        <x:f>'参数'!$B$9</x:f>
        <x:v>300</x:v>
      </x:c>
      <x:c r="K1597" s="26" t="n">
        <x:f>J1597*(G1597-H1597)-I1597*ROUNDUP(J1597/F1597,0)</x:f>
        <x:v>-500801.98287966655</x:v>
      </x:c>
      <x:c r="L1597" s="10" t="str">
        <x:f>IF(G1597-H1597&lt;=0,"未回本",IF(ROUNDUP(I1597/(G1597-H1597),0)&gt;MIN(F1597,J1597),"未回本",MAX(1,ROUNDUP(I1597/(G1597-H1597),0))))</x:f>
        <x:v>未回本</x:v>
      </x:c>
    </x:row>
    <x:row r="1598" ht="22" customHeight="1">
      <x:c r="A1598" s="11" t="str">
        <x:v>lade_0827_20aoi</x:v>
      </x:c>
      <x:c r="B1598" s="10" t="n">
        <x:v>20</x:v>
      </x:c>
      <x:c r="C1598" s="10" t="n">
        <x:v>42</x:v>
      </x:c>
      <x:c r="D1598" s="10" t="str">
        <x:v>M1 / M3</x:v>
      </x:c>
      <x:c r="E1598" s="16" t="n">
        <x:v>5</x:v>
      </x:c>
      <x:c r="F1598" s="14" t="n">
        <x:v>10</x:v>
      </x:c>
      <x:c r="G1598" s="26" t="n">
        <x:f>'成本明细'!U240+'成本明细'!G240*(E1598-'参数'!$B$6)</x:f>
        <x:v>3122.3362110044445</x:v>
      </x:c>
      <x:c r="H1598" s="26" t="n">
        <x:f>'成本明细'!U246</x:f>
        <x:v>4768.419043881667</x:v>
      </x:c>
      <x:c r="I1598" s="26" t="n">
        <x:f>'成本明细'!V246</x:f>
        <x:v>6825.5</x:v>
      </x:c>
      <x:c r="J1598" s="22" t="n">
        <x:f>'参数'!$B$9</x:f>
        <x:v>300</x:v>
      </x:c>
      <x:c r="K1598" s="26" t="n">
        <x:f>J1598*(G1598-H1598)-I1598*ROUNDUP(J1598/F1598,0)</x:f>
        <x:v>-698589.8498631667</x:v>
      </x:c>
      <x:c r="L1598" s="10" t="str">
        <x:f>IF(G1598-H1598&lt;=0,"未回本",IF(ROUNDUP(I1598/(G1598-H1598),0)&gt;MIN(F1598,J1598),"未回本",MAX(1,ROUNDUP(I1598/(G1598-H1598),0))))</x:f>
        <x:v>未回本</x:v>
      </x:c>
    </x:row>
    <x:row r="1599" ht="22" customHeight="1">
      <x:c r="A1599" s="11" t="str">
        <x:v>lade_0827_20aoi</x:v>
      </x:c>
      <x:c r="B1599" s="10" t="n">
        <x:v>20</x:v>
      </x:c>
      <x:c r="C1599" s="10" t="n">
        <x:v>42</x:v>
      </x:c>
      <x:c r="D1599" s="10" t="str">
        <x:v>M2 / M4</x:v>
      </x:c>
      <x:c r="E1599" s="16" t="n">
        <x:v>5</x:v>
      </x:c>
      <x:c r="F1599" s="14" t="n">
        <x:v>10</x:v>
      </x:c>
      <x:c r="G1599" s="26" t="n">
        <x:f>'成本明细'!U243+'成本明细'!G243*(E1599-'参数'!$B$6)</x:f>
        <x:v>2529.2636976544445</x:v>
      </x:c>
      <x:c r="H1599" s="26" t="n">
        <x:f>'成本明细'!U249</x:f>
        <x:v>3875.0936405866664</x:v>
      </x:c>
      <x:c r="I1599" s="26" t="n">
        <x:f>'成本明细'!V249</x:f>
        <x:v>6825.5</x:v>
      </x:c>
      <x:c r="J1599" s="22" t="n">
        <x:f>'参数'!$B$9</x:f>
        <x:v>300</x:v>
      </x:c>
      <x:c r="K1599" s="26" t="n">
        <x:f>J1599*(G1599-H1599)-I1599*ROUNDUP(J1599/F1599,0)</x:f>
        <x:v>-608513.9828796666</x:v>
      </x:c>
      <x:c r="L1599" s="10" t="str">
        <x:f>IF(G1599-H1599&lt;=0,"未回本",IF(ROUNDUP(I1599/(G1599-H1599),0)&gt;MIN(F1599,J1599),"未回本",MAX(1,ROUNDUP(I1599/(G1599-H1599),0))))</x:f>
        <x:v>未回本</x:v>
      </x:c>
    </x:row>
    <x:row r="1600" ht="22" customHeight="1">
      <x:c r="A1600" s="11" t="str">
        <x:v>lade_0827_20aoi</x:v>
      </x:c>
      <x:c r="B1600" s="10" t="n">
        <x:v>20</x:v>
      </x:c>
      <x:c r="C1600" s="10" t="n">
        <x:v>42</x:v>
      </x:c>
      <x:c r="D1600" s="10" t="str">
        <x:v>M1 / M3</x:v>
      </x:c>
      <x:c r="E1600" s="16" t="n">
        <x:v>5</x:v>
      </x:c>
      <x:c r="F1600" s="14" t="n">
        <x:v>20</x:v>
      </x:c>
      <x:c r="G1600" s="26" t="n">
        <x:f>'成本明细'!U240+'成本明细'!G240*(E1600-'参数'!$B$6)</x:f>
        <x:v>3122.3362110044445</x:v>
      </x:c>
      <x:c r="H1600" s="26" t="n">
        <x:f>'成本明细'!U246</x:f>
        <x:v>4768.419043881667</x:v>
      </x:c>
      <x:c r="I1600" s="26" t="n">
        <x:f>'成本明细'!V246</x:f>
        <x:v>6825.5</x:v>
      </x:c>
      <x:c r="J1600" s="22" t="n">
        <x:f>'参数'!$B$9</x:f>
        <x:v>300</x:v>
      </x:c>
      <x:c r="K1600" s="26" t="n">
        <x:f>J1600*(G1600-H1600)-I1600*ROUNDUP(J1600/F1600,0)</x:f>
        <x:v>-596207.3498631667</x:v>
      </x:c>
      <x:c r="L1600" s="10" t="str">
        <x:f>IF(G1600-H1600&lt;=0,"未回本",IF(ROUNDUP(I1600/(G1600-H1600),0)&gt;MIN(F1600,J1600),"未回本",MAX(1,ROUNDUP(I1600/(G1600-H1600),0))))</x:f>
        <x:v>未回本</x:v>
      </x:c>
    </x:row>
    <x:row r="1601" ht="22" customHeight="1">
      <x:c r="A1601" s="11" t="str">
        <x:v>lade_0827_20aoi</x:v>
      </x:c>
      <x:c r="B1601" s="10" t="n">
        <x:v>20</x:v>
      </x:c>
      <x:c r="C1601" s="10" t="n">
        <x:v>42</x:v>
      </x:c>
      <x:c r="D1601" s="10" t="str">
        <x:v>M2 / M4</x:v>
      </x:c>
      <x:c r="E1601" s="16" t="n">
        <x:v>5</x:v>
      </x:c>
      <x:c r="F1601" s="14" t="n">
        <x:v>20</x:v>
      </x:c>
      <x:c r="G1601" s="26" t="n">
        <x:f>'成本明细'!U243+'成本明细'!G243*(E1601-'参数'!$B$6)</x:f>
        <x:v>2529.2636976544445</x:v>
      </x:c>
      <x:c r="H1601" s="26" t="n">
        <x:f>'成本明细'!U249</x:f>
        <x:v>3875.0936405866664</x:v>
      </x:c>
      <x:c r="I1601" s="26" t="n">
        <x:f>'成本明细'!V249</x:f>
        <x:v>6825.5</x:v>
      </x:c>
      <x:c r="J1601" s="22" t="n">
        <x:f>'参数'!$B$9</x:f>
        <x:v>300</x:v>
      </x:c>
      <x:c r="K1601" s="26" t="n">
        <x:f>J1601*(G1601-H1601)-I1601*ROUNDUP(J1601/F1601,0)</x:f>
        <x:v>-506131.48287966655</x:v>
      </x:c>
      <x:c r="L1601" s="10" t="str">
        <x:f>IF(G1601-H1601&lt;=0,"未回本",IF(ROUNDUP(I1601/(G1601-H1601),0)&gt;MIN(F1601,J1601),"未回本",MAX(1,ROUNDUP(I1601/(G1601-H1601),0))))</x:f>
        <x:v>未回本</x:v>
      </x:c>
    </x:row>
    <x:row r="1602" ht="22" customHeight="1">
      <x:c r="A1602" s="11" t="str">
        <x:v>lade_0827_20aoi</x:v>
      </x:c>
      <x:c r="B1602" s="10" t="n">
        <x:v>20</x:v>
      </x:c>
      <x:c r="C1602" s="10" t="n">
        <x:v>42</x:v>
      </x:c>
      <x:c r="D1602" s="10" t="str">
        <x:v>M1 / M3</x:v>
      </x:c>
      <x:c r="E1602" s="16" t="n">
        <x:v>5</x:v>
      </x:c>
      <x:c r="F1602" s="14" t="n">
        <x:v>30</x:v>
      </x:c>
      <x:c r="G1602" s="26" t="n">
        <x:f>'成本明细'!U240+'成本明细'!G240*(E1602-'参数'!$B$6)</x:f>
        <x:v>3122.3362110044445</x:v>
      </x:c>
      <x:c r="H1602" s="26" t="n">
        <x:f>'成本明细'!U246</x:f>
        <x:v>4768.419043881667</x:v>
      </x:c>
      <x:c r="I1602" s="26" t="n">
        <x:f>'成本明细'!V246</x:f>
        <x:v>6825.5</x:v>
      </x:c>
      <x:c r="J1602" s="22" t="n">
        <x:f>'参数'!$B$9</x:f>
        <x:v>300</x:v>
      </x:c>
      <x:c r="K1602" s="26" t="n">
        <x:f>J1602*(G1602-H1602)-I1602*ROUNDUP(J1602/F1602,0)</x:f>
        <x:v>-562079.8498631667</x:v>
      </x:c>
      <x:c r="L1602" s="10" t="str">
        <x:f>IF(G1602-H1602&lt;=0,"未回本",IF(ROUNDUP(I1602/(G1602-H1602),0)&gt;MIN(F1602,J1602),"未回本",MAX(1,ROUNDUP(I1602/(G1602-H1602),0))))</x:f>
        <x:v>未回本</x:v>
      </x:c>
    </x:row>
    <x:row r="1603" ht="22" customHeight="1">
      <x:c r="A1603" s="11" t="str">
        <x:v>lade_0827_20aoi</x:v>
      </x:c>
      <x:c r="B1603" s="10" t="n">
        <x:v>20</x:v>
      </x:c>
      <x:c r="C1603" s="10" t="n">
        <x:v>42</x:v>
      </x:c>
      <x:c r="D1603" s="10" t="str">
        <x:v>M2 / M4</x:v>
      </x:c>
      <x:c r="E1603" s="16" t="n">
        <x:v>5</x:v>
      </x:c>
      <x:c r="F1603" s="14" t="n">
        <x:v>30</x:v>
      </x:c>
      <x:c r="G1603" s="26" t="n">
        <x:f>'成本明细'!U243+'成本明细'!G243*(E1603-'参数'!$B$6)</x:f>
        <x:v>2529.2636976544445</x:v>
      </x:c>
      <x:c r="H1603" s="26" t="n">
        <x:f>'成本明细'!U249</x:f>
        <x:v>3875.0936405866664</x:v>
      </x:c>
      <x:c r="I1603" s="26" t="n">
        <x:f>'成本明细'!V249</x:f>
        <x:v>6825.5</x:v>
      </x:c>
      <x:c r="J1603" s="22" t="n">
        <x:f>'参数'!$B$9</x:f>
        <x:v>300</x:v>
      </x:c>
      <x:c r="K1603" s="26" t="n">
        <x:f>J1603*(G1603-H1603)-I1603*ROUNDUP(J1603/F1603,0)</x:f>
        <x:v>-472003.98287966655</x:v>
      </x:c>
      <x:c r="L1603" s="10" t="str">
        <x:f>IF(G1603-H1603&lt;=0,"未回本",IF(ROUNDUP(I1603/(G1603-H1603),0)&gt;MIN(F1603,J1603),"未回本",MAX(1,ROUNDUP(I1603/(G1603-H1603),0))))</x:f>
        <x:v>未回本</x:v>
      </x:c>
    </x:row>
    <x:row r="1604" ht="22" customHeight="1">
      <x:c r="A1604" s="11" t="str">
        <x:v>lade_0827_20aoi</x:v>
      </x:c>
      <x:c r="B1604" s="10" t="n">
        <x:v>20</x:v>
      </x:c>
      <x:c r="C1604" s="10" t="n">
        <x:v>42</x:v>
      </x:c>
      <x:c r="D1604" s="10" t="str">
        <x:v>M1 / M3</x:v>
      </x:c>
      <x:c r="E1604" s="16" t="n">
        <x:v>5</x:v>
      </x:c>
      <x:c r="F1604" s="14" t="n">
        <x:v>50</x:v>
      </x:c>
      <x:c r="G1604" s="26" t="n">
        <x:f>'成本明细'!U240+'成本明细'!G240*(E1604-'参数'!$B$6)</x:f>
        <x:v>3122.3362110044445</x:v>
      </x:c>
      <x:c r="H1604" s="26" t="n">
        <x:f>'成本明细'!U246</x:f>
        <x:v>4768.419043881667</x:v>
      </x:c>
      <x:c r="I1604" s="26" t="n">
        <x:f>'成本明细'!V246</x:f>
        <x:v>6825.5</x:v>
      </x:c>
      <x:c r="J1604" s="22" t="n">
        <x:f>'参数'!$B$9</x:f>
        <x:v>300</x:v>
      </x:c>
      <x:c r="K1604" s="26" t="n">
        <x:f>J1604*(G1604-H1604)-I1604*ROUNDUP(J1604/F1604,0)</x:f>
        <x:v>-534777.8498631667</x:v>
      </x:c>
      <x:c r="L1604" s="10" t="str">
        <x:f>IF(G1604-H1604&lt;=0,"未回本",IF(ROUNDUP(I1604/(G1604-H1604),0)&gt;MIN(F1604,J1604),"未回本",MAX(1,ROUNDUP(I1604/(G1604-H1604),0))))</x:f>
        <x:v>未回本</x:v>
      </x:c>
    </x:row>
    <x:row r="1605" ht="22" customHeight="1">
      <x:c r="A1605" s="11" t="str">
        <x:v>lade_0827_20aoi</x:v>
      </x:c>
      <x:c r="B1605" s="10" t="n">
        <x:v>20</x:v>
      </x:c>
      <x:c r="C1605" s="10" t="n">
        <x:v>42</x:v>
      </x:c>
      <x:c r="D1605" s="10" t="str">
        <x:v>M2 / M4</x:v>
      </x:c>
      <x:c r="E1605" s="16" t="n">
        <x:v>5</x:v>
      </x:c>
      <x:c r="F1605" s="14" t="n">
        <x:v>50</x:v>
      </x:c>
      <x:c r="G1605" s="26" t="n">
        <x:f>'成本明细'!U243+'成本明细'!G243*(E1605-'参数'!$B$6)</x:f>
        <x:v>2529.2636976544445</x:v>
      </x:c>
      <x:c r="H1605" s="26" t="n">
        <x:f>'成本明细'!U249</x:f>
        <x:v>3875.0936405866664</x:v>
      </x:c>
      <x:c r="I1605" s="26" t="n">
        <x:f>'成本明细'!V249</x:f>
        <x:v>6825.5</x:v>
      </x:c>
      <x:c r="J1605" s="22" t="n">
        <x:f>'参数'!$B$9</x:f>
        <x:v>300</x:v>
      </x:c>
      <x:c r="K1605" s="26" t="n">
        <x:f>J1605*(G1605-H1605)-I1605*ROUNDUP(J1605/F1605,0)</x:f>
        <x:v>-444701.98287966655</x:v>
      </x:c>
      <x:c r="L1605" s="10" t="str">
        <x:f>IF(G1605-H1605&lt;=0,"未回本",IF(ROUNDUP(I1605/(G1605-H1605),0)&gt;MIN(F1605,J1605),"未回本",MAX(1,ROUNDUP(I1605/(G1605-H1605),0))))</x:f>
        <x:v>未回本</x:v>
      </x:c>
    </x:row>
    <x:row r="1606" ht="22" customHeight="1">
      <x:c r="A1606" s="11" t="str">
        <x:v>lade_0827_20aoi</x:v>
      </x:c>
      <x:c r="B1606" s="10" t="n">
        <x:v>20</x:v>
      </x:c>
      <x:c r="C1606" s="10" t="n">
        <x:v>43</x:v>
      </x:c>
      <x:c r="D1606" s="10" t="str">
        <x:v>M1 / M3</x:v>
      </x:c>
      <x:c r="E1606" s="16" t="n">
        <x:v>1</x:v>
      </x:c>
      <x:c r="F1606" s="14" t="n">
        <x:v>10</x:v>
      </x:c>
      <x:c r="G1606" s="26" t="n">
        <x:f>'成本明细'!U241+'成本明细'!G241*(E1606-'参数'!$B$6)</x:f>
        <x:v>2782.5936147722223</x:v>
      </x:c>
      <x:c r="H1606" s="26" t="n">
        <x:f>'成本明细'!U247</x:f>
        <x:v>3840.8438700049996</x:v>
      </x:c>
      <x:c r="I1606" s="26" t="n">
        <x:f>'成本明细'!V247</x:f>
        <x:v>6825.5</x:v>
      </x:c>
      <x:c r="J1606" s="22" t="n">
        <x:f>'参数'!$B$9</x:f>
        <x:v>300</x:v>
      </x:c>
      <x:c r="K1606" s="26" t="n">
        <x:f>J1606*(G1606-H1606)-I1606*ROUNDUP(J1606/F1606,0)</x:f>
        <x:v>-522240.0765698332</x:v>
      </x:c>
      <x:c r="L1606" s="10" t="str">
        <x:f>IF(G1606-H1606&lt;=0,"未回本",IF(ROUNDUP(I1606/(G1606-H1606),0)&gt;MIN(F1606,J1606),"未回本",MAX(1,ROUNDUP(I1606/(G1606-H1606),0))))</x:f>
        <x:v>未回本</x:v>
      </x:c>
    </x:row>
    <x:row r="1607" ht="22" customHeight="1">
      <x:c r="A1607" s="11" t="str">
        <x:v>lade_0827_20aoi</x:v>
      </x:c>
      <x:c r="B1607" s="10" t="n">
        <x:v>20</x:v>
      </x:c>
      <x:c r="C1607" s="10" t="n">
        <x:v>43</x:v>
      </x:c>
      <x:c r="D1607" s="10" t="str">
        <x:v>M2 / M4</x:v>
      </x:c>
      <x:c r="E1607" s="16" t="n">
        <x:v>1</x:v>
      </x:c>
      <x:c r="F1607" s="14" t="n">
        <x:v>10</x:v>
      </x:c>
      <x:c r="G1607" s="26" t="n">
        <x:f>'成本明细'!U244+'成本明细'!G244*(E1607-'参数'!$B$6)</x:f>
        <x:v>2027.1253427894444</x:v>
      </x:c>
      <x:c r="H1607" s="26" t="n">
        <x:f>'成本明细'!U250</x:f>
        <x:v>3841.380912773333</x:v>
      </x:c>
      <x:c r="I1607" s="26" t="n">
        <x:f>'成本明细'!V250</x:f>
        <x:v>6825.5</x:v>
      </x:c>
      <x:c r="J1607" s="22" t="n">
        <x:f>'参数'!$B$9</x:f>
        <x:v>300</x:v>
      </x:c>
      <x:c r="K1607" s="26" t="n">
        <x:f>J1607*(G1607-H1607)-I1607*ROUNDUP(J1607/F1607,0)</x:f>
        <x:v>-749041.6709951665</x:v>
      </x:c>
      <x:c r="L1607" s="10" t="str">
        <x:f>IF(G1607-H1607&lt;=0,"未回本",IF(ROUNDUP(I1607/(G1607-H1607),0)&gt;MIN(F1607,J1607),"未回本",MAX(1,ROUNDUP(I1607/(G1607-H1607),0))))</x:f>
        <x:v>未回本</x:v>
      </x:c>
    </x:row>
    <x:row r="1608" ht="22" customHeight="1">
      <x:c r="A1608" s="11" t="str">
        <x:v>lade_0827_20aoi</x:v>
      </x:c>
      <x:c r="B1608" s="10" t="n">
        <x:v>20</x:v>
      </x:c>
      <x:c r="C1608" s="10" t="n">
        <x:v>43</x:v>
      </x:c>
      <x:c r="D1608" s="10" t="str">
        <x:v>M1 / M3</x:v>
      </x:c>
      <x:c r="E1608" s="16" t="n">
        <x:v>1</x:v>
      </x:c>
      <x:c r="F1608" s="14" t="n">
        <x:v>20</x:v>
      </x:c>
      <x:c r="G1608" s="26" t="n">
        <x:f>'成本明细'!U241+'成本明细'!G241*(E1608-'参数'!$B$6)</x:f>
        <x:v>2782.5936147722223</x:v>
      </x:c>
      <x:c r="H1608" s="26" t="n">
        <x:f>'成本明细'!U247</x:f>
        <x:v>3840.8438700049996</x:v>
      </x:c>
      <x:c r="I1608" s="26" t="n">
        <x:f>'成本明细'!V247</x:f>
        <x:v>6825.5</x:v>
      </x:c>
      <x:c r="J1608" s="22" t="n">
        <x:f>'参数'!$B$9</x:f>
        <x:v>300</x:v>
      </x:c>
      <x:c r="K1608" s="26" t="n">
        <x:f>J1608*(G1608-H1608)-I1608*ROUNDUP(J1608/F1608,0)</x:f>
        <x:v>-419857.5765698332</x:v>
      </x:c>
      <x:c r="L1608" s="10" t="str">
        <x:f>IF(G1608-H1608&lt;=0,"未回本",IF(ROUNDUP(I1608/(G1608-H1608),0)&gt;MIN(F1608,J1608),"未回本",MAX(1,ROUNDUP(I1608/(G1608-H1608),0))))</x:f>
        <x:v>未回本</x:v>
      </x:c>
    </x:row>
    <x:row r="1609" ht="22" customHeight="1">
      <x:c r="A1609" s="11" t="str">
        <x:v>lade_0827_20aoi</x:v>
      </x:c>
      <x:c r="B1609" s="10" t="n">
        <x:v>20</x:v>
      </x:c>
      <x:c r="C1609" s="10" t="n">
        <x:v>43</x:v>
      </x:c>
      <x:c r="D1609" s="10" t="str">
        <x:v>M2 / M4</x:v>
      </x:c>
      <x:c r="E1609" s="16" t="n">
        <x:v>1</x:v>
      </x:c>
      <x:c r="F1609" s="14" t="n">
        <x:v>20</x:v>
      </x:c>
      <x:c r="G1609" s="26" t="n">
        <x:f>'成本明细'!U244+'成本明细'!G244*(E1609-'参数'!$B$6)</x:f>
        <x:v>2027.1253427894444</x:v>
      </x:c>
      <x:c r="H1609" s="26" t="n">
        <x:f>'成本明细'!U250</x:f>
        <x:v>3841.380912773333</x:v>
      </x:c>
      <x:c r="I1609" s="26" t="n">
        <x:f>'成本明细'!V250</x:f>
        <x:v>6825.5</x:v>
      </x:c>
      <x:c r="J1609" s="22" t="n">
        <x:f>'参数'!$B$9</x:f>
        <x:v>300</x:v>
      </x:c>
      <x:c r="K1609" s="26" t="n">
        <x:f>J1609*(G1609-H1609)-I1609*ROUNDUP(J1609/F1609,0)</x:f>
        <x:v>-646659.1709951665</x:v>
      </x:c>
      <x:c r="L1609" s="10" t="str">
        <x:f>IF(G1609-H1609&lt;=0,"未回本",IF(ROUNDUP(I1609/(G1609-H1609),0)&gt;MIN(F1609,J1609),"未回本",MAX(1,ROUNDUP(I1609/(G1609-H1609),0))))</x:f>
        <x:v>未回本</x:v>
      </x:c>
    </x:row>
    <x:row r="1610" ht="22" customHeight="1">
      <x:c r="A1610" s="11" t="str">
        <x:v>lade_0827_20aoi</x:v>
      </x:c>
      <x:c r="B1610" s="10" t="n">
        <x:v>20</x:v>
      </x:c>
      <x:c r="C1610" s="10" t="n">
        <x:v>43</x:v>
      </x:c>
      <x:c r="D1610" s="10" t="str">
        <x:v>M1 / M3</x:v>
      </x:c>
      <x:c r="E1610" s="16" t="n">
        <x:v>1</x:v>
      </x:c>
      <x:c r="F1610" s="14" t="n">
        <x:v>30</x:v>
      </x:c>
      <x:c r="G1610" s="26" t="n">
        <x:f>'成本明细'!U241+'成本明细'!G241*(E1610-'参数'!$B$6)</x:f>
        <x:v>2782.5936147722223</x:v>
      </x:c>
      <x:c r="H1610" s="26" t="n">
        <x:f>'成本明细'!U247</x:f>
        <x:v>3840.8438700049996</x:v>
      </x:c>
      <x:c r="I1610" s="26" t="n">
        <x:f>'成本明细'!V247</x:f>
        <x:v>6825.5</x:v>
      </x:c>
      <x:c r="J1610" s="22" t="n">
        <x:f>'参数'!$B$9</x:f>
        <x:v>300</x:v>
      </x:c>
      <x:c r="K1610" s="26" t="n">
        <x:f>J1610*(G1610-H1610)-I1610*ROUNDUP(J1610/F1610,0)</x:f>
        <x:v>-385730.0765698332</x:v>
      </x:c>
      <x:c r="L1610" s="10" t="str">
        <x:f>IF(G1610-H1610&lt;=0,"未回本",IF(ROUNDUP(I1610/(G1610-H1610),0)&gt;MIN(F1610,J1610),"未回本",MAX(1,ROUNDUP(I1610/(G1610-H1610),0))))</x:f>
        <x:v>未回本</x:v>
      </x:c>
    </x:row>
    <x:row r="1611" ht="22" customHeight="1">
      <x:c r="A1611" s="11" t="str">
        <x:v>lade_0827_20aoi</x:v>
      </x:c>
      <x:c r="B1611" s="10" t="n">
        <x:v>20</x:v>
      </x:c>
      <x:c r="C1611" s="10" t="n">
        <x:v>43</x:v>
      </x:c>
      <x:c r="D1611" s="10" t="str">
        <x:v>M2 / M4</x:v>
      </x:c>
      <x:c r="E1611" s="16" t="n">
        <x:v>1</x:v>
      </x:c>
      <x:c r="F1611" s="14" t="n">
        <x:v>30</x:v>
      </x:c>
      <x:c r="G1611" s="26" t="n">
        <x:f>'成本明细'!U244+'成本明细'!G244*(E1611-'参数'!$B$6)</x:f>
        <x:v>2027.1253427894444</x:v>
      </x:c>
      <x:c r="H1611" s="26" t="n">
        <x:f>'成本明细'!U250</x:f>
        <x:v>3841.380912773333</x:v>
      </x:c>
      <x:c r="I1611" s="26" t="n">
        <x:f>'成本明细'!V250</x:f>
        <x:v>6825.5</x:v>
      </x:c>
      <x:c r="J1611" s="22" t="n">
        <x:f>'参数'!$B$9</x:f>
        <x:v>300</x:v>
      </x:c>
      <x:c r="K1611" s="26" t="n">
        <x:f>J1611*(G1611-H1611)-I1611*ROUNDUP(J1611/F1611,0)</x:f>
        <x:v>-612531.6709951665</x:v>
      </x:c>
      <x:c r="L1611" s="10" t="str">
        <x:f>IF(G1611-H1611&lt;=0,"未回本",IF(ROUNDUP(I1611/(G1611-H1611),0)&gt;MIN(F1611,J1611),"未回本",MAX(1,ROUNDUP(I1611/(G1611-H1611),0))))</x:f>
        <x:v>未回本</x:v>
      </x:c>
    </x:row>
    <x:row r="1612" ht="22" customHeight="1">
      <x:c r="A1612" s="11" t="str">
        <x:v>lade_0827_20aoi</x:v>
      </x:c>
      <x:c r="B1612" s="10" t="n">
        <x:v>20</x:v>
      </x:c>
      <x:c r="C1612" s="10" t="n">
        <x:v>43</x:v>
      </x:c>
      <x:c r="D1612" s="10" t="str">
        <x:v>M1 / M3</x:v>
      </x:c>
      <x:c r="E1612" s="16" t="n">
        <x:v>1</x:v>
      </x:c>
      <x:c r="F1612" s="14" t="n">
        <x:v>50</x:v>
      </x:c>
      <x:c r="G1612" s="26" t="n">
        <x:f>'成本明细'!U241+'成本明细'!G241*(E1612-'参数'!$B$6)</x:f>
        <x:v>2782.5936147722223</x:v>
      </x:c>
      <x:c r="H1612" s="26" t="n">
        <x:f>'成本明细'!U247</x:f>
        <x:v>3840.8438700049996</x:v>
      </x:c>
      <x:c r="I1612" s="26" t="n">
        <x:f>'成本明细'!V247</x:f>
        <x:v>6825.5</x:v>
      </x:c>
      <x:c r="J1612" s="22" t="n">
        <x:f>'参数'!$B$9</x:f>
        <x:v>300</x:v>
      </x:c>
      <x:c r="K1612" s="26" t="n">
        <x:f>J1612*(G1612-H1612)-I1612*ROUNDUP(J1612/F1612,0)</x:f>
        <x:v>-358428.0765698332</x:v>
      </x:c>
      <x:c r="L1612" s="10" t="str">
        <x:f>IF(G1612-H1612&lt;=0,"未回本",IF(ROUNDUP(I1612/(G1612-H1612),0)&gt;MIN(F1612,J1612),"未回本",MAX(1,ROUNDUP(I1612/(G1612-H1612),0))))</x:f>
        <x:v>未回本</x:v>
      </x:c>
    </x:row>
    <x:row r="1613" ht="22" customHeight="1">
      <x:c r="A1613" s="11" t="str">
        <x:v>lade_0827_20aoi</x:v>
      </x:c>
      <x:c r="B1613" s="10" t="n">
        <x:v>20</x:v>
      </x:c>
      <x:c r="C1613" s="10" t="n">
        <x:v>43</x:v>
      </x:c>
      <x:c r="D1613" s="10" t="str">
        <x:v>M2 / M4</x:v>
      </x:c>
      <x:c r="E1613" s="16" t="n">
        <x:v>1</x:v>
      </x:c>
      <x:c r="F1613" s="14" t="n">
        <x:v>50</x:v>
      </x:c>
      <x:c r="G1613" s="26" t="n">
        <x:f>'成本明细'!U244+'成本明细'!G244*(E1613-'参数'!$B$6)</x:f>
        <x:v>2027.1253427894444</x:v>
      </x:c>
      <x:c r="H1613" s="26" t="n">
        <x:f>'成本明细'!U250</x:f>
        <x:v>3841.380912773333</x:v>
      </x:c>
      <x:c r="I1613" s="26" t="n">
        <x:f>'成本明细'!V250</x:f>
        <x:v>6825.5</x:v>
      </x:c>
      <x:c r="J1613" s="22" t="n">
        <x:f>'参数'!$B$9</x:f>
        <x:v>300</x:v>
      </x:c>
      <x:c r="K1613" s="26" t="n">
        <x:f>J1613*(G1613-H1613)-I1613*ROUNDUP(J1613/F1613,0)</x:f>
        <x:v>-585229.6709951665</x:v>
      </x:c>
      <x:c r="L1613" s="10" t="str">
        <x:f>IF(G1613-H1613&lt;=0,"未回本",IF(ROUNDUP(I1613/(G1613-H1613),0)&gt;MIN(F1613,J1613),"未回本",MAX(1,ROUNDUP(I1613/(G1613-H1613),0))))</x:f>
        <x:v>未回本</x:v>
      </x:c>
    </x:row>
    <x:row r="1614" ht="22" customHeight="1">
      <x:c r="A1614" s="11" t="str">
        <x:v>lade_0827_20aoi</x:v>
      </x:c>
      <x:c r="B1614" s="10" t="n">
        <x:v>20</x:v>
      </x:c>
      <x:c r="C1614" s="10" t="n">
        <x:v>43</x:v>
      </x:c>
      <x:c r="D1614" s="10" t="str">
        <x:v>M1 / M3</x:v>
      </x:c>
      <x:c r="E1614" s="16" t="n">
        <x:v>2</x:v>
      </x:c>
      <x:c r="F1614" s="14" t="n">
        <x:v>10</x:v>
      </x:c>
      <x:c r="G1614" s="26" t="n">
        <x:f>'成本明细'!U241+'成本明细'!G241*(E1614-'参数'!$B$6)</x:f>
        <x:v>2969.5936147722223</x:v>
      </x:c>
      <x:c r="H1614" s="26" t="n">
        <x:f>'成本明细'!U247</x:f>
        <x:v>3840.8438700049996</x:v>
      </x:c>
      <x:c r="I1614" s="26" t="n">
        <x:f>'成本明细'!V247</x:f>
        <x:v>6825.5</x:v>
      </x:c>
      <x:c r="J1614" s="22" t="n">
        <x:f>'参数'!$B$9</x:f>
        <x:v>300</x:v>
      </x:c>
      <x:c r="K1614" s="26" t="n">
        <x:f>J1614*(G1614-H1614)-I1614*ROUNDUP(J1614/F1614,0)</x:f>
        <x:v>-466140.0765698332</x:v>
      </x:c>
      <x:c r="L1614" s="10" t="str">
        <x:f>IF(G1614-H1614&lt;=0,"未回本",IF(ROUNDUP(I1614/(G1614-H1614),0)&gt;MIN(F1614,J1614),"未回本",MAX(1,ROUNDUP(I1614/(G1614-H1614),0))))</x:f>
        <x:v>未回本</x:v>
      </x:c>
    </x:row>
    <x:row r="1615" ht="22" customHeight="1">
      <x:c r="A1615" s="11" t="str">
        <x:v>lade_0827_20aoi</x:v>
      </x:c>
      <x:c r="B1615" s="10" t="n">
        <x:v>20</x:v>
      </x:c>
      <x:c r="C1615" s="10" t="n">
        <x:v>43</x:v>
      </x:c>
      <x:c r="D1615" s="10" t="str">
        <x:v>M2 / M4</x:v>
      </x:c>
      <x:c r="E1615" s="16" t="n">
        <x:v>2</x:v>
      </x:c>
      <x:c r="F1615" s="14" t="n">
        <x:v>10</x:v>
      </x:c>
      <x:c r="G1615" s="26" t="n">
        <x:f>'成本明细'!U244+'成本明细'!G244*(E1615-'参数'!$B$6)</x:f>
        <x:v>2214.1253427894444</x:v>
      </x:c>
      <x:c r="H1615" s="26" t="n">
        <x:f>'成本明细'!U250</x:f>
        <x:v>3841.380912773333</x:v>
      </x:c>
      <x:c r="I1615" s="26" t="n">
        <x:f>'成本明细'!V250</x:f>
        <x:v>6825.5</x:v>
      </x:c>
      <x:c r="J1615" s="22" t="n">
        <x:f>'参数'!$B$9</x:f>
        <x:v>300</x:v>
      </x:c>
      <x:c r="K1615" s="26" t="n">
        <x:f>J1615*(G1615-H1615)-I1615*ROUNDUP(J1615/F1615,0)</x:f>
        <x:v>-692941.6709951665</x:v>
      </x:c>
      <x:c r="L1615" s="10" t="str">
        <x:f>IF(G1615-H1615&lt;=0,"未回本",IF(ROUNDUP(I1615/(G1615-H1615),0)&gt;MIN(F1615,J1615),"未回本",MAX(1,ROUNDUP(I1615/(G1615-H1615),0))))</x:f>
        <x:v>未回本</x:v>
      </x:c>
    </x:row>
    <x:row r="1616" ht="22" customHeight="1">
      <x:c r="A1616" s="11" t="str">
        <x:v>lade_0827_20aoi</x:v>
      </x:c>
      <x:c r="B1616" s="10" t="n">
        <x:v>20</x:v>
      </x:c>
      <x:c r="C1616" s="10" t="n">
        <x:v>43</x:v>
      </x:c>
      <x:c r="D1616" s="10" t="str">
        <x:v>M1 / M3</x:v>
      </x:c>
      <x:c r="E1616" s="16" t="n">
        <x:v>2</x:v>
      </x:c>
      <x:c r="F1616" s="14" t="n">
        <x:v>20</x:v>
      </x:c>
      <x:c r="G1616" s="26" t="n">
        <x:f>'成本明细'!U241+'成本明细'!G241*(E1616-'参数'!$B$6)</x:f>
        <x:v>2969.5936147722223</x:v>
      </x:c>
      <x:c r="H1616" s="26" t="n">
        <x:f>'成本明细'!U247</x:f>
        <x:v>3840.8438700049996</x:v>
      </x:c>
      <x:c r="I1616" s="26" t="n">
        <x:f>'成本明细'!V247</x:f>
        <x:v>6825.5</x:v>
      </x:c>
      <x:c r="J1616" s="22" t="n">
        <x:f>'参数'!$B$9</x:f>
        <x:v>300</x:v>
      </x:c>
      <x:c r="K1616" s="26" t="n">
        <x:f>J1616*(G1616-H1616)-I1616*ROUNDUP(J1616/F1616,0)</x:f>
        <x:v>-363757.5765698332</x:v>
      </x:c>
      <x:c r="L1616" s="10" t="str">
        <x:f>IF(G1616-H1616&lt;=0,"未回本",IF(ROUNDUP(I1616/(G1616-H1616),0)&gt;MIN(F1616,J1616),"未回本",MAX(1,ROUNDUP(I1616/(G1616-H1616),0))))</x:f>
        <x:v>未回本</x:v>
      </x:c>
    </x:row>
    <x:row r="1617" ht="22" customHeight="1">
      <x:c r="A1617" s="11" t="str">
        <x:v>lade_0827_20aoi</x:v>
      </x:c>
      <x:c r="B1617" s="10" t="n">
        <x:v>20</x:v>
      </x:c>
      <x:c r="C1617" s="10" t="n">
        <x:v>43</x:v>
      </x:c>
      <x:c r="D1617" s="10" t="str">
        <x:v>M2 / M4</x:v>
      </x:c>
      <x:c r="E1617" s="16" t="n">
        <x:v>2</x:v>
      </x:c>
      <x:c r="F1617" s="14" t="n">
        <x:v>20</x:v>
      </x:c>
      <x:c r="G1617" s="26" t="n">
        <x:f>'成本明细'!U244+'成本明细'!G244*(E1617-'参数'!$B$6)</x:f>
        <x:v>2214.1253427894444</x:v>
      </x:c>
      <x:c r="H1617" s="26" t="n">
        <x:f>'成本明细'!U250</x:f>
        <x:v>3841.380912773333</x:v>
      </x:c>
      <x:c r="I1617" s="26" t="n">
        <x:f>'成本明细'!V250</x:f>
        <x:v>6825.5</x:v>
      </x:c>
      <x:c r="J1617" s="22" t="n">
        <x:f>'参数'!$B$9</x:f>
        <x:v>300</x:v>
      </x:c>
      <x:c r="K1617" s="26" t="n">
        <x:f>J1617*(G1617-H1617)-I1617*ROUNDUP(J1617/F1617,0)</x:f>
        <x:v>-590559.1709951665</x:v>
      </x:c>
      <x:c r="L1617" s="10" t="str">
        <x:f>IF(G1617-H1617&lt;=0,"未回本",IF(ROUNDUP(I1617/(G1617-H1617),0)&gt;MIN(F1617,J1617),"未回本",MAX(1,ROUNDUP(I1617/(G1617-H1617),0))))</x:f>
        <x:v>未回本</x:v>
      </x:c>
    </x:row>
    <x:row r="1618" ht="22" customHeight="1">
      <x:c r="A1618" s="11" t="str">
        <x:v>lade_0827_20aoi</x:v>
      </x:c>
      <x:c r="B1618" s="10" t="n">
        <x:v>20</x:v>
      </x:c>
      <x:c r="C1618" s="10" t="n">
        <x:v>43</x:v>
      </x:c>
      <x:c r="D1618" s="10" t="str">
        <x:v>M1 / M3</x:v>
      </x:c>
      <x:c r="E1618" s="16" t="n">
        <x:v>2</x:v>
      </x:c>
      <x:c r="F1618" s="14" t="n">
        <x:v>30</x:v>
      </x:c>
      <x:c r="G1618" s="26" t="n">
        <x:f>'成本明细'!U241+'成本明细'!G241*(E1618-'参数'!$B$6)</x:f>
        <x:v>2969.5936147722223</x:v>
      </x:c>
      <x:c r="H1618" s="26" t="n">
        <x:f>'成本明细'!U247</x:f>
        <x:v>3840.8438700049996</x:v>
      </x:c>
      <x:c r="I1618" s="26" t="n">
        <x:f>'成本明细'!V247</x:f>
        <x:v>6825.5</x:v>
      </x:c>
      <x:c r="J1618" s="22" t="n">
        <x:f>'参数'!$B$9</x:f>
        <x:v>300</x:v>
      </x:c>
      <x:c r="K1618" s="26" t="n">
        <x:f>J1618*(G1618-H1618)-I1618*ROUNDUP(J1618/F1618,0)</x:f>
        <x:v>-329630.0765698332</x:v>
      </x:c>
      <x:c r="L1618" s="10" t="str">
        <x:f>IF(G1618-H1618&lt;=0,"未回本",IF(ROUNDUP(I1618/(G1618-H1618),0)&gt;MIN(F1618,J1618),"未回本",MAX(1,ROUNDUP(I1618/(G1618-H1618),0))))</x:f>
        <x:v>未回本</x:v>
      </x:c>
    </x:row>
    <x:row r="1619" ht="22" customHeight="1">
      <x:c r="A1619" s="11" t="str">
        <x:v>lade_0827_20aoi</x:v>
      </x:c>
      <x:c r="B1619" s="10" t="n">
        <x:v>20</x:v>
      </x:c>
      <x:c r="C1619" s="10" t="n">
        <x:v>43</x:v>
      </x:c>
      <x:c r="D1619" s="10" t="str">
        <x:v>M2 / M4</x:v>
      </x:c>
      <x:c r="E1619" s="16" t="n">
        <x:v>2</x:v>
      </x:c>
      <x:c r="F1619" s="14" t="n">
        <x:v>30</x:v>
      </x:c>
      <x:c r="G1619" s="26" t="n">
        <x:f>'成本明细'!U244+'成本明细'!G244*(E1619-'参数'!$B$6)</x:f>
        <x:v>2214.1253427894444</x:v>
      </x:c>
      <x:c r="H1619" s="26" t="n">
        <x:f>'成本明细'!U250</x:f>
        <x:v>3841.380912773333</x:v>
      </x:c>
      <x:c r="I1619" s="26" t="n">
        <x:f>'成本明细'!V250</x:f>
        <x:v>6825.5</x:v>
      </x:c>
      <x:c r="J1619" s="22" t="n">
        <x:f>'参数'!$B$9</x:f>
        <x:v>300</x:v>
      </x:c>
      <x:c r="K1619" s="26" t="n">
        <x:f>J1619*(G1619-H1619)-I1619*ROUNDUP(J1619/F1619,0)</x:f>
        <x:v>-556431.6709951665</x:v>
      </x:c>
      <x:c r="L1619" s="10" t="str">
        <x:f>IF(G1619-H1619&lt;=0,"未回本",IF(ROUNDUP(I1619/(G1619-H1619),0)&gt;MIN(F1619,J1619),"未回本",MAX(1,ROUNDUP(I1619/(G1619-H1619),0))))</x:f>
        <x:v>未回本</x:v>
      </x:c>
    </x:row>
    <x:row r="1620" ht="22" customHeight="1">
      <x:c r="A1620" s="11" t="str">
        <x:v>lade_0827_20aoi</x:v>
      </x:c>
      <x:c r="B1620" s="10" t="n">
        <x:v>20</x:v>
      </x:c>
      <x:c r="C1620" s="10" t="n">
        <x:v>43</x:v>
      </x:c>
      <x:c r="D1620" s="10" t="str">
        <x:v>M1 / M3</x:v>
      </x:c>
      <x:c r="E1620" s="16" t="n">
        <x:v>2</x:v>
      </x:c>
      <x:c r="F1620" s="14" t="n">
        <x:v>50</x:v>
      </x:c>
      <x:c r="G1620" s="26" t="n">
        <x:f>'成本明细'!U241+'成本明细'!G241*(E1620-'参数'!$B$6)</x:f>
        <x:v>2969.5936147722223</x:v>
      </x:c>
      <x:c r="H1620" s="26" t="n">
        <x:f>'成本明细'!U247</x:f>
        <x:v>3840.8438700049996</x:v>
      </x:c>
      <x:c r="I1620" s="26" t="n">
        <x:f>'成本明细'!V247</x:f>
        <x:v>6825.5</x:v>
      </x:c>
      <x:c r="J1620" s="22" t="n">
        <x:f>'参数'!$B$9</x:f>
        <x:v>300</x:v>
      </x:c>
      <x:c r="K1620" s="26" t="n">
        <x:f>J1620*(G1620-H1620)-I1620*ROUNDUP(J1620/F1620,0)</x:f>
        <x:v>-302328.0765698332</x:v>
      </x:c>
      <x:c r="L1620" s="10" t="str">
        <x:f>IF(G1620-H1620&lt;=0,"未回本",IF(ROUNDUP(I1620/(G1620-H1620),0)&gt;MIN(F1620,J1620),"未回本",MAX(1,ROUNDUP(I1620/(G1620-H1620),0))))</x:f>
        <x:v>未回本</x:v>
      </x:c>
    </x:row>
    <x:row r="1621" ht="22" customHeight="1">
      <x:c r="A1621" s="11" t="str">
        <x:v>lade_0827_20aoi</x:v>
      </x:c>
      <x:c r="B1621" s="10" t="n">
        <x:v>20</x:v>
      </x:c>
      <x:c r="C1621" s="10" t="n">
        <x:v>43</x:v>
      </x:c>
      <x:c r="D1621" s="10" t="str">
        <x:v>M2 / M4</x:v>
      </x:c>
      <x:c r="E1621" s="16" t="n">
        <x:v>2</x:v>
      </x:c>
      <x:c r="F1621" s="14" t="n">
        <x:v>50</x:v>
      </x:c>
      <x:c r="G1621" s="26" t="n">
        <x:f>'成本明细'!U244+'成本明细'!G244*(E1621-'参数'!$B$6)</x:f>
        <x:v>2214.1253427894444</x:v>
      </x:c>
      <x:c r="H1621" s="26" t="n">
        <x:f>'成本明细'!U250</x:f>
        <x:v>3841.380912773333</x:v>
      </x:c>
      <x:c r="I1621" s="26" t="n">
        <x:f>'成本明细'!V250</x:f>
        <x:v>6825.5</x:v>
      </x:c>
      <x:c r="J1621" s="22" t="n">
        <x:f>'参数'!$B$9</x:f>
        <x:v>300</x:v>
      </x:c>
      <x:c r="K1621" s="26" t="n">
        <x:f>J1621*(G1621-H1621)-I1621*ROUNDUP(J1621/F1621,0)</x:f>
        <x:v>-529129.6709951665</x:v>
      </x:c>
      <x:c r="L1621" s="10" t="str">
        <x:f>IF(G1621-H1621&lt;=0,"未回本",IF(ROUNDUP(I1621/(G1621-H1621),0)&gt;MIN(F1621,J1621),"未回本",MAX(1,ROUNDUP(I1621/(G1621-H1621),0))))</x:f>
        <x:v>未回本</x:v>
      </x:c>
    </x:row>
    <x:row r="1622" ht="22" customHeight="1">
      <x:c r="A1622" s="11" t="str">
        <x:v>lade_0827_20aoi</x:v>
      </x:c>
      <x:c r="B1622" s="10" t="n">
        <x:v>20</x:v>
      </x:c>
      <x:c r="C1622" s="10" t="n">
        <x:v>43</x:v>
      </x:c>
      <x:c r="D1622" s="10" t="str">
        <x:v>M1 / M3</x:v>
      </x:c>
      <x:c r="E1622" s="16" t="n">
        <x:v>3</x:v>
      </x:c>
      <x:c r="F1622" s="14" t="n">
        <x:v>10</x:v>
      </x:c>
      <x:c r="G1622" s="26" t="n">
        <x:f>'成本明细'!U241+'成本明细'!G241*(E1622-'参数'!$B$6)</x:f>
        <x:v>3156.5936147722223</x:v>
      </x:c>
      <x:c r="H1622" s="26" t="n">
        <x:f>'成本明细'!U247</x:f>
        <x:v>3840.8438700049996</x:v>
      </x:c>
      <x:c r="I1622" s="26" t="n">
        <x:f>'成本明细'!V247</x:f>
        <x:v>6825.5</x:v>
      </x:c>
      <x:c r="J1622" s="22" t="n">
        <x:f>'参数'!$B$9</x:f>
        <x:v>300</x:v>
      </x:c>
      <x:c r="K1622" s="26" t="n">
        <x:f>J1622*(G1622-H1622)-I1622*ROUNDUP(J1622/F1622,0)</x:f>
        <x:v>-410040.0765698332</x:v>
      </x:c>
      <x:c r="L1622" s="10" t="str">
        <x:f>IF(G1622-H1622&lt;=0,"未回本",IF(ROUNDUP(I1622/(G1622-H1622),0)&gt;MIN(F1622,J1622),"未回本",MAX(1,ROUNDUP(I1622/(G1622-H1622),0))))</x:f>
        <x:v>未回本</x:v>
      </x:c>
    </x:row>
    <x:row r="1623" ht="22" customHeight="1">
      <x:c r="A1623" s="11" t="str">
        <x:v>lade_0827_20aoi</x:v>
      </x:c>
      <x:c r="B1623" s="10" t="n">
        <x:v>20</x:v>
      </x:c>
      <x:c r="C1623" s="10" t="n">
        <x:v>43</x:v>
      </x:c>
      <x:c r="D1623" s="10" t="str">
        <x:v>M2 / M4</x:v>
      </x:c>
      <x:c r="E1623" s="16" t="n">
        <x:v>3</x:v>
      </x:c>
      <x:c r="F1623" s="14" t="n">
        <x:v>10</x:v>
      </x:c>
      <x:c r="G1623" s="26" t="n">
        <x:f>'成本明细'!U244+'成本明细'!G244*(E1623-'参数'!$B$6)</x:f>
        <x:v>2401.1253427894444</x:v>
      </x:c>
      <x:c r="H1623" s="26" t="n">
        <x:f>'成本明细'!U250</x:f>
        <x:v>3841.380912773333</x:v>
      </x:c>
      <x:c r="I1623" s="26" t="n">
        <x:f>'成本明细'!V250</x:f>
        <x:v>6825.5</x:v>
      </x:c>
      <x:c r="J1623" s="22" t="n">
        <x:f>'参数'!$B$9</x:f>
        <x:v>300</x:v>
      </x:c>
      <x:c r="K1623" s="26" t="n">
        <x:f>J1623*(G1623-H1623)-I1623*ROUNDUP(J1623/F1623,0)</x:f>
        <x:v>-636841.6709951665</x:v>
      </x:c>
      <x:c r="L1623" s="10" t="str">
        <x:f>IF(G1623-H1623&lt;=0,"未回本",IF(ROUNDUP(I1623/(G1623-H1623),0)&gt;MIN(F1623,J1623),"未回本",MAX(1,ROUNDUP(I1623/(G1623-H1623),0))))</x:f>
        <x:v>未回本</x:v>
      </x:c>
    </x:row>
    <x:row r="1624" ht="22" customHeight="1">
      <x:c r="A1624" s="11" t="str">
        <x:v>lade_0827_20aoi</x:v>
      </x:c>
      <x:c r="B1624" s="10" t="n">
        <x:v>20</x:v>
      </x:c>
      <x:c r="C1624" s="10" t="n">
        <x:v>43</x:v>
      </x:c>
      <x:c r="D1624" s="10" t="str">
        <x:v>M1 / M3</x:v>
      </x:c>
      <x:c r="E1624" s="16" t="n">
        <x:v>3</x:v>
      </x:c>
      <x:c r="F1624" s="14" t="n">
        <x:v>20</x:v>
      </x:c>
      <x:c r="G1624" s="26" t="n">
        <x:f>'成本明细'!U241+'成本明细'!G241*(E1624-'参数'!$B$6)</x:f>
        <x:v>3156.5936147722223</x:v>
      </x:c>
      <x:c r="H1624" s="26" t="n">
        <x:f>'成本明细'!U247</x:f>
        <x:v>3840.8438700049996</x:v>
      </x:c>
      <x:c r="I1624" s="26" t="n">
        <x:f>'成本明细'!V247</x:f>
        <x:v>6825.5</x:v>
      </x:c>
      <x:c r="J1624" s="22" t="n">
        <x:f>'参数'!$B$9</x:f>
        <x:v>300</x:v>
      </x:c>
      <x:c r="K1624" s="26" t="n">
        <x:f>J1624*(G1624-H1624)-I1624*ROUNDUP(J1624/F1624,0)</x:f>
        <x:v>-307657.5765698332</x:v>
      </x:c>
      <x:c r="L1624" s="10" t="str">
        <x:f>IF(G1624-H1624&lt;=0,"未回本",IF(ROUNDUP(I1624/(G1624-H1624),0)&gt;MIN(F1624,J1624),"未回本",MAX(1,ROUNDUP(I1624/(G1624-H1624),0))))</x:f>
        <x:v>未回本</x:v>
      </x:c>
    </x:row>
    <x:row r="1625" ht="22" customHeight="1">
      <x:c r="A1625" s="11" t="str">
        <x:v>lade_0827_20aoi</x:v>
      </x:c>
      <x:c r="B1625" s="10" t="n">
        <x:v>20</x:v>
      </x:c>
      <x:c r="C1625" s="10" t="n">
        <x:v>43</x:v>
      </x:c>
      <x:c r="D1625" s="10" t="str">
        <x:v>M2 / M4</x:v>
      </x:c>
      <x:c r="E1625" s="16" t="n">
        <x:v>3</x:v>
      </x:c>
      <x:c r="F1625" s="14" t="n">
        <x:v>20</x:v>
      </x:c>
      <x:c r="G1625" s="26" t="n">
        <x:f>'成本明细'!U244+'成本明细'!G244*(E1625-'参数'!$B$6)</x:f>
        <x:v>2401.1253427894444</x:v>
      </x:c>
      <x:c r="H1625" s="26" t="n">
        <x:f>'成本明细'!U250</x:f>
        <x:v>3841.380912773333</x:v>
      </x:c>
      <x:c r="I1625" s="26" t="n">
        <x:f>'成本明细'!V250</x:f>
        <x:v>6825.5</x:v>
      </x:c>
      <x:c r="J1625" s="22" t="n">
        <x:f>'参数'!$B$9</x:f>
        <x:v>300</x:v>
      </x:c>
      <x:c r="K1625" s="26" t="n">
        <x:f>J1625*(G1625-H1625)-I1625*ROUNDUP(J1625/F1625,0)</x:f>
        <x:v>-534459.1709951665</x:v>
      </x:c>
      <x:c r="L1625" s="10" t="str">
        <x:f>IF(G1625-H1625&lt;=0,"未回本",IF(ROUNDUP(I1625/(G1625-H1625),0)&gt;MIN(F1625,J1625),"未回本",MAX(1,ROUNDUP(I1625/(G1625-H1625),0))))</x:f>
        <x:v>未回本</x:v>
      </x:c>
    </x:row>
    <x:row r="1626" ht="22" customHeight="1">
      <x:c r="A1626" s="11" t="str">
        <x:v>lade_0827_20aoi</x:v>
      </x:c>
      <x:c r="B1626" s="10" t="n">
        <x:v>20</x:v>
      </x:c>
      <x:c r="C1626" s="10" t="n">
        <x:v>43</x:v>
      </x:c>
      <x:c r="D1626" s="10" t="str">
        <x:v>M1 / M3</x:v>
      </x:c>
      <x:c r="E1626" s="16" t="n">
        <x:v>3</x:v>
      </x:c>
      <x:c r="F1626" s="14" t="n">
        <x:v>30</x:v>
      </x:c>
      <x:c r="G1626" s="26" t="n">
        <x:f>'成本明细'!U241+'成本明细'!G241*(E1626-'参数'!$B$6)</x:f>
        <x:v>3156.5936147722223</x:v>
      </x:c>
      <x:c r="H1626" s="26" t="n">
        <x:f>'成本明细'!U247</x:f>
        <x:v>3840.8438700049996</x:v>
      </x:c>
      <x:c r="I1626" s="26" t="n">
        <x:f>'成本明细'!V247</x:f>
        <x:v>6825.5</x:v>
      </x:c>
      <x:c r="J1626" s="22" t="n">
        <x:f>'参数'!$B$9</x:f>
        <x:v>300</x:v>
      </x:c>
      <x:c r="K1626" s="26" t="n">
        <x:f>J1626*(G1626-H1626)-I1626*ROUNDUP(J1626/F1626,0)</x:f>
        <x:v>-273530.0765698332</x:v>
      </x:c>
      <x:c r="L1626" s="10" t="str">
        <x:f>IF(G1626-H1626&lt;=0,"未回本",IF(ROUNDUP(I1626/(G1626-H1626),0)&gt;MIN(F1626,J1626),"未回本",MAX(1,ROUNDUP(I1626/(G1626-H1626),0))))</x:f>
        <x:v>未回本</x:v>
      </x:c>
    </x:row>
    <x:row r="1627" ht="22" customHeight="1">
      <x:c r="A1627" s="11" t="str">
        <x:v>lade_0827_20aoi</x:v>
      </x:c>
      <x:c r="B1627" s="10" t="n">
        <x:v>20</x:v>
      </x:c>
      <x:c r="C1627" s="10" t="n">
        <x:v>43</x:v>
      </x:c>
      <x:c r="D1627" s="10" t="str">
        <x:v>M2 / M4</x:v>
      </x:c>
      <x:c r="E1627" s="16" t="n">
        <x:v>3</x:v>
      </x:c>
      <x:c r="F1627" s="14" t="n">
        <x:v>30</x:v>
      </x:c>
      <x:c r="G1627" s="26" t="n">
        <x:f>'成本明细'!U244+'成本明细'!G244*(E1627-'参数'!$B$6)</x:f>
        <x:v>2401.1253427894444</x:v>
      </x:c>
      <x:c r="H1627" s="26" t="n">
        <x:f>'成本明细'!U250</x:f>
        <x:v>3841.380912773333</x:v>
      </x:c>
      <x:c r="I1627" s="26" t="n">
        <x:f>'成本明细'!V250</x:f>
        <x:v>6825.5</x:v>
      </x:c>
      <x:c r="J1627" s="22" t="n">
        <x:f>'参数'!$B$9</x:f>
        <x:v>300</x:v>
      </x:c>
      <x:c r="K1627" s="26" t="n">
        <x:f>J1627*(G1627-H1627)-I1627*ROUNDUP(J1627/F1627,0)</x:f>
        <x:v>-500331.6709951666</x:v>
      </x:c>
      <x:c r="L1627" s="10" t="str">
        <x:f>IF(G1627-H1627&lt;=0,"未回本",IF(ROUNDUP(I1627/(G1627-H1627),0)&gt;MIN(F1627,J1627),"未回本",MAX(1,ROUNDUP(I1627/(G1627-H1627),0))))</x:f>
        <x:v>未回本</x:v>
      </x:c>
    </x:row>
    <x:row r="1628" ht="22" customHeight="1">
      <x:c r="A1628" s="11" t="str">
        <x:v>lade_0827_20aoi</x:v>
      </x:c>
      <x:c r="B1628" s="10" t="n">
        <x:v>20</x:v>
      </x:c>
      <x:c r="C1628" s="10" t="n">
        <x:v>43</x:v>
      </x:c>
      <x:c r="D1628" s="10" t="str">
        <x:v>M1 / M3</x:v>
      </x:c>
      <x:c r="E1628" s="16" t="n">
        <x:v>3</x:v>
      </x:c>
      <x:c r="F1628" s="14" t="n">
        <x:v>50</x:v>
      </x:c>
      <x:c r="G1628" s="26" t="n">
        <x:f>'成本明细'!U241+'成本明细'!G241*(E1628-'参数'!$B$6)</x:f>
        <x:v>3156.5936147722223</x:v>
      </x:c>
      <x:c r="H1628" s="26" t="n">
        <x:f>'成本明细'!U247</x:f>
        <x:v>3840.8438700049996</x:v>
      </x:c>
      <x:c r="I1628" s="26" t="n">
        <x:f>'成本明细'!V247</x:f>
        <x:v>6825.5</x:v>
      </x:c>
      <x:c r="J1628" s="22" t="n">
        <x:f>'参数'!$B$9</x:f>
        <x:v>300</x:v>
      </x:c>
      <x:c r="K1628" s="26" t="n">
        <x:f>J1628*(G1628-H1628)-I1628*ROUNDUP(J1628/F1628,0)</x:f>
        <x:v>-246228.0765698332</x:v>
      </x:c>
      <x:c r="L1628" s="10" t="str">
        <x:f>IF(G1628-H1628&lt;=0,"未回本",IF(ROUNDUP(I1628/(G1628-H1628),0)&gt;MIN(F1628,J1628),"未回本",MAX(1,ROUNDUP(I1628/(G1628-H1628),0))))</x:f>
        <x:v>未回本</x:v>
      </x:c>
    </x:row>
    <x:row r="1629" ht="22" customHeight="1">
      <x:c r="A1629" s="11" t="str">
        <x:v>lade_0827_20aoi</x:v>
      </x:c>
      <x:c r="B1629" s="10" t="n">
        <x:v>20</x:v>
      </x:c>
      <x:c r="C1629" s="10" t="n">
        <x:v>43</x:v>
      </x:c>
      <x:c r="D1629" s="10" t="str">
        <x:v>M2 / M4</x:v>
      </x:c>
      <x:c r="E1629" s="16" t="n">
        <x:v>3</x:v>
      </x:c>
      <x:c r="F1629" s="14" t="n">
        <x:v>50</x:v>
      </x:c>
      <x:c r="G1629" s="26" t="n">
        <x:f>'成本明细'!U244+'成本明细'!G244*(E1629-'参数'!$B$6)</x:f>
        <x:v>2401.1253427894444</x:v>
      </x:c>
      <x:c r="H1629" s="26" t="n">
        <x:f>'成本明细'!U250</x:f>
        <x:v>3841.380912773333</x:v>
      </x:c>
      <x:c r="I1629" s="26" t="n">
        <x:f>'成本明细'!V250</x:f>
        <x:v>6825.5</x:v>
      </x:c>
      <x:c r="J1629" s="22" t="n">
        <x:f>'参数'!$B$9</x:f>
        <x:v>300</x:v>
      </x:c>
      <x:c r="K1629" s="26" t="n">
        <x:f>J1629*(G1629-H1629)-I1629*ROUNDUP(J1629/F1629,0)</x:f>
        <x:v>-473029.6709951666</x:v>
      </x:c>
      <x:c r="L1629" s="10" t="str">
        <x:f>IF(G1629-H1629&lt;=0,"未回本",IF(ROUNDUP(I1629/(G1629-H1629),0)&gt;MIN(F1629,J1629),"未回本",MAX(1,ROUNDUP(I1629/(G1629-H1629),0))))</x:f>
        <x:v>未回本</x:v>
      </x:c>
    </x:row>
    <x:row r="1630" ht="22" customHeight="1">
      <x:c r="A1630" s="11" t="str">
        <x:v>lade_0827_20aoi</x:v>
      </x:c>
      <x:c r="B1630" s="10" t="n">
        <x:v>20</x:v>
      </x:c>
      <x:c r="C1630" s="10" t="n">
        <x:v>43</x:v>
      </x:c>
      <x:c r="D1630" s="10" t="str">
        <x:v>M1 / M3</x:v>
      </x:c>
      <x:c r="E1630" s="16" t="n">
        <x:v>4</x:v>
      </x:c>
      <x:c r="F1630" s="14" t="n">
        <x:v>10</x:v>
      </x:c>
      <x:c r="G1630" s="26" t="n">
        <x:f>'成本明细'!U241+'成本明细'!G241*(E1630-'参数'!$B$6)</x:f>
        <x:v>3343.5936147722223</x:v>
      </x:c>
      <x:c r="H1630" s="26" t="n">
        <x:f>'成本明细'!U247</x:f>
        <x:v>3840.8438700049996</x:v>
      </x:c>
      <x:c r="I1630" s="26" t="n">
        <x:f>'成本明细'!V247</x:f>
        <x:v>6825.5</x:v>
      </x:c>
      <x:c r="J1630" s="22" t="n">
        <x:f>'参数'!$B$9</x:f>
        <x:v>300</x:v>
      </x:c>
      <x:c r="K1630" s="26" t="n">
        <x:f>J1630*(G1630-H1630)-I1630*ROUNDUP(J1630/F1630,0)</x:f>
        <x:v>-353940.0765698332</x:v>
      </x:c>
      <x:c r="L1630" s="10" t="str">
        <x:f>IF(G1630-H1630&lt;=0,"未回本",IF(ROUNDUP(I1630/(G1630-H1630),0)&gt;MIN(F1630,J1630),"未回本",MAX(1,ROUNDUP(I1630/(G1630-H1630),0))))</x:f>
        <x:v>未回本</x:v>
      </x:c>
    </x:row>
    <x:row r="1631" ht="22" customHeight="1">
      <x:c r="A1631" s="11" t="str">
        <x:v>lade_0827_20aoi</x:v>
      </x:c>
      <x:c r="B1631" s="10" t="n">
        <x:v>20</x:v>
      </x:c>
      <x:c r="C1631" s="10" t="n">
        <x:v>43</x:v>
      </x:c>
      <x:c r="D1631" s="10" t="str">
        <x:v>M2 / M4</x:v>
      </x:c>
      <x:c r="E1631" s="16" t="n">
        <x:v>4</x:v>
      </x:c>
      <x:c r="F1631" s="14" t="n">
        <x:v>10</x:v>
      </x:c>
      <x:c r="G1631" s="26" t="n">
        <x:f>'成本明细'!U244+'成本明细'!G244*(E1631-'参数'!$B$6)</x:f>
        <x:v>2588.1253427894444</x:v>
      </x:c>
      <x:c r="H1631" s="26" t="n">
        <x:f>'成本明细'!U250</x:f>
        <x:v>3841.380912773333</x:v>
      </x:c>
      <x:c r="I1631" s="26" t="n">
        <x:f>'成本明细'!V250</x:f>
        <x:v>6825.5</x:v>
      </x:c>
      <x:c r="J1631" s="22" t="n">
        <x:f>'参数'!$B$9</x:f>
        <x:v>300</x:v>
      </x:c>
      <x:c r="K1631" s="26" t="n">
        <x:f>J1631*(G1631-H1631)-I1631*ROUNDUP(J1631/F1631,0)</x:f>
        <x:v>-580741.6709951665</x:v>
      </x:c>
      <x:c r="L1631" s="10" t="str">
        <x:f>IF(G1631-H1631&lt;=0,"未回本",IF(ROUNDUP(I1631/(G1631-H1631),0)&gt;MIN(F1631,J1631),"未回本",MAX(1,ROUNDUP(I1631/(G1631-H1631),0))))</x:f>
        <x:v>未回本</x:v>
      </x:c>
    </x:row>
    <x:row r="1632" ht="22" customHeight="1">
      <x:c r="A1632" s="11" t="str">
        <x:v>lade_0827_20aoi</x:v>
      </x:c>
      <x:c r="B1632" s="10" t="n">
        <x:v>20</x:v>
      </x:c>
      <x:c r="C1632" s="10" t="n">
        <x:v>43</x:v>
      </x:c>
      <x:c r="D1632" s="10" t="str">
        <x:v>M1 / M3</x:v>
      </x:c>
      <x:c r="E1632" s="16" t="n">
        <x:v>4</x:v>
      </x:c>
      <x:c r="F1632" s="14" t="n">
        <x:v>20</x:v>
      </x:c>
      <x:c r="G1632" s="26" t="n">
        <x:f>'成本明细'!U241+'成本明细'!G241*(E1632-'参数'!$B$6)</x:f>
        <x:v>3343.5936147722223</x:v>
      </x:c>
      <x:c r="H1632" s="26" t="n">
        <x:f>'成本明细'!U247</x:f>
        <x:v>3840.8438700049996</x:v>
      </x:c>
      <x:c r="I1632" s="26" t="n">
        <x:f>'成本明细'!V247</x:f>
        <x:v>6825.5</x:v>
      </x:c>
      <x:c r="J1632" s="22" t="n">
        <x:f>'参数'!$B$9</x:f>
        <x:v>300</x:v>
      </x:c>
      <x:c r="K1632" s="26" t="n">
        <x:f>J1632*(G1632-H1632)-I1632*ROUNDUP(J1632/F1632,0)</x:f>
        <x:v>-251557.5765698332</x:v>
      </x:c>
      <x:c r="L1632" s="10" t="str">
        <x:f>IF(G1632-H1632&lt;=0,"未回本",IF(ROUNDUP(I1632/(G1632-H1632),0)&gt;MIN(F1632,J1632),"未回本",MAX(1,ROUNDUP(I1632/(G1632-H1632),0))))</x:f>
        <x:v>未回本</x:v>
      </x:c>
    </x:row>
    <x:row r="1633" ht="22" customHeight="1">
      <x:c r="A1633" s="11" t="str">
        <x:v>lade_0827_20aoi</x:v>
      </x:c>
      <x:c r="B1633" s="10" t="n">
        <x:v>20</x:v>
      </x:c>
      <x:c r="C1633" s="10" t="n">
        <x:v>43</x:v>
      </x:c>
      <x:c r="D1633" s="10" t="str">
        <x:v>M2 / M4</x:v>
      </x:c>
      <x:c r="E1633" s="16" t="n">
        <x:v>4</x:v>
      </x:c>
      <x:c r="F1633" s="14" t="n">
        <x:v>20</x:v>
      </x:c>
      <x:c r="G1633" s="26" t="n">
        <x:f>'成本明细'!U244+'成本明细'!G244*(E1633-'参数'!$B$6)</x:f>
        <x:v>2588.1253427894444</x:v>
      </x:c>
      <x:c r="H1633" s="26" t="n">
        <x:f>'成本明细'!U250</x:f>
        <x:v>3841.380912773333</x:v>
      </x:c>
      <x:c r="I1633" s="26" t="n">
        <x:f>'成本明细'!V250</x:f>
        <x:v>6825.5</x:v>
      </x:c>
      <x:c r="J1633" s="22" t="n">
        <x:f>'参数'!$B$9</x:f>
        <x:v>300</x:v>
      </x:c>
      <x:c r="K1633" s="26" t="n">
        <x:f>J1633*(G1633-H1633)-I1633*ROUNDUP(J1633/F1633,0)</x:f>
        <x:v>-478359.1709951666</x:v>
      </x:c>
      <x:c r="L1633" s="10" t="str">
        <x:f>IF(G1633-H1633&lt;=0,"未回本",IF(ROUNDUP(I1633/(G1633-H1633),0)&gt;MIN(F1633,J1633),"未回本",MAX(1,ROUNDUP(I1633/(G1633-H1633),0))))</x:f>
        <x:v>未回本</x:v>
      </x:c>
    </x:row>
    <x:row r="1634" ht="22" customHeight="1">
      <x:c r="A1634" s="11" t="str">
        <x:v>lade_0827_20aoi</x:v>
      </x:c>
      <x:c r="B1634" s="10" t="n">
        <x:v>20</x:v>
      </x:c>
      <x:c r="C1634" s="10" t="n">
        <x:v>43</x:v>
      </x:c>
      <x:c r="D1634" s="10" t="str">
        <x:v>M1 / M3</x:v>
      </x:c>
      <x:c r="E1634" s="16" t="n">
        <x:v>4</x:v>
      </x:c>
      <x:c r="F1634" s="14" t="n">
        <x:v>30</x:v>
      </x:c>
      <x:c r="G1634" s="26" t="n">
        <x:f>'成本明细'!U241+'成本明细'!G241*(E1634-'参数'!$B$6)</x:f>
        <x:v>3343.5936147722223</x:v>
      </x:c>
      <x:c r="H1634" s="26" t="n">
        <x:f>'成本明细'!U247</x:f>
        <x:v>3840.8438700049996</x:v>
      </x:c>
      <x:c r="I1634" s="26" t="n">
        <x:f>'成本明细'!V247</x:f>
        <x:v>6825.5</x:v>
      </x:c>
      <x:c r="J1634" s="22" t="n">
        <x:f>'参数'!$B$9</x:f>
        <x:v>300</x:v>
      </x:c>
      <x:c r="K1634" s="26" t="n">
        <x:f>J1634*(G1634-H1634)-I1634*ROUNDUP(J1634/F1634,0)</x:f>
        <x:v>-217430.0765698332</x:v>
      </x:c>
      <x:c r="L1634" s="10" t="str">
        <x:f>IF(G1634-H1634&lt;=0,"未回本",IF(ROUNDUP(I1634/(G1634-H1634),0)&gt;MIN(F1634,J1634),"未回本",MAX(1,ROUNDUP(I1634/(G1634-H1634),0))))</x:f>
        <x:v>未回本</x:v>
      </x:c>
    </x:row>
    <x:row r="1635" ht="22" customHeight="1">
      <x:c r="A1635" s="11" t="str">
        <x:v>lade_0827_20aoi</x:v>
      </x:c>
      <x:c r="B1635" s="10" t="n">
        <x:v>20</x:v>
      </x:c>
      <x:c r="C1635" s="10" t="n">
        <x:v>43</x:v>
      </x:c>
      <x:c r="D1635" s="10" t="str">
        <x:v>M2 / M4</x:v>
      </x:c>
      <x:c r="E1635" s="16" t="n">
        <x:v>4</x:v>
      </x:c>
      <x:c r="F1635" s="14" t="n">
        <x:v>30</x:v>
      </x:c>
      <x:c r="G1635" s="26" t="n">
        <x:f>'成本明细'!U244+'成本明细'!G244*(E1635-'参数'!$B$6)</x:f>
        <x:v>2588.1253427894444</x:v>
      </x:c>
      <x:c r="H1635" s="26" t="n">
        <x:f>'成本明细'!U250</x:f>
        <x:v>3841.380912773333</x:v>
      </x:c>
      <x:c r="I1635" s="26" t="n">
        <x:f>'成本明细'!V250</x:f>
        <x:v>6825.5</x:v>
      </x:c>
      <x:c r="J1635" s="22" t="n">
        <x:f>'参数'!$B$9</x:f>
        <x:v>300</x:v>
      </x:c>
      <x:c r="K1635" s="26" t="n">
        <x:f>J1635*(G1635-H1635)-I1635*ROUNDUP(J1635/F1635,0)</x:f>
        <x:v>-444231.6709951666</x:v>
      </x:c>
      <x:c r="L1635" s="10" t="str">
        <x:f>IF(G1635-H1635&lt;=0,"未回本",IF(ROUNDUP(I1635/(G1635-H1635),0)&gt;MIN(F1635,J1635),"未回本",MAX(1,ROUNDUP(I1635/(G1635-H1635),0))))</x:f>
        <x:v>未回本</x:v>
      </x:c>
    </x:row>
    <x:row r="1636" ht="22" customHeight="1">
      <x:c r="A1636" s="11" t="str">
        <x:v>lade_0827_20aoi</x:v>
      </x:c>
      <x:c r="B1636" s="10" t="n">
        <x:v>20</x:v>
      </x:c>
      <x:c r="C1636" s="10" t="n">
        <x:v>43</x:v>
      </x:c>
      <x:c r="D1636" s="10" t="str">
        <x:v>M1 / M3</x:v>
      </x:c>
      <x:c r="E1636" s="16" t="n">
        <x:v>4</x:v>
      </x:c>
      <x:c r="F1636" s="14" t="n">
        <x:v>50</x:v>
      </x:c>
      <x:c r="G1636" s="26" t="n">
        <x:f>'成本明细'!U241+'成本明细'!G241*(E1636-'参数'!$B$6)</x:f>
        <x:v>3343.5936147722223</x:v>
      </x:c>
      <x:c r="H1636" s="26" t="n">
        <x:f>'成本明细'!U247</x:f>
        <x:v>3840.8438700049996</x:v>
      </x:c>
      <x:c r="I1636" s="26" t="n">
        <x:f>'成本明细'!V247</x:f>
        <x:v>6825.5</x:v>
      </x:c>
      <x:c r="J1636" s="22" t="n">
        <x:f>'参数'!$B$9</x:f>
        <x:v>300</x:v>
      </x:c>
      <x:c r="K1636" s="26" t="n">
        <x:f>J1636*(G1636-H1636)-I1636*ROUNDUP(J1636/F1636,0)</x:f>
        <x:v>-190128.0765698332</x:v>
      </x:c>
      <x:c r="L1636" s="10" t="str">
        <x:f>IF(G1636-H1636&lt;=0,"未回本",IF(ROUNDUP(I1636/(G1636-H1636),0)&gt;MIN(F1636,J1636),"未回本",MAX(1,ROUNDUP(I1636/(G1636-H1636),0))))</x:f>
        <x:v>未回本</x:v>
      </x:c>
    </x:row>
    <x:row r="1637" ht="22" customHeight="1">
      <x:c r="A1637" s="11" t="str">
        <x:v>lade_0827_20aoi</x:v>
      </x:c>
      <x:c r="B1637" s="10" t="n">
        <x:v>20</x:v>
      </x:c>
      <x:c r="C1637" s="10" t="n">
        <x:v>43</x:v>
      </x:c>
      <x:c r="D1637" s="10" t="str">
        <x:v>M2 / M4</x:v>
      </x:c>
      <x:c r="E1637" s="16" t="n">
        <x:v>4</x:v>
      </x:c>
      <x:c r="F1637" s="14" t="n">
        <x:v>50</x:v>
      </x:c>
      <x:c r="G1637" s="26" t="n">
        <x:f>'成本明细'!U244+'成本明细'!G244*(E1637-'参数'!$B$6)</x:f>
        <x:v>2588.1253427894444</x:v>
      </x:c>
      <x:c r="H1637" s="26" t="n">
        <x:f>'成本明细'!U250</x:f>
        <x:v>3841.380912773333</x:v>
      </x:c>
      <x:c r="I1637" s="26" t="n">
        <x:f>'成本明细'!V250</x:f>
        <x:v>6825.5</x:v>
      </x:c>
      <x:c r="J1637" s="22" t="n">
        <x:f>'参数'!$B$9</x:f>
        <x:v>300</x:v>
      </x:c>
      <x:c r="K1637" s="26" t="n">
        <x:f>J1637*(G1637-H1637)-I1637*ROUNDUP(J1637/F1637,0)</x:f>
        <x:v>-416929.6709951666</x:v>
      </x:c>
      <x:c r="L1637" s="10" t="str">
        <x:f>IF(G1637-H1637&lt;=0,"未回本",IF(ROUNDUP(I1637/(G1637-H1637),0)&gt;MIN(F1637,J1637),"未回本",MAX(1,ROUNDUP(I1637/(G1637-H1637),0))))</x:f>
        <x:v>未回本</x:v>
      </x:c>
    </x:row>
    <x:row r="1638" ht="22" customHeight="1">
      <x:c r="A1638" s="11" t="str">
        <x:v>lade_0827_20aoi</x:v>
      </x:c>
      <x:c r="B1638" s="10" t="n">
        <x:v>20</x:v>
      </x:c>
      <x:c r="C1638" s="10" t="n">
        <x:v>43</x:v>
      </x:c>
      <x:c r="D1638" s="10" t="str">
        <x:v>M1 / M3</x:v>
      </x:c>
      <x:c r="E1638" s="16" t="n">
        <x:v>5</x:v>
      </x:c>
      <x:c r="F1638" s="14" t="n">
        <x:v>10</x:v>
      </x:c>
      <x:c r="G1638" s="26" t="n">
        <x:f>'成本明细'!U241+'成本明细'!G241*(E1638-'参数'!$B$6)</x:f>
        <x:v>3530.5936147722223</x:v>
      </x:c>
      <x:c r="H1638" s="26" t="n">
        <x:f>'成本明细'!U247</x:f>
        <x:v>3840.8438700049996</x:v>
      </x:c>
      <x:c r="I1638" s="26" t="n">
        <x:f>'成本明细'!V247</x:f>
        <x:v>6825.5</x:v>
      </x:c>
      <x:c r="J1638" s="22" t="n">
        <x:f>'参数'!$B$9</x:f>
        <x:v>300</x:v>
      </x:c>
      <x:c r="K1638" s="26" t="n">
        <x:f>J1638*(G1638-H1638)-I1638*ROUNDUP(J1638/F1638,0)</x:f>
        <x:v>-297840.0765698332</x:v>
      </x:c>
      <x:c r="L1638" s="10" t="str">
        <x:f>IF(G1638-H1638&lt;=0,"未回本",IF(ROUNDUP(I1638/(G1638-H1638),0)&gt;MIN(F1638,J1638),"未回本",MAX(1,ROUNDUP(I1638/(G1638-H1638),0))))</x:f>
        <x:v>未回本</x:v>
      </x:c>
    </x:row>
    <x:row r="1639" ht="22" customHeight="1">
      <x:c r="A1639" s="11" t="str">
        <x:v>lade_0827_20aoi</x:v>
      </x:c>
      <x:c r="B1639" s="10" t="n">
        <x:v>20</x:v>
      </x:c>
      <x:c r="C1639" s="10" t="n">
        <x:v>43</x:v>
      </x:c>
      <x:c r="D1639" s="10" t="str">
        <x:v>M2 / M4</x:v>
      </x:c>
      <x:c r="E1639" s="16" t="n">
        <x:v>5</x:v>
      </x:c>
      <x:c r="F1639" s="14" t="n">
        <x:v>10</x:v>
      </x:c>
      <x:c r="G1639" s="26" t="n">
        <x:f>'成本明细'!U244+'成本明细'!G244*(E1639-'参数'!$B$6)</x:f>
        <x:v>2775.1253427894444</x:v>
      </x:c>
      <x:c r="H1639" s="26" t="n">
        <x:f>'成本明细'!U250</x:f>
        <x:v>3841.380912773333</x:v>
      </x:c>
      <x:c r="I1639" s="26" t="n">
        <x:f>'成本明细'!V250</x:f>
        <x:v>6825.5</x:v>
      </x:c>
      <x:c r="J1639" s="22" t="n">
        <x:f>'参数'!$B$9</x:f>
        <x:v>300</x:v>
      </x:c>
      <x:c r="K1639" s="26" t="n">
        <x:f>J1639*(G1639-H1639)-I1639*ROUNDUP(J1639/F1639,0)</x:f>
        <x:v>-524641.6709951665</x:v>
      </x:c>
      <x:c r="L1639" s="10" t="str">
        <x:f>IF(G1639-H1639&lt;=0,"未回本",IF(ROUNDUP(I1639/(G1639-H1639),0)&gt;MIN(F1639,J1639),"未回本",MAX(1,ROUNDUP(I1639/(G1639-H1639),0))))</x:f>
        <x:v>未回本</x:v>
      </x:c>
    </x:row>
    <x:row r="1640" ht="22" customHeight="1">
      <x:c r="A1640" s="11" t="str">
        <x:v>lade_0827_20aoi</x:v>
      </x:c>
      <x:c r="B1640" s="10" t="n">
        <x:v>20</x:v>
      </x:c>
      <x:c r="C1640" s="10" t="n">
        <x:v>43</x:v>
      </x:c>
      <x:c r="D1640" s="10" t="str">
        <x:v>M1 / M3</x:v>
      </x:c>
      <x:c r="E1640" s="16" t="n">
        <x:v>5</x:v>
      </x:c>
      <x:c r="F1640" s="14" t="n">
        <x:v>20</x:v>
      </x:c>
      <x:c r="G1640" s="26" t="n">
        <x:f>'成本明细'!U241+'成本明细'!G241*(E1640-'参数'!$B$6)</x:f>
        <x:v>3530.5936147722223</x:v>
      </x:c>
      <x:c r="H1640" s="26" t="n">
        <x:f>'成本明细'!U247</x:f>
        <x:v>3840.8438700049996</x:v>
      </x:c>
      <x:c r="I1640" s="26" t="n">
        <x:f>'成本明细'!V247</x:f>
        <x:v>6825.5</x:v>
      </x:c>
      <x:c r="J1640" s="22" t="n">
        <x:f>'参数'!$B$9</x:f>
        <x:v>300</x:v>
      </x:c>
      <x:c r="K1640" s="26" t="n">
        <x:f>J1640*(G1640-H1640)-I1640*ROUNDUP(J1640/F1640,0)</x:f>
        <x:v>-195457.5765698332</x:v>
      </x:c>
      <x:c r="L1640" s="10" t="str">
        <x:f>IF(G1640-H1640&lt;=0,"未回本",IF(ROUNDUP(I1640/(G1640-H1640),0)&gt;MIN(F1640,J1640),"未回本",MAX(1,ROUNDUP(I1640/(G1640-H1640),0))))</x:f>
        <x:v>未回本</x:v>
      </x:c>
    </x:row>
    <x:row r="1641" ht="22" customHeight="1">
      <x:c r="A1641" s="11" t="str">
        <x:v>lade_0827_20aoi</x:v>
      </x:c>
      <x:c r="B1641" s="10" t="n">
        <x:v>20</x:v>
      </x:c>
      <x:c r="C1641" s="10" t="n">
        <x:v>43</x:v>
      </x:c>
      <x:c r="D1641" s="10" t="str">
        <x:v>M2 / M4</x:v>
      </x:c>
      <x:c r="E1641" s="16" t="n">
        <x:v>5</x:v>
      </x:c>
      <x:c r="F1641" s="14" t="n">
        <x:v>20</x:v>
      </x:c>
      <x:c r="G1641" s="26" t="n">
        <x:f>'成本明细'!U244+'成本明细'!G244*(E1641-'参数'!$B$6)</x:f>
        <x:v>2775.1253427894444</x:v>
      </x:c>
      <x:c r="H1641" s="26" t="n">
        <x:f>'成本明细'!U250</x:f>
        <x:v>3841.380912773333</x:v>
      </x:c>
      <x:c r="I1641" s="26" t="n">
        <x:f>'成本明细'!V250</x:f>
        <x:v>6825.5</x:v>
      </x:c>
      <x:c r="J1641" s="22" t="n">
        <x:f>'参数'!$B$9</x:f>
        <x:v>300</x:v>
      </x:c>
      <x:c r="K1641" s="26" t="n">
        <x:f>J1641*(G1641-H1641)-I1641*ROUNDUP(J1641/F1641,0)</x:f>
        <x:v>-422259.1709951666</x:v>
      </x:c>
      <x:c r="L1641" s="10" t="str">
        <x:f>IF(G1641-H1641&lt;=0,"未回本",IF(ROUNDUP(I1641/(G1641-H1641),0)&gt;MIN(F1641,J1641),"未回本",MAX(1,ROUNDUP(I1641/(G1641-H1641),0))))</x:f>
        <x:v>未回本</x:v>
      </x:c>
    </x:row>
    <x:row r="1642" ht="22" customHeight="1">
      <x:c r="A1642" s="11" t="str">
        <x:v>lade_0827_20aoi</x:v>
      </x:c>
      <x:c r="B1642" s="10" t="n">
        <x:v>20</x:v>
      </x:c>
      <x:c r="C1642" s="10" t="n">
        <x:v>43</x:v>
      </x:c>
      <x:c r="D1642" s="10" t="str">
        <x:v>M1 / M3</x:v>
      </x:c>
      <x:c r="E1642" s="16" t="n">
        <x:v>5</x:v>
      </x:c>
      <x:c r="F1642" s="14" t="n">
        <x:v>30</x:v>
      </x:c>
      <x:c r="G1642" s="26" t="n">
        <x:f>'成本明细'!U241+'成本明细'!G241*(E1642-'参数'!$B$6)</x:f>
        <x:v>3530.5936147722223</x:v>
      </x:c>
      <x:c r="H1642" s="26" t="n">
        <x:f>'成本明细'!U247</x:f>
        <x:v>3840.8438700049996</x:v>
      </x:c>
      <x:c r="I1642" s="26" t="n">
        <x:f>'成本明细'!V247</x:f>
        <x:v>6825.5</x:v>
      </x:c>
      <x:c r="J1642" s="22" t="n">
        <x:f>'参数'!$B$9</x:f>
        <x:v>300</x:v>
      </x:c>
      <x:c r="K1642" s="26" t="n">
        <x:f>J1642*(G1642-H1642)-I1642*ROUNDUP(J1642/F1642,0)</x:f>
        <x:v>-161330.0765698332</x:v>
      </x:c>
      <x:c r="L1642" s="10" t="str">
        <x:f>IF(G1642-H1642&lt;=0,"未回本",IF(ROUNDUP(I1642/(G1642-H1642),0)&gt;MIN(F1642,J1642),"未回本",MAX(1,ROUNDUP(I1642/(G1642-H1642),0))))</x:f>
        <x:v>未回本</x:v>
      </x:c>
    </x:row>
    <x:row r="1643" ht="22" customHeight="1">
      <x:c r="A1643" s="11" t="str">
        <x:v>lade_0827_20aoi</x:v>
      </x:c>
      <x:c r="B1643" s="10" t="n">
        <x:v>20</x:v>
      </x:c>
      <x:c r="C1643" s="10" t="n">
        <x:v>43</x:v>
      </x:c>
      <x:c r="D1643" s="10" t="str">
        <x:v>M2 / M4</x:v>
      </x:c>
      <x:c r="E1643" s="16" t="n">
        <x:v>5</x:v>
      </x:c>
      <x:c r="F1643" s="14" t="n">
        <x:v>30</x:v>
      </x:c>
      <x:c r="G1643" s="26" t="n">
        <x:f>'成本明细'!U244+'成本明细'!G244*(E1643-'参数'!$B$6)</x:f>
        <x:v>2775.1253427894444</x:v>
      </x:c>
      <x:c r="H1643" s="26" t="n">
        <x:f>'成本明细'!U250</x:f>
        <x:v>3841.380912773333</x:v>
      </x:c>
      <x:c r="I1643" s="26" t="n">
        <x:f>'成本明细'!V250</x:f>
        <x:v>6825.5</x:v>
      </x:c>
      <x:c r="J1643" s="22" t="n">
        <x:f>'参数'!$B$9</x:f>
        <x:v>300</x:v>
      </x:c>
      <x:c r="K1643" s="26" t="n">
        <x:f>J1643*(G1643-H1643)-I1643*ROUNDUP(J1643/F1643,0)</x:f>
        <x:v>-388131.6709951666</x:v>
      </x:c>
      <x:c r="L1643" s="10" t="str">
        <x:f>IF(G1643-H1643&lt;=0,"未回本",IF(ROUNDUP(I1643/(G1643-H1643),0)&gt;MIN(F1643,J1643),"未回本",MAX(1,ROUNDUP(I1643/(G1643-H1643),0))))</x:f>
        <x:v>未回本</x:v>
      </x:c>
    </x:row>
    <x:row r="1644" ht="22" customHeight="1">
      <x:c r="A1644" s="11" t="str">
        <x:v>lade_0827_20aoi</x:v>
      </x:c>
      <x:c r="B1644" s="10" t="n">
        <x:v>20</x:v>
      </x:c>
      <x:c r="C1644" s="10" t="n">
        <x:v>43</x:v>
      </x:c>
      <x:c r="D1644" s="10" t="str">
        <x:v>M1 / M3</x:v>
      </x:c>
      <x:c r="E1644" s="16" t="n">
        <x:v>5</x:v>
      </x:c>
      <x:c r="F1644" s="14" t="n">
        <x:v>50</x:v>
      </x:c>
      <x:c r="G1644" s="26" t="n">
        <x:f>'成本明细'!U241+'成本明细'!G241*(E1644-'参数'!$B$6)</x:f>
        <x:v>3530.5936147722223</x:v>
      </x:c>
      <x:c r="H1644" s="26" t="n">
        <x:f>'成本明细'!U247</x:f>
        <x:v>3840.8438700049996</x:v>
      </x:c>
      <x:c r="I1644" s="26" t="n">
        <x:f>'成本明细'!V247</x:f>
        <x:v>6825.5</x:v>
      </x:c>
      <x:c r="J1644" s="22" t="n">
        <x:f>'参数'!$B$9</x:f>
        <x:v>300</x:v>
      </x:c>
      <x:c r="K1644" s="26" t="n">
        <x:f>J1644*(G1644-H1644)-I1644*ROUNDUP(J1644/F1644,0)</x:f>
        <x:v>-134028.0765698332</x:v>
      </x:c>
      <x:c r="L1644" s="10" t="str">
        <x:f>IF(G1644-H1644&lt;=0,"未回本",IF(ROUNDUP(I1644/(G1644-H1644),0)&gt;MIN(F1644,J1644),"未回本",MAX(1,ROUNDUP(I1644/(G1644-H1644),0))))</x:f>
        <x:v>未回本</x:v>
      </x:c>
    </x:row>
    <x:row r="1645" ht="22" customHeight="1">
      <x:c r="A1645" s="11" t="str">
        <x:v>lade_0827_20aoi</x:v>
      </x:c>
      <x:c r="B1645" s="10" t="n">
        <x:v>20</x:v>
      </x:c>
      <x:c r="C1645" s="10" t="n">
        <x:v>43</x:v>
      </x:c>
      <x:c r="D1645" s="10" t="str">
        <x:v>M2 / M4</x:v>
      </x:c>
      <x:c r="E1645" s="16" t="n">
        <x:v>5</x:v>
      </x:c>
      <x:c r="F1645" s="14" t="n">
        <x:v>50</x:v>
      </x:c>
      <x:c r="G1645" s="26" t="n">
        <x:f>'成本明细'!U244+'成本明细'!G244*(E1645-'参数'!$B$6)</x:f>
        <x:v>2775.1253427894444</x:v>
      </x:c>
      <x:c r="H1645" s="26" t="n">
        <x:f>'成本明细'!U250</x:f>
        <x:v>3841.380912773333</x:v>
      </x:c>
      <x:c r="I1645" s="26" t="n">
        <x:f>'成本明细'!V250</x:f>
        <x:v>6825.5</x:v>
      </x:c>
      <x:c r="J1645" s="22" t="n">
        <x:f>'参数'!$B$9</x:f>
        <x:v>300</x:v>
      </x:c>
      <x:c r="K1645" s="26" t="n">
        <x:f>J1645*(G1645-H1645)-I1645*ROUNDUP(J1645/F1645,0)</x:f>
        <x:v>-360829.6709951666</x:v>
      </x:c>
      <x:c r="L1645" s="10" t="str">
        <x:f>IF(G1645-H1645&lt;=0,"未回本",IF(ROUNDUP(I1645/(G1645-H1645),0)&gt;MIN(F1645,J1645),"未回本",MAX(1,ROUNDUP(I1645/(G1645-H1645),0))))</x:f>
        <x:v>未回本</x:v>
      </x:c>
    </x:row>
    <x:row r="1646" ht="22" customHeight="1">
      <x:c r="A1646" s="11" t="str">
        <x:v>lade_0827_20aoi</x:v>
      </x:c>
      <x:c r="B1646" s="10" t="n">
        <x:v>20</x:v>
      </x:c>
      <x:c r="C1646" s="10" t="n">
        <x:v>44</x:v>
      </x:c>
      <x:c r="D1646" s="10" t="str">
        <x:v>M1 / M3</x:v>
      </x:c>
      <x:c r="E1646" s="16" t="n">
        <x:v>1</x:v>
      </x:c>
      <x:c r="F1646" s="14" t="n">
        <x:v>10</x:v>
      </x:c>
      <x:c r="G1646" s="26" t="n">
        <x:f>'成本明细'!U242+'成本明细'!G242*(E1646-'参数'!$B$6)</x:f>
        <x:v>2782.5936147722223</x:v>
      </x:c>
      <x:c r="H1646" s="26" t="n">
        <x:f>'成本明细'!U248</x:f>
        <x:v>3840.8438700049996</x:v>
      </x:c>
      <x:c r="I1646" s="26" t="n">
        <x:f>'成本明细'!V248</x:f>
        <x:v>6825.5</x:v>
      </x:c>
      <x:c r="J1646" s="22" t="n">
        <x:f>'参数'!$B$9</x:f>
        <x:v>300</x:v>
      </x:c>
      <x:c r="K1646" s="26" t="n">
        <x:f>J1646*(G1646-H1646)-I1646*ROUNDUP(J1646/F1646,0)</x:f>
        <x:v>-522240.0765698332</x:v>
      </x:c>
      <x:c r="L1646" s="10" t="str">
        <x:f>IF(G1646-H1646&lt;=0,"未回本",IF(ROUNDUP(I1646/(G1646-H1646),0)&gt;MIN(F1646,J1646),"未回本",MAX(1,ROUNDUP(I1646/(G1646-H1646),0))))</x:f>
        <x:v>未回本</x:v>
      </x:c>
    </x:row>
    <x:row r="1647" ht="22" customHeight="1">
      <x:c r="A1647" s="11" t="str">
        <x:v>lade_0827_20aoi</x:v>
      </x:c>
      <x:c r="B1647" s="10" t="n">
        <x:v>20</x:v>
      </x:c>
      <x:c r="C1647" s="10" t="n">
        <x:v>44</x:v>
      </x:c>
      <x:c r="D1647" s="10" t="str">
        <x:v>M2 / M4</x:v>
      </x:c>
      <x:c r="E1647" s="16" t="n">
        <x:v>1</x:v>
      </x:c>
      <x:c r="F1647" s="14" t="n">
        <x:v>10</x:v>
      </x:c>
      <x:c r="G1647" s="26" t="n">
        <x:f>'成本明细'!U245+'成本明细'!G245*(E1647-'参数'!$B$6)</x:f>
        <x:v>2027.1253427894444</x:v>
      </x:c>
      <x:c r="H1647" s="26" t="n">
        <x:f>'成本明细'!U251</x:f>
        <x:v>4765.639027176111</x:v>
      </x:c>
      <x:c r="I1647" s="26" t="n">
        <x:f>'成本明细'!V251</x:f>
        <x:v>6825.5</x:v>
      </x:c>
      <x:c r="J1647" s="22" t="n">
        <x:f>'参数'!$B$9</x:f>
        <x:v>300</x:v>
      </x:c>
      <x:c r="K1647" s="26" t="n">
        <x:f>J1647*(G1647-H1647)-I1647*ROUNDUP(J1647/F1647,0)</x:f>
        <x:v>-1026319.1053160001</x:v>
      </x:c>
      <x:c r="L1647" s="10" t="str">
        <x:f>IF(G1647-H1647&lt;=0,"未回本",IF(ROUNDUP(I1647/(G1647-H1647),0)&gt;MIN(F1647,J1647),"未回本",MAX(1,ROUNDUP(I1647/(G1647-H1647),0))))</x:f>
        <x:v>未回本</x:v>
      </x:c>
    </x:row>
    <x:row r="1648" ht="22" customHeight="1">
      <x:c r="A1648" s="11" t="str">
        <x:v>lade_0827_20aoi</x:v>
      </x:c>
      <x:c r="B1648" s="10" t="n">
        <x:v>20</x:v>
      </x:c>
      <x:c r="C1648" s="10" t="n">
        <x:v>44</x:v>
      </x:c>
      <x:c r="D1648" s="10" t="str">
        <x:v>M1 / M3</x:v>
      </x:c>
      <x:c r="E1648" s="16" t="n">
        <x:v>1</x:v>
      </x:c>
      <x:c r="F1648" s="14" t="n">
        <x:v>20</x:v>
      </x:c>
      <x:c r="G1648" s="26" t="n">
        <x:f>'成本明细'!U242+'成本明细'!G242*(E1648-'参数'!$B$6)</x:f>
        <x:v>2782.5936147722223</x:v>
      </x:c>
      <x:c r="H1648" s="26" t="n">
        <x:f>'成本明细'!U248</x:f>
        <x:v>3840.8438700049996</x:v>
      </x:c>
      <x:c r="I1648" s="26" t="n">
        <x:f>'成本明细'!V248</x:f>
        <x:v>6825.5</x:v>
      </x:c>
      <x:c r="J1648" s="22" t="n">
        <x:f>'参数'!$B$9</x:f>
        <x:v>300</x:v>
      </x:c>
      <x:c r="K1648" s="26" t="n">
        <x:f>J1648*(G1648-H1648)-I1648*ROUNDUP(J1648/F1648,0)</x:f>
        <x:v>-419857.5765698332</x:v>
      </x:c>
      <x:c r="L1648" s="10" t="str">
        <x:f>IF(G1648-H1648&lt;=0,"未回本",IF(ROUNDUP(I1648/(G1648-H1648),0)&gt;MIN(F1648,J1648),"未回本",MAX(1,ROUNDUP(I1648/(G1648-H1648),0))))</x:f>
        <x:v>未回本</x:v>
      </x:c>
    </x:row>
    <x:row r="1649" ht="22" customHeight="1">
      <x:c r="A1649" s="11" t="str">
        <x:v>lade_0827_20aoi</x:v>
      </x:c>
      <x:c r="B1649" s="10" t="n">
        <x:v>20</x:v>
      </x:c>
      <x:c r="C1649" s="10" t="n">
        <x:v>44</x:v>
      </x:c>
      <x:c r="D1649" s="10" t="str">
        <x:v>M2 / M4</x:v>
      </x:c>
      <x:c r="E1649" s="16" t="n">
        <x:v>1</x:v>
      </x:c>
      <x:c r="F1649" s="14" t="n">
        <x:v>20</x:v>
      </x:c>
      <x:c r="G1649" s="26" t="n">
        <x:f>'成本明细'!U245+'成本明细'!G245*(E1649-'参数'!$B$6)</x:f>
        <x:v>2027.1253427894444</x:v>
      </x:c>
      <x:c r="H1649" s="26" t="n">
        <x:f>'成本明细'!U251</x:f>
        <x:v>4765.639027176111</x:v>
      </x:c>
      <x:c r="I1649" s="26" t="n">
        <x:f>'成本明细'!V251</x:f>
        <x:v>6825.5</x:v>
      </x:c>
      <x:c r="J1649" s="22" t="n">
        <x:f>'参数'!$B$9</x:f>
        <x:v>300</x:v>
      </x:c>
      <x:c r="K1649" s="26" t="n">
        <x:f>J1649*(G1649-H1649)-I1649*ROUNDUP(J1649/F1649,0)</x:f>
        <x:v>-923936.6053160001</x:v>
      </x:c>
      <x:c r="L1649" s="10" t="str">
        <x:f>IF(G1649-H1649&lt;=0,"未回本",IF(ROUNDUP(I1649/(G1649-H1649),0)&gt;MIN(F1649,J1649),"未回本",MAX(1,ROUNDUP(I1649/(G1649-H1649),0))))</x:f>
        <x:v>未回本</x:v>
      </x:c>
    </x:row>
    <x:row r="1650" ht="22" customHeight="1">
      <x:c r="A1650" s="11" t="str">
        <x:v>lade_0827_20aoi</x:v>
      </x:c>
      <x:c r="B1650" s="10" t="n">
        <x:v>20</x:v>
      </x:c>
      <x:c r="C1650" s="10" t="n">
        <x:v>44</x:v>
      </x:c>
      <x:c r="D1650" s="10" t="str">
        <x:v>M1 / M3</x:v>
      </x:c>
      <x:c r="E1650" s="16" t="n">
        <x:v>1</x:v>
      </x:c>
      <x:c r="F1650" s="14" t="n">
        <x:v>30</x:v>
      </x:c>
      <x:c r="G1650" s="26" t="n">
        <x:f>'成本明细'!U242+'成本明细'!G242*(E1650-'参数'!$B$6)</x:f>
        <x:v>2782.5936147722223</x:v>
      </x:c>
      <x:c r="H1650" s="26" t="n">
        <x:f>'成本明细'!U248</x:f>
        <x:v>3840.8438700049996</x:v>
      </x:c>
      <x:c r="I1650" s="26" t="n">
        <x:f>'成本明细'!V248</x:f>
        <x:v>6825.5</x:v>
      </x:c>
      <x:c r="J1650" s="22" t="n">
        <x:f>'参数'!$B$9</x:f>
        <x:v>300</x:v>
      </x:c>
      <x:c r="K1650" s="26" t="n">
        <x:f>J1650*(G1650-H1650)-I1650*ROUNDUP(J1650/F1650,0)</x:f>
        <x:v>-385730.0765698332</x:v>
      </x:c>
      <x:c r="L1650" s="10" t="str">
        <x:f>IF(G1650-H1650&lt;=0,"未回本",IF(ROUNDUP(I1650/(G1650-H1650),0)&gt;MIN(F1650,J1650),"未回本",MAX(1,ROUNDUP(I1650/(G1650-H1650),0))))</x:f>
        <x:v>未回本</x:v>
      </x:c>
    </x:row>
    <x:row r="1651" ht="22" customHeight="1">
      <x:c r="A1651" s="11" t="str">
        <x:v>lade_0827_20aoi</x:v>
      </x:c>
      <x:c r="B1651" s="10" t="n">
        <x:v>20</x:v>
      </x:c>
      <x:c r="C1651" s="10" t="n">
        <x:v>44</x:v>
      </x:c>
      <x:c r="D1651" s="10" t="str">
        <x:v>M2 / M4</x:v>
      </x:c>
      <x:c r="E1651" s="16" t="n">
        <x:v>1</x:v>
      </x:c>
      <x:c r="F1651" s="14" t="n">
        <x:v>30</x:v>
      </x:c>
      <x:c r="G1651" s="26" t="n">
        <x:f>'成本明细'!U245+'成本明细'!G245*(E1651-'参数'!$B$6)</x:f>
        <x:v>2027.1253427894444</x:v>
      </x:c>
      <x:c r="H1651" s="26" t="n">
        <x:f>'成本明细'!U251</x:f>
        <x:v>4765.639027176111</x:v>
      </x:c>
      <x:c r="I1651" s="26" t="n">
        <x:f>'成本明细'!V251</x:f>
        <x:v>6825.5</x:v>
      </x:c>
      <x:c r="J1651" s="22" t="n">
        <x:f>'参数'!$B$9</x:f>
        <x:v>300</x:v>
      </x:c>
      <x:c r="K1651" s="26" t="n">
        <x:f>J1651*(G1651-H1651)-I1651*ROUNDUP(J1651/F1651,0)</x:f>
        <x:v>-889809.1053160001</x:v>
      </x:c>
      <x:c r="L1651" s="10" t="str">
        <x:f>IF(G1651-H1651&lt;=0,"未回本",IF(ROUNDUP(I1651/(G1651-H1651),0)&gt;MIN(F1651,J1651),"未回本",MAX(1,ROUNDUP(I1651/(G1651-H1651),0))))</x:f>
        <x:v>未回本</x:v>
      </x:c>
    </x:row>
    <x:row r="1652" ht="22" customHeight="1">
      <x:c r="A1652" s="11" t="str">
        <x:v>lade_0827_20aoi</x:v>
      </x:c>
      <x:c r="B1652" s="10" t="n">
        <x:v>20</x:v>
      </x:c>
      <x:c r="C1652" s="10" t="n">
        <x:v>44</x:v>
      </x:c>
      <x:c r="D1652" s="10" t="str">
        <x:v>M1 / M3</x:v>
      </x:c>
      <x:c r="E1652" s="16" t="n">
        <x:v>1</x:v>
      </x:c>
      <x:c r="F1652" s="14" t="n">
        <x:v>50</x:v>
      </x:c>
      <x:c r="G1652" s="26" t="n">
        <x:f>'成本明细'!U242+'成本明细'!G242*(E1652-'参数'!$B$6)</x:f>
        <x:v>2782.5936147722223</x:v>
      </x:c>
      <x:c r="H1652" s="26" t="n">
        <x:f>'成本明细'!U248</x:f>
        <x:v>3840.8438700049996</x:v>
      </x:c>
      <x:c r="I1652" s="26" t="n">
        <x:f>'成本明细'!V248</x:f>
        <x:v>6825.5</x:v>
      </x:c>
      <x:c r="J1652" s="22" t="n">
        <x:f>'参数'!$B$9</x:f>
        <x:v>300</x:v>
      </x:c>
      <x:c r="K1652" s="26" t="n">
        <x:f>J1652*(G1652-H1652)-I1652*ROUNDUP(J1652/F1652,0)</x:f>
        <x:v>-358428.0765698332</x:v>
      </x:c>
      <x:c r="L1652" s="10" t="str">
        <x:f>IF(G1652-H1652&lt;=0,"未回本",IF(ROUNDUP(I1652/(G1652-H1652),0)&gt;MIN(F1652,J1652),"未回本",MAX(1,ROUNDUP(I1652/(G1652-H1652),0))))</x:f>
        <x:v>未回本</x:v>
      </x:c>
    </x:row>
    <x:row r="1653" ht="22" customHeight="1">
      <x:c r="A1653" s="11" t="str">
        <x:v>lade_0827_20aoi</x:v>
      </x:c>
      <x:c r="B1653" s="10" t="n">
        <x:v>20</x:v>
      </x:c>
      <x:c r="C1653" s="10" t="n">
        <x:v>44</x:v>
      </x:c>
      <x:c r="D1653" s="10" t="str">
        <x:v>M2 / M4</x:v>
      </x:c>
      <x:c r="E1653" s="16" t="n">
        <x:v>1</x:v>
      </x:c>
      <x:c r="F1653" s="14" t="n">
        <x:v>50</x:v>
      </x:c>
      <x:c r="G1653" s="26" t="n">
        <x:f>'成本明细'!U245+'成本明细'!G245*(E1653-'参数'!$B$6)</x:f>
        <x:v>2027.1253427894444</x:v>
      </x:c>
      <x:c r="H1653" s="26" t="n">
        <x:f>'成本明细'!U251</x:f>
        <x:v>4765.639027176111</x:v>
      </x:c>
      <x:c r="I1653" s="26" t="n">
        <x:f>'成本明细'!V251</x:f>
        <x:v>6825.5</x:v>
      </x:c>
      <x:c r="J1653" s="22" t="n">
        <x:f>'参数'!$B$9</x:f>
        <x:v>300</x:v>
      </x:c>
      <x:c r="K1653" s="26" t="n">
        <x:f>J1653*(G1653-H1653)-I1653*ROUNDUP(J1653/F1653,0)</x:f>
        <x:v>-862507.1053160001</x:v>
      </x:c>
      <x:c r="L1653" s="10" t="str">
        <x:f>IF(G1653-H1653&lt;=0,"未回本",IF(ROUNDUP(I1653/(G1653-H1653),0)&gt;MIN(F1653,J1653),"未回本",MAX(1,ROUNDUP(I1653/(G1653-H1653),0))))</x:f>
        <x:v>未回本</x:v>
      </x:c>
    </x:row>
    <x:row r="1654" ht="22" customHeight="1">
      <x:c r="A1654" s="11" t="str">
        <x:v>lade_0827_20aoi</x:v>
      </x:c>
      <x:c r="B1654" s="10" t="n">
        <x:v>20</x:v>
      </x:c>
      <x:c r="C1654" s="10" t="n">
        <x:v>44</x:v>
      </x:c>
      <x:c r="D1654" s="10" t="str">
        <x:v>M1 / M3</x:v>
      </x:c>
      <x:c r="E1654" s="16" t="n">
        <x:v>2</x:v>
      </x:c>
      <x:c r="F1654" s="14" t="n">
        <x:v>10</x:v>
      </x:c>
      <x:c r="G1654" s="26" t="n">
        <x:f>'成本明细'!U242+'成本明细'!G242*(E1654-'参数'!$B$6)</x:f>
        <x:v>2969.5936147722223</x:v>
      </x:c>
      <x:c r="H1654" s="26" t="n">
        <x:f>'成本明细'!U248</x:f>
        <x:v>3840.8438700049996</x:v>
      </x:c>
      <x:c r="I1654" s="26" t="n">
        <x:f>'成本明细'!V248</x:f>
        <x:v>6825.5</x:v>
      </x:c>
      <x:c r="J1654" s="22" t="n">
        <x:f>'参数'!$B$9</x:f>
        <x:v>300</x:v>
      </x:c>
      <x:c r="K1654" s="26" t="n">
        <x:f>J1654*(G1654-H1654)-I1654*ROUNDUP(J1654/F1654,0)</x:f>
        <x:v>-466140.0765698332</x:v>
      </x:c>
      <x:c r="L1654" s="10" t="str">
        <x:f>IF(G1654-H1654&lt;=0,"未回本",IF(ROUNDUP(I1654/(G1654-H1654),0)&gt;MIN(F1654,J1654),"未回本",MAX(1,ROUNDUP(I1654/(G1654-H1654),0))))</x:f>
        <x:v>未回本</x:v>
      </x:c>
    </x:row>
    <x:row r="1655" ht="22" customHeight="1">
      <x:c r="A1655" s="11" t="str">
        <x:v>lade_0827_20aoi</x:v>
      </x:c>
      <x:c r="B1655" s="10" t="n">
        <x:v>20</x:v>
      </x:c>
      <x:c r="C1655" s="10" t="n">
        <x:v>44</x:v>
      </x:c>
      <x:c r="D1655" s="10" t="str">
        <x:v>M2 / M4</x:v>
      </x:c>
      <x:c r="E1655" s="16" t="n">
        <x:v>2</x:v>
      </x:c>
      <x:c r="F1655" s="14" t="n">
        <x:v>10</x:v>
      </x:c>
      <x:c r="G1655" s="26" t="n">
        <x:f>'成本明细'!U245+'成本明细'!G245*(E1655-'参数'!$B$6)</x:f>
        <x:v>2214.1253427894444</x:v>
      </x:c>
      <x:c r="H1655" s="26" t="n">
        <x:f>'成本明细'!U251</x:f>
        <x:v>4765.639027176111</x:v>
      </x:c>
      <x:c r="I1655" s="26" t="n">
        <x:f>'成本明细'!V251</x:f>
        <x:v>6825.5</x:v>
      </x:c>
      <x:c r="J1655" s="22" t="n">
        <x:f>'参数'!$B$9</x:f>
        <x:v>300</x:v>
      </x:c>
      <x:c r="K1655" s="26" t="n">
        <x:f>J1655*(G1655-H1655)-I1655*ROUNDUP(J1655/F1655,0)</x:f>
        <x:v>-970219.1053160001</x:v>
      </x:c>
      <x:c r="L1655" s="10" t="str">
        <x:f>IF(G1655-H1655&lt;=0,"未回本",IF(ROUNDUP(I1655/(G1655-H1655),0)&gt;MIN(F1655,J1655),"未回本",MAX(1,ROUNDUP(I1655/(G1655-H1655),0))))</x:f>
        <x:v>未回本</x:v>
      </x:c>
    </x:row>
    <x:row r="1656" ht="22" customHeight="1">
      <x:c r="A1656" s="11" t="str">
        <x:v>lade_0827_20aoi</x:v>
      </x:c>
      <x:c r="B1656" s="10" t="n">
        <x:v>20</x:v>
      </x:c>
      <x:c r="C1656" s="10" t="n">
        <x:v>44</x:v>
      </x:c>
      <x:c r="D1656" s="10" t="str">
        <x:v>M1 / M3</x:v>
      </x:c>
      <x:c r="E1656" s="16" t="n">
        <x:v>2</x:v>
      </x:c>
      <x:c r="F1656" s="14" t="n">
        <x:v>20</x:v>
      </x:c>
      <x:c r="G1656" s="26" t="n">
        <x:f>'成本明细'!U242+'成本明细'!G242*(E1656-'参数'!$B$6)</x:f>
        <x:v>2969.5936147722223</x:v>
      </x:c>
      <x:c r="H1656" s="26" t="n">
        <x:f>'成本明细'!U248</x:f>
        <x:v>3840.8438700049996</x:v>
      </x:c>
      <x:c r="I1656" s="26" t="n">
        <x:f>'成本明细'!V248</x:f>
        <x:v>6825.5</x:v>
      </x:c>
      <x:c r="J1656" s="22" t="n">
        <x:f>'参数'!$B$9</x:f>
        <x:v>300</x:v>
      </x:c>
      <x:c r="K1656" s="26" t="n">
        <x:f>J1656*(G1656-H1656)-I1656*ROUNDUP(J1656/F1656,0)</x:f>
        <x:v>-363757.5765698332</x:v>
      </x:c>
      <x:c r="L1656" s="10" t="str">
        <x:f>IF(G1656-H1656&lt;=0,"未回本",IF(ROUNDUP(I1656/(G1656-H1656),0)&gt;MIN(F1656,J1656),"未回本",MAX(1,ROUNDUP(I1656/(G1656-H1656),0))))</x:f>
        <x:v>未回本</x:v>
      </x:c>
    </x:row>
    <x:row r="1657" ht="22" customHeight="1">
      <x:c r="A1657" s="11" t="str">
        <x:v>lade_0827_20aoi</x:v>
      </x:c>
      <x:c r="B1657" s="10" t="n">
        <x:v>20</x:v>
      </x:c>
      <x:c r="C1657" s="10" t="n">
        <x:v>44</x:v>
      </x:c>
      <x:c r="D1657" s="10" t="str">
        <x:v>M2 / M4</x:v>
      </x:c>
      <x:c r="E1657" s="16" t="n">
        <x:v>2</x:v>
      </x:c>
      <x:c r="F1657" s="14" t="n">
        <x:v>20</x:v>
      </x:c>
      <x:c r="G1657" s="26" t="n">
        <x:f>'成本明细'!U245+'成本明细'!G245*(E1657-'参数'!$B$6)</x:f>
        <x:v>2214.1253427894444</x:v>
      </x:c>
      <x:c r="H1657" s="26" t="n">
        <x:f>'成本明细'!U251</x:f>
        <x:v>4765.639027176111</x:v>
      </x:c>
      <x:c r="I1657" s="26" t="n">
        <x:f>'成本明细'!V251</x:f>
        <x:v>6825.5</x:v>
      </x:c>
      <x:c r="J1657" s="22" t="n">
        <x:f>'参数'!$B$9</x:f>
        <x:v>300</x:v>
      </x:c>
      <x:c r="K1657" s="26" t="n">
        <x:f>J1657*(G1657-H1657)-I1657*ROUNDUP(J1657/F1657,0)</x:f>
        <x:v>-867836.6053160001</x:v>
      </x:c>
      <x:c r="L1657" s="10" t="str">
        <x:f>IF(G1657-H1657&lt;=0,"未回本",IF(ROUNDUP(I1657/(G1657-H1657),0)&gt;MIN(F1657,J1657),"未回本",MAX(1,ROUNDUP(I1657/(G1657-H1657),0))))</x:f>
        <x:v>未回本</x:v>
      </x:c>
    </x:row>
    <x:row r="1658" ht="22" customHeight="1">
      <x:c r="A1658" s="11" t="str">
        <x:v>lade_0827_20aoi</x:v>
      </x:c>
      <x:c r="B1658" s="10" t="n">
        <x:v>20</x:v>
      </x:c>
      <x:c r="C1658" s="10" t="n">
        <x:v>44</x:v>
      </x:c>
      <x:c r="D1658" s="10" t="str">
        <x:v>M1 / M3</x:v>
      </x:c>
      <x:c r="E1658" s="16" t="n">
        <x:v>2</x:v>
      </x:c>
      <x:c r="F1658" s="14" t="n">
        <x:v>30</x:v>
      </x:c>
      <x:c r="G1658" s="26" t="n">
        <x:f>'成本明细'!U242+'成本明细'!G242*(E1658-'参数'!$B$6)</x:f>
        <x:v>2969.5936147722223</x:v>
      </x:c>
      <x:c r="H1658" s="26" t="n">
        <x:f>'成本明细'!U248</x:f>
        <x:v>3840.8438700049996</x:v>
      </x:c>
      <x:c r="I1658" s="26" t="n">
        <x:f>'成本明细'!V248</x:f>
        <x:v>6825.5</x:v>
      </x:c>
      <x:c r="J1658" s="22" t="n">
        <x:f>'参数'!$B$9</x:f>
        <x:v>300</x:v>
      </x:c>
      <x:c r="K1658" s="26" t="n">
        <x:f>J1658*(G1658-H1658)-I1658*ROUNDUP(J1658/F1658,0)</x:f>
        <x:v>-329630.0765698332</x:v>
      </x:c>
      <x:c r="L1658" s="10" t="str">
        <x:f>IF(G1658-H1658&lt;=0,"未回本",IF(ROUNDUP(I1658/(G1658-H1658),0)&gt;MIN(F1658,J1658),"未回本",MAX(1,ROUNDUP(I1658/(G1658-H1658),0))))</x:f>
        <x:v>未回本</x:v>
      </x:c>
    </x:row>
    <x:row r="1659" ht="22" customHeight="1">
      <x:c r="A1659" s="11" t="str">
        <x:v>lade_0827_20aoi</x:v>
      </x:c>
      <x:c r="B1659" s="10" t="n">
        <x:v>20</x:v>
      </x:c>
      <x:c r="C1659" s="10" t="n">
        <x:v>44</x:v>
      </x:c>
      <x:c r="D1659" s="10" t="str">
        <x:v>M2 / M4</x:v>
      </x:c>
      <x:c r="E1659" s="16" t="n">
        <x:v>2</x:v>
      </x:c>
      <x:c r="F1659" s="14" t="n">
        <x:v>30</x:v>
      </x:c>
      <x:c r="G1659" s="26" t="n">
        <x:f>'成本明细'!U245+'成本明细'!G245*(E1659-'参数'!$B$6)</x:f>
        <x:v>2214.1253427894444</x:v>
      </x:c>
      <x:c r="H1659" s="26" t="n">
        <x:f>'成本明细'!U251</x:f>
        <x:v>4765.639027176111</x:v>
      </x:c>
      <x:c r="I1659" s="26" t="n">
        <x:f>'成本明细'!V251</x:f>
        <x:v>6825.5</x:v>
      </x:c>
      <x:c r="J1659" s="22" t="n">
        <x:f>'参数'!$B$9</x:f>
        <x:v>300</x:v>
      </x:c>
      <x:c r="K1659" s="26" t="n">
        <x:f>J1659*(G1659-H1659)-I1659*ROUNDUP(J1659/F1659,0)</x:f>
        <x:v>-833709.1053160001</x:v>
      </x:c>
      <x:c r="L1659" s="10" t="str">
        <x:f>IF(G1659-H1659&lt;=0,"未回本",IF(ROUNDUP(I1659/(G1659-H1659),0)&gt;MIN(F1659,J1659),"未回本",MAX(1,ROUNDUP(I1659/(G1659-H1659),0))))</x:f>
        <x:v>未回本</x:v>
      </x:c>
    </x:row>
    <x:row r="1660" ht="22" customHeight="1">
      <x:c r="A1660" s="11" t="str">
        <x:v>lade_0827_20aoi</x:v>
      </x:c>
      <x:c r="B1660" s="10" t="n">
        <x:v>20</x:v>
      </x:c>
      <x:c r="C1660" s="10" t="n">
        <x:v>44</x:v>
      </x:c>
      <x:c r="D1660" s="10" t="str">
        <x:v>M1 / M3</x:v>
      </x:c>
      <x:c r="E1660" s="16" t="n">
        <x:v>2</x:v>
      </x:c>
      <x:c r="F1660" s="14" t="n">
        <x:v>50</x:v>
      </x:c>
      <x:c r="G1660" s="26" t="n">
        <x:f>'成本明细'!U242+'成本明细'!G242*(E1660-'参数'!$B$6)</x:f>
        <x:v>2969.5936147722223</x:v>
      </x:c>
      <x:c r="H1660" s="26" t="n">
        <x:f>'成本明细'!U248</x:f>
        <x:v>3840.8438700049996</x:v>
      </x:c>
      <x:c r="I1660" s="26" t="n">
        <x:f>'成本明细'!V248</x:f>
        <x:v>6825.5</x:v>
      </x:c>
      <x:c r="J1660" s="22" t="n">
        <x:f>'参数'!$B$9</x:f>
        <x:v>300</x:v>
      </x:c>
      <x:c r="K1660" s="26" t="n">
        <x:f>J1660*(G1660-H1660)-I1660*ROUNDUP(J1660/F1660,0)</x:f>
        <x:v>-302328.0765698332</x:v>
      </x:c>
      <x:c r="L1660" s="10" t="str">
        <x:f>IF(G1660-H1660&lt;=0,"未回本",IF(ROUNDUP(I1660/(G1660-H1660),0)&gt;MIN(F1660,J1660),"未回本",MAX(1,ROUNDUP(I1660/(G1660-H1660),0))))</x:f>
        <x:v>未回本</x:v>
      </x:c>
    </x:row>
    <x:row r="1661" ht="22" customHeight="1">
      <x:c r="A1661" s="11" t="str">
        <x:v>lade_0827_20aoi</x:v>
      </x:c>
      <x:c r="B1661" s="10" t="n">
        <x:v>20</x:v>
      </x:c>
      <x:c r="C1661" s="10" t="n">
        <x:v>44</x:v>
      </x:c>
      <x:c r="D1661" s="10" t="str">
        <x:v>M2 / M4</x:v>
      </x:c>
      <x:c r="E1661" s="16" t="n">
        <x:v>2</x:v>
      </x:c>
      <x:c r="F1661" s="14" t="n">
        <x:v>50</x:v>
      </x:c>
      <x:c r="G1661" s="26" t="n">
        <x:f>'成本明细'!U245+'成本明细'!G245*(E1661-'参数'!$B$6)</x:f>
        <x:v>2214.1253427894444</x:v>
      </x:c>
      <x:c r="H1661" s="26" t="n">
        <x:f>'成本明细'!U251</x:f>
        <x:v>4765.639027176111</x:v>
      </x:c>
      <x:c r="I1661" s="26" t="n">
        <x:f>'成本明细'!V251</x:f>
        <x:v>6825.5</x:v>
      </x:c>
      <x:c r="J1661" s="22" t="n">
        <x:f>'参数'!$B$9</x:f>
        <x:v>300</x:v>
      </x:c>
      <x:c r="K1661" s="26" t="n">
        <x:f>J1661*(G1661-H1661)-I1661*ROUNDUP(J1661/F1661,0)</x:f>
        <x:v>-806407.1053160001</x:v>
      </x:c>
      <x:c r="L1661" s="10" t="str">
        <x:f>IF(G1661-H1661&lt;=0,"未回本",IF(ROUNDUP(I1661/(G1661-H1661),0)&gt;MIN(F1661,J1661),"未回本",MAX(1,ROUNDUP(I1661/(G1661-H1661),0))))</x:f>
        <x:v>未回本</x:v>
      </x:c>
    </x:row>
    <x:row r="1662" ht="22" customHeight="1">
      <x:c r="A1662" s="11" t="str">
        <x:v>lade_0827_20aoi</x:v>
      </x:c>
      <x:c r="B1662" s="10" t="n">
        <x:v>20</x:v>
      </x:c>
      <x:c r="C1662" s="10" t="n">
        <x:v>44</x:v>
      </x:c>
      <x:c r="D1662" s="10" t="str">
        <x:v>M1 / M3</x:v>
      </x:c>
      <x:c r="E1662" s="16" t="n">
        <x:v>3</x:v>
      </x:c>
      <x:c r="F1662" s="14" t="n">
        <x:v>10</x:v>
      </x:c>
      <x:c r="G1662" s="26" t="n">
        <x:f>'成本明细'!U242+'成本明细'!G242*(E1662-'参数'!$B$6)</x:f>
        <x:v>3156.5936147722223</x:v>
      </x:c>
      <x:c r="H1662" s="26" t="n">
        <x:f>'成本明细'!U248</x:f>
        <x:v>3840.8438700049996</x:v>
      </x:c>
      <x:c r="I1662" s="26" t="n">
        <x:f>'成本明细'!V248</x:f>
        <x:v>6825.5</x:v>
      </x:c>
      <x:c r="J1662" s="22" t="n">
        <x:f>'参数'!$B$9</x:f>
        <x:v>300</x:v>
      </x:c>
      <x:c r="K1662" s="26" t="n">
        <x:f>J1662*(G1662-H1662)-I1662*ROUNDUP(J1662/F1662,0)</x:f>
        <x:v>-410040.0765698332</x:v>
      </x:c>
      <x:c r="L1662" s="10" t="str">
        <x:f>IF(G1662-H1662&lt;=0,"未回本",IF(ROUNDUP(I1662/(G1662-H1662),0)&gt;MIN(F1662,J1662),"未回本",MAX(1,ROUNDUP(I1662/(G1662-H1662),0))))</x:f>
        <x:v>未回本</x:v>
      </x:c>
    </x:row>
    <x:row r="1663" ht="22" customHeight="1">
      <x:c r="A1663" s="11" t="str">
        <x:v>lade_0827_20aoi</x:v>
      </x:c>
      <x:c r="B1663" s="10" t="n">
        <x:v>20</x:v>
      </x:c>
      <x:c r="C1663" s="10" t="n">
        <x:v>44</x:v>
      </x:c>
      <x:c r="D1663" s="10" t="str">
        <x:v>M2 / M4</x:v>
      </x:c>
      <x:c r="E1663" s="16" t="n">
        <x:v>3</x:v>
      </x:c>
      <x:c r="F1663" s="14" t="n">
        <x:v>10</x:v>
      </x:c>
      <x:c r="G1663" s="26" t="n">
        <x:f>'成本明细'!U245+'成本明细'!G245*(E1663-'参数'!$B$6)</x:f>
        <x:v>2401.1253427894444</x:v>
      </x:c>
      <x:c r="H1663" s="26" t="n">
        <x:f>'成本明细'!U251</x:f>
        <x:v>4765.639027176111</x:v>
      </x:c>
      <x:c r="I1663" s="26" t="n">
        <x:f>'成本明细'!V251</x:f>
        <x:v>6825.5</x:v>
      </x:c>
      <x:c r="J1663" s="22" t="n">
        <x:f>'参数'!$B$9</x:f>
        <x:v>300</x:v>
      </x:c>
      <x:c r="K1663" s="26" t="n">
        <x:f>J1663*(G1663-H1663)-I1663*ROUNDUP(J1663/F1663,0)</x:f>
        <x:v>-914119.1053160001</x:v>
      </x:c>
      <x:c r="L1663" s="10" t="str">
        <x:f>IF(G1663-H1663&lt;=0,"未回本",IF(ROUNDUP(I1663/(G1663-H1663),0)&gt;MIN(F1663,J1663),"未回本",MAX(1,ROUNDUP(I1663/(G1663-H1663),0))))</x:f>
        <x:v>未回本</x:v>
      </x:c>
    </x:row>
    <x:row r="1664" ht="22" customHeight="1">
      <x:c r="A1664" s="11" t="str">
        <x:v>lade_0827_20aoi</x:v>
      </x:c>
      <x:c r="B1664" s="10" t="n">
        <x:v>20</x:v>
      </x:c>
      <x:c r="C1664" s="10" t="n">
        <x:v>44</x:v>
      </x:c>
      <x:c r="D1664" s="10" t="str">
        <x:v>M1 / M3</x:v>
      </x:c>
      <x:c r="E1664" s="16" t="n">
        <x:v>3</x:v>
      </x:c>
      <x:c r="F1664" s="14" t="n">
        <x:v>20</x:v>
      </x:c>
      <x:c r="G1664" s="26" t="n">
        <x:f>'成本明细'!U242+'成本明细'!G242*(E1664-'参数'!$B$6)</x:f>
        <x:v>3156.5936147722223</x:v>
      </x:c>
      <x:c r="H1664" s="26" t="n">
        <x:f>'成本明细'!U248</x:f>
        <x:v>3840.8438700049996</x:v>
      </x:c>
      <x:c r="I1664" s="26" t="n">
        <x:f>'成本明细'!V248</x:f>
        <x:v>6825.5</x:v>
      </x:c>
      <x:c r="J1664" s="22" t="n">
        <x:f>'参数'!$B$9</x:f>
        <x:v>300</x:v>
      </x:c>
      <x:c r="K1664" s="26" t="n">
        <x:f>J1664*(G1664-H1664)-I1664*ROUNDUP(J1664/F1664,0)</x:f>
        <x:v>-307657.5765698332</x:v>
      </x:c>
      <x:c r="L1664" s="10" t="str">
        <x:f>IF(G1664-H1664&lt;=0,"未回本",IF(ROUNDUP(I1664/(G1664-H1664),0)&gt;MIN(F1664,J1664),"未回本",MAX(1,ROUNDUP(I1664/(G1664-H1664),0))))</x:f>
        <x:v>未回本</x:v>
      </x:c>
    </x:row>
    <x:row r="1665" ht="22" customHeight="1">
      <x:c r="A1665" s="11" t="str">
        <x:v>lade_0827_20aoi</x:v>
      </x:c>
      <x:c r="B1665" s="10" t="n">
        <x:v>20</x:v>
      </x:c>
      <x:c r="C1665" s="10" t="n">
        <x:v>44</x:v>
      </x:c>
      <x:c r="D1665" s="10" t="str">
        <x:v>M2 / M4</x:v>
      </x:c>
      <x:c r="E1665" s="16" t="n">
        <x:v>3</x:v>
      </x:c>
      <x:c r="F1665" s="14" t="n">
        <x:v>20</x:v>
      </x:c>
      <x:c r="G1665" s="26" t="n">
        <x:f>'成本明细'!U245+'成本明细'!G245*(E1665-'参数'!$B$6)</x:f>
        <x:v>2401.1253427894444</x:v>
      </x:c>
      <x:c r="H1665" s="26" t="n">
        <x:f>'成本明细'!U251</x:f>
        <x:v>4765.639027176111</x:v>
      </x:c>
      <x:c r="I1665" s="26" t="n">
        <x:f>'成本明细'!V251</x:f>
        <x:v>6825.5</x:v>
      </x:c>
      <x:c r="J1665" s="22" t="n">
        <x:f>'参数'!$B$9</x:f>
        <x:v>300</x:v>
      </x:c>
      <x:c r="K1665" s="26" t="n">
        <x:f>J1665*(G1665-H1665)-I1665*ROUNDUP(J1665/F1665,0)</x:f>
        <x:v>-811736.6053160001</x:v>
      </x:c>
      <x:c r="L1665" s="10" t="str">
        <x:f>IF(G1665-H1665&lt;=0,"未回本",IF(ROUNDUP(I1665/(G1665-H1665),0)&gt;MIN(F1665,J1665),"未回本",MAX(1,ROUNDUP(I1665/(G1665-H1665),0))))</x:f>
        <x:v>未回本</x:v>
      </x:c>
    </x:row>
    <x:row r="1666" ht="22" customHeight="1">
      <x:c r="A1666" s="11" t="str">
        <x:v>lade_0827_20aoi</x:v>
      </x:c>
      <x:c r="B1666" s="10" t="n">
        <x:v>20</x:v>
      </x:c>
      <x:c r="C1666" s="10" t="n">
        <x:v>44</x:v>
      </x:c>
      <x:c r="D1666" s="10" t="str">
        <x:v>M1 / M3</x:v>
      </x:c>
      <x:c r="E1666" s="16" t="n">
        <x:v>3</x:v>
      </x:c>
      <x:c r="F1666" s="14" t="n">
        <x:v>30</x:v>
      </x:c>
      <x:c r="G1666" s="26" t="n">
        <x:f>'成本明细'!U242+'成本明细'!G242*(E1666-'参数'!$B$6)</x:f>
        <x:v>3156.5936147722223</x:v>
      </x:c>
      <x:c r="H1666" s="26" t="n">
        <x:f>'成本明细'!U248</x:f>
        <x:v>3840.8438700049996</x:v>
      </x:c>
      <x:c r="I1666" s="26" t="n">
        <x:f>'成本明细'!V248</x:f>
        <x:v>6825.5</x:v>
      </x:c>
      <x:c r="J1666" s="22" t="n">
        <x:f>'参数'!$B$9</x:f>
        <x:v>300</x:v>
      </x:c>
      <x:c r="K1666" s="26" t="n">
        <x:f>J1666*(G1666-H1666)-I1666*ROUNDUP(J1666/F1666,0)</x:f>
        <x:v>-273530.0765698332</x:v>
      </x:c>
      <x:c r="L1666" s="10" t="str">
        <x:f>IF(G1666-H1666&lt;=0,"未回本",IF(ROUNDUP(I1666/(G1666-H1666),0)&gt;MIN(F1666,J1666),"未回本",MAX(1,ROUNDUP(I1666/(G1666-H1666),0))))</x:f>
        <x:v>未回本</x:v>
      </x:c>
    </x:row>
    <x:row r="1667" ht="22" customHeight="1">
      <x:c r="A1667" s="11" t="str">
        <x:v>lade_0827_20aoi</x:v>
      </x:c>
      <x:c r="B1667" s="10" t="n">
        <x:v>20</x:v>
      </x:c>
      <x:c r="C1667" s="10" t="n">
        <x:v>44</x:v>
      </x:c>
      <x:c r="D1667" s="10" t="str">
        <x:v>M2 / M4</x:v>
      </x:c>
      <x:c r="E1667" s="16" t="n">
        <x:v>3</x:v>
      </x:c>
      <x:c r="F1667" s="14" t="n">
        <x:v>30</x:v>
      </x:c>
      <x:c r="G1667" s="26" t="n">
        <x:f>'成本明细'!U245+'成本明细'!G245*(E1667-'参数'!$B$6)</x:f>
        <x:v>2401.1253427894444</x:v>
      </x:c>
      <x:c r="H1667" s="26" t="n">
        <x:f>'成本明细'!U251</x:f>
        <x:v>4765.639027176111</x:v>
      </x:c>
      <x:c r="I1667" s="26" t="n">
        <x:f>'成本明细'!V251</x:f>
        <x:v>6825.5</x:v>
      </x:c>
      <x:c r="J1667" s="22" t="n">
        <x:f>'参数'!$B$9</x:f>
        <x:v>300</x:v>
      </x:c>
      <x:c r="K1667" s="26" t="n">
        <x:f>J1667*(G1667-H1667)-I1667*ROUNDUP(J1667/F1667,0)</x:f>
        <x:v>-777609.1053160001</x:v>
      </x:c>
      <x:c r="L1667" s="10" t="str">
        <x:f>IF(G1667-H1667&lt;=0,"未回本",IF(ROUNDUP(I1667/(G1667-H1667),0)&gt;MIN(F1667,J1667),"未回本",MAX(1,ROUNDUP(I1667/(G1667-H1667),0))))</x:f>
        <x:v>未回本</x:v>
      </x:c>
    </x:row>
    <x:row r="1668" ht="22" customHeight="1">
      <x:c r="A1668" s="11" t="str">
        <x:v>lade_0827_20aoi</x:v>
      </x:c>
      <x:c r="B1668" s="10" t="n">
        <x:v>20</x:v>
      </x:c>
      <x:c r="C1668" s="10" t="n">
        <x:v>44</x:v>
      </x:c>
      <x:c r="D1668" s="10" t="str">
        <x:v>M1 / M3</x:v>
      </x:c>
      <x:c r="E1668" s="16" t="n">
        <x:v>3</x:v>
      </x:c>
      <x:c r="F1668" s="14" t="n">
        <x:v>50</x:v>
      </x:c>
      <x:c r="G1668" s="26" t="n">
        <x:f>'成本明细'!U242+'成本明细'!G242*(E1668-'参数'!$B$6)</x:f>
        <x:v>3156.5936147722223</x:v>
      </x:c>
      <x:c r="H1668" s="26" t="n">
        <x:f>'成本明细'!U248</x:f>
        <x:v>3840.8438700049996</x:v>
      </x:c>
      <x:c r="I1668" s="26" t="n">
        <x:f>'成本明细'!V248</x:f>
        <x:v>6825.5</x:v>
      </x:c>
      <x:c r="J1668" s="22" t="n">
        <x:f>'参数'!$B$9</x:f>
        <x:v>300</x:v>
      </x:c>
      <x:c r="K1668" s="26" t="n">
        <x:f>J1668*(G1668-H1668)-I1668*ROUNDUP(J1668/F1668,0)</x:f>
        <x:v>-246228.0765698332</x:v>
      </x:c>
      <x:c r="L1668" s="10" t="str">
        <x:f>IF(G1668-H1668&lt;=0,"未回本",IF(ROUNDUP(I1668/(G1668-H1668),0)&gt;MIN(F1668,J1668),"未回本",MAX(1,ROUNDUP(I1668/(G1668-H1668),0))))</x:f>
        <x:v>未回本</x:v>
      </x:c>
    </x:row>
    <x:row r="1669" ht="22" customHeight="1">
      <x:c r="A1669" s="11" t="str">
        <x:v>lade_0827_20aoi</x:v>
      </x:c>
      <x:c r="B1669" s="10" t="n">
        <x:v>20</x:v>
      </x:c>
      <x:c r="C1669" s="10" t="n">
        <x:v>44</x:v>
      </x:c>
      <x:c r="D1669" s="10" t="str">
        <x:v>M2 / M4</x:v>
      </x:c>
      <x:c r="E1669" s="16" t="n">
        <x:v>3</x:v>
      </x:c>
      <x:c r="F1669" s="14" t="n">
        <x:v>50</x:v>
      </x:c>
      <x:c r="G1669" s="26" t="n">
        <x:f>'成本明细'!U245+'成本明细'!G245*(E1669-'参数'!$B$6)</x:f>
        <x:v>2401.1253427894444</x:v>
      </x:c>
      <x:c r="H1669" s="26" t="n">
        <x:f>'成本明细'!U251</x:f>
        <x:v>4765.639027176111</x:v>
      </x:c>
      <x:c r="I1669" s="26" t="n">
        <x:f>'成本明细'!V251</x:f>
        <x:v>6825.5</x:v>
      </x:c>
      <x:c r="J1669" s="22" t="n">
        <x:f>'参数'!$B$9</x:f>
        <x:v>300</x:v>
      </x:c>
      <x:c r="K1669" s="26" t="n">
        <x:f>J1669*(G1669-H1669)-I1669*ROUNDUP(J1669/F1669,0)</x:f>
        <x:v>-750307.1053160001</x:v>
      </x:c>
      <x:c r="L1669" s="10" t="str">
        <x:f>IF(G1669-H1669&lt;=0,"未回本",IF(ROUNDUP(I1669/(G1669-H1669),0)&gt;MIN(F1669,J1669),"未回本",MAX(1,ROUNDUP(I1669/(G1669-H1669),0))))</x:f>
        <x:v>未回本</x:v>
      </x:c>
    </x:row>
    <x:row r="1670" ht="22" customHeight="1">
      <x:c r="A1670" s="11" t="str">
        <x:v>lade_0827_20aoi</x:v>
      </x:c>
      <x:c r="B1670" s="10" t="n">
        <x:v>20</x:v>
      </x:c>
      <x:c r="C1670" s="10" t="n">
        <x:v>44</x:v>
      </x:c>
      <x:c r="D1670" s="10" t="str">
        <x:v>M1 / M3</x:v>
      </x:c>
      <x:c r="E1670" s="16" t="n">
        <x:v>4</x:v>
      </x:c>
      <x:c r="F1670" s="14" t="n">
        <x:v>10</x:v>
      </x:c>
      <x:c r="G1670" s="26" t="n">
        <x:f>'成本明细'!U242+'成本明细'!G242*(E1670-'参数'!$B$6)</x:f>
        <x:v>3343.5936147722223</x:v>
      </x:c>
      <x:c r="H1670" s="26" t="n">
        <x:f>'成本明细'!U248</x:f>
        <x:v>3840.8438700049996</x:v>
      </x:c>
      <x:c r="I1670" s="26" t="n">
        <x:f>'成本明细'!V248</x:f>
        <x:v>6825.5</x:v>
      </x:c>
      <x:c r="J1670" s="22" t="n">
        <x:f>'参数'!$B$9</x:f>
        <x:v>300</x:v>
      </x:c>
      <x:c r="K1670" s="26" t="n">
        <x:f>J1670*(G1670-H1670)-I1670*ROUNDUP(J1670/F1670,0)</x:f>
        <x:v>-353940.0765698332</x:v>
      </x:c>
      <x:c r="L1670" s="10" t="str">
        <x:f>IF(G1670-H1670&lt;=0,"未回本",IF(ROUNDUP(I1670/(G1670-H1670),0)&gt;MIN(F1670,J1670),"未回本",MAX(1,ROUNDUP(I1670/(G1670-H1670),0))))</x:f>
        <x:v>未回本</x:v>
      </x:c>
    </x:row>
    <x:row r="1671" ht="22" customHeight="1">
      <x:c r="A1671" s="11" t="str">
        <x:v>lade_0827_20aoi</x:v>
      </x:c>
      <x:c r="B1671" s="10" t="n">
        <x:v>20</x:v>
      </x:c>
      <x:c r="C1671" s="10" t="n">
        <x:v>44</x:v>
      </x:c>
      <x:c r="D1671" s="10" t="str">
        <x:v>M2 / M4</x:v>
      </x:c>
      <x:c r="E1671" s="16" t="n">
        <x:v>4</x:v>
      </x:c>
      <x:c r="F1671" s="14" t="n">
        <x:v>10</x:v>
      </x:c>
      <x:c r="G1671" s="26" t="n">
        <x:f>'成本明细'!U245+'成本明细'!G245*(E1671-'参数'!$B$6)</x:f>
        <x:v>2588.1253427894444</x:v>
      </x:c>
      <x:c r="H1671" s="26" t="n">
        <x:f>'成本明细'!U251</x:f>
        <x:v>4765.639027176111</x:v>
      </x:c>
      <x:c r="I1671" s="26" t="n">
        <x:f>'成本明细'!V251</x:f>
        <x:v>6825.5</x:v>
      </x:c>
      <x:c r="J1671" s="22" t="n">
        <x:f>'参数'!$B$9</x:f>
        <x:v>300</x:v>
      </x:c>
      <x:c r="K1671" s="26" t="n">
        <x:f>J1671*(G1671-H1671)-I1671*ROUNDUP(J1671/F1671,0)</x:f>
        <x:v>-858019.1053160001</x:v>
      </x:c>
      <x:c r="L1671" s="10" t="str">
        <x:f>IF(G1671-H1671&lt;=0,"未回本",IF(ROUNDUP(I1671/(G1671-H1671),0)&gt;MIN(F1671,J1671),"未回本",MAX(1,ROUNDUP(I1671/(G1671-H1671),0))))</x:f>
        <x:v>未回本</x:v>
      </x:c>
    </x:row>
    <x:row r="1672" ht="22" customHeight="1">
      <x:c r="A1672" s="11" t="str">
        <x:v>lade_0827_20aoi</x:v>
      </x:c>
      <x:c r="B1672" s="10" t="n">
        <x:v>20</x:v>
      </x:c>
      <x:c r="C1672" s="10" t="n">
        <x:v>44</x:v>
      </x:c>
      <x:c r="D1672" s="10" t="str">
        <x:v>M1 / M3</x:v>
      </x:c>
      <x:c r="E1672" s="16" t="n">
        <x:v>4</x:v>
      </x:c>
      <x:c r="F1672" s="14" t="n">
        <x:v>20</x:v>
      </x:c>
      <x:c r="G1672" s="26" t="n">
        <x:f>'成本明细'!U242+'成本明细'!G242*(E1672-'参数'!$B$6)</x:f>
        <x:v>3343.5936147722223</x:v>
      </x:c>
      <x:c r="H1672" s="26" t="n">
        <x:f>'成本明细'!U248</x:f>
        <x:v>3840.8438700049996</x:v>
      </x:c>
      <x:c r="I1672" s="26" t="n">
        <x:f>'成本明细'!V248</x:f>
        <x:v>6825.5</x:v>
      </x:c>
      <x:c r="J1672" s="22" t="n">
        <x:f>'参数'!$B$9</x:f>
        <x:v>300</x:v>
      </x:c>
      <x:c r="K1672" s="26" t="n">
        <x:f>J1672*(G1672-H1672)-I1672*ROUNDUP(J1672/F1672,0)</x:f>
        <x:v>-251557.5765698332</x:v>
      </x:c>
      <x:c r="L1672" s="10" t="str">
        <x:f>IF(G1672-H1672&lt;=0,"未回本",IF(ROUNDUP(I1672/(G1672-H1672),0)&gt;MIN(F1672,J1672),"未回本",MAX(1,ROUNDUP(I1672/(G1672-H1672),0))))</x:f>
        <x:v>未回本</x:v>
      </x:c>
    </x:row>
    <x:row r="1673" ht="22" customHeight="1">
      <x:c r="A1673" s="11" t="str">
        <x:v>lade_0827_20aoi</x:v>
      </x:c>
      <x:c r="B1673" s="10" t="n">
        <x:v>20</x:v>
      </x:c>
      <x:c r="C1673" s="10" t="n">
        <x:v>44</x:v>
      </x:c>
      <x:c r="D1673" s="10" t="str">
        <x:v>M2 / M4</x:v>
      </x:c>
      <x:c r="E1673" s="16" t="n">
        <x:v>4</x:v>
      </x:c>
      <x:c r="F1673" s="14" t="n">
        <x:v>20</x:v>
      </x:c>
      <x:c r="G1673" s="26" t="n">
        <x:f>'成本明细'!U245+'成本明细'!G245*(E1673-'参数'!$B$6)</x:f>
        <x:v>2588.1253427894444</x:v>
      </x:c>
      <x:c r="H1673" s="26" t="n">
        <x:f>'成本明细'!U251</x:f>
        <x:v>4765.639027176111</x:v>
      </x:c>
      <x:c r="I1673" s="26" t="n">
        <x:f>'成本明细'!V251</x:f>
        <x:v>6825.5</x:v>
      </x:c>
      <x:c r="J1673" s="22" t="n">
        <x:f>'参数'!$B$9</x:f>
        <x:v>300</x:v>
      </x:c>
      <x:c r="K1673" s="26" t="n">
        <x:f>J1673*(G1673-H1673)-I1673*ROUNDUP(J1673/F1673,0)</x:f>
        <x:v>-755636.6053160001</x:v>
      </x:c>
      <x:c r="L1673" s="10" t="str">
        <x:f>IF(G1673-H1673&lt;=0,"未回本",IF(ROUNDUP(I1673/(G1673-H1673),0)&gt;MIN(F1673,J1673),"未回本",MAX(1,ROUNDUP(I1673/(G1673-H1673),0))))</x:f>
        <x:v>未回本</x:v>
      </x:c>
    </x:row>
    <x:row r="1674" ht="22" customHeight="1">
      <x:c r="A1674" s="11" t="str">
        <x:v>lade_0827_20aoi</x:v>
      </x:c>
      <x:c r="B1674" s="10" t="n">
        <x:v>20</x:v>
      </x:c>
      <x:c r="C1674" s="10" t="n">
        <x:v>44</x:v>
      </x:c>
      <x:c r="D1674" s="10" t="str">
        <x:v>M1 / M3</x:v>
      </x:c>
      <x:c r="E1674" s="16" t="n">
        <x:v>4</x:v>
      </x:c>
      <x:c r="F1674" s="14" t="n">
        <x:v>30</x:v>
      </x:c>
      <x:c r="G1674" s="26" t="n">
        <x:f>'成本明细'!U242+'成本明细'!G242*(E1674-'参数'!$B$6)</x:f>
        <x:v>3343.5936147722223</x:v>
      </x:c>
      <x:c r="H1674" s="26" t="n">
        <x:f>'成本明细'!U248</x:f>
        <x:v>3840.8438700049996</x:v>
      </x:c>
      <x:c r="I1674" s="26" t="n">
        <x:f>'成本明细'!V248</x:f>
        <x:v>6825.5</x:v>
      </x:c>
      <x:c r="J1674" s="22" t="n">
        <x:f>'参数'!$B$9</x:f>
        <x:v>300</x:v>
      </x:c>
      <x:c r="K1674" s="26" t="n">
        <x:f>J1674*(G1674-H1674)-I1674*ROUNDUP(J1674/F1674,0)</x:f>
        <x:v>-217430.0765698332</x:v>
      </x:c>
      <x:c r="L1674" s="10" t="str">
        <x:f>IF(G1674-H1674&lt;=0,"未回本",IF(ROUNDUP(I1674/(G1674-H1674),0)&gt;MIN(F1674,J1674),"未回本",MAX(1,ROUNDUP(I1674/(G1674-H1674),0))))</x:f>
        <x:v>未回本</x:v>
      </x:c>
    </x:row>
    <x:row r="1675" ht="22" customHeight="1">
      <x:c r="A1675" s="11" t="str">
        <x:v>lade_0827_20aoi</x:v>
      </x:c>
      <x:c r="B1675" s="10" t="n">
        <x:v>20</x:v>
      </x:c>
      <x:c r="C1675" s="10" t="n">
        <x:v>44</x:v>
      </x:c>
      <x:c r="D1675" s="10" t="str">
        <x:v>M2 / M4</x:v>
      </x:c>
      <x:c r="E1675" s="16" t="n">
        <x:v>4</x:v>
      </x:c>
      <x:c r="F1675" s="14" t="n">
        <x:v>30</x:v>
      </x:c>
      <x:c r="G1675" s="26" t="n">
        <x:f>'成本明细'!U245+'成本明细'!G245*(E1675-'参数'!$B$6)</x:f>
        <x:v>2588.1253427894444</x:v>
      </x:c>
      <x:c r="H1675" s="26" t="n">
        <x:f>'成本明细'!U251</x:f>
        <x:v>4765.639027176111</x:v>
      </x:c>
      <x:c r="I1675" s="26" t="n">
        <x:f>'成本明细'!V251</x:f>
        <x:v>6825.5</x:v>
      </x:c>
      <x:c r="J1675" s="22" t="n">
        <x:f>'参数'!$B$9</x:f>
        <x:v>300</x:v>
      </x:c>
      <x:c r="K1675" s="26" t="n">
        <x:f>J1675*(G1675-H1675)-I1675*ROUNDUP(J1675/F1675,0)</x:f>
        <x:v>-721509.1053160001</x:v>
      </x:c>
      <x:c r="L1675" s="10" t="str">
        <x:f>IF(G1675-H1675&lt;=0,"未回本",IF(ROUNDUP(I1675/(G1675-H1675),0)&gt;MIN(F1675,J1675),"未回本",MAX(1,ROUNDUP(I1675/(G1675-H1675),0))))</x:f>
        <x:v>未回本</x:v>
      </x:c>
    </x:row>
    <x:row r="1676" ht="22" customHeight="1">
      <x:c r="A1676" s="11" t="str">
        <x:v>lade_0827_20aoi</x:v>
      </x:c>
      <x:c r="B1676" s="10" t="n">
        <x:v>20</x:v>
      </x:c>
      <x:c r="C1676" s="10" t="n">
        <x:v>44</x:v>
      </x:c>
      <x:c r="D1676" s="10" t="str">
        <x:v>M1 / M3</x:v>
      </x:c>
      <x:c r="E1676" s="16" t="n">
        <x:v>4</x:v>
      </x:c>
      <x:c r="F1676" s="14" t="n">
        <x:v>50</x:v>
      </x:c>
      <x:c r="G1676" s="26" t="n">
        <x:f>'成本明细'!U242+'成本明细'!G242*(E1676-'参数'!$B$6)</x:f>
        <x:v>3343.5936147722223</x:v>
      </x:c>
      <x:c r="H1676" s="26" t="n">
        <x:f>'成本明细'!U248</x:f>
        <x:v>3840.8438700049996</x:v>
      </x:c>
      <x:c r="I1676" s="26" t="n">
        <x:f>'成本明细'!V248</x:f>
        <x:v>6825.5</x:v>
      </x:c>
      <x:c r="J1676" s="22" t="n">
        <x:f>'参数'!$B$9</x:f>
        <x:v>300</x:v>
      </x:c>
      <x:c r="K1676" s="26" t="n">
        <x:f>J1676*(G1676-H1676)-I1676*ROUNDUP(J1676/F1676,0)</x:f>
        <x:v>-190128.0765698332</x:v>
      </x:c>
      <x:c r="L1676" s="10" t="str">
        <x:f>IF(G1676-H1676&lt;=0,"未回本",IF(ROUNDUP(I1676/(G1676-H1676),0)&gt;MIN(F1676,J1676),"未回本",MAX(1,ROUNDUP(I1676/(G1676-H1676),0))))</x:f>
        <x:v>未回本</x:v>
      </x:c>
    </x:row>
    <x:row r="1677" ht="22" customHeight="1">
      <x:c r="A1677" s="11" t="str">
        <x:v>lade_0827_20aoi</x:v>
      </x:c>
      <x:c r="B1677" s="10" t="n">
        <x:v>20</x:v>
      </x:c>
      <x:c r="C1677" s="10" t="n">
        <x:v>44</x:v>
      </x:c>
      <x:c r="D1677" s="10" t="str">
        <x:v>M2 / M4</x:v>
      </x:c>
      <x:c r="E1677" s="16" t="n">
        <x:v>4</x:v>
      </x:c>
      <x:c r="F1677" s="14" t="n">
        <x:v>50</x:v>
      </x:c>
      <x:c r="G1677" s="26" t="n">
        <x:f>'成本明细'!U245+'成本明细'!G245*(E1677-'参数'!$B$6)</x:f>
        <x:v>2588.1253427894444</x:v>
      </x:c>
      <x:c r="H1677" s="26" t="n">
        <x:f>'成本明细'!U251</x:f>
        <x:v>4765.639027176111</x:v>
      </x:c>
      <x:c r="I1677" s="26" t="n">
        <x:f>'成本明细'!V251</x:f>
        <x:v>6825.5</x:v>
      </x:c>
      <x:c r="J1677" s="22" t="n">
        <x:f>'参数'!$B$9</x:f>
        <x:v>300</x:v>
      </x:c>
      <x:c r="K1677" s="26" t="n">
        <x:f>J1677*(G1677-H1677)-I1677*ROUNDUP(J1677/F1677,0)</x:f>
        <x:v>-694207.1053160001</x:v>
      </x:c>
      <x:c r="L1677" s="10" t="str">
        <x:f>IF(G1677-H1677&lt;=0,"未回本",IF(ROUNDUP(I1677/(G1677-H1677),0)&gt;MIN(F1677,J1677),"未回本",MAX(1,ROUNDUP(I1677/(G1677-H1677),0))))</x:f>
        <x:v>未回本</x:v>
      </x:c>
    </x:row>
    <x:row r="1678" ht="22" customHeight="1">
      <x:c r="A1678" s="11" t="str">
        <x:v>lade_0827_20aoi</x:v>
      </x:c>
      <x:c r="B1678" s="10" t="n">
        <x:v>20</x:v>
      </x:c>
      <x:c r="C1678" s="10" t="n">
        <x:v>44</x:v>
      </x:c>
      <x:c r="D1678" s="10" t="str">
        <x:v>M1 / M3</x:v>
      </x:c>
      <x:c r="E1678" s="16" t="n">
        <x:v>5</x:v>
      </x:c>
      <x:c r="F1678" s="14" t="n">
        <x:v>10</x:v>
      </x:c>
      <x:c r="G1678" s="26" t="n">
        <x:f>'成本明细'!U242+'成本明细'!G242*(E1678-'参数'!$B$6)</x:f>
        <x:v>3530.5936147722223</x:v>
      </x:c>
      <x:c r="H1678" s="26" t="n">
        <x:f>'成本明细'!U248</x:f>
        <x:v>3840.8438700049996</x:v>
      </x:c>
      <x:c r="I1678" s="26" t="n">
        <x:f>'成本明细'!V248</x:f>
        <x:v>6825.5</x:v>
      </x:c>
      <x:c r="J1678" s="22" t="n">
        <x:f>'参数'!$B$9</x:f>
        <x:v>300</x:v>
      </x:c>
      <x:c r="K1678" s="26" t="n">
        <x:f>J1678*(G1678-H1678)-I1678*ROUNDUP(J1678/F1678,0)</x:f>
        <x:v>-297840.0765698332</x:v>
      </x:c>
      <x:c r="L1678" s="10" t="str">
        <x:f>IF(G1678-H1678&lt;=0,"未回本",IF(ROUNDUP(I1678/(G1678-H1678),0)&gt;MIN(F1678,J1678),"未回本",MAX(1,ROUNDUP(I1678/(G1678-H1678),0))))</x:f>
        <x:v>未回本</x:v>
      </x:c>
    </x:row>
    <x:row r="1679" ht="22" customHeight="1">
      <x:c r="A1679" s="11" t="str">
        <x:v>lade_0827_20aoi</x:v>
      </x:c>
      <x:c r="B1679" s="10" t="n">
        <x:v>20</x:v>
      </x:c>
      <x:c r="C1679" s="10" t="n">
        <x:v>44</x:v>
      </x:c>
      <x:c r="D1679" s="10" t="str">
        <x:v>M2 / M4</x:v>
      </x:c>
      <x:c r="E1679" s="16" t="n">
        <x:v>5</x:v>
      </x:c>
      <x:c r="F1679" s="14" t="n">
        <x:v>10</x:v>
      </x:c>
      <x:c r="G1679" s="26" t="n">
        <x:f>'成本明细'!U245+'成本明细'!G245*(E1679-'参数'!$B$6)</x:f>
        <x:v>2775.1253427894444</x:v>
      </x:c>
      <x:c r="H1679" s="26" t="n">
        <x:f>'成本明细'!U251</x:f>
        <x:v>4765.639027176111</x:v>
      </x:c>
      <x:c r="I1679" s="26" t="n">
        <x:f>'成本明细'!V251</x:f>
        <x:v>6825.5</x:v>
      </x:c>
      <x:c r="J1679" s="22" t="n">
        <x:f>'参数'!$B$9</x:f>
        <x:v>300</x:v>
      </x:c>
      <x:c r="K1679" s="26" t="n">
        <x:f>J1679*(G1679-H1679)-I1679*ROUNDUP(J1679/F1679,0)</x:f>
        <x:v>-801919.1053160001</x:v>
      </x:c>
      <x:c r="L1679" s="10" t="str">
        <x:f>IF(G1679-H1679&lt;=0,"未回本",IF(ROUNDUP(I1679/(G1679-H1679),0)&gt;MIN(F1679,J1679),"未回本",MAX(1,ROUNDUP(I1679/(G1679-H1679),0))))</x:f>
        <x:v>未回本</x:v>
      </x:c>
    </x:row>
    <x:row r="1680" ht="22" customHeight="1">
      <x:c r="A1680" s="11" t="str">
        <x:v>lade_0827_20aoi</x:v>
      </x:c>
      <x:c r="B1680" s="10" t="n">
        <x:v>20</x:v>
      </x:c>
      <x:c r="C1680" s="10" t="n">
        <x:v>44</x:v>
      </x:c>
      <x:c r="D1680" s="10" t="str">
        <x:v>M1 / M3</x:v>
      </x:c>
      <x:c r="E1680" s="16" t="n">
        <x:v>5</x:v>
      </x:c>
      <x:c r="F1680" s="14" t="n">
        <x:v>20</x:v>
      </x:c>
      <x:c r="G1680" s="26" t="n">
        <x:f>'成本明细'!U242+'成本明细'!G242*(E1680-'参数'!$B$6)</x:f>
        <x:v>3530.5936147722223</x:v>
      </x:c>
      <x:c r="H1680" s="26" t="n">
        <x:f>'成本明细'!U248</x:f>
        <x:v>3840.8438700049996</x:v>
      </x:c>
      <x:c r="I1680" s="26" t="n">
        <x:f>'成本明细'!V248</x:f>
        <x:v>6825.5</x:v>
      </x:c>
      <x:c r="J1680" s="22" t="n">
        <x:f>'参数'!$B$9</x:f>
        <x:v>300</x:v>
      </x:c>
      <x:c r="K1680" s="26" t="n">
        <x:f>J1680*(G1680-H1680)-I1680*ROUNDUP(J1680/F1680,0)</x:f>
        <x:v>-195457.5765698332</x:v>
      </x:c>
      <x:c r="L1680" s="10" t="str">
        <x:f>IF(G1680-H1680&lt;=0,"未回本",IF(ROUNDUP(I1680/(G1680-H1680),0)&gt;MIN(F1680,J1680),"未回本",MAX(1,ROUNDUP(I1680/(G1680-H1680),0))))</x:f>
        <x:v>未回本</x:v>
      </x:c>
    </x:row>
    <x:row r="1681" ht="22" customHeight="1">
      <x:c r="A1681" s="11" t="str">
        <x:v>lade_0827_20aoi</x:v>
      </x:c>
      <x:c r="B1681" s="10" t="n">
        <x:v>20</x:v>
      </x:c>
      <x:c r="C1681" s="10" t="n">
        <x:v>44</x:v>
      </x:c>
      <x:c r="D1681" s="10" t="str">
        <x:v>M2 / M4</x:v>
      </x:c>
      <x:c r="E1681" s="16" t="n">
        <x:v>5</x:v>
      </x:c>
      <x:c r="F1681" s="14" t="n">
        <x:v>20</x:v>
      </x:c>
      <x:c r="G1681" s="26" t="n">
        <x:f>'成本明细'!U245+'成本明细'!G245*(E1681-'参数'!$B$6)</x:f>
        <x:v>2775.1253427894444</x:v>
      </x:c>
      <x:c r="H1681" s="26" t="n">
        <x:f>'成本明细'!U251</x:f>
        <x:v>4765.639027176111</x:v>
      </x:c>
      <x:c r="I1681" s="26" t="n">
        <x:f>'成本明细'!V251</x:f>
        <x:v>6825.5</x:v>
      </x:c>
      <x:c r="J1681" s="22" t="n">
        <x:f>'参数'!$B$9</x:f>
        <x:v>300</x:v>
      </x:c>
      <x:c r="K1681" s="26" t="n">
        <x:f>J1681*(G1681-H1681)-I1681*ROUNDUP(J1681/F1681,0)</x:f>
        <x:v>-699536.6053160001</x:v>
      </x:c>
      <x:c r="L1681" s="10" t="str">
        <x:f>IF(G1681-H1681&lt;=0,"未回本",IF(ROUNDUP(I1681/(G1681-H1681),0)&gt;MIN(F1681,J1681),"未回本",MAX(1,ROUNDUP(I1681/(G1681-H1681),0))))</x:f>
        <x:v>未回本</x:v>
      </x:c>
    </x:row>
    <x:row r="1682" ht="22" customHeight="1">
      <x:c r="A1682" s="11" t="str">
        <x:v>lade_0827_20aoi</x:v>
      </x:c>
      <x:c r="B1682" s="10" t="n">
        <x:v>20</x:v>
      </x:c>
      <x:c r="C1682" s="10" t="n">
        <x:v>44</x:v>
      </x:c>
      <x:c r="D1682" s="10" t="str">
        <x:v>M1 / M3</x:v>
      </x:c>
      <x:c r="E1682" s="16" t="n">
        <x:v>5</x:v>
      </x:c>
      <x:c r="F1682" s="14" t="n">
        <x:v>30</x:v>
      </x:c>
      <x:c r="G1682" s="26" t="n">
        <x:f>'成本明细'!U242+'成本明细'!G242*(E1682-'参数'!$B$6)</x:f>
        <x:v>3530.5936147722223</x:v>
      </x:c>
      <x:c r="H1682" s="26" t="n">
        <x:f>'成本明细'!U248</x:f>
        <x:v>3840.8438700049996</x:v>
      </x:c>
      <x:c r="I1682" s="26" t="n">
        <x:f>'成本明细'!V248</x:f>
        <x:v>6825.5</x:v>
      </x:c>
      <x:c r="J1682" s="22" t="n">
        <x:f>'参数'!$B$9</x:f>
        <x:v>300</x:v>
      </x:c>
      <x:c r="K1682" s="26" t="n">
        <x:f>J1682*(G1682-H1682)-I1682*ROUNDUP(J1682/F1682,0)</x:f>
        <x:v>-161330.0765698332</x:v>
      </x:c>
      <x:c r="L1682" s="10" t="str">
        <x:f>IF(G1682-H1682&lt;=0,"未回本",IF(ROUNDUP(I1682/(G1682-H1682),0)&gt;MIN(F1682,J1682),"未回本",MAX(1,ROUNDUP(I1682/(G1682-H1682),0))))</x:f>
        <x:v>未回本</x:v>
      </x:c>
    </x:row>
    <x:row r="1683" ht="22" customHeight="1">
      <x:c r="A1683" s="11" t="str">
        <x:v>lade_0827_20aoi</x:v>
      </x:c>
      <x:c r="B1683" s="10" t="n">
        <x:v>20</x:v>
      </x:c>
      <x:c r="C1683" s="10" t="n">
        <x:v>44</x:v>
      </x:c>
      <x:c r="D1683" s="10" t="str">
        <x:v>M2 / M4</x:v>
      </x:c>
      <x:c r="E1683" s="16" t="n">
        <x:v>5</x:v>
      </x:c>
      <x:c r="F1683" s="14" t="n">
        <x:v>30</x:v>
      </x:c>
      <x:c r="G1683" s="26" t="n">
        <x:f>'成本明细'!U245+'成本明细'!G245*(E1683-'参数'!$B$6)</x:f>
        <x:v>2775.1253427894444</x:v>
      </x:c>
      <x:c r="H1683" s="26" t="n">
        <x:f>'成本明细'!U251</x:f>
        <x:v>4765.639027176111</x:v>
      </x:c>
      <x:c r="I1683" s="26" t="n">
        <x:f>'成本明细'!V251</x:f>
        <x:v>6825.5</x:v>
      </x:c>
      <x:c r="J1683" s="22" t="n">
        <x:f>'参数'!$B$9</x:f>
        <x:v>300</x:v>
      </x:c>
      <x:c r="K1683" s="26" t="n">
        <x:f>J1683*(G1683-H1683)-I1683*ROUNDUP(J1683/F1683,0)</x:f>
        <x:v>-665409.1053160001</x:v>
      </x:c>
      <x:c r="L1683" s="10" t="str">
        <x:f>IF(G1683-H1683&lt;=0,"未回本",IF(ROUNDUP(I1683/(G1683-H1683),0)&gt;MIN(F1683,J1683),"未回本",MAX(1,ROUNDUP(I1683/(G1683-H1683),0))))</x:f>
        <x:v>未回本</x:v>
      </x:c>
    </x:row>
    <x:row r="1684" ht="22" customHeight="1">
      <x:c r="A1684" s="11" t="str">
        <x:v>lade_0827_20aoi</x:v>
      </x:c>
      <x:c r="B1684" s="10" t="n">
        <x:v>20</x:v>
      </x:c>
      <x:c r="C1684" s="10" t="n">
        <x:v>44</x:v>
      </x:c>
      <x:c r="D1684" s="10" t="str">
        <x:v>M1 / M3</x:v>
      </x:c>
      <x:c r="E1684" s="16" t="n">
        <x:v>5</x:v>
      </x:c>
      <x:c r="F1684" s="14" t="n">
        <x:v>50</x:v>
      </x:c>
      <x:c r="G1684" s="26" t="n">
        <x:f>'成本明细'!U242+'成本明细'!G242*(E1684-'参数'!$B$6)</x:f>
        <x:v>3530.5936147722223</x:v>
      </x:c>
      <x:c r="H1684" s="26" t="n">
        <x:f>'成本明细'!U248</x:f>
        <x:v>3840.8438700049996</x:v>
      </x:c>
      <x:c r="I1684" s="26" t="n">
        <x:f>'成本明细'!V248</x:f>
        <x:v>6825.5</x:v>
      </x:c>
      <x:c r="J1684" s="22" t="n">
        <x:f>'参数'!$B$9</x:f>
        <x:v>300</x:v>
      </x:c>
      <x:c r="K1684" s="26" t="n">
        <x:f>J1684*(G1684-H1684)-I1684*ROUNDUP(J1684/F1684,0)</x:f>
        <x:v>-134028.0765698332</x:v>
      </x:c>
      <x:c r="L1684" s="10" t="str">
        <x:f>IF(G1684-H1684&lt;=0,"未回本",IF(ROUNDUP(I1684/(G1684-H1684),0)&gt;MIN(F1684,J1684),"未回本",MAX(1,ROUNDUP(I1684/(G1684-H1684),0))))</x:f>
        <x:v>未回本</x:v>
      </x:c>
    </x:row>
    <x:row r="1685" ht="22" customHeight="1">
      <x:c r="A1685" s="11" t="str">
        <x:v>lade_0827_20aoi</x:v>
      </x:c>
      <x:c r="B1685" s="10" t="n">
        <x:v>20</x:v>
      </x:c>
      <x:c r="C1685" s="10" t="n">
        <x:v>44</x:v>
      </x:c>
      <x:c r="D1685" s="10" t="str">
        <x:v>M2 / M4</x:v>
      </x:c>
      <x:c r="E1685" s="16" t="n">
        <x:v>5</x:v>
      </x:c>
      <x:c r="F1685" s="14" t="n">
        <x:v>50</x:v>
      </x:c>
      <x:c r="G1685" s="26" t="n">
        <x:f>'成本明细'!U245+'成本明细'!G245*(E1685-'参数'!$B$6)</x:f>
        <x:v>2775.1253427894444</x:v>
      </x:c>
      <x:c r="H1685" s="26" t="n">
        <x:f>'成本明细'!U251</x:f>
        <x:v>4765.639027176111</x:v>
      </x:c>
      <x:c r="I1685" s="26" t="n">
        <x:f>'成本明细'!V251</x:f>
        <x:v>6825.5</x:v>
      </x:c>
      <x:c r="J1685" s="22" t="n">
        <x:f>'参数'!$B$9</x:f>
        <x:v>300</x:v>
      </x:c>
      <x:c r="K1685" s="26" t="n">
        <x:f>J1685*(G1685-H1685)-I1685*ROUNDUP(J1685/F1685,0)</x:f>
        <x:v>-638107.1053160001</x:v>
      </x:c>
      <x:c r="L1685" s="10" t="str">
        <x:f>IF(G1685-H1685&lt;=0,"未回本",IF(ROUNDUP(I1685/(G1685-H1685),0)&gt;MIN(F1685,J1685),"未回本",MAX(1,ROUNDUP(I1685/(G1685-H1685),0))))</x:f>
        <x:v>未回本</x:v>
      </x:c>
    </x:row>
    <x:row r="1686" ht="22" customHeight="1">
      <x:c r="A1686" s="11" t="str">
        <x:v>lade_0827_30aoi</x:v>
      </x:c>
      <x:c r="B1686" s="10" t="n">
        <x:v>30</x:v>
      </x:c>
      <x:c r="C1686" s="10" t="n">
        <x:v>42</x:v>
      </x:c>
      <x:c r="D1686" s="10" t="str">
        <x:v>M1 / M3</x:v>
      </x:c>
      <x:c r="E1686" s="16" t="n">
        <x:v>1</x:v>
      </x:c>
      <x:c r="F1686" s="14" t="n">
        <x:v>10</x:v>
      </x:c>
      <x:c r="G1686" s="26" t="n">
        <x:f>'成本明细'!U258+'成本明细'!G258*(E1686-'参数'!$B$6)</x:f>
        <x:v>2715.805392835</x:v>
      </x:c>
      <x:c r="H1686" s="26" t="n">
        <x:f>'成本明细'!U264</x:f>
        <x:v>4045.417735209445</x:v>
      </x:c>
      <x:c r="I1686" s="26" t="n">
        <x:f>'成本明细'!V264</x:f>
        <x:v>8687</x:v>
      </x:c>
      <x:c r="J1686" s="22" t="n">
        <x:f>'参数'!$B$9</x:f>
        <x:v>300</x:v>
      </x:c>
      <x:c r="K1686" s="26" t="n">
        <x:f>J1686*(G1686-H1686)-I1686*ROUNDUP(J1686/F1686,0)</x:f>
        <x:v>-659493.7027123334</x:v>
      </x:c>
      <x:c r="L1686" s="10" t="str">
        <x:f>IF(G1686-H1686&lt;=0,"未回本",IF(ROUNDUP(I1686/(G1686-H1686),0)&gt;MIN(F1686,J1686),"未回本",MAX(1,ROUNDUP(I1686/(G1686-H1686),0))))</x:f>
        <x:v>未回本</x:v>
      </x:c>
    </x:row>
    <x:row r="1687" ht="22" customHeight="1">
      <x:c r="A1687" s="11" t="str">
        <x:v>lade_0827_30aoi</x:v>
      </x:c>
      <x:c r="B1687" s="10" t="n">
        <x:v>30</x:v>
      </x:c>
      <x:c r="C1687" s="10" t="n">
        <x:v>42</x:v>
      </x:c>
      <x:c r="D1687" s="10" t="str">
        <x:v>M2 / M4</x:v>
      </x:c>
      <x:c r="E1687" s="16" t="n">
        <x:v>1</x:v>
      </x:c>
      <x:c r="F1687" s="14" t="n">
        <x:v>10</x:v>
      </x:c>
      <x:c r="G1687" s="26" t="n">
        <x:f>'成本明细'!U261+'成本明细'!G261*(E1687-'参数'!$B$6)</x:f>
        <x:v>2877.0916617127777</x:v>
      </x:c>
      <x:c r="H1687" s="26" t="n">
        <x:f>'成本明细'!U267</x:f>
        <x:v>4040.646875251111</x:v>
      </x:c>
      <x:c r="I1687" s="26" t="n">
        <x:f>'成本明细'!V267</x:f>
        <x:v>8687</x:v>
      </x:c>
      <x:c r="J1687" s="22" t="n">
        <x:f>'参数'!$B$9</x:f>
        <x:v>300</x:v>
      </x:c>
      <x:c r="K1687" s="26" t="n">
        <x:f>J1687*(G1687-H1687)-I1687*ROUNDUP(J1687/F1687,0)</x:f>
        <x:v>-609676.5640614999</x:v>
      </x:c>
      <x:c r="L1687" s="10" t="str">
        <x:f>IF(G1687-H1687&lt;=0,"未回本",IF(ROUNDUP(I1687/(G1687-H1687),0)&gt;MIN(F1687,J1687),"未回本",MAX(1,ROUNDUP(I1687/(G1687-H1687),0))))</x:f>
        <x:v>未回本</x:v>
      </x:c>
    </x:row>
    <x:row r="1688" ht="22" customHeight="1">
      <x:c r="A1688" s="11" t="str">
        <x:v>lade_0827_30aoi</x:v>
      </x:c>
      <x:c r="B1688" s="10" t="n">
        <x:v>30</x:v>
      </x:c>
      <x:c r="C1688" s="10" t="n">
        <x:v>42</x:v>
      </x:c>
      <x:c r="D1688" s="10" t="str">
        <x:v>M1 / M3</x:v>
      </x:c>
      <x:c r="E1688" s="16" t="n">
        <x:v>1</x:v>
      </x:c>
      <x:c r="F1688" s="14" t="n">
        <x:v>20</x:v>
      </x:c>
      <x:c r="G1688" s="26" t="n">
        <x:f>'成本明细'!U258+'成本明细'!G258*(E1688-'参数'!$B$6)</x:f>
        <x:v>2715.805392835</x:v>
      </x:c>
      <x:c r="H1688" s="26" t="n">
        <x:f>'成本明细'!U264</x:f>
        <x:v>4045.417735209445</x:v>
      </x:c>
      <x:c r="I1688" s="26" t="n">
        <x:f>'成本明细'!V264</x:f>
        <x:v>8687</x:v>
      </x:c>
      <x:c r="J1688" s="22" t="n">
        <x:f>'参数'!$B$9</x:f>
        <x:v>300</x:v>
      </x:c>
      <x:c r="K1688" s="26" t="n">
        <x:f>J1688*(G1688-H1688)-I1688*ROUNDUP(J1688/F1688,0)</x:f>
        <x:v>-529188.7027123334</x:v>
      </x:c>
      <x:c r="L1688" s="10" t="str">
        <x:f>IF(G1688-H1688&lt;=0,"未回本",IF(ROUNDUP(I1688/(G1688-H1688),0)&gt;MIN(F1688,J1688),"未回本",MAX(1,ROUNDUP(I1688/(G1688-H1688),0))))</x:f>
        <x:v>未回本</x:v>
      </x:c>
    </x:row>
    <x:row r="1689" ht="22" customHeight="1">
      <x:c r="A1689" s="11" t="str">
        <x:v>lade_0827_30aoi</x:v>
      </x:c>
      <x:c r="B1689" s="10" t="n">
        <x:v>30</x:v>
      </x:c>
      <x:c r="C1689" s="10" t="n">
        <x:v>42</x:v>
      </x:c>
      <x:c r="D1689" s="10" t="str">
        <x:v>M2 / M4</x:v>
      </x:c>
      <x:c r="E1689" s="16" t="n">
        <x:v>1</x:v>
      </x:c>
      <x:c r="F1689" s="14" t="n">
        <x:v>20</x:v>
      </x:c>
      <x:c r="G1689" s="26" t="n">
        <x:f>'成本明细'!U261+'成本明细'!G261*(E1689-'参数'!$B$6)</x:f>
        <x:v>2877.0916617127777</x:v>
      </x:c>
      <x:c r="H1689" s="26" t="n">
        <x:f>'成本明细'!U267</x:f>
        <x:v>4040.646875251111</x:v>
      </x:c>
      <x:c r="I1689" s="26" t="n">
        <x:f>'成本明细'!V267</x:f>
        <x:v>8687</x:v>
      </x:c>
      <x:c r="J1689" s="22" t="n">
        <x:f>'参数'!$B$9</x:f>
        <x:v>300</x:v>
      </x:c>
      <x:c r="K1689" s="26" t="n">
        <x:f>J1689*(G1689-H1689)-I1689*ROUNDUP(J1689/F1689,0)</x:f>
        <x:v>-479371.56406149996</x:v>
      </x:c>
      <x:c r="L1689" s="10" t="str">
        <x:f>IF(G1689-H1689&lt;=0,"未回本",IF(ROUNDUP(I1689/(G1689-H1689),0)&gt;MIN(F1689,J1689),"未回本",MAX(1,ROUNDUP(I1689/(G1689-H1689),0))))</x:f>
        <x:v>未回本</x:v>
      </x:c>
    </x:row>
    <x:row r="1690" ht="22" customHeight="1">
      <x:c r="A1690" s="11" t="str">
        <x:v>lade_0827_30aoi</x:v>
      </x:c>
      <x:c r="B1690" s="10" t="n">
        <x:v>30</x:v>
      </x:c>
      <x:c r="C1690" s="10" t="n">
        <x:v>42</x:v>
      </x:c>
      <x:c r="D1690" s="10" t="str">
        <x:v>M1 / M3</x:v>
      </x:c>
      <x:c r="E1690" s="16" t="n">
        <x:v>1</x:v>
      </x:c>
      <x:c r="F1690" s="14" t="n">
        <x:v>30</x:v>
      </x:c>
      <x:c r="G1690" s="26" t="n">
        <x:f>'成本明细'!U258+'成本明细'!G258*(E1690-'参数'!$B$6)</x:f>
        <x:v>2715.805392835</x:v>
      </x:c>
      <x:c r="H1690" s="26" t="n">
        <x:f>'成本明细'!U264</x:f>
        <x:v>4045.417735209445</x:v>
      </x:c>
      <x:c r="I1690" s="26" t="n">
        <x:f>'成本明细'!V264</x:f>
        <x:v>8687</x:v>
      </x:c>
      <x:c r="J1690" s="22" t="n">
        <x:f>'参数'!$B$9</x:f>
        <x:v>300</x:v>
      </x:c>
      <x:c r="K1690" s="26" t="n">
        <x:f>J1690*(G1690-H1690)-I1690*ROUNDUP(J1690/F1690,0)</x:f>
        <x:v>-485753.7027123334</x:v>
      </x:c>
      <x:c r="L1690" s="10" t="str">
        <x:f>IF(G1690-H1690&lt;=0,"未回本",IF(ROUNDUP(I1690/(G1690-H1690),0)&gt;MIN(F1690,J1690),"未回本",MAX(1,ROUNDUP(I1690/(G1690-H1690),0))))</x:f>
        <x:v>未回本</x:v>
      </x:c>
    </x:row>
    <x:row r="1691" ht="22" customHeight="1">
      <x:c r="A1691" s="11" t="str">
        <x:v>lade_0827_30aoi</x:v>
      </x:c>
      <x:c r="B1691" s="10" t="n">
        <x:v>30</x:v>
      </x:c>
      <x:c r="C1691" s="10" t="n">
        <x:v>42</x:v>
      </x:c>
      <x:c r="D1691" s="10" t="str">
        <x:v>M2 / M4</x:v>
      </x:c>
      <x:c r="E1691" s="16" t="n">
        <x:v>1</x:v>
      </x:c>
      <x:c r="F1691" s="14" t="n">
        <x:v>30</x:v>
      </x:c>
      <x:c r="G1691" s="26" t="n">
        <x:f>'成本明细'!U261+'成本明细'!G261*(E1691-'参数'!$B$6)</x:f>
        <x:v>2877.0916617127777</x:v>
      </x:c>
      <x:c r="H1691" s="26" t="n">
        <x:f>'成本明细'!U267</x:f>
        <x:v>4040.646875251111</x:v>
      </x:c>
      <x:c r="I1691" s="26" t="n">
        <x:f>'成本明细'!V267</x:f>
        <x:v>8687</x:v>
      </x:c>
      <x:c r="J1691" s="22" t="n">
        <x:f>'参数'!$B$9</x:f>
        <x:v>300</x:v>
      </x:c>
      <x:c r="K1691" s="26" t="n">
        <x:f>J1691*(G1691-H1691)-I1691*ROUNDUP(J1691/F1691,0)</x:f>
        <x:v>-435936.56406149996</x:v>
      </x:c>
      <x:c r="L1691" s="10" t="str">
        <x:f>IF(G1691-H1691&lt;=0,"未回本",IF(ROUNDUP(I1691/(G1691-H1691),0)&gt;MIN(F1691,J1691),"未回本",MAX(1,ROUNDUP(I1691/(G1691-H1691),0))))</x:f>
        <x:v>未回本</x:v>
      </x:c>
    </x:row>
    <x:row r="1692" ht="22" customHeight="1">
      <x:c r="A1692" s="11" t="str">
        <x:v>lade_0827_30aoi</x:v>
      </x:c>
      <x:c r="B1692" s="10" t="n">
        <x:v>30</x:v>
      </x:c>
      <x:c r="C1692" s="10" t="n">
        <x:v>42</x:v>
      </x:c>
      <x:c r="D1692" s="10" t="str">
        <x:v>M1 / M3</x:v>
      </x:c>
      <x:c r="E1692" s="16" t="n">
        <x:v>1</x:v>
      </x:c>
      <x:c r="F1692" s="14" t="n">
        <x:v>50</x:v>
      </x:c>
      <x:c r="G1692" s="26" t="n">
        <x:f>'成本明细'!U258+'成本明细'!G258*(E1692-'参数'!$B$6)</x:f>
        <x:v>2715.805392835</x:v>
      </x:c>
      <x:c r="H1692" s="26" t="n">
        <x:f>'成本明细'!U264</x:f>
        <x:v>4045.417735209445</x:v>
      </x:c>
      <x:c r="I1692" s="26" t="n">
        <x:f>'成本明细'!V264</x:f>
        <x:v>8687</x:v>
      </x:c>
      <x:c r="J1692" s="22" t="n">
        <x:f>'参数'!$B$9</x:f>
        <x:v>300</x:v>
      </x:c>
      <x:c r="K1692" s="26" t="n">
        <x:f>J1692*(G1692-H1692)-I1692*ROUNDUP(J1692/F1692,0)</x:f>
        <x:v>-451005.7027123334</x:v>
      </x:c>
      <x:c r="L1692" s="10" t="str">
        <x:f>IF(G1692-H1692&lt;=0,"未回本",IF(ROUNDUP(I1692/(G1692-H1692),0)&gt;MIN(F1692,J1692),"未回本",MAX(1,ROUNDUP(I1692/(G1692-H1692),0))))</x:f>
        <x:v>未回本</x:v>
      </x:c>
    </x:row>
    <x:row r="1693" ht="22" customHeight="1">
      <x:c r="A1693" s="11" t="str">
        <x:v>lade_0827_30aoi</x:v>
      </x:c>
      <x:c r="B1693" s="10" t="n">
        <x:v>30</x:v>
      </x:c>
      <x:c r="C1693" s="10" t="n">
        <x:v>42</x:v>
      </x:c>
      <x:c r="D1693" s="10" t="str">
        <x:v>M2 / M4</x:v>
      </x:c>
      <x:c r="E1693" s="16" t="n">
        <x:v>1</x:v>
      </x:c>
      <x:c r="F1693" s="14" t="n">
        <x:v>50</x:v>
      </x:c>
      <x:c r="G1693" s="26" t="n">
        <x:f>'成本明细'!U261+'成本明细'!G261*(E1693-'参数'!$B$6)</x:f>
        <x:v>2877.0916617127777</x:v>
      </x:c>
      <x:c r="H1693" s="26" t="n">
        <x:f>'成本明细'!U267</x:f>
        <x:v>4040.646875251111</x:v>
      </x:c>
      <x:c r="I1693" s="26" t="n">
        <x:f>'成本明细'!V267</x:f>
        <x:v>8687</x:v>
      </x:c>
      <x:c r="J1693" s="22" t="n">
        <x:f>'参数'!$B$9</x:f>
        <x:v>300</x:v>
      </x:c>
      <x:c r="K1693" s="26" t="n">
        <x:f>J1693*(G1693-H1693)-I1693*ROUNDUP(J1693/F1693,0)</x:f>
        <x:v>-401188.56406149996</x:v>
      </x:c>
      <x:c r="L1693" s="10" t="str">
        <x:f>IF(G1693-H1693&lt;=0,"未回本",IF(ROUNDUP(I1693/(G1693-H1693),0)&gt;MIN(F1693,J1693),"未回本",MAX(1,ROUNDUP(I1693/(G1693-H1693),0))))</x:f>
        <x:v>未回本</x:v>
      </x:c>
    </x:row>
    <x:row r="1694" ht="22" customHeight="1">
      <x:c r="A1694" s="11" t="str">
        <x:v>lade_0827_30aoi</x:v>
      </x:c>
      <x:c r="B1694" s="10" t="n">
        <x:v>30</x:v>
      </x:c>
      <x:c r="C1694" s="10" t="n">
        <x:v>42</x:v>
      </x:c>
      <x:c r="D1694" s="10" t="str">
        <x:v>M1 / M3</x:v>
      </x:c>
      <x:c r="E1694" s="16" t="n">
        <x:v>2</x:v>
      </x:c>
      <x:c r="F1694" s="14" t="n">
        <x:v>10</x:v>
      </x:c>
      <x:c r="G1694" s="26" t="n">
        <x:f>'成本明细'!U258+'成本明细'!G258*(E1694-'参数'!$B$6)</x:f>
        <x:v>2953.805392835</x:v>
      </x:c>
      <x:c r="H1694" s="26" t="n">
        <x:f>'成本明细'!U264</x:f>
        <x:v>4045.417735209445</x:v>
      </x:c>
      <x:c r="I1694" s="26" t="n">
        <x:f>'成本明细'!V264</x:f>
        <x:v>8687</x:v>
      </x:c>
      <x:c r="J1694" s="22" t="n">
        <x:f>'参数'!$B$9</x:f>
        <x:v>300</x:v>
      </x:c>
      <x:c r="K1694" s="26" t="n">
        <x:f>J1694*(G1694-H1694)-I1694*ROUNDUP(J1694/F1694,0)</x:f>
        <x:v>-588093.7027123334</x:v>
      </x:c>
      <x:c r="L1694" s="10" t="str">
        <x:f>IF(G1694-H1694&lt;=0,"未回本",IF(ROUNDUP(I1694/(G1694-H1694),0)&gt;MIN(F1694,J1694),"未回本",MAX(1,ROUNDUP(I1694/(G1694-H1694),0))))</x:f>
        <x:v>未回本</x:v>
      </x:c>
    </x:row>
    <x:row r="1695" ht="22" customHeight="1">
      <x:c r="A1695" s="11" t="str">
        <x:v>lade_0827_30aoi</x:v>
      </x:c>
      <x:c r="B1695" s="10" t="n">
        <x:v>30</x:v>
      </x:c>
      <x:c r="C1695" s="10" t="n">
        <x:v>42</x:v>
      </x:c>
      <x:c r="D1695" s="10" t="str">
        <x:v>M2 / M4</x:v>
      </x:c>
      <x:c r="E1695" s="16" t="n">
        <x:v>2</x:v>
      </x:c>
      <x:c r="F1695" s="14" t="n">
        <x:v>10</x:v>
      </x:c>
      <x:c r="G1695" s="26" t="n">
        <x:f>'成本明细'!U261+'成本明细'!G261*(E1695-'参数'!$B$6)</x:f>
        <x:v>3115.0916617127777</x:v>
      </x:c>
      <x:c r="H1695" s="26" t="n">
        <x:f>'成本明细'!U267</x:f>
        <x:v>4040.646875251111</x:v>
      </x:c>
      <x:c r="I1695" s="26" t="n">
        <x:f>'成本明细'!V267</x:f>
        <x:v>8687</x:v>
      </x:c>
      <x:c r="J1695" s="22" t="n">
        <x:f>'参数'!$B$9</x:f>
        <x:v>300</x:v>
      </x:c>
      <x:c r="K1695" s="26" t="n">
        <x:f>J1695*(G1695-H1695)-I1695*ROUNDUP(J1695/F1695,0)</x:f>
        <x:v>-538276.5640614999</x:v>
      </x:c>
      <x:c r="L1695" s="10" t="str">
        <x:f>IF(G1695-H1695&lt;=0,"未回本",IF(ROUNDUP(I1695/(G1695-H1695),0)&gt;MIN(F1695,J1695),"未回本",MAX(1,ROUNDUP(I1695/(G1695-H1695),0))))</x:f>
        <x:v>未回本</x:v>
      </x:c>
    </x:row>
    <x:row r="1696" ht="22" customHeight="1">
      <x:c r="A1696" s="11" t="str">
        <x:v>lade_0827_30aoi</x:v>
      </x:c>
      <x:c r="B1696" s="10" t="n">
        <x:v>30</x:v>
      </x:c>
      <x:c r="C1696" s="10" t="n">
        <x:v>42</x:v>
      </x:c>
      <x:c r="D1696" s="10" t="str">
        <x:v>M1 / M3</x:v>
      </x:c>
      <x:c r="E1696" s="16" t="n">
        <x:v>2</x:v>
      </x:c>
      <x:c r="F1696" s="14" t="n">
        <x:v>20</x:v>
      </x:c>
      <x:c r="G1696" s="26" t="n">
        <x:f>'成本明细'!U258+'成本明细'!G258*(E1696-'参数'!$B$6)</x:f>
        <x:v>2953.805392835</x:v>
      </x:c>
      <x:c r="H1696" s="26" t="n">
        <x:f>'成本明细'!U264</x:f>
        <x:v>4045.417735209445</x:v>
      </x:c>
      <x:c r="I1696" s="26" t="n">
        <x:f>'成本明细'!V264</x:f>
        <x:v>8687</x:v>
      </x:c>
      <x:c r="J1696" s="22" t="n">
        <x:f>'参数'!$B$9</x:f>
        <x:v>300</x:v>
      </x:c>
      <x:c r="K1696" s="26" t="n">
        <x:f>J1696*(G1696-H1696)-I1696*ROUNDUP(J1696/F1696,0)</x:f>
        <x:v>-457788.7027123334</x:v>
      </x:c>
      <x:c r="L1696" s="10" t="str">
        <x:f>IF(G1696-H1696&lt;=0,"未回本",IF(ROUNDUP(I1696/(G1696-H1696),0)&gt;MIN(F1696,J1696),"未回本",MAX(1,ROUNDUP(I1696/(G1696-H1696),0))))</x:f>
        <x:v>未回本</x:v>
      </x:c>
    </x:row>
    <x:row r="1697" ht="22" customHeight="1">
      <x:c r="A1697" s="11" t="str">
        <x:v>lade_0827_30aoi</x:v>
      </x:c>
      <x:c r="B1697" s="10" t="n">
        <x:v>30</x:v>
      </x:c>
      <x:c r="C1697" s="10" t="n">
        <x:v>42</x:v>
      </x:c>
      <x:c r="D1697" s="10" t="str">
        <x:v>M2 / M4</x:v>
      </x:c>
      <x:c r="E1697" s="16" t="n">
        <x:v>2</x:v>
      </x:c>
      <x:c r="F1697" s="14" t="n">
        <x:v>20</x:v>
      </x:c>
      <x:c r="G1697" s="26" t="n">
        <x:f>'成本明细'!U261+'成本明细'!G261*(E1697-'参数'!$B$6)</x:f>
        <x:v>3115.0916617127777</x:v>
      </x:c>
      <x:c r="H1697" s="26" t="n">
        <x:f>'成本明细'!U267</x:f>
        <x:v>4040.646875251111</x:v>
      </x:c>
      <x:c r="I1697" s="26" t="n">
        <x:f>'成本明细'!V267</x:f>
        <x:v>8687</x:v>
      </x:c>
      <x:c r="J1697" s="22" t="n">
        <x:f>'参数'!$B$9</x:f>
        <x:v>300</x:v>
      </x:c>
      <x:c r="K1697" s="26" t="n">
        <x:f>J1697*(G1697-H1697)-I1697*ROUNDUP(J1697/F1697,0)</x:f>
        <x:v>-407971.56406149996</x:v>
      </x:c>
      <x:c r="L1697" s="10" t="str">
        <x:f>IF(G1697-H1697&lt;=0,"未回本",IF(ROUNDUP(I1697/(G1697-H1697),0)&gt;MIN(F1697,J1697),"未回本",MAX(1,ROUNDUP(I1697/(G1697-H1697),0))))</x:f>
        <x:v>未回本</x:v>
      </x:c>
    </x:row>
    <x:row r="1698" ht="22" customHeight="1">
      <x:c r="A1698" s="11" t="str">
        <x:v>lade_0827_30aoi</x:v>
      </x:c>
      <x:c r="B1698" s="10" t="n">
        <x:v>30</x:v>
      </x:c>
      <x:c r="C1698" s="10" t="n">
        <x:v>42</x:v>
      </x:c>
      <x:c r="D1698" s="10" t="str">
        <x:v>M1 / M3</x:v>
      </x:c>
      <x:c r="E1698" s="16" t="n">
        <x:v>2</x:v>
      </x:c>
      <x:c r="F1698" s="14" t="n">
        <x:v>30</x:v>
      </x:c>
      <x:c r="G1698" s="26" t="n">
        <x:f>'成本明细'!U258+'成本明细'!G258*(E1698-'参数'!$B$6)</x:f>
        <x:v>2953.805392835</x:v>
      </x:c>
      <x:c r="H1698" s="26" t="n">
        <x:f>'成本明细'!U264</x:f>
        <x:v>4045.417735209445</x:v>
      </x:c>
      <x:c r="I1698" s="26" t="n">
        <x:f>'成本明细'!V264</x:f>
        <x:v>8687</x:v>
      </x:c>
      <x:c r="J1698" s="22" t="n">
        <x:f>'参数'!$B$9</x:f>
        <x:v>300</x:v>
      </x:c>
      <x:c r="K1698" s="26" t="n">
        <x:f>J1698*(G1698-H1698)-I1698*ROUNDUP(J1698/F1698,0)</x:f>
        <x:v>-414353.7027123334</x:v>
      </x:c>
      <x:c r="L1698" s="10" t="str">
        <x:f>IF(G1698-H1698&lt;=0,"未回本",IF(ROUNDUP(I1698/(G1698-H1698),0)&gt;MIN(F1698,J1698),"未回本",MAX(1,ROUNDUP(I1698/(G1698-H1698),0))))</x:f>
        <x:v>未回本</x:v>
      </x:c>
    </x:row>
    <x:row r="1699" ht="22" customHeight="1">
      <x:c r="A1699" s="11" t="str">
        <x:v>lade_0827_30aoi</x:v>
      </x:c>
      <x:c r="B1699" s="10" t="n">
        <x:v>30</x:v>
      </x:c>
      <x:c r="C1699" s="10" t="n">
        <x:v>42</x:v>
      </x:c>
      <x:c r="D1699" s="10" t="str">
        <x:v>M2 / M4</x:v>
      </x:c>
      <x:c r="E1699" s="16" t="n">
        <x:v>2</x:v>
      </x:c>
      <x:c r="F1699" s="14" t="n">
        <x:v>30</x:v>
      </x:c>
      <x:c r="G1699" s="26" t="n">
        <x:f>'成本明细'!U261+'成本明细'!G261*(E1699-'参数'!$B$6)</x:f>
        <x:v>3115.0916617127777</x:v>
      </x:c>
      <x:c r="H1699" s="26" t="n">
        <x:f>'成本明细'!U267</x:f>
        <x:v>4040.646875251111</x:v>
      </x:c>
      <x:c r="I1699" s="26" t="n">
        <x:f>'成本明细'!V267</x:f>
        <x:v>8687</x:v>
      </x:c>
      <x:c r="J1699" s="22" t="n">
        <x:f>'参数'!$B$9</x:f>
        <x:v>300</x:v>
      </x:c>
      <x:c r="K1699" s="26" t="n">
        <x:f>J1699*(G1699-H1699)-I1699*ROUNDUP(J1699/F1699,0)</x:f>
        <x:v>-364536.56406149996</x:v>
      </x:c>
      <x:c r="L1699" s="10" t="str">
        <x:f>IF(G1699-H1699&lt;=0,"未回本",IF(ROUNDUP(I1699/(G1699-H1699),0)&gt;MIN(F1699,J1699),"未回本",MAX(1,ROUNDUP(I1699/(G1699-H1699),0))))</x:f>
        <x:v>未回本</x:v>
      </x:c>
    </x:row>
    <x:row r="1700" ht="22" customHeight="1">
      <x:c r="A1700" s="11" t="str">
        <x:v>lade_0827_30aoi</x:v>
      </x:c>
      <x:c r="B1700" s="10" t="n">
        <x:v>30</x:v>
      </x:c>
      <x:c r="C1700" s="10" t="n">
        <x:v>42</x:v>
      </x:c>
      <x:c r="D1700" s="10" t="str">
        <x:v>M1 / M3</x:v>
      </x:c>
      <x:c r="E1700" s="16" t="n">
        <x:v>2</x:v>
      </x:c>
      <x:c r="F1700" s="14" t="n">
        <x:v>50</x:v>
      </x:c>
      <x:c r="G1700" s="26" t="n">
        <x:f>'成本明细'!U258+'成本明细'!G258*(E1700-'参数'!$B$6)</x:f>
        <x:v>2953.805392835</x:v>
      </x:c>
      <x:c r="H1700" s="26" t="n">
        <x:f>'成本明细'!U264</x:f>
        <x:v>4045.417735209445</x:v>
      </x:c>
      <x:c r="I1700" s="26" t="n">
        <x:f>'成本明细'!V264</x:f>
        <x:v>8687</x:v>
      </x:c>
      <x:c r="J1700" s="22" t="n">
        <x:f>'参数'!$B$9</x:f>
        <x:v>300</x:v>
      </x:c>
      <x:c r="K1700" s="26" t="n">
        <x:f>J1700*(G1700-H1700)-I1700*ROUNDUP(J1700/F1700,0)</x:f>
        <x:v>-379605.7027123334</x:v>
      </x:c>
      <x:c r="L1700" s="10" t="str">
        <x:f>IF(G1700-H1700&lt;=0,"未回本",IF(ROUNDUP(I1700/(G1700-H1700),0)&gt;MIN(F1700,J1700),"未回本",MAX(1,ROUNDUP(I1700/(G1700-H1700),0))))</x:f>
        <x:v>未回本</x:v>
      </x:c>
    </x:row>
    <x:row r="1701" ht="22" customHeight="1">
      <x:c r="A1701" s="11" t="str">
        <x:v>lade_0827_30aoi</x:v>
      </x:c>
      <x:c r="B1701" s="10" t="n">
        <x:v>30</x:v>
      </x:c>
      <x:c r="C1701" s="10" t="n">
        <x:v>42</x:v>
      </x:c>
      <x:c r="D1701" s="10" t="str">
        <x:v>M2 / M4</x:v>
      </x:c>
      <x:c r="E1701" s="16" t="n">
        <x:v>2</x:v>
      </x:c>
      <x:c r="F1701" s="14" t="n">
        <x:v>50</x:v>
      </x:c>
      <x:c r="G1701" s="26" t="n">
        <x:f>'成本明细'!U261+'成本明细'!G261*(E1701-'参数'!$B$6)</x:f>
        <x:v>3115.0916617127777</x:v>
      </x:c>
      <x:c r="H1701" s="26" t="n">
        <x:f>'成本明细'!U267</x:f>
        <x:v>4040.646875251111</x:v>
      </x:c>
      <x:c r="I1701" s="26" t="n">
        <x:f>'成本明细'!V267</x:f>
        <x:v>8687</x:v>
      </x:c>
      <x:c r="J1701" s="22" t="n">
        <x:f>'参数'!$B$9</x:f>
        <x:v>300</x:v>
      </x:c>
      <x:c r="K1701" s="26" t="n">
        <x:f>J1701*(G1701-H1701)-I1701*ROUNDUP(J1701/F1701,0)</x:f>
        <x:v>-329788.56406149996</x:v>
      </x:c>
      <x:c r="L1701" s="10" t="str">
        <x:f>IF(G1701-H1701&lt;=0,"未回本",IF(ROUNDUP(I1701/(G1701-H1701),0)&gt;MIN(F1701,J1701),"未回本",MAX(1,ROUNDUP(I1701/(G1701-H1701),0))))</x:f>
        <x:v>未回本</x:v>
      </x:c>
    </x:row>
    <x:row r="1702" ht="22" customHeight="1">
      <x:c r="A1702" s="11" t="str">
        <x:v>lade_0827_30aoi</x:v>
      </x:c>
      <x:c r="B1702" s="10" t="n">
        <x:v>30</x:v>
      </x:c>
      <x:c r="C1702" s="10" t="n">
        <x:v>42</x:v>
      </x:c>
      <x:c r="D1702" s="10" t="str">
        <x:v>M1 / M3</x:v>
      </x:c>
      <x:c r="E1702" s="16" t="n">
        <x:v>3</x:v>
      </x:c>
      <x:c r="F1702" s="14" t="n">
        <x:v>10</x:v>
      </x:c>
      <x:c r="G1702" s="26" t="n">
        <x:f>'成本明细'!U258+'成本明细'!G258*(E1702-'参数'!$B$6)</x:f>
        <x:v>3191.805392835</x:v>
      </x:c>
      <x:c r="H1702" s="26" t="n">
        <x:f>'成本明细'!U264</x:f>
        <x:v>4045.417735209445</x:v>
      </x:c>
      <x:c r="I1702" s="26" t="n">
        <x:f>'成本明细'!V264</x:f>
        <x:v>8687</x:v>
      </x:c>
      <x:c r="J1702" s="22" t="n">
        <x:f>'参数'!$B$9</x:f>
        <x:v>300</x:v>
      </x:c>
      <x:c r="K1702" s="26" t="n">
        <x:f>J1702*(G1702-H1702)-I1702*ROUNDUP(J1702/F1702,0)</x:f>
        <x:v>-516693.7027123334</x:v>
      </x:c>
      <x:c r="L1702" s="10" t="str">
        <x:f>IF(G1702-H1702&lt;=0,"未回本",IF(ROUNDUP(I1702/(G1702-H1702),0)&gt;MIN(F1702,J1702),"未回本",MAX(1,ROUNDUP(I1702/(G1702-H1702),0))))</x:f>
        <x:v>未回本</x:v>
      </x:c>
    </x:row>
    <x:row r="1703" ht="22" customHeight="1">
      <x:c r="A1703" s="11" t="str">
        <x:v>lade_0827_30aoi</x:v>
      </x:c>
      <x:c r="B1703" s="10" t="n">
        <x:v>30</x:v>
      </x:c>
      <x:c r="C1703" s="10" t="n">
        <x:v>42</x:v>
      </x:c>
      <x:c r="D1703" s="10" t="str">
        <x:v>M2 / M4</x:v>
      </x:c>
      <x:c r="E1703" s="16" t="n">
        <x:v>3</x:v>
      </x:c>
      <x:c r="F1703" s="14" t="n">
        <x:v>10</x:v>
      </x:c>
      <x:c r="G1703" s="26" t="n">
        <x:f>'成本明细'!U261+'成本明细'!G261*(E1703-'参数'!$B$6)</x:f>
        <x:v>3353.0916617127777</x:v>
      </x:c>
      <x:c r="H1703" s="26" t="n">
        <x:f>'成本明细'!U267</x:f>
        <x:v>4040.646875251111</x:v>
      </x:c>
      <x:c r="I1703" s="26" t="n">
        <x:f>'成本明细'!V267</x:f>
        <x:v>8687</x:v>
      </x:c>
      <x:c r="J1703" s="22" t="n">
        <x:f>'参数'!$B$9</x:f>
        <x:v>300</x:v>
      </x:c>
      <x:c r="K1703" s="26" t="n">
        <x:f>J1703*(G1703-H1703)-I1703*ROUNDUP(J1703/F1703,0)</x:f>
        <x:v>-466876.56406149996</x:v>
      </x:c>
      <x:c r="L1703" s="10" t="str">
        <x:f>IF(G1703-H1703&lt;=0,"未回本",IF(ROUNDUP(I1703/(G1703-H1703),0)&gt;MIN(F1703,J1703),"未回本",MAX(1,ROUNDUP(I1703/(G1703-H1703),0))))</x:f>
        <x:v>未回本</x:v>
      </x:c>
    </x:row>
    <x:row r="1704" ht="22" customHeight="1">
      <x:c r="A1704" s="11" t="str">
        <x:v>lade_0827_30aoi</x:v>
      </x:c>
      <x:c r="B1704" s="10" t="n">
        <x:v>30</x:v>
      </x:c>
      <x:c r="C1704" s="10" t="n">
        <x:v>42</x:v>
      </x:c>
      <x:c r="D1704" s="10" t="str">
        <x:v>M1 / M3</x:v>
      </x:c>
      <x:c r="E1704" s="16" t="n">
        <x:v>3</x:v>
      </x:c>
      <x:c r="F1704" s="14" t="n">
        <x:v>20</x:v>
      </x:c>
      <x:c r="G1704" s="26" t="n">
        <x:f>'成本明细'!U258+'成本明细'!G258*(E1704-'参数'!$B$6)</x:f>
        <x:v>3191.805392835</x:v>
      </x:c>
      <x:c r="H1704" s="26" t="n">
        <x:f>'成本明细'!U264</x:f>
        <x:v>4045.417735209445</x:v>
      </x:c>
      <x:c r="I1704" s="26" t="n">
        <x:f>'成本明细'!V264</x:f>
        <x:v>8687</x:v>
      </x:c>
      <x:c r="J1704" s="22" t="n">
        <x:f>'参数'!$B$9</x:f>
        <x:v>300</x:v>
      </x:c>
      <x:c r="K1704" s="26" t="n">
        <x:f>J1704*(G1704-H1704)-I1704*ROUNDUP(J1704/F1704,0)</x:f>
        <x:v>-386388.7027123334</x:v>
      </x:c>
      <x:c r="L1704" s="10" t="str">
        <x:f>IF(G1704-H1704&lt;=0,"未回本",IF(ROUNDUP(I1704/(G1704-H1704),0)&gt;MIN(F1704,J1704),"未回本",MAX(1,ROUNDUP(I1704/(G1704-H1704),0))))</x:f>
        <x:v>未回本</x:v>
      </x:c>
    </x:row>
    <x:row r="1705" ht="22" customHeight="1">
      <x:c r="A1705" s="11" t="str">
        <x:v>lade_0827_30aoi</x:v>
      </x:c>
      <x:c r="B1705" s="10" t="n">
        <x:v>30</x:v>
      </x:c>
      <x:c r="C1705" s="10" t="n">
        <x:v>42</x:v>
      </x:c>
      <x:c r="D1705" s="10" t="str">
        <x:v>M2 / M4</x:v>
      </x:c>
      <x:c r="E1705" s="16" t="n">
        <x:v>3</x:v>
      </x:c>
      <x:c r="F1705" s="14" t="n">
        <x:v>20</x:v>
      </x:c>
      <x:c r="G1705" s="26" t="n">
        <x:f>'成本明细'!U261+'成本明细'!G261*(E1705-'参数'!$B$6)</x:f>
        <x:v>3353.0916617127777</x:v>
      </x:c>
      <x:c r="H1705" s="26" t="n">
        <x:f>'成本明细'!U267</x:f>
        <x:v>4040.646875251111</x:v>
      </x:c>
      <x:c r="I1705" s="26" t="n">
        <x:f>'成本明细'!V267</x:f>
        <x:v>8687</x:v>
      </x:c>
      <x:c r="J1705" s="22" t="n">
        <x:f>'参数'!$B$9</x:f>
        <x:v>300</x:v>
      </x:c>
      <x:c r="K1705" s="26" t="n">
        <x:f>J1705*(G1705-H1705)-I1705*ROUNDUP(J1705/F1705,0)</x:f>
        <x:v>-336571.56406149996</x:v>
      </x:c>
      <x:c r="L1705" s="10" t="str">
        <x:f>IF(G1705-H1705&lt;=0,"未回本",IF(ROUNDUP(I1705/(G1705-H1705),0)&gt;MIN(F1705,J1705),"未回本",MAX(1,ROUNDUP(I1705/(G1705-H1705),0))))</x:f>
        <x:v>未回本</x:v>
      </x:c>
    </x:row>
    <x:row r="1706" ht="22" customHeight="1">
      <x:c r="A1706" s="11" t="str">
        <x:v>lade_0827_30aoi</x:v>
      </x:c>
      <x:c r="B1706" s="10" t="n">
        <x:v>30</x:v>
      </x:c>
      <x:c r="C1706" s="10" t="n">
        <x:v>42</x:v>
      </x:c>
      <x:c r="D1706" s="10" t="str">
        <x:v>M1 / M3</x:v>
      </x:c>
      <x:c r="E1706" s="16" t="n">
        <x:v>3</x:v>
      </x:c>
      <x:c r="F1706" s="14" t="n">
        <x:v>30</x:v>
      </x:c>
      <x:c r="G1706" s="26" t="n">
        <x:f>'成本明细'!U258+'成本明细'!G258*(E1706-'参数'!$B$6)</x:f>
        <x:v>3191.805392835</x:v>
      </x:c>
      <x:c r="H1706" s="26" t="n">
        <x:f>'成本明细'!U264</x:f>
        <x:v>4045.417735209445</x:v>
      </x:c>
      <x:c r="I1706" s="26" t="n">
        <x:f>'成本明细'!V264</x:f>
        <x:v>8687</x:v>
      </x:c>
      <x:c r="J1706" s="22" t="n">
        <x:f>'参数'!$B$9</x:f>
        <x:v>300</x:v>
      </x:c>
      <x:c r="K1706" s="26" t="n">
        <x:f>J1706*(G1706-H1706)-I1706*ROUNDUP(J1706/F1706,0)</x:f>
        <x:v>-342953.7027123334</x:v>
      </x:c>
      <x:c r="L1706" s="10" t="str">
        <x:f>IF(G1706-H1706&lt;=0,"未回本",IF(ROUNDUP(I1706/(G1706-H1706),0)&gt;MIN(F1706,J1706),"未回本",MAX(1,ROUNDUP(I1706/(G1706-H1706),0))))</x:f>
        <x:v>未回本</x:v>
      </x:c>
    </x:row>
    <x:row r="1707" ht="22" customHeight="1">
      <x:c r="A1707" s="11" t="str">
        <x:v>lade_0827_30aoi</x:v>
      </x:c>
      <x:c r="B1707" s="10" t="n">
        <x:v>30</x:v>
      </x:c>
      <x:c r="C1707" s="10" t="n">
        <x:v>42</x:v>
      </x:c>
      <x:c r="D1707" s="10" t="str">
        <x:v>M2 / M4</x:v>
      </x:c>
      <x:c r="E1707" s="16" t="n">
        <x:v>3</x:v>
      </x:c>
      <x:c r="F1707" s="14" t="n">
        <x:v>30</x:v>
      </x:c>
      <x:c r="G1707" s="26" t="n">
        <x:f>'成本明细'!U261+'成本明细'!G261*(E1707-'参数'!$B$6)</x:f>
        <x:v>3353.0916617127777</x:v>
      </x:c>
      <x:c r="H1707" s="26" t="n">
        <x:f>'成本明细'!U267</x:f>
        <x:v>4040.646875251111</x:v>
      </x:c>
      <x:c r="I1707" s="26" t="n">
        <x:f>'成本明细'!V267</x:f>
        <x:v>8687</x:v>
      </x:c>
      <x:c r="J1707" s="22" t="n">
        <x:f>'参数'!$B$9</x:f>
        <x:v>300</x:v>
      </x:c>
      <x:c r="K1707" s="26" t="n">
        <x:f>J1707*(G1707-H1707)-I1707*ROUNDUP(J1707/F1707,0)</x:f>
        <x:v>-293136.56406149996</x:v>
      </x:c>
      <x:c r="L1707" s="10" t="str">
        <x:f>IF(G1707-H1707&lt;=0,"未回本",IF(ROUNDUP(I1707/(G1707-H1707),0)&gt;MIN(F1707,J1707),"未回本",MAX(1,ROUNDUP(I1707/(G1707-H1707),0))))</x:f>
        <x:v>未回本</x:v>
      </x:c>
    </x:row>
    <x:row r="1708" ht="22" customHeight="1">
      <x:c r="A1708" s="11" t="str">
        <x:v>lade_0827_30aoi</x:v>
      </x:c>
      <x:c r="B1708" s="10" t="n">
        <x:v>30</x:v>
      </x:c>
      <x:c r="C1708" s="10" t="n">
        <x:v>42</x:v>
      </x:c>
      <x:c r="D1708" s="10" t="str">
        <x:v>M1 / M3</x:v>
      </x:c>
      <x:c r="E1708" s="16" t="n">
        <x:v>3</x:v>
      </x:c>
      <x:c r="F1708" s="14" t="n">
        <x:v>50</x:v>
      </x:c>
      <x:c r="G1708" s="26" t="n">
        <x:f>'成本明细'!U258+'成本明细'!G258*(E1708-'参数'!$B$6)</x:f>
        <x:v>3191.805392835</x:v>
      </x:c>
      <x:c r="H1708" s="26" t="n">
        <x:f>'成本明细'!U264</x:f>
        <x:v>4045.417735209445</x:v>
      </x:c>
      <x:c r="I1708" s="26" t="n">
        <x:f>'成本明细'!V264</x:f>
        <x:v>8687</x:v>
      </x:c>
      <x:c r="J1708" s="22" t="n">
        <x:f>'参数'!$B$9</x:f>
        <x:v>300</x:v>
      </x:c>
      <x:c r="K1708" s="26" t="n">
        <x:f>J1708*(G1708-H1708)-I1708*ROUNDUP(J1708/F1708,0)</x:f>
        <x:v>-308205.7027123334</x:v>
      </x:c>
      <x:c r="L1708" s="10" t="str">
        <x:f>IF(G1708-H1708&lt;=0,"未回本",IF(ROUNDUP(I1708/(G1708-H1708),0)&gt;MIN(F1708,J1708),"未回本",MAX(1,ROUNDUP(I1708/(G1708-H1708),0))))</x:f>
        <x:v>未回本</x:v>
      </x:c>
    </x:row>
    <x:row r="1709" ht="22" customHeight="1">
      <x:c r="A1709" s="11" t="str">
        <x:v>lade_0827_30aoi</x:v>
      </x:c>
      <x:c r="B1709" s="10" t="n">
        <x:v>30</x:v>
      </x:c>
      <x:c r="C1709" s="10" t="n">
        <x:v>42</x:v>
      </x:c>
      <x:c r="D1709" s="10" t="str">
        <x:v>M2 / M4</x:v>
      </x:c>
      <x:c r="E1709" s="16" t="n">
        <x:v>3</x:v>
      </x:c>
      <x:c r="F1709" s="14" t="n">
        <x:v>50</x:v>
      </x:c>
      <x:c r="G1709" s="26" t="n">
        <x:f>'成本明细'!U261+'成本明细'!G261*(E1709-'参数'!$B$6)</x:f>
        <x:v>3353.0916617127777</x:v>
      </x:c>
      <x:c r="H1709" s="26" t="n">
        <x:f>'成本明细'!U267</x:f>
        <x:v>4040.646875251111</x:v>
      </x:c>
      <x:c r="I1709" s="26" t="n">
        <x:f>'成本明细'!V267</x:f>
        <x:v>8687</x:v>
      </x:c>
      <x:c r="J1709" s="22" t="n">
        <x:f>'参数'!$B$9</x:f>
        <x:v>300</x:v>
      </x:c>
      <x:c r="K1709" s="26" t="n">
        <x:f>J1709*(G1709-H1709)-I1709*ROUNDUP(J1709/F1709,0)</x:f>
        <x:v>-258388.56406149996</x:v>
      </x:c>
      <x:c r="L1709" s="10" t="str">
        <x:f>IF(G1709-H1709&lt;=0,"未回本",IF(ROUNDUP(I1709/(G1709-H1709),0)&gt;MIN(F1709,J1709),"未回本",MAX(1,ROUNDUP(I1709/(G1709-H1709),0))))</x:f>
        <x:v>未回本</x:v>
      </x:c>
    </x:row>
    <x:row r="1710" ht="22" customHeight="1">
      <x:c r="A1710" s="11" t="str">
        <x:v>lade_0827_30aoi</x:v>
      </x:c>
      <x:c r="B1710" s="10" t="n">
        <x:v>30</x:v>
      </x:c>
      <x:c r="C1710" s="10" t="n">
        <x:v>42</x:v>
      </x:c>
      <x:c r="D1710" s="10" t="str">
        <x:v>M1 / M3</x:v>
      </x:c>
      <x:c r="E1710" s="16" t="n">
        <x:v>4</x:v>
      </x:c>
      <x:c r="F1710" s="14" t="n">
        <x:v>10</x:v>
      </x:c>
      <x:c r="G1710" s="26" t="n">
        <x:f>'成本明细'!U258+'成本明细'!G258*(E1710-'参数'!$B$6)</x:f>
        <x:v>3429.805392835</x:v>
      </x:c>
      <x:c r="H1710" s="26" t="n">
        <x:f>'成本明细'!U264</x:f>
        <x:v>4045.417735209445</x:v>
      </x:c>
      <x:c r="I1710" s="26" t="n">
        <x:f>'成本明细'!V264</x:f>
        <x:v>8687</x:v>
      </x:c>
      <x:c r="J1710" s="22" t="n">
        <x:f>'参数'!$B$9</x:f>
        <x:v>300</x:v>
      </x:c>
      <x:c r="K1710" s="26" t="n">
        <x:f>J1710*(G1710-H1710)-I1710*ROUNDUP(J1710/F1710,0)</x:f>
        <x:v>-445293.7027123334</x:v>
      </x:c>
      <x:c r="L1710" s="10" t="str">
        <x:f>IF(G1710-H1710&lt;=0,"未回本",IF(ROUNDUP(I1710/(G1710-H1710),0)&gt;MIN(F1710,J1710),"未回本",MAX(1,ROUNDUP(I1710/(G1710-H1710),0))))</x:f>
        <x:v>未回本</x:v>
      </x:c>
    </x:row>
    <x:row r="1711" ht="22" customHeight="1">
      <x:c r="A1711" s="11" t="str">
        <x:v>lade_0827_30aoi</x:v>
      </x:c>
      <x:c r="B1711" s="10" t="n">
        <x:v>30</x:v>
      </x:c>
      <x:c r="C1711" s="10" t="n">
        <x:v>42</x:v>
      </x:c>
      <x:c r="D1711" s="10" t="str">
        <x:v>M2 / M4</x:v>
      </x:c>
      <x:c r="E1711" s="16" t="n">
        <x:v>4</x:v>
      </x:c>
      <x:c r="F1711" s="14" t="n">
        <x:v>10</x:v>
      </x:c>
      <x:c r="G1711" s="26" t="n">
        <x:f>'成本明细'!U261+'成本明细'!G261*(E1711-'参数'!$B$6)</x:f>
        <x:v>3591.0916617127777</x:v>
      </x:c>
      <x:c r="H1711" s="26" t="n">
        <x:f>'成本明细'!U267</x:f>
        <x:v>4040.646875251111</x:v>
      </x:c>
      <x:c r="I1711" s="26" t="n">
        <x:f>'成本明细'!V267</x:f>
        <x:v>8687</x:v>
      </x:c>
      <x:c r="J1711" s="22" t="n">
        <x:f>'参数'!$B$9</x:f>
        <x:v>300</x:v>
      </x:c>
      <x:c r="K1711" s="26" t="n">
        <x:f>J1711*(G1711-H1711)-I1711*ROUNDUP(J1711/F1711,0)</x:f>
        <x:v>-395476.56406149996</x:v>
      </x:c>
      <x:c r="L1711" s="10" t="str">
        <x:f>IF(G1711-H1711&lt;=0,"未回本",IF(ROUNDUP(I1711/(G1711-H1711),0)&gt;MIN(F1711,J1711),"未回本",MAX(1,ROUNDUP(I1711/(G1711-H1711),0))))</x:f>
        <x:v>未回本</x:v>
      </x:c>
    </x:row>
    <x:row r="1712" ht="22" customHeight="1">
      <x:c r="A1712" s="11" t="str">
        <x:v>lade_0827_30aoi</x:v>
      </x:c>
      <x:c r="B1712" s="10" t="n">
        <x:v>30</x:v>
      </x:c>
      <x:c r="C1712" s="10" t="n">
        <x:v>42</x:v>
      </x:c>
      <x:c r="D1712" s="10" t="str">
        <x:v>M1 / M3</x:v>
      </x:c>
      <x:c r="E1712" s="16" t="n">
        <x:v>4</x:v>
      </x:c>
      <x:c r="F1712" s="14" t="n">
        <x:v>20</x:v>
      </x:c>
      <x:c r="G1712" s="26" t="n">
        <x:f>'成本明细'!U258+'成本明细'!G258*(E1712-'参数'!$B$6)</x:f>
        <x:v>3429.805392835</x:v>
      </x:c>
      <x:c r="H1712" s="26" t="n">
        <x:f>'成本明细'!U264</x:f>
        <x:v>4045.417735209445</x:v>
      </x:c>
      <x:c r="I1712" s="26" t="n">
        <x:f>'成本明细'!V264</x:f>
        <x:v>8687</x:v>
      </x:c>
      <x:c r="J1712" s="22" t="n">
        <x:f>'参数'!$B$9</x:f>
        <x:v>300</x:v>
      </x:c>
      <x:c r="K1712" s="26" t="n">
        <x:f>J1712*(G1712-H1712)-I1712*ROUNDUP(J1712/F1712,0)</x:f>
        <x:v>-314988.7027123334</x:v>
      </x:c>
      <x:c r="L1712" s="10" t="str">
        <x:f>IF(G1712-H1712&lt;=0,"未回本",IF(ROUNDUP(I1712/(G1712-H1712),0)&gt;MIN(F1712,J1712),"未回本",MAX(1,ROUNDUP(I1712/(G1712-H1712),0))))</x:f>
        <x:v>未回本</x:v>
      </x:c>
    </x:row>
    <x:row r="1713" ht="22" customHeight="1">
      <x:c r="A1713" s="11" t="str">
        <x:v>lade_0827_30aoi</x:v>
      </x:c>
      <x:c r="B1713" s="10" t="n">
        <x:v>30</x:v>
      </x:c>
      <x:c r="C1713" s="10" t="n">
        <x:v>42</x:v>
      </x:c>
      <x:c r="D1713" s="10" t="str">
        <x:v>M2 / M4</x:v>
      </x:c>
      <x:c r="E1713" s="16" t="n">
        <x:v>4</x:v>
      </x:c>
      <x:c r="F1713" s="14" t="n">
        <x:v>20</x:v>
      </x:c>
      <x:c r="G1713" s="26" t="n">
        <x:f>'成本明细'!U261+'成本明细'!G261*(E1713-'参数'!$B$6)</x:f>
        <x:v>3591.0916617127777</x:v>
      </x:c>
      <x:c r="H1713" s="26" t="n">
        <x:f>'成本明细'!U267</x:f>
        <x:v>4040.646875251111</x:v>
      </x:c>
      <x:c r="I1713" s="26" t="n">
        <x:f>'成本明细'!V267</x:f>
        <x:v>8687</x:v>
      </x:c>
      <x:c r="J1713" s="22" t="n">
        <x:f>'参数'!$B$9</x:f>
        <x:v>300</x:v>
      </x:c>
      <x:c r="K1713" s="26" t="n">
        <x:f>J1713*(G1713-H1713)-I1713*ROUNDUP(J1713/F1713,0)</x:f>
        <x:v>-265171.56406149996</x:v>
      </x:c>
      <x:c r="L1713" s="10" t="str">
        <x:f>IF(G1713-H1713&lt;=0,"未回本",IF(ROUNDUP(I1713/(G1713-H1713),0)&gt;MIN(F1713,J1713),"未回本",MAX(1,ROUNDUP(I1713/(G1713-H1713),0))))</x:f>
        <x:v>未回本</x:v>
      </x:c>
    </x:row>
    <x:row r="1714" ht="22" customHeight="1">
      <x:c r="A1714" s="11" t="str">
        <x:v>lade_0827_30aoi</x:v>
      </x:c>
      <x:c r="B1714" s="10" t="n">
        <x:v>30</x:v>
      </x:c>
      <x:c r="C1714" s="10" t="n">
        <x:v>42</x:v>
      </x:c>
      <x:c r="D1714" s="10" t="str">
        <x:v>M1 / M3</x:v>
      </x:c>
      <x:c r="E1714" s="16" t="n">
        <x:v>4</x:v>
      </x:c>
      <x:c r="F1714" s="14" t="n">
        <x:v>30</x:v>
      </x:c>
      <x:c r="G1714" s="26" t="n">
        <x:f>'成本明细'!U258+'成本明细'!G258*(E1714-'参数'!$B$6)</x:f>
        <x:v>3429.805392835</x:v>
      </x:c>
      <x:c r="H1714" s="26" t="n">
        <x:f>'成本明细'!U264</x:f>
        <x:v>4045.417735209445</x:v>
      </x:c>
      <x:c r="I1714" s="26" t="n">
        <x:f>'成本明细'!V264</x:f>
        <x:v>8687</x:v>
      </x:c>
      <x:c r="J1714" s="22" t="n">
        <x:f>'参数'!$B$9</x:f>
        <x:v>300</x:v>
      </x:c>
      <x:c r="K1714" s="26" t="n">
        <x:f>J1714*(G1714-H1714)-I1714*ROUNDUP(J1714/F1714,0)</x:f>
        <x:v>-271553.7027123334</x:v>
      </x:c>
      <x:c r="L1714" s="10" t="str">
        <x:f>IF(G1714-H1714&lt;=0,"未回本",IF(ROUNDUP(I1714/(G1714-H1714),0)&gt;MIN(F1714,J1714),"未回本",MAX(1,ROUNDUP(I1714/(G1714-H1714),0))))</x:f>
        <x:v>未回本</x:v>
      </x:c>
    </x:row>
    <x:row r="1715" ht="22" customHeight="1">
      <x:c r="A1715" s="11" t="str">
        <x:v>lade_0827_30aoi</x:v>
      </x:c>
      <x:c r="B1715" s="10" t="n">
        <x:v>30</x:v>
      </x:c>
      <x:c r="C1715" s="10" t="n">
        <x:v>42</x:v>
      </x:c>
      <x:c r="D1715" s="10" t="str">
        <x:v>M2 / M4</x:v>
      </x:c>
      <x:c r="E1715" s="16" t="n">
        <x:v>4</x:v>
      </x:c>
      <x:c r="F1715" s="14" t="n">
        <x:v>30</x:v>
      </x:c>
      <x:c r="G1715" s="26" t="n">
        <x:f>'成本明细'!U261+'成本明细'!G261*(E1715-'参数'!$B$6)</x:f>
        <x:v>3591.0916617127777</x:v>
      </x:c>
      <x:c r="H1715" s="26" t="n">
        <x:f>'成本明细'!U267</x:f>
        <x:v>4040.646875251111</x:v>
      </x:c>
      <x:c r="I1715" s="26" t="n">
        <x:f>'成本明细'!V267</x:f>
        <x:v>8687</x:v>
      </x:c>
      <x:c r="J1715" s="22" t="n">
        <x:f>'参数'!$B$9</x:f>
        <x:v>300</x:v>
      </x:c>
      <x:c r="K1715" s="26" t="n">
        <x:f>J1715*(G1715-H1715)-I1715*ROUNDUP(J1715/F1715,0)</x:f>
        <x:v>-221736.56406149996</x:v>
      </x:c>
      <x:c r="L1715" s="10" t="str">
        <x:f>IF(G1715-H1715&lt;=0,"未回本",IF(ROUNDUP(I1715/(G1715-H1715),0)&gt;MIN(F1715,J1715),"未回本",MAX(1,ROUNDUP(I1715/(G1715-H1715),0))))</x:f>
        <x:v>未回本</x:v>
      </x:c>
    </x:row>
    <x:row r="1716" ht="22" customHeight="1">
      <x:c r="A1716" s="11" t="str">
        <x:v>lade_0827_30aoi</x:v>
      </x:c>
      <x:c r="B1716" s="10" t="n">
        <x:v>30</x:v>
      </x:c>
      <x:c r="C1716" s="10" t="n">
        <x:v>42</x:v>
      </x:c>
      <x:c r="D1716" s="10" t="str">
        <x:v>M1 / M3</x:v>
      </x:c>
      <x:c r="E1716" s="16" t="n">
        <x:v>4</x:v>
      </x:c>
      <x:c r="F1716" s="14" t="n">
        <x:v>50</x:v>
      </x:c>
      <x:c r="G1716" s="26" t="n">
        <x:f>'成本明细'!U258+'成本明细'!G258*(E1716-'参数'!$B$6)</x:f>
        <x:v>3429.805392835</x:v>
      </x:c>
      <x:c r="H1716" s="26" t="n">
        <x:f>'成本明细'!U264</x:f>
        <x:v>4045.417735209445</x:v>
      </x:c>
      <x:c r="I1716" s="26" t="n">
        <x:f>'成本明细'!V264</x:f>
        <x:v>8687</x:v>
      </x:c>
      <x:c r="J1716" s="22" t="n">
        <x:f>'参数'!$B$9</x:f>
        <x:v>300</x:v>
      </x:c>
      <x:c r="K1716" s="26" t="n">
        <x:f>J1716*(G1716-H1716)-I1716*ROUNDUP(J1716/F1716,0)</x:f>
        <x:v>-236805.70271233344</x:v>
      </x:c>
      <x:c r="L1716" s="10" t="str">
        <x:f>IF(G1716-H1716&lt;=0,"未回本",IF(ROUNDUP(I1716/(G1716-H1716),0)&gt;MIN(F1716,J1716),"未回本",MAX(1,ROUNDUP(I1716/(G1716-H1716),0))))</x:f>
        <x:v>未回本</x:v>
      </x:c>
    </x:row>
    <x:row r="1717" ht="22" customHeight="1">
      <x:c r="A1717" s="11" t="str">
        <x:v>lade_0827_30aoi</x:v>
      </x:c>
      <x:c r="B1717" s="10" t="n">
        <x:v>30</x:v>
      </x:c>
      <x:c r="C1717" s="10" t="n">
        <x:v>42</x:v>
      </x:c>
      <x:c r="D1717" s="10" t="str">
        <x:v>M2 / M4</x:v>
      </x:c>
      <x:c r="E1717" s="16" t="n">
        <x:v>4</x:v>
      </x:c>
      <x:c r="F1717" s="14" t="n">
        <x:v>50</x:v>
      </x:c>
      <x:c r="G1717" s="26" t="n">
        <x:f>'成本明细'!U261+'成本明细'!G261*(E1717-'参数'!$B$6)</x:f>
        <x:v>3591.0916617127777</x:v>
      </x:c>
      <x:c r="H1717" s="26" t="n">
        <x:f>'成本明细'!U267</x:f>
        <x:v>4040.646875251111</x:v>
      </x:c>
      <x:c r="I1717" s="26" t="n">
        <x:f>'成本明细'!V267</x:f>
        <x:v>8687</x:v>
      </x:c>
      <x:c r="J1717" s="22" t="n">
        <x:f>'参数'!$B$9</x:f>
        <x:v>300</x:v>
      </x:c>
      <x:c r="K1717" s="26" t="n">
        <x:f>J1717*(G1717-H1717)-I1717*ROUNDUP(J1717/F1717,0)</x:f>
        <x:v>-186988.56406149996</x:v>
      </x:c>
      <x:c r="L1717" s="10" t="str">
        <x:f>IF(G1717-H1717&lt;=0,"未回本",IF(ROUNDUP(I1717/(G1717-H1717),0)&gt;MIN(F1717,J1717),"未回本",MAX(1,ROUNDUP(I1717/(G1717-H1717),0))))</x:f>
        <x:v>未回本</x:v>
      </x:c>
    </x:row>
    <x:row r="1718" ht="22" customHeight="1">
      <x:c r="A1718" s="11" t="str">
        <x:v>lade_0827_30aoi</x:v>
      </x:c>
      <x:c r="B1718" s="10" t="n">
        <x:v>30</x:v>
      </x:c>
      <x:c r="C1718" s="10" t="n">
        <x:v>42</x:v>
      </x:c>
      <x:c r="D1718" s="10" t="str">
        <x:v>M1 / M3</x:v>
      </x:c>
      <x:c r="E1718" s="16" t="n">
        <x:v>5</x:v>
      </x:c>
      <x:c r="F1718" s="14" t="n">
        <x:v>10</x:v>
      </x:c>
      <x:c r="G1718" s="26" t="n">
        <x:f>'成本明细'!U258+'成本明细'!G258*(E1718-'参数'!$B$6)</x:f>
        <x:v>3667.805392835</x:v>
      </x:c>
      <x:c r="H1718" s="26" t="n">
        <x:f>'成本明细'!U264</x:f>
        <x:v>4045.417735209445</x:v>
      </x:c>
      <x:c r="I1718" s="26" t="n">
        <x:f>'成本明细'!V264</x:f>
        <x:v>8687</x:v>
      </x:c>
      <x:c r="J1718" s="22" t="n">
        <x:f>'参数'!$B$9</x:f>
        <x:v>300</x:v>
      </x:c>
      <x:c r="K1718" s="26" t="n">
        <x:f>J1718*(G1718-H1718)-I1718*ROUNDUP(J1718/F1718,0)</x:f>
        <x:v>-373893.7027123334</x:v>
      </x:c>
      <x:c r="L1718" s="10" t="str">
        <x:f>IF(G1718-H1718&lt;=0,"未回本",IF(ROUNDUP(I1718/(G1718-H1718),0)&gt;MIN(F1718,J1718),"未回本",MAX(1,ROUNDUP(I1718/(G1718-H1718),0))))</x:f>
        <x:v>未回本</x:v>
      </x:c>
    </x:row>
    <x:row r="1719" ht="22" customHeight="1">
      <x:c r="A1719" s="11" t="str">
        <x:v>lade_0827_30aoi</x:v>
      </x:c>
      <x:c r="B1719" s="10" t="n">
        <x:v>30</x:v>
      </x:c>
      <x:c r="C1719" s="10" t="n">
        <x:v>42</x:v>
      </x:c>
      <x:c r="D1719" s="10" t="str">
        <x:v>M2 / M4</x:v>
      </x:c>
      <x:c r="E1719" s="16" t="n">
        <x:v>5</x:v>
      </x:c>
      <x:c r="F1719" s="14" t="n">
        <x:v>10</x:v>
      </x:c>
      <x:c r="G1719" s="26" t="n">
        <x:f>'成本明细'!U261+'成本明细'!G261*(E1719-'参数'!$B$6)</x:f>
        <x:v>3829.0916617127777</x:v>
      </x:c>
      <x:c r="H1719" s="26" t="n">
        <x:f>'成本明细'!U267</x:f>
        <x:v>4040.646875251111</x:v>
      </x:c>
      <x:c r="I1719" s="26" t="n">
        <x:f>'成本明细'!V267</x:f>
        <x:v>8687</x:v>
      </x:c>
      <x:c r="J1719" s="22" t="n">
        <x:f>'参数'!$B$9</x:f>
        <x:v>300</x:v>
      </x:c>
      <x:c r="K1719" s="26" t="n">
        <x:f>J1719*(G1719-H1719)-I1719*ROUNDUP(J1719/F1719,0)</x:f>
        <x:v>-324076.56406149996</x:v>
      </x:c>
      <x:c r="L1719" s="10" t="str">
        <x:f>IF(G1719-H1719&lt;=0,"未回本",IF(ROUNDUP(I1719/(G1719-H1719),0)&gt;MIN(F1719,J1719),"未回本",MAX(1,ROUNDUP(I1719/(G1719-H1719),0))))</x:f>
        <x:v>未回本</x:v>
      </x:c>
    </x:row>
    <x:row r="1720" ht="22" customHeight="1">
      <x:c r="A1720" s="11" t="str">
        <x:v>lade_0827_30aoi</x:v>
      </x:c>
      <x:c r="B1720" s="10" t="n">
        <x:v>30</x:v>
      </x:c>
      <x:c r="C1720" s="10" t="n">
        <x:v>42</x:v>
      </x:c>
      <x:c r="D1720" s="10" t="str">
        <x:v>M1 / M3</x:v>
      </x:c>
      <x:c r="E1720" s="16" t="n">
        <x:v>5</x:v>
      </x:c>
      <x:c r="F1720" s="14" t="n">
        <x:v>20</x:v>
      </x:c>
      <x:c r="G1720" s="26" t="n">
        <x:f>'成本明细'!U258+'成本明细'!G258*(E1720-'参数'!$B$6)</x:f>
        <x:v>3667.805392835</x:v>
      </x:c>
      <x:c r="H1720" s="26" t="n">
        <x:f>'成本明细'!U264</x:f>
        <x:v>4045.417735209445</x:v>
      </x:c>
      <x:c r="I1720" s="26" t="n">
        <x:f>'成本明细'!V264</x:f>
        <x:v>8687</x:v>
      </x:c>
      <x:c r="J1720" s="22" t="n">
        <x:f>'参数'!$B$9</x:f>
        <x:v>300</x:v>
      </x:c>
      <x:c r="K1720" s="26" t="n">
        <x:f>J1720*(G1720-H1720)-I1720*ROUNDUP(J1720/F1720,0)</x:f>
        <x:v>-243588.70271233344</x:v>
      </x:c>
      <x:c r="L1720" s="10" t="str">
        <x:f>IF(G1720-H1720&lt;=0,"未回本",IF(ROUNDUP(I1720/(G1720-H1720),0)&gt;MIN(F1720,J1720),"未回本",MAX(1,ROUNDUP(I1720/(G1720-H1720),0))))</x:f>
        <x:v>未回本</x:v>
      </x:c>
    </x:row>
    <x:row r="1721" ht="22" customHeight="1">
      <x:c r="A1721" s="11" t="str">
        <x:v>lade_0827_30aoi</x:v>
      </x:c>
      <x:c r="B1721" s="10" t="n">
        <x:v>30</x:v>
      </x:c>
      <x:c r="C1721" s="10" t="n">
        <x:v>42</x:v>
      </x:c>
      <x:c r="D1721" s="10" t="str">
        <x:v>M2 / M4</x:v>
      </x:c>
      <x:c r="E1721" s="16" t="n">
        <x:v>5</x:v>
      </x:c>
      <x:c r="F1721" s="14" t="n">
        <x:v>20</x:v>
      </x:c>
      <x:c r="G1721" s="26" t="n">
        <x:f>'成本明细'!U261+'成本明细'!G261*(E1721-'参数'!$B$6)</x:f>
        <x:v>3829.0916617127777</x:v>
      </x:c>
      <x:c r="H1721" s="26" t="n">
        <x:f>'成本明细'!U267</x:f>
        <x:v>4040.646875251111</x:v>
      </x:c>
      <x:c r="I1721" s="26" t="n">
        <x:f>'成本明细'!V267</x:f>
        <x:v>8687</x:v>
      </x:c>
      <x:c r="J1721" s="22" t="n">
        <x:f>'参数'!$B$9</x:f>
        <x:v>300</x:v>
      </x:c>
      <x:c r="K1721" s="26" t="n">
        <x:f>J1721*(G1721-H1721)-I1721*ROUNDUP(J1721/F1721,0)</x:f>
        <x:v>-193771.56406149996</x:v>
      </x:c>
      <x:c r="L1721" s="10" t="str">
        <x:f>IF(G1721-H1721&lt;=0,"未回本",IF(ROUNDUP(I1721/(G1721-H1721),0)&gt;MIN(F1721,J1721),"未回本",MAX(1,ROUNDUP(I1721/(G1721-H1721),0))))</x:f>
        <x:v>未回本</x:v>
      </x:c>
    </x:row>
    <x:row r="1722" ht="22" customHeight="1">
      <x:c r="A1722" s="11" t="str">
        <x:v>lade_0827_30aoi</x:v>
      </x:c>
      <x:c r="B1722" s="10" t="n">
        <x:v>30</x:v>
      </x:c>
      <x:c r="C1722" s="10" t="n">
        <x:v>42</x:v>
      </x:c>
      <x:c r="D1722" s="10" t="str">
        <x:v>M1 / M3</x:v>
      </x:c>
      <x:c r="E1722" s="16" t="n">
        <x:v>5</x:v>
      </x:c>
      <x:c r="F1722" s="14" t="n">
        <x:v>30</x:v>
      </x:c>
      <x:c r="G1722" s="26" t="n">
        <x:f>'成本明细'!U258+'成本明细'!G258*(E1722-'参数'!$B$6)</x:f>
        <x:v>3667.805392835</x:v>
      </x:c>
      <x:c r="H1722" s="26" t="n">
        <x:f>'成本明细'!U264</x:f>
        <x:v>4045.417735209445</x:v>
      </x:c>
      <x:c r="I1722" s="26" t="n">
        <x:f>'成本明细'!V264</x:f>
        <x:v>8687</x:v>
      </x:c>
      <x:c r="J1722" s="22" t="n">
        <x:f>'参数'!$B$9</x:f>
        <x:v>300</x:v>
      </x:c>
      <x:c r="K1722" s="26" t="n">
        <x:f>J1722*(G1722-H1722)-I1722*ROUNDUP(J1722/F1722,0)</x:f>
        <x:v>-200153.70271233344</x:v>
      </x:c>
      <x:c r="L1722" s="10" t="str">
        <x:f>IF(G1722-H1722&lt;=0,"未回本",IF(ROUNDUP(I1722/(G1722-H1722),0)&gt;MIN(F1722,J1722),"未回本",MAX(1,ROUNDUP(I1722/(G1722-H1722),0))))</x:f>
        <x:v>未回本</x:v>
      </x:c>
    </x:row>
    <x:row r="1723" ht="22" customHeight="1">
      <x:c r="A1723" s="11" t="str">
        <x:v>lade_0827_30aoi</x:v>
      </x:c>
      <x:c r="B1723" s="10" t="n">
        <x:v>30</x:v>
      </x:c>
      <x:c r="C1723" s="10" t="n">
        <x:v>42</x:v>
      </x:c>
      <x:c r="D1723" s="10" t="str">
        <x:v>M2 / M4</x:v>
      </x:c>
      <x:c r="E1723" s="16" t="n">
        <x:v>5</x:v>
      </x:c>
      <x:c r="F1723" s="14" t="n">
        <x:v>30</x:v>
      </x:c>
      <x:c r="G1723" s="26" t="n">
        <x:f>'成本明细'!U261+'成本明细'!G261*(E1723-'参数'!$B$6)</x:f>
        <x:v>3829.0916617127777</x:v>
      </x:c>
      <x:c r="H1723" s="26" t="n">
        <x:f>'成本明细'!U267</x:f>
        <x:v>4040.646875251111</x:v>
      </x:c>
      <x:c r="I1723" s="26" t="n">
        <x:f>'成本明细'!V267</x:f>
        <x:v>8687</x:v>
      </x:c>
      <x:c r="J1723" s="22" t="n">
        <x:f>'参数'!$B$9</x:f>
        <x:v>300</x:v>
      </x:c>
      <x:c r="K1723" s="26" t="n">
        <x:f>J1723*(G1723-H1723)-I1723*ROUNDUP(J1723/F1723,0)</x:f>
        <x:v>-150336.56406149996</x:v>
      </x:c>
      <x:c r="L1723" s="10" t="str">
        <x:f>IF(G1723-H1723&lt;=0,"未回本",IF(ROUNDUP(I1723/(G1723-H1723),0)&gt;MIN(F1723,J1723),"未回本",MAX(1,ROUNDUP(I1723/(G1723-H1723),0))))</x:f>
        <x:v>未回本</x:v>
      </x:c>
    </x:row>
    <x:row r="1724" ht="22" customHeight="1">
      <x:c r="A1724" s="11" t="str">
        <x:v>lade_0827_30aoi</x:v>
      </x:c>
      <x:c r="B1724" s="10" t="n">
        <x:v>30</x:v>
      </x:c>
      <x:c r="C1724" s="10" t="n">
        <x:v>42</x:v>
      </x:c>
      <x:c r="D1724" s="10" t="str">
        <x:v>M1 / M3</x:v>
      </x:c>
      <x:c r="E1724" s="16" t="n">
        <x:v>5</x:v>
      </x:c>
      <x:c r="F1724" s="14" t="n">
        <x:v>50</x:v>
      </x:c>
      <x:c r="G1724" s="26" t="n">
        <x:f>'成本明细'!U258+'成本明细'!G258*(E1724-'参数'!$B$6)</x:f>
        <x:v>3667.805392835</x:v>
      </x:c>
      <x:c r="H1724" s="26" t="n">
        <x:f>'成本明细'!U264</x:f>
        <x:v>4045.417735209445</x:v>
      </x:c>
      <x:c r="I1724" s="26" t="n">
        <x:f>'成本明细'!V264</x:f>
        <x:v>8687</x:v>
      </x:c>
      <x:c r="J1724" s="22" t="n">
        <x:f>'参数'!$B$9</x:f>
        <x:v>300</x:v>
      </x:c>
      <x:c r="K1724" s="26" t="n">
        <x:f>J1724*(G1724-H1724)-I1724*ROUNDUP(J1724/F1724,0)</x:f>
        <x:v>-165405.70271233344</x:v>
      </x:c>
      <x:c r="L1724" s="10" t="str">
        <x:f>IF(G1724-H1724&lt;=0,"未回本",IF(ROUNDUP(I1724/(G1724-H1724),0)&gt;MIN(F1724,J1724),"未回本",MAX(1,ROUNDUP(I1724/(G1724-H1724),0))))</x:f>
        <x:v>未回本</x:v>
      </x:c>
    </x:row>
    <x:row r="1725" ht="22" customHeight="1">
      <x:c r="A1725" s="11" t="str">
        <x:v>lade_0827_30aoi</x:v>
      </x:c>
      <x:c r="B1725" s="10" t="n">
        <x:v>30</x:v>
      </x:c>
      <x:c r="C1725" s="10" t="n">
        <x:v>42</x:v>
      </x:c>
      <x:c r="D1725" s="10" t="str">
        <x:v>M2 / M4</x:v>
      </x:c>
      <x:c r="E1725" s="16" t="n">
        <x:v>5</x:v>
      </x:c>
      <x:c r="F1725" s="14" t="n">
        <x:v>50</x:v>
      </x:c>
      <x:c r="G1725" s="26" t="n">
        <x:f>'成本明细'!U261+'成本明细'!G261*(E1725-'参数'!$B$6)</x:f>
        <x:v>3829.0916617127777</x:v>
      </x:c>
      <x:c r="H1725" s="26" t="n">
        <x:f>'成本明细'!U267</x:f>
        <x:v>4040.646875251111</x:v>
      </x:c>
      <x:c r="I1725" s="26" t="n">
        <x:f>'成本明细'!V267</x:f>
        <x:v>8687</x:v>
      </x:c>
      <x:c r="J1725" s="22" t="n">
        <x:f>'参数'!$B$9</x:f>
        <x:v>300</x:v>
      </x:c>
      <x:c r="K1725" s="26" t="n">
        <x:f>J1725*(G1725-H1725)-I1725*ROUNDUP(J1725/F1725,0)</x:f>
        <x:v>-115588.56406149996</x:v>
      </x:c>
      <x:c r="L1725" s="10" t="str">
        <x:f>IF(G1725-H1725&lt;=0,"未回本",IF(ROUNDUP(I1725/(G1725-H1725),0)&gt;MIN(F1725,J1725),"未回本",MAX(1,ROUNDUP(I1725/(G1725-H1725),0))))</x:f>
        <x:v>未回本</x:v>
      </x:c>
    </x:row>
    <x:row r="1726" ht="22" customHeight="1">
      <x:c r="A1726" s="11" t="str">
        <x:v>lade_0827_30aoi</x:v>
      </x:c>
      <x:c r="B1726" s="10" t="n">
        <x:v>30</x:v>
      </x:c>
      <x:c r="C1726" s="10" t="n">
        <x:v>43</x:v>
      </x:c>
      <x:c r="D1726" s="10" t="str">
        <x:v>M1 / M3</x:v>
      </x:c>
      <x:c r="E1726" s="16" t="n">
        <x:v>1</x:v>
      </x:c>
      <x:c r="F1726" s="14" t="n">
        <x:v>10</x:v>
      </x:c>
      <x:c r="G1726" s="26" t="n">
        <x:f>'成本明细'!U259+'成本明细'!G259*(E1726-'参数'!$B$6)</x:f>
        <x:v>2550.5807109494444</x:v>
      </x:c>
      <x:c r="H1726" s="26" t="n">
        <x:f>'成本明细'!U265</x:f>
        <x:v>4017.009675363334</x:v>
      </x:c>
      <x:c r="I1726" s="26" t="n">
        <x:f>'成本明细'!V265</x:f>
        <x:v>8687</x:v>
      </x:c>
      <x:c r="J1726" s="22" t="n">
        <x:f>'参数'!$B$9</x:f>
        <x:v>300</x:v>
      </x:c>
      <x:c r="K1726" s="26" t="n">
        <x:f>J1726*(G1726-H1726)-I1726*ROUNDUP(J1726/F1726,0)</x:f>
        <x:v>-700538.6893241669</x:v>
      </x:c>
      <x:c r="L1726" s="10" t="str">
        <x:f>IF(G1726-H1726&lt;=0,"未回本",IF(ROUNDUP(I1726/(G1726-H1726),0)&gt;MIN(F1726,J1726),"未回本",MAX(1,ROUNDUP(I1726/(G1726-H1726),0))))</x:f>
        <x:v>未回本</x:v>
      </x:c>
    </x:row>
    <x:row r="1727" ht="22" customHeight="1">
      <x:c r="A1727" s="11" t="str">
        <x:v>lade_0827_30aoi</x:v>
      </x:c>
      <x:c r="B1727" s="10" t="n">
        <x:v>30</x:v>
      </x:c>
      <x:c r="C1727" s="10" t="n">
        <x:v>43</x:v>
      </x:c>
      <x:c r="D1727" s="10" t="str">
        <x:v>M2 / M4</x:v>
      </x:c>
      <x:c r="E1727" s="16" t="n">
        <x:v>1</x:v>
      </x:c>
      <x:c r="F1727" s="14" t="n">
        <x:v>10</x:v>
      </x:c>
      <x:c r="G1727" s="26" t="n">
        <x:f>'成本明细'!U262+'成本明细'!G262*(E1727-'参数'!$B$6)</x:f>
        <x:v>2096.096409761667</x:v>
      </x:c>
      <x:c r="H1727" s="26" t="n">
        <x:f>'成本明细'!U268</x:f>
        <x:v>4045.282608119445</x:v>
      </x:c>
      <x:c r="I1727" s="26" t="n">
        <x:f>'成本明细'!V268</x:f>
        <x:v>8687</x:v>
      </x:c>
      <x:c r="J1727" s="22" t="n">
        <x:f>'参数'!$B$9</x:f>
        <x:v>300</x:v>
      </x:c>
      <x:c r="K1727" s="26" t="n">
        <x:f>J1727*(G1727-H1727)-I1727*ROUNDUP(J1727/F1727,0)</x:f>
        <x:v>-845365.8595073334</x:v>
      </x:c>
      <x:c r="L1727" s="10" t="str">
        <x:f>IF(G1727-H1727&lt;=0,"未回本",IF(ROUNDUP(I1727/(G1727-H1727),0)&gt;MIN(F1727,J1727),"未回本",MAX(1,ROUNDUP(I1727/(G1727-H1727),0))))</x:f>
        <x:v>未回本</x:v>
      </x:c>
    </x:row>
    <x:row r="1728" ht="22" customHeight="1">
      <x:c r="A1728" s="11" t="str">
        <x:v>lade_0827_30aoi</x:v>
      </x:c>
      <x:c r="B1728" s="10" t="n">
        <x:v>30</x:v>
      </x:c>
      <x:c r="C1728" s="10" t="n">
        <x:v>43</x:v>
      </x:c>
      <x:c r="D1728" s="10" t="str">
        <x:v>M1 / M3</x:v>
      </x:c>
      <x:c r="E1728" s="16" t="n">
        <x:v>1</x:v>
      </x:c>
      <x:c r="F1728" s="14" t="n">
        <x:v>20</x:v>
      </x:c>
      <x:c r="G1728" s="26" t="n">
        <x:f>'成本明细'!U259+'成本明细'!G259*(E1728-'参数'!$B$6)</x:f>
        <x:v>2550.5807109494444</x:v>
      </x:c>
      <x:c r="H1728" s="26" t="n">
        <x:f>'成本明细'!U265</x:f>
        <x:v>4017.009675363334</x:v>
      </x:c>
      <x:c r="I1728" s="26" t="n">
        <x:f>'成本明细'!V265</x:f>
        <x:v>8687</x:v>
      </x:c>
      <x:c r="J1728" s="22" t="n">
        <x:f>'参数'!$B$9</x:f>
        <x:v>300</x:v>
      </x:c>
      <x:c r="K1728" s="26" t="n">
        <x:f>J1728*(G1728-H1728)-I1728*ROUNDUP(J1728/F1728,0)</x:f>
        <x:v>-570233.6893241669</x:v>
      </x:c>
      <x:c r="L1728" s="10" t="str">
        <x:f>IF(G1728-H1728&lt;=0,"未回本",IF(ROUNDUP(I1728/(G1728-H1728),0)&gt;MIN(F1728,J1728),"未回本",MAX(1,ROUNDUP(I1728/(G1728-H1728),0))))</x:f>
        <x:v>未回本</x:v>
      </x:c>
    </x:row>
    <x:row r="1729" ht="22" customHeight="1">
      <x:c r="A1729" s="11" t="str">
        <x:v>lade_0827_30aoi</x:v>
      </x:c>
      <x:c r="B1729" s="10" t="n">
        <x:v>30</x:v>
      </x:c>
      <x:c r="C1729" s="10" t="n">
        <x:v>43</x:v>
      </x:c>
      <x:c r="D1729" s="10" t="str">
        <x:v>M2 / M4</x:v>
      </x:c>
      <x:c r="E1729" s="16" t="n">
        <x:v>1</x:v>
      </x:c>
      <x:c r="F1729" s="14" t="n">
        <x:v>20</x:v>
      </x:c>
      <x:c r="G1729" s="26" t="n">
        <x:f>'成本明细'!U262+'成本明细'!G262*(E1729-'参数'!$B$6)</x:f>
        <x:v>2096.096409761667</x:v>
      </x:c>
      <x:c r="H1729" s="26" t="n">
        <x:f>'成本明细'!U268</x:f>
        <x:v>4045.282608119445</x:v>
      </x:c>
      <x:c r="I1729" s="26" t="n">
        <x:f>'成本明细'!V268</x:f>
        <x:v>8687</x:v>
      </x:c>
      <x:c r="J1729" s="22" t="n">
        <x:f>'参数'!$B$9</x:f>
        <x:v>300</x:v>
      </x:c>
      <x:c r="K1729" s="26" t="n">
        <x:f>J1729*(G1729-H1729)-I1729*ROUNDUP(J1729/F1729,0)</x:f>
        <x:v>-715060.8595073334</x:v>
      </x:c>
      <x:c r="L1729" s="10" t="str">
        <x:f>IF(G1729-H1729&lt;=0,"未回本",IF(ROUNDUP(I1729/(G1729-H1729),0)&gt;MIN(F1729,J1729),"未回本",MAX(1,ROUNDUP(I1729/(G1729-H1729),0))))</x:f>
        <x:v>未回本</x:v>
      </x:c>
    </x:row>
    <x:row r="1730" ht="22" customHeight="1">
      <x:c r="A1730" s="11" t="str">
        <x:v>lade_0827_30aoi</x:v>
      </x:c>
      <x:c r="B1730" s="10" t="n">
        <x:v>30</x:v>
      </x:c>
      <x:c r="C1730" s="10" t="n">
        <x:v>43</x:v>
      </x:c>
      <x:c r="D1730" s="10" t="str">
        <x:v>M1 / M3</x:v>
      </x:c>
      <x:c r="E1730" s="16" t="n">
        <x:v>1</x:v>
      </x:c>
      <x:c r="F1730" s="14" t="n">
        <x:v>30</x:v>
      </x:c>
      <x:c r="G1730" s="26" t="n">
        <x:f>'成本明细'!U259+'成本明细'!G259*(E1730-'参数'!$B$6)</x:f>
        <x:v>2550.5807109494444</x:v>
      </x:c>
      <x:c r="H1730" s="26" t="n">
        <x:f>'成本明细'!U265</x:f>
        <x:v>4017.009675363334</x:v>
      </x:c>
      <x:c r="I1730" s="26" t="n">
        <x:f>'成本明细'!V265</x:f>
        <x:v>8687</x:v>
      </x:c>
      <x:c r="J1730" s="22" t="n">
        <x:f>'参数'!$B$9</x:f>
        <x:v>300</x:v>
      </x:c>
      <x:c r="K1730" s="26" t="n">
        <x:f>J1730*(G1730-H1730)-I1730*ROUNDUP(J1730/F1730,0)</x:f>
        <x:v>-526798.6893241669</x:v>
      </x:c>
      <x:c r="L1730" s="10" t="str">
        <x:f>IF(G1730-H1730&lt;=0,"未回本",IF(ROUNDUP(I1730/(G1730-H1730),0)&gt;MIN(F1730,J1730),"未回本",MAX(1,ROUNDUP(I1730/(G1730-H1730),0))))</x:f>
        <x:v>未回本</x:v>
      </x:c>
    </x:row>
    <x:row r="1731" ht="22" customHeight="1">
      <x:c r="A1731" s="11" t="str">
        <x:v>lade_0827_30aoi</x:v>
      </x:c>
      <x:c r="B1731" s="10" t="n">
        <x:v>30</x:v>
      </x:c>
      <x:c r="C1731" s="10" t="n">
        <x:v>43</x:v>
      </x:c>
      <x:c r="D1731" s="10" t="str">
        <x:v>M2 / M4</x:v>
      </x:c>
      <x:c r="E1731" s="16" t="n">
        <x:v>1</x:v>
      </x:c>
      <x:c r="F1731" s="14" t="n">
        <x:v>30</x:v>
      </x:c>
      <x:c r="G1731" s="26" t="n">
        <x:f>'成本明细'!U262+'成本明细'!G262*(E1731-'参数'!$B$6)</x:f>
        <x:v>2096.096409761667</x:v>
      </x:c>
      <x:c r="H1731" s="26" t="n">
        <x:f>'成本明细'!U268</x:f>
        <x:v>4045.282608119445</x:v>
      </x:c>
      <x:c r="I1731" s="26" t="n">
        <x:f>'成本明细'!V268</x:f>
        <x:v>8687</x:v>
      </x:c>
      <x:c r="J1731" s="22" t="n">
        <x:f>'参数'!$B$9</x:f>
        <x:v>300</x:v>
      </x:c>
      <x:c r="K1731" s="26" t="n">
        <x:f>J1731*(G1731-H1731)-I1731*ROUNDUP(J1731/F1731,0)</x:f>
        <x:v>-671625.8595073334</x:v>
      </x:c>
      <x:c r="L1731" s="10" t="str">
        <x:f>IF(G1731-H1731&lt;=0,"未回本",IF(ROUNDUP(I1731/(G1731-H1731),0)&gt;MIN(F1731,J1731),"未回本",MAX(1,ROUNDUP(I1731/(G1731-H1731),0))))</x:f>
        <x:v>未回本</x:v>
      </x:c>
    </x:row>
    <x:row r="1732" ht="22" customHeight="1">
      <x:c r="A1732" s="11" t="str">
        <x:v>lade_0827_30aoi</x:v>
      </x:c>
      <x:c r="B1732" s="10" t="n">
        <x:v>30</x:v>
      </x:c>
      <x:c r="C1732" s="10" t="n">
        <x:v>43</x:v>
      </x:c>
      <x:c r="D1732" s="10" t="str">
        <x:v>M1 / M3</x:v>
      </x:c>
      <x:c r="E1732" s="16" t="n">
        <x:v>1</x:v>
      </x:c>
      <x:c r="F1732" s="14" t="n">
        <x:v>50</x:v>
      </x:c>
      <x:c r="G1732" s="26" t="n">
        <x:f>'成本明细'!U259+'成本明细'!G259*(E1732-'参数'!$B$6)</x:f>
        <x:v>2550.5807109494444</x:v>
      </x:c>
      <x:c r="H1732" s="26" t="n">
        <x:f>'成本明细'!U265</x:f>
        <x:v>4017.009675363334</x:v>
      </x:c>
      <x:c r="I1732" s="26" t="n">
        <x:f>'成本明细'!V265</x:f>
        <x:v>8687</x:v>
      </x:c>
      <x:c r="J1732" s="22" t="n">
        <x:f>'参数'!$B$9</x:f>
        <x:v>300</x:v>
      </x:c>
      <x:c r="K1732" s="26" t="n">
        <x:f>J1732*(G1732-H1732)-I1732*ROUNDUP(J1732/F1732,0)</x:f>
        <x:v>-492050.6893241668</x:v>
      </x:c>
      <x:c r="L1732" s="10" t="str">
        <x:f>IF(G1732-H1732&lt;=0,"未回本",IF(ROUNDUP(I1732/(G1732-H1732),0)&gt;MIN(F1732,J1732),"未回本",MAX(1,ROUNDUP(I1732/(G1732-H1732),0))))</x:f>
        <x:v>未回本</x:v>
      </x:c>
    </x:row>
    <x:row r="1733" ht="22" customHeight="1">
      <x:c r="A1733" s="11" t="str">
        <x:v>lade_0827_30aoi</x:v>
      </x:c>
      <x:c r="B1733" s="10" t="n">
        <x:v>30</x:v>
      </x:c>
      <x:c r="C1733" s="10" t="n">
        <x:v>43</x:v>
      </x:c>
      <x:c r="D1733" s="10" t="str">
        <x:v>M2 / M4</x:v>
      </x:c>
      <x:c r="E1733" s="16" t="n">
        <x:v>1</x:v>
      </x:c>
      <x:c r="F1733" s="14" t="n">
        <x:v>50</x:v>
      </x:c>
      <x:c r="G1733" s="26" t="n">
        <x:f>'成本明细'!U262+'成本明细'!G262*(E1733-'参数'!$B$6)</x:f>
        <x:v>2096.096409761667</x:v>
      </x:c>
      <x:c r="H1733" s="26" t="n">
        <x:f>'成本明细'!U268</x:f>
        <x:v>4045.282608119445</x:v>
      </x:c>
      <x:c r="I1733" s="26" t="n">
        <x:f>'成本明细'!V268</x:f>
        <x:v>8687</x:v>
      </x:c>
      <x:c r="J1733" s="22" t="n">
        <x:f>'参数'!$B$9</x:f>
        <x:v>300</x:v>
      </x:c>
      <x:c r="K1733" s="26" t="n">
        <x:f>J1733*(G1733-H1733)-I1733*ROUNDUP(J1733/F1733,0)</x:f>
        <x:v>-636877.8595073334</x:v>
      </x:c>
      <x:c r="L1733" s="10" t="str">
        <x:f>IF(G1733-H1733&lt;=0,"未回本",IF(ROUNDUP(I1733/(G1733-H1733),0)&gt;MIN(F1733,J1733),"未回本",MAX(1,ROUNDUP(I1733/(G1733-H1733),0))))</x:f>
        <x:v>未回本</x:v>
      </x:c>
    </x:row>
    <x:row r="1734" ht="22" customHeight="1">
      <x:c r="A1734" s="11" t="str">
        <x:v>lade_0827_30aoi</x:v>
      </x:c>
      <x:c r="B1734" s="10" t="n">
        <x:v>30</x:v>
      </x:c>
      <x:c r="C1734" s="10" t="n">
        <x:v>43</x:v>
      </x:c>
      <x:c r="D1734" s="10" t="str">
        <x:v>M1 / M3</x:v>
      </x:c>
      <x:c r="E1734" s="16" t="n">
        <x:v>2</x:v>
      </x:c>
      <x:c r="F1734" s="14" t="n">
        <x:v>10</x:v>
      </x:c>
      <x:c r="G1734" s="26" t="n">
        <x:f>'成本明细'!U259+'成本明细'!G259*(E1734-'参数'!$B$6)</x:f>
        <x:v>2788.5807109494444</x:v>
      </x:c>
      <x:c r="H1734" s="26" t="n">
        <x:f>'成本明细'!U265</x:f>
        <x:v>4017.009675363334</x:v>
      </x:c>
      <x:c r="I1734" s="26" t="n">
        <x:f>'成本明细'!V265</x:f>
        <x:v>8687</x:v>
      </x:c>
      <x:c r="J1734" s="22" t="n">
        <x:f>'参数'!$B$9</x:f>
        <x:v>300</x:v>
      </x:c>
      <x:c r="K1734" s="26" t="n">
        <x:f>J1734*(G1734-H1734)-I1734*ROUNDUP(J1734/F1734,0)</x:f>
        <x:v>-629138.6893241669</x:v>
      </x:c>
      <x:c r="L1734" s="10" t="str">
        <x:f>IF(G1734-H1734&lt;=0,"未回本",IF(ROUNDUP(I1734/(G1734-H1734),0)&gt;MIN(F1734,J1734),"未回本",MAX(1,ROUNDUP(I1734/(G1734-H1734),0))))</x:f>
        <x:v>未回本</x:v>
      </x:c>
    </x:row>
    <x:row r="1735" ht="22" customHeight="1">
      <x:c r="A1735" s="11" t="str">
        <x:v>lade_0827_30aoi</x:v>
      </x:c>
      <x:c r="B1735" s="10" t="n">
        <x:v>30</x:v>
      </x:c>
      <x:c r="C1735" s="10" t="n">
        <x:v>43</x:v>
      </x:c>
      <x:c r="D1735" s="10" t="str">
        <x:v>M2 / M4</x:v>
      </x:c>
      <x:c r="E1735" s="16" t="n">
        <x:v>2</x:v>
      </x:c>
      <x:c r="F1735" s="14" t="n">
        <x:v>10</x:v>
      </x:c>
      <x:c r="G1735" s="26" t="n">
        <x:f>'成本明细'!U262+'成本明细'!G262*(E1735-'参数'!$B$6)</x:f>
        <x:v>2334.096409761667</x:v>
      </x:c>
      <x:c r="H1735" s="26" t="n">
        <x:f>'成本明细'!U268</x:f>
        <x:v>4045.282608119445</x:v>
      </x:c>
      <x:c r="I1735" s="26" t="n">
        <x:f>'成本明细'!V268</x:f>
        <x:v>8687</x:v>
      </x:c>
      <x:c r="J1735" s="22" t="n">
        <x:f>'参数'!$B$9</x:f>
        <x:v>300</x:v>
      </x:c>
      <x:c r="K1735" s="26" t="n">
        <x:f>J1735*(G1735-H1735)-I1735*ROUNDUP(J1735/F1735,0)</x:f>
        <x:v>-773965.8595073334</x:v>
      </x:c>
      <x:c r="L1735" s="10" t="str">
        <x:f>IF(G1735-H1735&lt;=0,"未回本",IF(ROUNDUP(I1735/(G1735-H1735),0)&gt;MIN(F1735,J1735),"未回本",MAX(1,ROUNDUP(I1735/(G1735-H1735),0))))</x:f>
        <x:v>未回本</x:v>
      </x:c>
    </x:row>
    <x:row r="1736" ht="22" customHeight="1">
      <x:c r="A1736" s="11" t="str">
        <x:v>lade_0827_30aoi</x:v>
      </x:c>
      <x:c r="B1736" s="10" t="n">
        <x:v>30</x:v>
      </x:c>
      <x:c r="C1736" s="10" t="n">
        <x:v>43</x:v>
      </x:c>
      <x:c r="D1736" s="10" t="str">
        <x:v>M1 / M3</x:v>
      </x:c>
      <x:c r="E1736" s="16" t="n">
        <x:v>2</x:v>
      </x:c>
      <x:c r="F1736" s="14" t="n">
        <x:v>20</x:v>
      </x:c>
      <x:c r="G1736" s="26" t="n">
        <x:f>'成本明细'!U259+'成本明细'!G259*(E1736-'参数'!$B$6)</x:f>
        <x:v>2788.5807109494444</x:v>
      </x:c>
      <x:c r="H1736" s="26" t="n">
        <x:f>'成本明细'!U265</x:f>
        <x:v>4017.009675363334</x:v>
      </x:c>
      <x:c r="I1736" s="26" t="n">
        <x:f>'成本明细'!V265</x:f>
        <x:v>8687</x:v>
      </x:c>
      <x:c r="J1736" s="22" t="n">
        <x:f>'参数'!$B$9</x:f>
        <x:v>300</x:v>
      </x:c>
      <x:c r="K1736" s="26" t="n">
        <x:f>J1736*(G1736-H1736)-I1736*ROUNDUP(J1736/F1736,0)</x:f>
        <x:v>-498833.6893241668</x:v>
      </x:c>
      <x:c r="L1736" s="10" t="str">
        <x:f>IF(G1736-H1736&lt;=0,"未回本",IF(ROUNDUP(I1736/(G1736-H1736),0)&gt;MIN(F1736,J1736),"未回本",MAX(1,ROUNDUP(I1736/(G1736-H1736),0))))</x:f>
        <x:v>未回本</x:v>
      </x:c>
    </x:row>
    <x:row r="1737" ht="22" customHeight="1">
      <x:c r="A1737" s="11" t="str">
        <x:v>lade_0827_30aoi</x:v>
      </x:c>
      <x:c r="B1737" s="10" t="n">
        <x:v>30</x:v>
      </x:c>
      <x:c r="C1737" s="10" t="n">
        <x:v>43</x:v>
      </x:c>
      <x:c r="D1737" s="10" t="str">
        <x:v>M2 / M4</x:v>
      </x:c>
      <x:c r="E1737" s="16" t="n">
        <x:v>2</x:v>
      </x:c>
      <x:c r="F1737" s="14" t="n">
        <x:v>20</x:v>
      </x:c>
      <x:c r="G1737" s="26" t="n">
        <x:f>'成本明细'!U262+'成本明细'!G262*(E1737-'参数'!$B$6)</x:f>
        <x:v>2334.096409761667</x:v>
      </x:c>
      <x:c r="H1737" s="26" t="n">
        <x:f>'成本明细'!U268</x:f>
        <x:v>4045.282608119445</x:v>
      </x:c>
      <x:c r="I1737" s="26" t="n">
        <x:f>'成本明细'!V268</x:f>
        <x:v>8687</x:v>
      </x:c>
      <x:c r="J1737" s="22" t="n">
        <x:f>'参数'!$B$9</x:f>
        <x:v>300</x:v>
      </x:c>
      <x:c r="K1737" s="26" t="n">
        <x:f>J1737*(G1737-H1737)-I1737*ROUNDUP(J1737/F1737,0)</x:f>
        <x:v>-643660.8595073334</x:v>
      </x:c>
      <x:c r="L1737" s="10" t="str">
        <x:f>IF(G1737-H1737&lt;=0,"未回本",IF(ROUNDUP(I1737/(G1737-H1737),0)&gt;MIN(F1737,J1737),"未回本",MAX(1,ROUNDUP(I1737/(G1737-H1737),0))))</x:f>
        <x:v>未回本</x:v>
      </x:c>
    </x:row>
    <x:row r="1738" ht="22" customHeight="1">
      <x:c r="A1738" s="11" t="str">
        <x:v>lade_0827_30aoi</x:v>
      </x:c>
      <x:c r="B1738" s="10" t="n">
        <x:v>30</x:v>
      </x:c>
      <x:c r="C1738" s="10" t="n">
        <x:v>43</x:v>
      </x:c>
      <x:c r="D1738" s="10" t="str">
        <x:v>M1 / M3</x:v>
      </x:c>
      <x:c r="E1738" s="16" t="n">
        <x:v>2</x:v>
      </x:c>
      <x:c r="F1738" s="14" t="n">
        <x:v>30</x:v>
      </x:c>
      <x:c r="G1738" s="26" t="n">
        <x:f>'成本明细'!U259+'成本明细'!G259*(E1738-'参数'!$B$6)</x:f>
        <x:v>2788.5807109494444</x:v>
      </x:c>
      <x:c r="H1738" s="26" t="n">
        <x:f>'成本明细'!U265</x:f>
        <x:v>4017.009675363334</x:v>
      </x:c>
      <x:c r="I1738" s="26" t="n">
        <x:f>'成本明细'!V265</x:f>
        <x:v>8687</x:v>
      </x:c>
      <x:c r="J1738" s="22" t="n">
        <x:f>'参数'!$B$9</x:f>
        <x:v>300</x:v>
      </x:c>
      <x:c r="K1738" s="26" t="n">
        <x:f>J1738*(G1738-H1738)-I1738*ROUNDUP(J1738/F1738,0)</x:f>
        <x:v>-455398.6893241668</x:v>
      </x:c>
      <x:c r="L1738" s="10" t="str">
        <x:f>IF(G1738-H1738&lt;=0,"未回本",IF(ROUNDUP(I1738/(G1738-H1738),0)&gt;MIN(F1738,J1738),"未回本",MAX(1,ROUNDUP(I1738/(G1738-H1738),0))))</x:f>
        <x:v>未回本</x:v>
      </x:c>
    </x:row>
    <x:row r="1739" ht="22" customHeight="1">
      <x:c r="A1739" s="11" t="str">
        <x:v>lade_0827_30aoi</x:v>
      </x:c>
      <x:c r="B1739" s="10" t="n">
        <x:v>30</x:v>
      </x:c>
      <x:c r="C1739" s="10" t="n">
        <x:v>43</x:v>
      </x:c>
      <x:c r="D1739" s="10" t="str">
        <x:v>M2 / M4</x:v>
      </x:c>
      <x:c r="E1739" s="16" t="n">
        <x:v>2</x:v>
      </x:c>
      <x:c r="F1739" s="14" t="n">
        <x:v>30</x:v>
      </x:c>
      <x:c r="G1739" s="26" t="n">
        <x:f>'成本明细'!U262+'成本明细'!G262*(E1739-'参数'!$B$6)</x:f>
        <x:v>2334.096409761667</x:v>
      </x:c>
      <x:c r="H1739" s="26" t="n">
        <x:f>'成本明细'!U268</x:f>
        <x:v>4045.282608119445</x:v>
      </x:c>
      <x:c r="I1739" s="26" t="n">
        <x:f>'成本明细'!V268</x:f>
        <x:v>8687</x:v>
      </x:c>
      <x:c r="J1739" s="22" t="n">
        <x:f>'参数'!$B$9</x:f>
        <x:v>300</x:v>
      </x:c>
      <x:c r="K1739" s="26" t="n">
        <x:f>J1739*(G1739-H1739)-I1739*ROUNDUP(J1739/F1739,0)</x:f>
        <x:v>-600225.8595073334</x:v>
      </x:c>
      <x:c r="L1739" s="10" t="str">
        <x:f>IF(G1739-H1739&lt;=0,"未回本",IF(ROUNDUP(I1739/(G1739-H1739),0)&gt;MIN(F1739,J1739),"未回本",MAX(1,ROUNDUP(I1739/(G1739-H1739),0))))</x:f>
        <x:v>未回本</x:v>
      </x:c>
    </x:row>
    <x:row r="1740" ht="22" customHeight="1">
      <x:c r="A1740" s="11" t="str">
        <x:v>lade_0827_30aoi</x:v>
      </x:c>
      <x:c r="B1740" s="10" t="n">
        <x:v>30</x:v>
      </x:c>
      <x:c r="C1740" s="10" t="n">
        <x:v>43</x:v>
      </x:c>
      <x:c r="D1740" s="10" t="str">
        <x:v>M1 / M3</x:v>
      </x:c>
      <x:c r="E1740" s="16" t="n">
        <x:v>2</x:v>
      </x:c>
      <x:c r="F1740" s="14" t="n">
        <x:v>50</x:v>
      </x:c>
      <x:c r="G1740" s="26" t="n">
        <x:f>'成本明细'!U259+'成本明细'!G259*(E1740-'参数'!$B$6)</x:f>
        <x:v>2788.5807109494444</x:v>
      </x:c>
      <x:c r="H1740" s="26" t="n">
        <x:f>'成本明细'!U265</x:f>
        <x:v>4017.009675363334</x:v>
      </x:c>
      <x:c r="I1740" s="26" t="n">
        <x:f>'成本明细'!V265</x:f>
        <x:v>8687</x:v>
      </x:c>
      <x:c r="J1740" s="22" t="n">
        <x:f>'参数'!$B$9</x:f>
        <x:v>300</x:v>
      </x:c>
      <x:c r="K1740" s="26" t="n">
        <x:f>J1740*(G1740-H1740)-I1740*ROUNDUP(J1740/F1740,0)</x:f>
        <x:v>-420650.6893241668</x:v>
      </x:c>
      <x:c r="L1740" s="10" t="str">
        <x:f>IF(G1740-H1740&lt;=0,"未回本",IF(ROUNDUP(I1740/(G1740-H1740),0)&gt;MIN(F1740,J1740),"未回本",MAX(1,ROUNDUP(I1740/(G1740-H1740),0))))</x:f>
        <x:v>未回本</x:v>
      </x:c>
    </x:row>
    <x:row r="1741" ht="22" customHeight="1">
      <x:c r="A1741" s="11" t="str">
        <x:v>lade_0827_30aoi</x:v>
      </x:c>
      <x:c r="B1741" s="10" t="n">
        <x:v>30</x:v>
      </x:c>
      <x:c r="C1741" s="10" t="n">
        <x:v>43</x:v>
      </x:c>
      <x:c r="D1741" s="10" t="str">
        <x:v>M2 / M4</x:v>
      </x:c>
      <x:c r="E1741" s="16" t="n">
        <x:v>2</x:v>
      </x:c>
      <x:c r="F1741" s="14" t="n">
        <x:v>50</x:v>
      </x:c>
      <x:c r="G1741" s="26" t="n">
        <x:f>'成本明细'!U262+'成本明细'!G262*(E1741-'参数'!$B$6)</x:f>
        <x:v>2334.096409761667</x:v>
      </x:c>
      <x:c r="H1741" s="26" t="n">
        <x:f>'成本明细'!U268</x:f>
        <x:v>4045.282608119445</x:v>
      </x:c>
      <x:c r="I1741" s="26" t="n">
        <x:f>'成本明细'!V268</x:f>
        <x:v>8687</x:v>
      </x:c>
      <x:c r="J1741" s="22" t="n">
        <x:f>'参数'!$B$9</x:f>
        <x:v>300</x:v>
      </x:c>
      <x:c r="K1741" s="26" t="n">
        <x:f>J1741*(G1741-H1741)-I1741*ROUNDUP(J1741/F1741,0)</x:f>
        <x:v>-565477.8595073334</x:v>
      </x:c>
      <x:c r="L1741" s="10" t="str">
        <x:f>IF(G1741-H1741&lt;=0,"未回本",IF(ROUNDUP(I1741/(G1741-H1741),0)&gt;MIN(F1741,J1741),"未回本",MAX(1,ROUNDUP(I1741/(G1741-H1741),0))))</x:f>
        <x:v>未回本</x:v>
      </x:c>
    </x:row>
    <x:row r="1742" ht="22" customHeight="1">
      <x:c r="A1742" s="11" t="str">
        <x:v>lade_0827_30aoi</x:v>
      </x:c>
      <x:c r="B1742" s="10" t="n">
        <x:v>30</x:v>
      </x:c>
      <x:c r="C1742" s="10" t="n">
        <x:v>43</x:v>
      </x:c>
      <x:c r="D1742" s="10" t="str">
        <x:v>M1 / M3</x:v>
      </x:c>
      <x:c r="E1742" s="16" t="n">
        <x:v>3</x:v>
      </x:c>
      <x:c r="F1742" s="14" t="n">
        <x:v>10</x:v>
      </x:c>
      <x:c r="G1742" s="26" t="n">
        <x:f>'成本明细'!U259+'成本明细'!G259*(E1742-'参数'!$B$6)</x:f>
        <x:v>3026.5807109494444</x:v>
      </x:c>
      <x:c r="H1742" s="26" t="n">
        <x:f>'成本明细'!U265</x:f>
        <x:v>4017.009675363334</x:v>
      </x:c>
      <x:c r="I1742" s="26" t="n">
        <x:f>'成本明细'!V265</x:f>
        <x:v>8687</x:v>
      </x:c>
      <x:c r="J1742" s="22" t="n">
        <x:f>'参数'!$B$9</x:f>
        <x:v>300</x:v>
      </x:c>
      <x:c r="K1742" s="26" t="n">
        <x:f>J1742*(G1742-H1742)-I1742*ROUNDUP(J1742/F1742,0)</x:f>
        <x:v>-557738.6893241669</x:v>
      </x:c>
      <x:c r="L1742" s="10" t="str">
        <x:f>IF(G1742-H1742&lt;=0,"未回本",IF(ROUNDUP(I1742/(G1742-H1742),0)&gt;MIN(F1742,J1742),"未回本",MAX(1,ROUNDUP(I1742/(G1742-H1742),0))))</x:f>
        <x:v>未回本</x:v>
      </x:c>
    </x:row>
    <x:row r="1743" ht="22" customHeight="1">
      <x:c r="A1743" s="11" t="str">
        <x:v>lade_0827_30aoi</x:v>
      </x:c>
      <x:c r="B1743" s="10" t="n">
        <x:v>30</x:v>
      </x:c>
      <x:c r="C1743" s="10" t="n">
        <x:v>43</x:v>
      </x:c>
      <x:c r="D1743" s="10" t="str">
        <x:v>M2 / M4</x:v>
      </x:c>
      <x:c r="E1743" s="16" t="n">
        <x:v>3</x:v>
      </x:c>
      <x:c r="F1743" s="14" t="n">
        <x:v>10</x:v>
      </x:c>
      <x:c r="G1743" s="26" t="n">
        <x:f>'成本明细'!U262+'成本明细'!G262*(E1743-'参数'!$B$6)</x:f>
        <x:v>2572.096409761667</x:v>
      </x:c>
      <x:c r="H1743" s="26" t="n">
        <x:f>'成本明细'!U268</x:f>
        <x:v>4045.282608119445</x:v>
      </x:c>
      <x:c r="I1743" s="26" t="n">
        <x:f>'成本明细'!V268</x:f>
        <x:v>8687</x:v>
      </x:c>
      <x:c r="J1743" s="22" t="n">
        <x:f>'参数'!$B$9</x:f>
        <x:v>300</x:v>
      </x:c>
      <x:c r="K1743" s="26" t="n">
        <x:f>J1743*(G1743-H1743)-I1743*ROUNDUP(J1743/F1743,0)</x:f>
        <x:v>-702565.8595073334</x:v>
      </x:c>
      <x:c r="L1743" s="10" t="str">
        <x:f>IF(G1743-H1743&lt;=0,"未回本",IF(ROUNDUP(I1743/(G1743-H1743),0)&gt;MIN(F1743,J1743),"未回本",MAX(1,ROUNDUP(I1743/(G1743-H1743),0))))</x:f>
        <x:v>未回本</x:v>
      </x:c>
    </x:row>
    <x:row r="1744" ht="22" customHeight="1">
      <x:c r="A1744" s="11" t="str">
        <x:v>lade_0827_30aoi</x:v>
      </x:c>
      <x:c r="B1744" s="10" t="n">
        <x:v>30</x:v>
      </x:c>
      <x:c r="C1744" s="10" t="n">
        <x:v>43</x:v>
      </x:c>
      <x:c r="D1744" s="10" t="str">
        <x:v>M1 / M3</x:v>
      </x:c>
      <x:c r="E1744" s="16" t="n">
        <x:v>3</x:v>
      </x:c>
      <x:c r="F1744" s="14" t="n">
        <x:v>20</x:v>
      </x:c>
      <x:c r="G1744" s="26" t="n">
        <x:f>'成本明细'!U259+'成本明细'!G259*(E1744-'参数'!$B$6)</x:f>
        <x:v>3026.5807109494444</x:v>
      </x:c>
      <x:c r="H1744" s="26" t="n">
        <x:f>'成本明细'!U265</x:f>
        <x:v>4017.009675363334</x:v>
      </x:c>
      <x:c r="I1744" s="26" t="n">
        <x:f>'成本明细'!V265</x:f>
        <x:v>8687</x:v>
      </x:c>
      <x:c r="J1744" s="22" t="n">
        <x:f>'参数'!$B$9</x:f>
        <x:v>300</x:v>
      </x:c>
      <x:c r="K1744" s="26" t="n">
        <x:f>J1744*(G1744-H1744)-I1744*ROUNDUP(J1744/F1744,0)</x:f>
        <x:v>-427433.6893241668</x:v>
      </x:c>
      <x:c r="L1744" s="10" t="str">
        <x:f>IF(G1744-H1744&lt;=0,"未回本",IF(ROUNDUP(I1744/(G1744-H1744),0)&gt;MIN(F1744,J1744),"未回本",MAX(1,ROUNDUP(I1744/(G1744-H1744),0))))</x:f>
        <x:v>未回本</x:v>
      </x:c>
    </x:row>
    <x:row r="1745" ht="22" customHeight="1">
      <x:c r="A1745" s="11" t="str">
        <x:v>lade_0827_30aoi</x:v>
      </x:c>
      <x:c r="B1745" s="10" t="n">
        <x:v>30</x:v>
      </x:c>
      <x:c r="C1745" s="10" t="n">
        <x:v>43</x:v>
      </x:c>
      <x:c r="D1745" s="10" t="str">
        <x:v>M2 / M4</x:v>
      </x:c>
      <x:c r="E1745" s="16" t="n">
        <x:v>3</x:v>
      </x:c>
      <x:c r="F1745" s="14" t="n">
        <x:v>20</x:v>
      </x:c>
      <x:c r="G1745" s="26" t="n">
        <x:f>'成本明细'!U262+'成本明细'!G262*(E1745-'参数'!$B$6)</x:f>
        <x:v>2572.096409761667</x:v>
      </x:c>
      <x:c r="H1745" s="26" t="n">
        <x:f>'成本明细'!U268</x:f>
        <x:v>4045.282608119445</x:v>
      </x:c>
      <x:c r="I1745" s="26" t="n">
        <x:f>'成本明细'!V268</x:f>
        <x:v>8687</x:v>
      </x:c>
      <x:c r="J1745" s="22" t="n">
        <x:f>'参数'!$B$9</x:f>
        <x:v>300</x:v>
      </x:c>
      <x:c r="K1745" s="26" t="n">
        <x:f>J1745*(G1745-H1745)-I1745*ROUNDUP(J1745/F1745,0)</x:f>
        <x:v>-572260.8595073334</x:v>
      </x:c>
      <x:c r="L1745" s="10" t="str">
        <x:f>IF(G1745-H1745&lt;=0,"未回本",IF(ROUNDUP(I1745/(G1745-H1745),0)&gt;MIN(F1745,J1745),"未回本",MAX(1,ROUNDUP(I1745/(G1745-H1745),0))))</x:f>
        <x:v>未回本</x:v>
      </x:c>
    </x:row>
    <x:row r="1746" ht="22" customHeight="1">
      <x:c r="A1746" s="11" t="str">
        <x:v>lade_0827_30aoi</x:v>
      </x:c>
      <x:c r="B1746" s="10" t="n">
        <x:v>30</x:v>
      </x:c>
      <x:c r="C1746" s="10" t="n">
        <x:v>43</x:v>
      </x:c>
      <x:c r="D1746" s="10" t="str">
        <x:v>M1 / M3</x:v>
      </x:c>
      <x:c r="E1746" s="16" t="n">
        <x:v>3</x:v>
      </x:c>
      <x:c r="F1746" s="14" t="n">
        <x:v>30</x:v>
      </x:c>
      <x:c r="G1746" s="26" t="n">
        <x:f>'成本明细'!U259+'成本明细'!G259*(E1746-'参数'!$B$6)</x:f>
        <x:v>3026.5807109494444</x:v>
      </x:c>
      <x:c r="H1746" s="26" t="n">
        <x:f>'成本明细'!U265</x:f>
        <x:v>4017.009675363334</x:v>
      </x:c>
      <x:c r="I1746" s="26" t="n">
        <x:f>'成本明细'!V265</x:f>
        <x:v>8687</x:v>
      </x:c>
      <x:c r="J1746" s="22" t="n">
        <x:f>'参数'!$B$9</x:f>
        <x:v>300</x:v>
      </x:c>
      <x:c r="K1746" s="26" t="n">
        <x:f>J1746*(G1746-H1746)-I1746*ROUNDUP(J1746/F1746,0)</x:f>
        <x:v>-383998.6893241668</x:v>
      </x:c>
      <x:c r="L1746" s="10" t="str">
        <x:f>IF(G1746-H1746&lt;=0,"未回本",IF(ROUNDUP(I1746/(G1746-H1746),0)&gt;MIN(F1746,J1746),"未回本",MAX(1,ROUNDUP(I1746/(G1746-H1746),0))))</x:f>
        <x:v>未回本</x:v>
      </x:c>
    </x:row>
    <x:row r="1747" ht="22" customHeight="1">
      <x:c r="A1747" s="11" t="str">
        <x:v>lade_0827_30aoi</x:v>
      </x:c>
      <x:c r="B1747" s="10" t="n">
        <x:v>30</x:v>
      </x:c>
      <x:c r="C1747" s="10" t="n">
        <x:v>43</x:v>
      </x:c>
      <x:c r="D1747" s="10" t="str">
        <x:v>M2 / M4</x:v>
      </x:c>
      <x:c r="E1747" s="16" t="n">
        <x:v>3</x:v>
      </x:c>
      <x:c r="F1747" s="14" t="n">
        <x:v>30</x:v>
      </x:c>
      <x:c r="G1747" s="26" t="n">
        <x:f>'成本明细'!U262+'成本明细'!G262*(E1747-'参数'!$B$6)</x:f>
        <x:v>2572.096409761667</x:v>
      </x:c>
      <x:c r="H1747" s="26" t="n">
        <x:f>'成本明细'!U268</x:f>
        <x:v>4045.282608119445</x:v>
      </x:c>
      <x:c r="I1747" s="26" t="n">
        <x:f>'成本明细'!V268</x:f>
        <x:v>8687</x:v>
      </x:c>
      <x:c r="J1747" s="22" t="n">
        <x:f>'参数'!$B$9</x:f>
        <x:v>300</x:v>
      </x:c>
      <x:c r="K1747" s="26" t="n">
        <x:f>J1747*(G1747-H1747)-I1747*ROUNDUP(J1747/F1747,0)</x:f>
        <x:v>-528825.8595073334</x:v>
      </x:c>
      <x:c r="L1747" s="10" t="str">
        <x:f>IF(G1747-H1747&lt;=0,"未回本",IF(ROUNDUP(I1747/(G1747-H1747),0)&gt;MIN(F1747,J1747),"未回本",MAX(1,ROUNDUP(I1747/(G1747-H1747),0))))</x:f>
        <x:v>未回本</x:v>
      </x:c>
    </x:row>
    <x:row r="1748" ht="22" customHeight="1">
      <x:c r="A1748" s="11" t="str">
        <x:v>lade_0827_30aoi</x:v>
      </x:c>
      <x:c r="B1748" s="10" t="n">
        <x:v>30</x:v>
      </x:c>
      <x:c r="C1748" s="10" t="n">
        <x:v>43</x:v>
      </x:c>
      <x:c r="D1748" s="10" t="str">
        <x:v>M1 / M3</x:v>
      </x:c>
      <x:c r="E1748" s="16" t="n">
        <x:v>3</x:v>
      </x:c>
      <x:c r="F1748" s="14" t="n">
        <x:v>50</x:v>
      </x:c>
      <x:c r="G1748" s="26" t="n">
        <x:f>'成本明细'!U259+'成本明细'!G259*(E1748-'参数'!$B$6)</x:f>
        <x:v>3026.5807109494444</x:v>
      </x:c>
      <x:c r="H1748" s="26" t="n">
        <x:f>'成本明细'!U265</x:f>
        <x:v>4017.009675363334</x:v>
      </x:c>
      <x:c r="I1748" s="26" t="n">
        <x:f>'成本明细'!V265</x:f>
        <x:v>8687</x:v>
      </x:c>
      <x:c r="J1748" s="22" t="n">
        <x:f>'参数'!$B$9</x:f>
        <x:v>300</x:v>
      </x:c>
      <x:c r="K1748" s="26" t="n">
        <x:f>J1748*(G1748-H1748)-I1748*ROUNDUP(J1748/F1748,0)</x:f>
        <x:v>-349250.6893241668</x:v>
      </x:c>
      <x:c r="L1748" s="10" t="str">
        <x:f>IF(G1748-H1748&lt;=0,"未回本",IF(ROUNDUP(I1748/(G1748-H1748),0)&gt;MIN(F1748,J1748),"未回本",MAX(1,ROUNDUP(I1748/(G1748-H1748),0))))</x:f>
        <x:v>未回本</x:v>
      </x:c>
    </x:row>
    <x:row r="1749" ht="22" customHeight="1">
      <x:c r="A1749" s="11" t="str">
        <x:v>lade_0827_30aoi</x:v>
      </x:c>
      <x:c r="B1749" s="10" t="n">
        <x:v>30</x:v>
      </x:c>
      <x:c r="C1749" s="10" t="n">
        <x:v>43</x:v>
      </x:c>
      <x:c r="D1749" s="10" t="str">
        <x:v>M2 / M4</x:v>
      </x:c>
      <x:c r="E1749" s="16" t="n">
        <x:v>3</x:v>
      </x:c>
      <x:c r="F1749" s="14" t="n">
        <x:v>50</x:v>
      </x:c>
      <x:c r="G1749" s="26" t="n">
        <x:f>'成本明细'!U262+'成本明细'!G262*(E1749-'参数'!$B$6)</x:f>
        <x:v>2572.096409761667</x:v>
      </x:c>
      <x:c r="H1749" s="26" t="n">
        <x:f>'成本明细'!U268</x:f>
        <x:v>4045.282608119445</x:v>
      </x:c>
      <x:c r="I1749" s="26" t="n">
        <x:f>'成本明细'!V268</x:f>
        <x:v>8687</x:v>
      </x:c>
      <x:c r="J1749" s="22" t="n">
        <x:f>'参数'!$B$9</x:f>
        <x:v>300</x:v>
      </x:c>
      <x:c r="K1749" s="26" t="n">
        <x:f>J1749*(G1749-H1749)-I1749*ROUNDUP(J1749/F1749,0)</x:f>
        <x:v>-494077.85950733337</x:v>
      </x:c>
      <x:c r="L1749" s="10" t="str">
        <x:f>IF(G1749-H1749&lt;=0,"未回本",IF(ROUNDUP(I1749/(G1749-H1749),0)&gt;MIN(F1749,J1749),"未回本",MAX(1,ROUNDUP(I1749/(G1749-H1749),0))))</x:f>
        <x:v>未回本</x:v>
      </x:c>
    </x:row>
    <x:row r="1750" ht="22" customHeight="1">
      <x:c r="A1750" s="11" t="str">
        <x:v>lade_0827_30aoi</x:v>
      </x:c>
      <x:c r="B1750" s="10" t="n">
        <x:v>30</x:v>
      </x:c>
      <x:c r="C1750" s="10" t="n">
        <x:v>43</x:v>
      </x:c>
      <x:c r="D1750" s="10" t="str">
        <x:v>M1 / M3</x:v>
      </x:c>
      <x:c r="E1750" s="16" t="n">
        <x:v>4</x:v>
      </x:c>
      <x:c r="F1750" s="14" t="n">
        <x:v>10</x:v>
      </x:c>
      <x:c r="G1750" s="26" t="n">
        <x:f>'成本明细'!U259+'成本明细'!G259*(E1750-'参数'!$B$6)</x:f>
        <x:v>3264.5807109494444</x:v>
      </x:c>
      <x:c r="H1750" s="26" t="n">
        <x:f>'成本明细'!U265</x:f>
        <x:v>4017.009675363334</x:v>
      </x:c>
      <x:c r="I1750" s="26" t="n">
        <x:f>'成本明细'!V265</x:f>
        <x:v>8687</x:v>
      </x:c>
      <x:c r="J1750" s="22" t="n">
        <x:f>'参数'!$B$9</x:f>
        <x:v>300</x:v>
      </x:c>
      <x:c r="K1750" s="26" t="n">
        <x:f>J1750*(G1750-H1750)-I1750*ROUNDUP(J1750/F1750,0)</x:f>
        <x:v>-486338.68932416686</x:v>
      </x:c>
      <x:c r="L1750" s="10" t="str">
        <x:f>IF(G1750-H1750&lt;=0,"未回本",IF(ROUNDUP(I1750/(G1750-H1750),0)&gt;MIN(F1750,J1750),"未回本",MAX(1,ROUNDUP(I1750/(G1750-H1750),0))))</x:f>
        <x:v>未回本</x:v>
      </x:c>
    </x:row>
    <x:row r="1751" ht="22" customHeight="1">
      <x:c r="A1751" s="11" t="str">
        <x:v>lade_0827_30aoi</x:v>
      </x:c>
      <x:c r="B1751" s="10" t="n">
        <x:v>30</x:v>
      </x:c>
      <x:c r="C1751" s="10" t="n">
        <x:v>43</x:v>
      </x:c>
      <x:c r="D1751" s="10" t="str">
        <x:v>M2 / M4</x:v>
      </x:c>
      <x:c r="E1751" s="16" t="n">
        <x:v>4</x:v>
      </x:c>
      <x:c r="F1751" s="14" t="n">
        <x:v>10</x:v>
      </x:c>
      <x:c r="G1751" s="26" t="n">
        <x:f>'成本明细'!U262+'成本明细'!G262*(E1751-'参数'!$B$6)</x:f>
        <x:v>2810.096409761667</x:v>
      </x:c>
      <x:c r="H1751" s="26" t="n">
        <x:f>'成本明细'!U268</x:f>
        <x:v>4045.282608119445</x:v>
      </x:c>
      <x:c r="I1751" s="26" t="n">
        <x:f>'成本明细'!V268</x:f>
        <x:v>8687</x:v>
      </x:c>
      <x:c r="J1751" s="22" t="n">
        <x:f>'参数'!$B$9</x:f>
        <x:v>300</x:v>
      </x:c>
      <x:c r="K1751" s="26" t="n">
        <x:f>J1751*(G1751-H1751)-I1751*ROUNDUP(J1751/F1751,0)</x:f>
        <x:v>-631165.8595073334</x:v>
      </x:c>
      <x:c r="L1751" s="10" t="str">
        <x:f>IF(G1751-H1751&lt;=0,"未回本",IF(ROUNDUP(I1751/(G1751-H1751),0)&gt;MIN(F1751,J1751),"未回本",MAX(1,ROUNDUP(I1751/(G1751-H1751),0))))</x:f>
        <x:v>未回本</x:v>
      </x:c>
    </x:row>
    <x:row r="1752" ht="22" customHeight="1">
      <x:c r="A1752" s="11" t="str">
        <x:v>lade_0827_30aoi</x:v>
      </x:c>
      <x:c r="B1752" s="10" t="n">
        <x:v>30</x:v>
      </x:c>
      <x:c r="C1752" s="10" t="n">
        <x:v>43</x:v>
      </x:c>
      <x:c r="D1752" s="10" t="str">
        <x:v>M1 / M3</x:v>
      </x:c>
      <x:c r="E1752" s="16" t="n">
        <x:v>4</x:v>
      </x:c>
      <x:c r="F1752" s="14" t="n">
        <x:v>20</x:v>
      </x:c>
      <x:c r="G1752" s="26" t="n">
        <x:f>'成本明细'!U259+'成本明细'!G259*(E1752-'参数'!$B$6)</x:f>
        <x:v>3264.5807109494444</x:v>
      </x:c>
      <x:c r="H1752" s="26" t="n">
        <x:f>'成本明细'!U265</x:f>
        <x:v>4017.009675363334</x:v>
      </x:c>
      <x:c r="I1752" s="26" t="n">
        <x:f>'成本明细'!V265</x:f>
        <x:v>8687</x:v>
      </x:c>
      <x:c r="J1752" s="22" t="n">
        <x:f>'参数'!$B$9</x:f>
        <x:v>300</x:v>
      </x:c>
      <x:c r="K1752" s="26" t="n">
        <x:f>J1752*(G1752-H1752)-I1752*ROUNDUP(J1752/F1752,0)</x:f>
        <x:v>-356033.68932416686</x:v>
      </x:c>
      <x:c r="L1752" s="10" t="str">
        <x:f>IF(G1752-H1752&lt;=0,"未回本",IF(ROUNDUP(I1752/(G1752-H1752),0)&gt;MIN(F1752,J1752),"未回本",MAX(1,ROUNDUP(I1752/(G1752-H1752),0))))</x:f>
        <x:v>未回本</x:v>
      </x:c>
    </x:row>
    <x:row r="1753" ht="22" customHeight="1">
      <x:c r="A1753" s="11" t="str">
        <x:v>lade_0827_30aoi</x:v>
      </x:c>
      <x:c r="B1753" s="10" t="n">
        <x:v>30</x:v>
      </x:c>
      <x:c r="C1753" s="10" t="n">
        <x:v>43</x:v>
      </x:c>
      <x:c r="D1753" s="10" t="str">
        <x:v>M2 / M4</x:v>
      </x:c>
      <x:c r="E1753" s="16" t="n">
        <x:v>4</x:v>
      </x:c>
      <x:c r="F1753" s="14" t="n">
        <x:v>20</x:v>
      </x:c>
      <x:c r="G1753" s="26" t="n">
        <x:f>'成本明细'!U262+'成本明细'!G262*(E1753-'参数'!$B$6)</x:f>
        <x:v>2810.096409761667</x:v>
      </x:c>
      <x:c r="H1753" s="26" t="n">
        <x:f>'成本明细'!U268</x:f>
        <x:v>4045.282608119445</x:v>
      </x:c>
      <x:c r="I1753" s="26" t="n">
        <x:f>'成本明细'!V268</x:f>
        <x:v>8687</x:v>
      </x:c>
      <x:c r="J1753" s="22" t="n">
        <x:f>'参数'!$B$9</x:f>
        <x:v>300</x:v>
      </x:c>
      <x:c r="K1753" s="26" t="n">
        <x:f>J1753*(G1753-H1753)-I1753*ROUNDUP(J1753/F1753,0)</x:f>
        <x:v>-500860.85950733337</x:v>
      </x:c>
      <x:c r="L1753" s="10" t="str">
        <x:f>IF(G1753-H1753&lt;=0,"未回本",IF(ROUNDUP(I1753/(G1753-H1753),0)&gt;MIN(F1753,J1753),"未回本",MAX(1,ROUNDUP(I1753/(G1753-H1753),0))))</x:f>
        <x:v>未回本</x:v>
      </x:c>
    </x:row>
    <x:row r="1754" ht="22" customHeight="1">
      <x:c r="A1754" s="11" t="str">
        <x:v>lade_0827_30aoi</x:v>
      </x:c>
      <x:c r="B1754" s="10" t="n">
        <x:v>30</x:v>
      </x:c>
      <x:c r="C1754" s="10" t="n">
        <x:v>43</x:v>
      </x:c>
      <x:c r="D1754" s="10" t="str">
        <x:v>M1 / M3</x:v>
      </x:c>
      <x:c r="E1754" s="16" t="n">
        <x:v>4</x:v>
      </x:c>
      <x:c r="F1754" s="14" t="n">
        <x:v>30</x:v>
      </x:c>
      <x:c r="G1754" s="26" t="n">
        <x:f>'成本明细'!U259+'成本明细'!G259*(E1754-'参数'!$B$6)</x:f>
        <x:v>3264.5807109494444</x:v>
      </x:c>
      <x:c r="H1754" s="26" t="n">
        <x:f>'成本明细'!U265</x:f>
        <x:v>4017.009675363334</x:v>
      </x:c>
      <x:c r="I1754" s="26" t="n">
        <x:f>'成本明细'!V265</x:f>
        <x:v>8687</x:v>
      </x:c>
      <x:c r="J1754" s="22" t="n">
        <x:f>'参数'!$B$9</x:f>
        <x:v>300</x:v>
      </x:c>
      <x:c r="K1754" s="26" t="n">
        <x:f>J1754*(G1754-H1754)-I1754*ROUNDUP(J1754/F1754,0)</x:f>
        <x:v>-312598.68932416686</x:v>
      </x:c>
      <x:c r="L1754" s="10" t="str">
        <x:f>IF(G1754-H1754&lt;=0,"未回本",IF(ROUNDUP(I1754/(G1754-H1754),0)&gt;MIN(F1754,J1754),"未回本",MAX(1,ROUNDUP(I1754/(G1754-H1754),0))))</x:f>
        <x:v>未回本</x:v>
      </x:c>
    </x:row>
    <x:row r="1755" ht="22" customHeight="1">
      <x:c r="A1755" s="11" t="str">
        <x:v>lade_0827_30aoi</x:v>
      </x:c>
      <x:c r="B1755" s="10" t="n">
        <x:v>30</x:v>
      </x:c>
      <x:c r="C1755" s="10" t="n">
        <x:v>43</x:v>
      </x:c>
      <x:c r="D1755" s="10" t="str">
        <x:v>M2 / M4</x:v>
      </x:c>
      <x:c r="E1755" s="16" t="n">
        <x:v>4</x:v>
      </x:c>
      <x:c r="F1755" s="14" t="n">
        <x:v>30</x:v>
      </x:c>
      <x:c r="G1755" s="26" t="n">
        <x:f>'成本明细'!U262+'成本明细'!G262*(E1755-'参数'!$B$6)</x:f>
        <x:v>2810.096409761667</x:v>
      </x:c>
      <x:c r="H1755" s="26" t="n">
        <x:f>'成本明细'!U268</x:f>
        <x:v>4045.282608119445</x:v>
      </x:c>
      <x:c r="I1755" s="26" t="n">
        <x:f>'成本明细'!V268</x:f>
        <x:v>8687</x:v>
      </x:c>
      <x:c r="J1755" s="22" t="n">
        <x:f>'参数'!$B$9</x:f>
        <x:v>300</x:v>
      </x:c>
      <x:c r="K1755" s="26" t="n">
        <x:f>J1755*(G1755-H1755)-I1755*ROUNDUP(J1755/F1755,0)</x:f>
        <x:v>-457425.85950733337</x:v>
      </x:c>
      <x:c r="L1755" s="10" t="str">
        <x:f>IF(G1755-H1755&lt;=0,"未回本",IF(ROUNDUP(I1755/(G1755-H1755),0)&gt;MIN(F1755,J1755),"未回本",MAX(1,ROUNDUP(I1755/(G1755-H1755),0))))</x:f>
        <x:v>未回本</x:v>
      </x:c>
    </x:row>
    <x:row r="1756" ht="22" customHeight="1">
      <x:c r="A1756" s="11" t="str">
        <x:v>lade_0827_30aoi</x:v>
      </x:c>
      <x:c r="B1756" s="10" t="n">
        <x:v>30</x:v>
      </x:c>
      <x:c r="C1756" s="10" t="n">
        <x:v>43</x:v>
      </x:c>
      <x:c r="D1756" s="10" t="str">
        <x:v>M1 / M3</x:v>
      </x:c>
      <x:c r="E1756" s="16" t="n">
        <x:v>4</x:v>
      </x:c>
      <x:c r="F1756" s="14" t="n">
        <x:v>50</x:v>
      </x:c>
      <x:c r="G1756" s="26" t="n">
        <x:f>'成本明细'!U259+'成本明细'!G259*(E1756-'参数'!$B$6)</x:f>
        <x:v>3264.5807109494444</x:v>
      </x:c>
      <x:c r="H1756" s="26" t="n">
        <x:f>'成本明细'!U265</x:f>
        <x:v>4017.009675363334</x:v>
      </x:c>
      <x:c r="I1756" s="26" t="n">
        <x:f>'成本明细'!V265</x:f>
        <x:v>8687</x:v>
      </x:c>
      <x:c r="J1756" s="22" t="n">
        <x:f>'参数'!$B$9</x:f>
        <x:v>300</x:v>
      </x:c>
      <x:c r="K1756" s="26" t="n">
        <x:f>J1756*(G1756-H1756)-I1756*ROUNDUP(J1756/F1756,0)</x:f>
        <x:v>-277850.68932416686</x:v>
      </x:c>
      <x:c r="L1756" s="10" t="str">
        <x:f>IF(G1756-H1756&lt;=0,"未回本",IF(ROUNDUP(I1756/(G1756-H1756),0)&gt;MIN(F1756,J1756),"未回本",MAX(1,ROUNDUP(I1756/(G1756-H1756),0))))</x:f>
        <x:v>未回本</x:v>
      </x:c>
    </x:row>
    <x:row r="1757" ht="22" customHeight="1">
      <x:c r="A1757" s="11" t="str">
        <x:v>lade_0827_30aoi</x:v>
      </x:c>
      <x:c r="B1757" s="10" t="n">
        <x:v>30</x:v>
      </x:c>
      <x:c r="C1757" s="10" t="n">
        <x:v>43</x:v>
      </x:c>
      <x:c r="D1757" s="10" t="str">
        <x:v>M2 / M4</x:v>
      </x:c>
      <x:c r="E1757" s="16" t="n">
        <x:v>4</x:v>
      </x:c>
      <x:c r="F1757" s="14" t="n">
        <x:v>50</x:v>
      </x:c>
      <x:c r="G1757" s="26" t="n">
        <x:f>'成本明细'!U262+'成本明细'!G262*(E1757-'参数'!$B$6)</x:f>
        <x:v>2810.096409761667</x:v>
      </x:c>
      <x:c r="H1757" s="26" t="n">
        <x:f>'成本明细'!U268</x:f>
        <x:v>4045.282608119445</x:v>
      </x:c>
      <x:c r="I1757" s="26" t="n">
        <x:f>'成本明细'!V268</x:f>
        <x:v>8687</x:v>
      </x:c>
      <x:c r="J1757" s="22" t="n">
        <x:f>'参数'!$B$9</x:f>
        <x:v>300</x:v>
      </x:c>
      <x:c r="K1757" s="26" t="n">
        <x:f>J1757*(G1757-H1757)-I1757*ROUNDUP(J1757/F1757,0)</x:f>
        <x:v>-422677.85950733337</x:v>
      </x:c>
      <x:c r="L1757" s="10" t="str">
        <x:f>IF(G1757-H1757&lt;=0,"未回本",IF(ROUNDUP(I1757/(G1757-H1757),0)&gt;MIN(F1757,J1757),"未回本",MAX(1,ROUNDUP(I1757/(G1757-H1757),0))))</x:f>
        <x:v>未回本</x:v>
      </x:c>
    </x:row>
    <x:row r="1758" ht="22" customHeight="1">
      <x:c r="A1758" s="11" t="str">
        <x:v>lade_0827_30aoi</x:v>
      </x:c>
      <x:c r="B1758" s="10" t="n">
        <x:v>30</x:v>
      </x:c>
      <x:c r="C1758" s="10" t="n">
        <x:v>43</x:v>
      </x:c>
      <x:c r="D1758" s="10" t="str">
        <x:v>M1 / M3</x:v>
      </x:c>
      <x:c r="E1758" s="16" t="n">
        <x:v>5</x:v>
      </x:c>
      <x:c r="F1758" s="14" t="n">
        <x:v>10</x:v>
      </x:c>
      <x:c r="G1758" s="26" t="n">
        <x:f>'成本明细'!U259+'成本明细'!G259*(E1758-'参数'!$B$6)</x:f>
        <x:v>3502.5807109494444</x:v>
      </x:c>
      <x:c r="H1758" s="26" t="n">
        <x:f>'成本明细'!U265</x:f>
        <x:v>4017.009675363334</x:v>
      </x:c>
      <x:c r="I1758" s="26" t="n">
        <x:f>'成本明细'!V265</x:f>
        <x:v>8687</x:v>
      </x:c>
      <x:c r="J1758" s="22" t="n">
        <x:f>'参数'!$B$9</x:f>
        <x:v>300</x:v>
      </x:c>
      <x:c r="K1758" s="26" t="n">
        <x:f>J1758*(G1758-H1758)-I1758*ROUNDUP(J1758/F1758,0)</x:f>
        <x:v>-414938.68932416686</x:v>
      </x:c>
      <x:c r="L1758" s="10" t="str">
        <x:f>IF(G1758-H1758&lt;=0,"未回本",IF(ROUNDUP(I1758/(G1758-H1758),0)&gt;MIN(F1758,J1758),"未回本",MAX(1,ROUNDUP(I1758/(G1758-H1758),0))))</x:f>
        <x:v>未回本</x:v>
      </x:c>
    </x:row>
    <x:row r="1759" ht="22" customHeight="1">
      <x:c r="A1759" s="11" t="str">
        <x:v>lade_0827_30aoi</x:v>
      </x:c>
      <x:c r="B1759" s="10" t="n">
        <x:v>30</x:v>
      </x:c>
      <x:c r="C1759" s="10" t="n">
        <x:v>43</x:v>
      </x:c>
      <x:c r="D1759" s="10" t="str">
        <x:v>M2 / M4</x:v>
      </x:c>
      <x:c r="E1759" s="16" t="n">
        <x:v>5</x:v>
      </x:c>
      <x:c r="F1759" s="14" t="n">
        <x:v>10</x:v>
      </x:c>
      <x:c r="G1759" s="26" t="n">
        <x:f>'成本明细'!U262+'成本明细'!G262*(E1759-'参数'!$B$6)</x:f>
        <x:v>3048.096409761667</x:v>
      </x:c>
      <x:c r="H1759" s="26" t="n">
        <x:f>'成本明细'!U268</x:f>
        <x:v>4045.282608119445</x:v>
      </x:c>
      <x:c r="I1759" s="26" t="n">
        <x:f>'成本明细'!V268</x:f>
        <x:v>8687</x:v>
      </x:c>
      <x:c r="J1759" s="22" t="n">
        <x:f>'参数'!$B$9</x:f>
        <x:v>300</x:v>
      </x:c>
      <x:c r="K1759" s="26" t="n">
        <x:f>J1759*(G1759-H1759)-I1759*ROUNDUP(J1759/F1759,0)</x:f>
        <x:v>-559765.8595073334</x:v>
      </x:c>
      <x:c r="L1759" s="10" t="str">
        <x:f>IF(G1759-H1759&lt;=0,"未回本",IF(ROUNDUP(I1759/(G1759-H1759),0)&gt;MIN(F1759,J1759),"未回本",MAX(1,ROUNDUP(I1759/(G1759-H1759),0))))</x:f>
        <x:v>未回本</x:v>
      </x:c>
    </x:row>
    <x:row r="1760" ht="22" customHeight="1">
      <x:c r="A1760" s="11" t="str">
        <x:v>lade_0827_30aoi</x:v>
      </x:c>
      <x:c r="B1760" s="10" t="n">
        <x:v>30</x:v>
      </x:c>
      <x:c r="C1760" s="10" t="n">
        <x:v>43</x:v>
      </x:c>
      <x:c r="D1760" s="10" t="str">
        <x:v>M1 / M3</x:v>
      </x:c>
      <x:c r="E1760" s="16" t="n">
        <x:v>5</x:v>
      </x:c>
      <x:c r="F1760" s="14" t="n">
        <x:v>20</x:v>
      </x:c>
      <x:c r="G1760" s="26" t="n">
        <x:f>'成本明细'!U259+'成本明细'!G259*(E1760-'参数'!$B$6)</x:f>
        <x:v>3502.5807109494444</x:v>
      </x:c>
      <x:c r="H1760" s="26" t="n">
        <x:f>'成本明细'!U265</x:f>
        <x:v>4017.009675363334</x:v>
      </x:c>
      <x:c r="I1760" s="26" t="n">
        <x:f>'成本明细'!V265</x:f>
        <x:v>8687</x:v>
      </x:c>
      <x:c r="J1760" s="22" t="n">
        <x:f>'参数'!$B$9</x:f>
        <x:v>300</x:v>
      </x:c>
      <x:c r="K1760" s="26" t="n">
        <x:f>J1760*(G1760-H1760)-I1760*ROUNDUP(J1760/F1760,0)</x:f>
        <x:v>-284633.68932416686</x:v>
      </x:c>
      <x:c r="L1760" s="10" t="str">
        <x:f>IF(G1760-H1760&lt;=0,"未回本",IF(ROUNDUP(I1760/(G1760-H1760),0)&gt;MIN(F1760,J1760),"未回本",MAX(1,ROUNDUP(I1760/(G1760-H1760),0))))</x:f>
        <x:v>未回本</x:v>
      </x:c>
    </x:row>
    <x:row r="1761" ht="22" customHeight="1">
      <x:c r="A1761" s="11" t="str">
        <x:v>lade_0827_30aoi</x:v>
      </x:c>
      <x:c r="B1761" s="10" t="n">
        <x:v>30</x:v>
      </x:c>
      <x:c r="C1761" s="10" t="n">
        <x:v>43</x:v>
      </x:c>
      <x:c r="D1761" s="10" t="str">
        <x:v>M2 / M4</x:v>
      </x:c>
      <x:c r="E1761" s="16" t="n">
        <x:v>5</x:v>
      </x:c>
      <x:c r="F1761" s="14" t="n">
        <x:v>20</x:v>
      </x:c>
      <x:c r="G1761" s="26" t="n">
        <x:f>'成本明细'!U262+'成本明细'!G262*(E1761-'参数'!$B$6)</x:f>
        <x:v>3048.096409761667</x:v>
      </x:c>
      <x:c r="H1761" s="26" t="n">
        <x:f>'成本明细'!U268</x:f>
        <x:v>4045.282608119445</x:v>
      </x:c>
      <x:c r="I1761" s="26" t="n">
        <x:f>'成本明细'!V268</x:f>
        <x:v>8687</x:v>
      </x:c>
      <x:c r="J1761" s="22" t="n">
        <x:f>'参数'!$B$9</x:f>
        <x:v>300</x:v>
      </x:c>
      <x:c r="K1761" s="26" t="n">
        <x:f>J1761*(G1761-H1761)-I1761*ROUNDUP(J1761/F1761,0)</x:f>
        <x:v>-429460.85950733337</x:v>
      </x:c>
      <x:c r="L1761" s="10" t="str">
        <x:f>IF(G1761-H1761&lt;=0,"未回本",IF(ROUNDUP(I1761/(G1761-H1761),0)&gt;MIN(F1761,J1761),"未回本",MAX(1,ROUNDUP(I1761/(G1761-H1761),0))))</x:f>
        <x:v>未回本</x:v>
      </x:c>
    </x:row>
    <x:row r="1762" ht="22" customHeight="1">
      <x:c r="A1762" s="11" t="str">
        <x:v>lade_0827_30aoi</x:v>
      </x:c>
      <x:c r="B1762" s="10" t="n">
        <x:v>30</x:v>
      </x:c>
      <x:c r="C1762" s="10" t="n">
        <x:v>43</x:v>
      </x:c>
      <x:c r="D1762" s="10" t="str">
        <x:v>M1 / M3</x:v>
      </x:c>
      <x:c r="E1762" s="16" t="n">
        <x:v>5</x:v>
      </x:c>
      <x:c r="F1762" s="14" t="n">
        <x:v>30</x:v>
      </x:c>
      <x:c r="G1762" s="26" t="n">
        <x:f>'成本明细'!U259+'成本明细'!G259*(E1762-'参数'!$B$6)</x:f>
        <x:v>3502.5807109494444</x:v>
      </x:c>
      <x:c r="H1762" s="26" t="n">
        <x:f>'成本明细'!U265</x:f>
        <x:v>4017.009675363334</x:v>
      </x:c>
      <x:c r="I1762" s="26" t="n">
        <x:f>'成本明细'!V265</x:f>
        <x:v>8687</x:v>
      </x:c>
      <x:c r="J1762" s="22" t="n">
        <x:f>'参数'!$B$9</x:f>
        <x:v>300</x:v>
      </x:c>
      <x:c r="K1762" s="26" t="n">
        <x:f>J1762*(G1762-H1762)-I1762*ROUNDUP(J1762/F1762,0)</x:f>
        <x:v>-241198.68932416683</x:v>
      </x:c>
      <x:c r="L1762" s="10" t="str">
        <x:f>IF(G1762-H1762&lt;=0,"未回本",IF(ROUNDUP(I1762/(G1762-H1762),0)&gt;MIN(F1762,J1762),"未回本",MAX(1,ROUNDUP(I1762/(G1762-H1762),0))))</x:f>
        <x:v>未回本</x:v>
      </x:c>
    </x:row>
    <x:row r="1763" ht="22" customHeight="1">
      <x:c r="A1763" s="11" t="str">
        <x:v>lade_0827_30aoi</x:v>
      </x:c>
      <x:c r="B1763" s="10" t="n">
        <x:v>30</x:v>
      </x:c>
      <x:c r="C1763" s="10" t="n">
        <x:v>43</x:v>
      </x:c>
      <x:c r="D1763" s="10" t="str">
        <x:v>M2 / M4</x:v>
      </x:c>
      <x:c r="E1763" s="16" t="n">
        <x:v>5</x:v>
      </x:c>
      <x:c r="F1763" s="14" t="n">
        <x:v>30</x:v>
      </x:c>
      <x:c r="G1763" s="26" t="n">
        <x:f>'成本明细'!U262+'成本明细'!G262*(E1763-'参数'!$B$6)</x:f>
        <x:v>3048.096409761667</x:v>
      </x:c>
      <x:c r="H1763" s="26" t="n">
        <x:f>'成本明细'!U268</x:f>
        <x:v>4045.282608119445</x:v>
      </x:c>
      <x:c r="I1763" s="26" t="n">
        <x:f>'成本明细'!V268</x:f>
        <x:v>8687</x:v>
      </x:c>
      <x:c r="J1763" s="22" t="n">
        <x:f>'参数'!$B$9</x:f>
        <x:v>300</x:v>
      </x:c>
      <x:c r="K1763" s="26" t="n">
        <x:f>J1763*(G1763-H1763)-I1763*ROUNDUP(J1763/F1763,0)</x:f>
        <x:v>-386025.85950733337</x:v>
      </x:c>
      <x:c r="L1763" s="10" t="str">
        <x:f>IF(G1763-H1763&lt;=0,"未回本",IF(ROUNDUP(I1763/(G1763-H1763),0)&gt;MIN(F1763,J1763),"未回本",MAX(1,ROUNDUP(I1763/(G1763-H1763),0))))</x:f>
        <x:v>未回本</x:v>
      </x:c>
    </x:row>
    <x:row r="1764" ht="22" customHeight="1">
      <x:c r="A1764" s="11" t="str">
        <x:v>lade_0827_30aoi</x:v>
      </x:c>
      <x:c r="B1764" s="10" t="n">
        <x:v>30</x:v>
      </x:c>
      <x:c r="C1764" s="10" t="n">
        <x:v>43</x:v>
      </x:c>
      <x:c r="D1764" s="10" t="str">
        <x:v>M1 / M3</x:v>
      </x:c>
      <x:c r="E1764" s="16" t="n">
        <x:v>5</x:v>
      </x:c>
      <x:c r="F1764" s="14" t="n">
        <x:v>50</x:v>
      </x:c>
      <x:c r="G1764" s="26" t="n">
        <x:f>'成本明细'!U259+'成本明细'!G259*(E1764-'参数'!$B$6)</x:f>
        <x:v>3502.5807109494444</x:v>
      </x:c>
      <x:c r="H1764" s="26" t="n">
        <x:f>'成本明细'!U265</x:f>
        <x:v>4017.009675363334</x:v>
      </x:c>
      <x:c r="I1764" s="26" t="n">
        <x:f>'成本明细'!V265</x:f>
        <x:v>8687</x:v>
      </x:c>
      <x:c r="J1764" s="22" t="n">
        <x:f>'参数'!$B$9</x:f>
        <x:v>300</x:v>
      </x:c>
      <x:c r="K1764" s="26" t="n">
        <x:f>J1764*(G1764-H1764)-I1764*ROUNDUP(J1764/F1764,0)</x:f>
        <x:v>-206450.68932416683</x:v>
      </x:c>
      <x:c r="L1764" s="10" t="str">
        <x:f>IF(G1764-H1764&lt;=0,"未回本",IF(ROUNDUP(I1764/(G1764-H1764),0)&gt;MIN(F1764,J1764),"未回本",MAX(1,ROUNDUP(I1764/(G1764-H1764),0))))</x:f>
        <x:v>未回本</x:v>
      </x:c>
    </x:row>
    <x:row r="1765" ht="22" customHeight="1">
      <x:c r="A1765" s="11" t="str">
        <x:v>lade_0827_30aoi</x:v>
      </x:c>
      <x:c r="B1765" s="10" t="n">
        <x:v>30</x:v>
      </x:c>
      <x:c r="C1765" s="10" t="n">
        <x:v>43</x:v>
      </x:c>
      <x:c r="D1765" s="10" t="str">
        <x:v>M2 / M4</x:v>
      </x:c>
      <x:c r="E1765" s="16" t="n">
        <x:v>5</x:v>
      </x:c>
      <x:c r="F1765" s="14" t="n">
        <x:v>50</x:v>
      </x:c>
      <x:c r="G1765" s="26" t="n">
        <x:f>'成本明细'!U262+'成本明细'!G262*(E1765-'参数'!$B$6)</x:f>
        <x:v>3048.096409761667</x:v>
      </x:c>
      <x:c r="H1765" s="26" t="n">
        <x:f>'成本明细'!U268</x:f>
        <x:v>4045.282608119445</x:v>
      </x:c>
      <x:c r="I1765" s="26" t="n">
        <x:f>'成本明细'!V268</x:f>
        <x:v>8687</x:v>
      </x:c>
      <x:c r="J1765" s="22" t="n">
        <x:f>'参数'!$B$9</x:f>
        <x:v>300</x:v>
      </x:c>
      <x:c r="K1765" s="26" t="n">
        <x:f>J1765*(G1765-H1765)-I1765*ROUNDUP(J1765/F1765,0)</x:f>
        <x:v>-351277.85950733337</x:v>
      </x:c>
      <x:c r="L1765" s="10" t="str">
        <x:f>IF(G1765-H1765&lt;=0,"未回本",IF(ROUNDUP(I1765/(G1765-H1765),0)&gt;MIN(F1765,J1765),"未回本",MAX(1,ROUNDUP(I1765/(G1765-H1765),0))))</x:f>
        <x:v>未回本</x:v>
      </x:c>
    </x:row>
    <x:row r="1766" ht="22" customHeight="1">
      <x:c r="A1766" s="11" t="str">
        <x:v>lade_0827_30aoi</x:v>
      </x:c>
      <x:c r="B1766" s="10" t="n">
        <x:v>30</x:v>
      </x:c>
      <x:c r="C1766" s="10" t="n">
        <x:v>44</x:v>
      </x:c>
      <x:c r="D1766" s="10" t="str">
        <x:v>M1 / M3</x:v>
      </x:c>
      <x:c r="E1766" s="16" t="n">
        <x:v>1</x:v>
      </x:c>
      <x:c r="F1766" s="14" t="n">
        <x:v>10</x:v>
      </x:c>
      <x:c r="G1766" s="26" t="n">
        <x:f>'成本明细'!U260+'成本明细'!G260*(E1766-'参数'!$B$6)</x:f>
        <x:v>2715.805392835</x:v>
      </x:c>
      <x:c r="H1766" s="26" t="n">
        <x:f>'成本明细'!U266</x:f>
        <x:v>4047.692073874445</x:v>
      </x:c>
      <x:c r="I1766" s="26" t="n">
        <x:f>'成本明细'!V266</x:f>
        <x:v>8687</x:v>
      </x:c>
      <x:c r="J1766" s="22" t="n">
        <x:f>'参数'!$B$9</x:f>
        <x:v>300</x:v>
      </x:c>
      <x:c r="K1766" s="26" t="n">
        <x:f>J1766*(G1766-H1766)-I1766*ROUNDUP(J1766/F1766,0)</x:f>
        <x:v>-660176.0043118335</x:v>
      </x:c>
      <x:c r="L1766" s="10" t="str">
        <x:f>IF(G1766-H1766&lt;=0,"未回本",IF(ROUNDUP(I1766/(G1766-H1766),0)&gt;MIN(F1766,J1766),"未回本",MAX(1,ROUNDUP(I1766/(G1766-H1766),0))))</x:f>
        <x:v>未回本</x:v>
      </x:c>
    </x:row>
    <x:row r="1767" ht="22" customHeight="1">
      <x:c r="A1767" s="11" t="str">
        <x:v>lade_0827_30aoi</x:v>
      </x:c>
      <x:c r="B1767" s="10" t="n">
        <x:v>30</x:v>
      </x:c>
      <x:c r="C1767" s="10" t="n">
        <x:v>44</x:v>
      </x:c>
      <x:c r="D1767" s="10" t="str">
        <x:v>M2 / M4</x:v>
      </x:c>
      <x:c r="E1767" s="16" t="n">
        <x:v>1</x:v>
      </x:c>
      <x:c r="F1767" s="14" t="n">
        <x:v>10</x:v>
      </x:c>
      <x:c r="G1767" s="26" t="n">
        <x:f>'成本明细'!U263+'成本明细'!G263*(E1767-'参数'!$B$6)</x:f>
        <x:v>2132.846937516667</x:v>
      </x:c>
      <x:c r="H1767" s="26" t="n">
        <x:f>'成本明细'!U269</x:f>
        <x:v>3857.867768682778</x:v>
      </x:c>
      <x:c r="I1767" s="26" t="n">
        <x:f>'成本明细'!V269</x:f>
        <x:v>8687</x:v>
      </x:c>
      <x:c r="J1767" s="22" t="n">
        <x:f>'参数'!$B$9</x:f>
        <x:v>300</x:v>
      </x:c>
      <x:c r="K1767" s="26" t="n">
        <x:f>J1767*(G1767-H1767)-I1767*ROUNDUP(J1767/F1767,0)</x:f>
        <x:v>-778116.2493498335</x:v>
      </x:c>
      <x:c r="L1767" s="10" t="str">
        <x:f>IF(G1767-H1767&lt;=0,"未回本",IF(ROUNDUP(I1767/(G1767-H1767),0)&gt;MIN(F1767,J1767),"未回本",MAX(1,ROUNDUP(I1767/(G1767-H1767),0))))</x:f>
        <x:v>未回本</x:v>
      </x:c>
    </x:row>
    <x:row r="1768" ht="22" customHeight="1">
      <x:c r="A1768" s="11" t="str">
        <x:v>lade_0827_30aoi</x:v>
      </x:c>
      <x:c r="B1768" s="10" t="n">
        <x:v>30</x:v>
      </x:c>
      <x:c r="C1768" s="10" t="n">
        <x:v>44</x:v>
      </x:c>
      <x:c r="D1768" s="10" t="str">
        <x:v>M1 / M3</x:v>
      </x:c>
      <x:c r="E1768" s="16" t="n">
        <x:v>1</x:v>
      </x:c>
      <x:c r="F1768" s="14" t="n">
        <x:v>20</x:v>
      </x:c>
      <x:c r="G1768" s="26" t="n">
        <x:f>'成本明细'!U260+'成本明细'!G260*(E1768-'参数'!$B$6)</x:f>
        <x:v>2715.805392835</x:v>
      </x:c>
      <x:c r="H1768" s="26" t="n">
        <x:f>'成本明细'!U266</x:f>
        <x:v>4047.692073874445</x:v>
      </x:c>
      <x:c r="I1768" s="26" t="n">
        <x:f>'成本明细'!V266</x:f>
        <x:v>8687</x:v>
      </x:c>
      <x:c r="J1768" s="22" t="n">
        <x:f>'参数'!$B$9</x:f>
        <x:v>300</x:v>
      </x:c>
      <x:c r="K1768" s="26" t="n">
        <x:f>J1768*(G1768-H1768)-I1768*ROUNDUP(J1768/F1768,0)</x:f>
        <x:v>-529871.0043118335</x:v>
      </x:c>
      <x:c r="L1768" s="10" t="str">
        <x:f>IF(G1768-H1768&lt;=0,"未回本",IF(ROUNDUP(I1768/(G1768-H1768),0)&gt;MIN(F1768,J1768),"未回本",MAX(1,ROUNDUP(I1768/(G1768-H1768),0))))</x:f>
        <x:v>未回本</x:v>
      </x:c>
    </x:row>
    <x:row r="1769" ht="22" customHeight="1">
      <x:c r="A1769" s="11" t="str">
        <x:v>lade_0827_30aoi</x:v>
      </x:c>
      <x:c r="B1769" s="10" t="n">
        <x:v>30</x:v>
      </x:c>
      <x:c r="C1769" s="10" t="n">
        <x:v>44</x:v>
      </x:c>
      <x:c r="D1769" s="10" t="str">
        <x:v>M2 / M4</x:v>
      </x:c>
      <x:c r="E1769" s="16" t="n">
        <x:v>1</x:v>
      </x:c>
      <x:c r="F1769" s="14" t="n">
        <x:v>20</x:v>
      </x:c>
      <x:c r="G1769" s="26" t="n">
        <x:f>'成本明细'!U263+'成本明细'!G263*(E1769-'参数'!$B$6)</x:f>
        <x:v>2132.846937516667</x:v>
      </x:c>
      <x:c r="H1769" s="26" t="n">
        <x:f>'成本明细'!U269</x:f>
        <x:v>3857.867768682778</x:v>
      </x:c>
      <x:c r="I1769" s="26" t="n">
        <x:f>'成本明细'!V269</x:f>
        <x:v>8687</x:v>
      </x:c>
      <x:c r="J1769" s="22" t="n">
        <x:f>'参数'!$B$9</x:f>
        <x:v>300</x:v>
      </x:c>
      <x:c r="K1769" s="26" t="n">
        <x:f>J1769*(G1769-H1769)-I1769*ROUNDUP(J1769/F1769,0)</x:f>
        <x:v>-647811.2493498335</x:v>
      </x:c>
      <x:c r="L1769" s="10" t="str">
        <x:f>IF(G1769-H1769&lt;=0,"未回本",IF(ROUNDUP(I1769/(G1769-H1769),0)&gt;MIN(F1769,J1769),"未回本",MAX(1,ROUNDUP(I1769/(G1769-H1769),0))))</x:f>
        <x:v>未回本</x:v>
      </x:c>
    </x:row>
    <x:row r="1770" ht="22" customHeight="1">
      <x:c r="A1770" s="11" t="str">
        <x:v>lade_0827_30aoi</x:v>
      </x:c>
      <x:c r="B1770" s="10" t="n">
        <x:v>30</x:v>
      </x:c>
      <x:c r="C1770" s="10" t="n">
        <x:v>44</x:v>
      </x:c>
      <x:c r="D1770" s="10" t="str">
        <x:v>M1 / M3</x:v>
      </x:c>
      <x:c r="E1770" s="16" t="n">
        <x:v>1</x:v>
      </x:c>
      <x:c r="F1770" s="14" t="n">
        <x:v>30</x:v>
      </x:c>
      <x:c r="G1770" s="26" t="n">
        <x:f>'成本明细'!U260+'成本明细'!G260*(E1770-'参数'!$B$6)</x:f>
        <x:v>2715.805392835</x:v>
      </x:c>
      <x:c r="H1770" s="26" t="n">
        <x:f>'成本明细'!U266</x:f>
        <x:v>4047.692073874445</x:v>
      </x:c>
      <x:c r="I1770" s="26" t="n">
        <x:f>'成本明细'!V266</x:f>
        <x:v>8687</x:v>
      </x:c>
      <x:c r="J1770" s="22" t="n">
        <x:f>'参数'!$B$9</x:f>
        <x:v>300</x:v>
      </x:c>
      <x:c r="K1770" s="26" t="n">
        <x:f>J1770*(G1770-H1770)-I1770*ROUNDUP(J1770/F1770,0)</x:f>
        <x:v>-486436.00431183353</x:v>
      </x:c>
      <x:c r="L1770" s="10" t="str">
        <x:f>IF(G1770-H1770&lt;=0,"未回本",IF(ROUNDUP(I1770/(G1770-H1770),0)&gt;MIN(F1770,J1770),"未回本",MAX(1,ROUNDUP(I1770/(G1770-H1770),0))))</x:f>
        <x:v>未回本</x:v>
      </x:c>
    </x:row>
    <x:row r="1771" ht="22" customHeight="1">
      <x:c r="A1771" s="11" t="str">
        <x:v>lade_0827_30aoi</x:v>
      </x:c>
      <x:c r="B1771" s="10" t="n">
        <x:v>30</x:v>
      </x:c>
      <x:c r="C1771" s="10" t="n">
        <x:v>44</x:v>
      </x:c>
      <x:c r="D1771" s="10" t="str">
        <x:v>M2 / M4</x:v>
      </x:c>
      <x:c r="E1771" s="16" t="n">
        <x:v>1</x:v>
      </x:c>
      <x:c r="F1771" s="14" t="n">
        <x:v>30</x:v>
      </x:c>
      <x:c r="G1771" s="26" t="n">
        <x:f>'成本明细'!U263+'成本明细'!G263*(E1771-'参数'!$B$6)</x:f>
        <x:v>2132.846937516667</x:v>
      </x:c>
      <x:c r="H1771" s="26" t="n">
        <x:f>'成本明细'!U269</x:f>
        <x:v>3857.867768682778</x:v>
      </x:c>
      <x:c r="I1771" s="26" t="n">
        <x:f>'成本明细'!V269</x:f>
        <x:v>8687</x:v>
      </x:c>
      <x:c r="J1771" s="22" t="n">
        <x:f>'参数'!$B$9</x:f>
        <x:v>300</x:v>
      </x:c>
      <x:c r="K1771" s="26" t="n">
        <x:f>J1771*(G1771-H1771)-I1771*ROUNDUP(J1771/F1771,0)</x:f>
        <x:v>-604376.2493498335</x:v>
      </x:c>
      <x:c r="L1771" s="10" t="str">
        <x:f>IF(G1771-H1771&lt;=0,"未回本",IF(ROUNDUP(I1771/(G1771-H1771),0)&gt;MIN(F1771,J1771),"未回本",MAX(1,ROUNDUP(I1771/(G1771-H1771),0))))</x:f>
        <x:v>未回本</x:v>
      </x:c>
    </x:row>
    <x:row r="1772" ht="22" customHeight="1">
      <x:c r="A1772" s="11" t="str">
        <x:v>lade_0827_30aoi</x:v>
      </x:c>
      <x:c r="B1772" s="10" t="n">
        <x:v>30</x:v>
      </x:c>
      <x:c r="C1772" s="10" t="n">
        <x:v>44</x:v>
      </x:c>
      <x:c r="D1772" s="10" t="str">
        <x:v>M1 / M3</x:v>
      </x:c>
      <x:c r="E1772" s="16" t="n">
        <x:v>1</x:v>
      </x:c>
      <x:c r="F1772" s="14" t="n">
        <x:v>50</x:v>
      </x:c>
      <x:c r="G1772" s="26" t="n">
        <x:f>'成本明细'!U260+'成本明细'!G260*(E1772-'参数'!$B$6)</x:f>
        <x:v>2715.805392835</x:v>
      </x:c>
      <x:c r="H1772" s="26" t="n">
        <x:f>'成本明细'!U266</x:f>
        <x:v>4047.692073874445</x:v>
      </x:c>
      <x:c r="I1772" s="26" t="n">
        <x:f>'成本明细'!V266</x:f>
        <x:v>8687</x:v>
      </x:c>
      <x:c r="J1772" s="22" t="n">
        <x:f>'参数'!$B$9</x:f>
        <x:v>300</x:v>
      </x:c>
      <x:c r="K1772" s="26" t="n">
        <x:f>J1772*(G1772-H1772)-I1772*ROUNDUP(J1772/F1772,0)</x:f>
        <x:v>-451688.00431183353</x:v>
      </x:c>
      <x:c r="L1772" s="10" t="str">
        <x:f>IF(G1772-H1772&lt;=0,"未回本",IF(ROUNDUP(I1772/(G1772-H1772),0)&gt;MIN(F1772,J1772),"未回本",MAX(1,ROUNDUP(I1772/(G1772-H1772),0))))</x:f>
        <x:v>未回本</x:v>
      </x:c>
    </x:row>
    <x:row r="1773" ht="22" customHeight="1">
      <x:c r="A1773" s="11" t="str">
        <x:v>lade_0827_30aoi</x:v>
      </x:c>
      <x:c r="B1773" s="10" t="n">
        <x:v>30</x:v>
      </x:c>
      <x:c r="C1773" s="10" t="n">
        <x:v>44</x:v>
      </x:c>
      <x:c r="D1773" s="10" t="str">
        <x:v>M2 / M4</x:v>
      </x:c>
      <x:c r="E1773" s="16" t="n">
        <x:v>1</x:v>
      </x:c>
      <x:c r="F1773" s="14" t="n">
        <x:v>50</x:v>
      </x:c>
      <x:c r="G1773" s="26" t="n">
        <x:f>'成本明细'!U263+'成本明细'!G263*(E1773-'参数'!$B$6)</x:f>
        <x:v>2132.846937516667</x:v>
      </x:c>
      <x:c r="H1773" s="26" t="n">
        <x:f>'成本明细'!U269</x:f>
        <x:v>3857.867768682778</x:v>
      </x:c>
      <x:c r="I1773" s="26" t="n">
        <x:f>'成本明细'!V269</x:f>
        <x:v>8687</x:v>
      </x:c>
      <x:c r="J1773" s="22" t="n">
        <x:f>'参数'!$B$9</x:f>
        <x:v>300</x:v>
      </x:c>
      <x:c r="K1773" s="26" t="n">
        <x:f>J1773*(G1773-H1773)-I1773*ROUNDUP(J1773/F1773,0)</x:f>
        <x:v>-569628.2493498335</x:v>
      </x:c>
      <x:c r="L1773" s="10" t="str">
        <x:f>IF(G1773-H1773&lt;=0,"未回本",IF(ROUNDUP(I1773/(G1773-H1773),0)&gt;MIN(F1773,J1773),"未回本",MAX(1,ROUNDUP(I1773/(G1773-H1773),0))))</x:f>
        <x:v>未回本</x:v>
      </x:c>
    </x:row>
    <x:row r="1774" ht="22" customHeight="1">
      <x:c r="A1774" s="11" t="str">
        <x:v>lade_0827_30aoi</x:v>
      </x:c>
      <x:c r="B1774" s="10" t="n">
        <x:v>30</x:v>
      </x:c>
      <x:c r="C1774" s="10" t="n">
        <x:v>44</x:v>
      </x:c>
      <x:c r="D1774" s="10" t="str">
        <x:v>M1 / M3</x:v>
      </x:c>
      <x:c r="E1774" s="16" t="n">
        <x:v>2</x:v>
      </x:c>
      <x:c r="F1774" s="14" t="n">
        <x:v>10</x:v>
      </x:c>
      <x:c r="G1774" s="26" t="n">
        <x:f>'成本明细'!U260+'成本明细'!G260*(E1774-'参数'!$B$6)</x:f>
        <x:v>2953.805392835</x:v>
      </x:c>
      <x:c r="H1774" s="26" t="n">
        <x:f>'成本明细'!U266</x:f>
        <x:v>4047.692073874445</x:v>
      </x:c>
      <x:c r="I1774" s="26" t="n">
        <x:f>'成本明细'!V266</x:f>
        <x:v>8687</x:v>
      </x:c>
      <x:c r="J1774" s="22" t="n">
        <x:f>'参数'!$B$9</x:f>
        <x:v>300</x:v>
      </x:c>
      <x:c r="K1774" s="26" t="n">
        <x:f>J1774*(G1774-H1774)-I1774*ROUNDUP(J1774/F1774,0)</x:f>
        <x:v>-588776.0043118335</x:v>
      </x:c>
      <x:c r="L1774" s="10" t="str">
        <x:f>IF(G1774-H1774&lt;=0,"未回本",IF(ROUNDUP(I1774/(G1774-H1774),0)&gt;MIN(F1774,J1774),"未回本",MAX(1,ROUNDUP(I1774/(G1774-H1774),0))))</x:f>
        <x:v>未回本</x:v>
      </x:c>
    </x:row>
    <x:row r="1775" ht="22" customHeight="1">
      <x:c r="A1775" s="11" t="str">
        <x:v>lade_0827_30aoi</x:v>
      </x:c>
      <x:c r="B1775" s="10" t="n">
        <x:v>30</x:v>
      </x:c>
      <x:c r="C1775" s="10" t="n">
        <x:v>44</x:v>
      </x:c>
      <x:c r="D1775" s="10" t="str">
        <x:v>M2 / M4</x:v>
      </x:c>
      <x:c r="E1775" s="16" t="n">
        <x:v>2</x:v>
      </x:c>
      <x:c r="F1775" s="14" t="n">
        <x:v>10</x:v>
      </x:c>
      <x:c r="G1775" s="26" t="n">
        <x:f>'成本明细'!U263+'成本明细'!G263*(E1775-'参数'!$B$6)</x:f>
        <x:v>2370.846937516667</x:v>
      </x:c>
      <x:c r="H1775" s="26" t="n">
        <x:f>'成本明细'!U269</x:f>
        <x:v>3857.867768682778</x:v>
      </x:c>
      <x:c r="I1775" s="26" t="n">
        <x:f>'成本明细'!V269</x:f>
        <x:v>8687</x:v>
      </x:c>
      <x:c r="J1775" s="22" t="n">
        <x:f>'参数'!$B$9</x:f>
        <x:v>300</x:v>
      </x:c>
      <x:c r="K1775" s="26" t="n">
        <x:f>J1775*(G1775-H1775)-I1775*ROUNDUP(J1775/F1775,0)</x:f>
        <x:v>-706716.2493498335</x:v>
      </x:c>
      <x:c r="L1775" s="10" t="str">
        <x:f>IF(G1775-H1775&lt;=0,"未回本",IF(ROUNDUP(I1775/(G1775-H1775),0)&gt;MIN(F1775,J1775),"未回本",MAX(1,ROUNDUP(I1775/(G1775-H1775),0))))</x:f>
        <x:v>未回本</x:v>
      </x:c>
    </x:row>
    <x:row r="1776" ht="22" customHeight="1">
      <x:c r="A1776" s="11" t="str">
        <x:v>lade_0827_30aoi</x:v>
      </x:c>
      <x:c r="B1776" s="10" t="n">
        <x:v>30</x:v>
      </x:c>
      <x:c r="C1776" s="10" t="n">
        <x:v>44</x:v>
      </x:c>
      <x:c r="D1776" s="10" t="str">
        <x:v>M1 / M3</x:v>
      </x:c>
      <x:c r="E1776" s="16" t="n">
        <x:v>2</x:v>
      </x:c>
      <x:c r="F1776" s="14" t="n">
        <x:v>20</x:v>
      </x:c>
      <x:c r="G1776" s="26" t="n">
        <x:f>'成本明细'!U260+'成本明细'!G260*(E1776-'参数'!$B$6)</x:f>
        <x:v>2953.805392835</x:v>
      </x:c>
      <x:c r="H1776" s="26" t="n">
        <x:f>'成本明细'!U266</x:f>
        <x:v>4047.692073874445</x:v>
      </x:c>
      <x:c r="I1776" s="26" t="n">
        <x:f>'成本明细'!V266</x:f>
        <x:v>8687</x:v>
      </x:c>
      <x:c r="J1776" s="22" t="n">
        <x:f>'参数'!$B$9</x:f>
        <x:v>300</x:v>
      </x:c>
      <x:c r="K1776" s="26" t="n">
        <x:f>J1776*(G1776-H1776)-I1776*ROUNDUP(J1776/F1776,0)</x:f>
        <x:v>-458471.00431183353</x:v>
      </x:c>
      <x:c r="L1776" s="10" t="str">
        <x:f>IF(G1776-H1776&lt;=0,"未回本",IF(ROUNDUP(I1776/(G1776-H1776),0)&gt;MIN(F1776,J1776),"未回本",MAX(1,ROUNDUP(I1776/(G1776-H1776),0))))</x:f>
        <x:v>未回本</x:v>
      </x:c>
    </x:row>
    <x:row r="1777" ht="22" customHeight="1">
      <x:c r="A1777" s="11" t="str">
        <x:v>lade_0827_30aoi</x:v>
      </x:c>
      <x:c r="B1777" s="10" t="n">
        <x:v>30</x:v>
      </x:c>
      <x:c r="C1777" s="10" t="n">
        <x:v>44</x:v>
      </x:c>
      <x:c r="D1777" s="10" t="str">
        <x:v>M2 / M4</x:v>
      </x:c>
      <x:c r="E1777" s="16" t="n">
        <x:v>2</x:v>
      </x:c>
      <x:c r="F1777" s="14" t="n">
        <x:v>20</x:v>
      </x:c>
      <x:c r="G1777" s="26" t="n">
        <x:f>'成本明细'!U263+'成本明细'!G263*(E1777-'参数'!$B$6)</x:f>
        <x:v>2370.846937516667</x:v>
      </x:c>
      <x:c r="H1777" s="26" t="n">
        <x:f>'成本明细'!U269</x:f>
        <x:v>3857.867768682778</x:v>
      </x:c>
      <x:c r="I1777" s="26" t="n">
        <x:f>'成本明细'!V269</x:f>
        <x:v>8687</x:v>
      </x:c>
      <x:c r="J1777" s="22" t="n">
        <x:f>'参数'!$B$9</x:f>
        <x:v>300</x:v>
      </x:c>
      <x:c r="K1777" s="26" t="n">
        <x:f>J1777*(G1777-H1777)-I1777*ROUNDUP(J1777/F1777,0)</x:f>
        <x:v>-576411.2493498335</x:v>
      </x:c>
      <x:c r="L1777" s="10" t="str">
        <x:f>IF(G1777-H1777&lt;=0,"未回本",IF(ROUNDUP(I1777/(G1777-H1777),0)&gt;MIN(F1777,J1777),"未回本",MAX(1,ROUNDUP(I1777/(G1777-H1777),0))))</x:f>
        <x:v>未回本</x:v>
      </x:c>
    </x:row>
    <x:row r="1778" ht="22" customHeight="1">
      <x:c r="A1778" s="11" t="str">
        <x:v>lade_0827_30aoi</x:v>
      </x:c>
      <x:c r="B1778" s="10" t="n">
        <x:v>30</x:v>
      </x:c>
      <x:c r="C1778" s="10" t="n">
        <x:v>44</x:v>
      </x:c>
      <x:c r="D1778" s="10" t="str">
        <x:v>M1 / M3</x:v>
      </x:c>
      <x:c r="E1778" s="16" t="n">
        <x:v>2</x:v>
      </x:c>
      <x:c r="F1778" s="14" t="n">
        <x:v>30</x:v>
      </x:c>
      <x:c r="G1778" s="26" t="n">
        <x:f>'成本明细'!U260+'成本明细'!G260*(E1778-'参数'!$B$6)</x:f>
        <x:v>2953.805392835</x:v>
      </x:c>
      <x:c r="H1778" s="26" t="n">
        <x:f>'成本明细'!U266</x:f>
        <x:v>4047.692073874445</x:v>
      </x:c>
      <x:c r="I1778" s="26" t="n">
        <x:f>'成本明细'!V266</x:f>
        <x:v>8687</x:v>
      </x:c>
      <x:c r="J1778" s="22" t="n">
        <x:f>'参数'!$B$9</x:f>
        <x:v>300</x:v>
      </x:c>
      <x:c r="K1778" s="26" t="n">
        <x:f>J1778*(G1778-H1778)-I1778*ROUNDUP(J1778/F1778,0)</x:f>
        <x:v>-415036.00431183353</x:v>
      </x:c>
      <x:c r="L1778" s="10" t="str">
        <x:f>IF(G1778-H1778&lt;=0,"未回本",IF(ROUNDUP(I1778/(G1778-H1778),0)&gt;MIN(F1778,J1778),"未回本",MAX(1,ROUNDUP(I1778/(G1778-H1778),0))))</x:f>
        <x:v>未回本</x:v>
      </x:c>
    </x:row>
    <x:row r="1779" ht="22" customHeight="1">
      <x:c r="A1779" s="11" t="str">
        <x:v>lade_0827_30aoi</x:v>
      </x:c>
      <x:c r="B1779" s="10" t="n">
        <x:v>30</x:v>
      </x:c>
      <x:c r="C1779" s="10" t="n">
        <x:v>44</x:v>
      </x:c>
      <x:c r="D1779" s="10" t="str">
        <x:v>M2 / M4</x:v>
      </x:c>
      <x:c r="E1779" s="16" t="n">
        <x:v>2</x:v>
      </x:c>
      <x:c r="F1779" s="14" t="n">
        <x:v>30</x:v>
      </x:c>
      <x:c r="G1779" s="26" t="n">
        <x:f>'成本明细'!U263+'成本明细'!G263*(E1779-'参数'!$B$6)</x:f>
        <x:v>2370.846937516667</x:v>
      </x:c>
      <x:c r="H1779" s="26" t="n">
        <x:f>'成本明细'!U269</x:f>
        <x:v>3857.867768682778</x:v>
      </x:c>
      <x:c r="I1779" s="26" t="n">
        <x:f>'成本明细'!V269</x:f>
        <x:v>8687</x:v>
      </x:c>
      <x:c r="J1779" s="22" t="n">
        <x:f>'参数'!$B$9</x:f>
        <x:v>300</x:v>
      </x:c>
      <x:c r="K1779" s="26" t="n">
        <x:f>J1779*(G1779-H1779)-I1779*ROUNDUP(J1779/F1779,0)</x:f>
        <x:v>-532976.2493498335</x:v>
      </x:c>
      <x:c r="L1779" s="10" t="str">
        <x:f>IF(G1779-H1779&lt;=0,"未回本",IF(ROUNDUP(I1779/(G1779-H1779),0)&gt;MIN(F1779,J1779),"未回本",MAX(1,ROUNDUP(I1779/(G1779-H1779),0))))</x:f>
        <x:v>未回本</x:v>
      </x:c>
    </x:row>
    <x:row r="1780" ht="22" customHeight="1">
      <x:c r="A1780" s="11" t="str">
        <x:v>lade_0827_30aoi</x:v>
      </x:c>
      <x:c r="B1780" s="10" t="n">
        <x:v>30</x:v>
      </x:c>
      <x:c r="C1780" s="10" t="n">
        <x:v>44</x:v>
      </x:c>
      <x:c r="D1780" s="10" t="str">
        <x:v>M1 / M3</x:v>
      </x:c>
      <x:c r="E1780" s="16" t="n">
        <x:v>2</x:v>
      </x:c>
      <x:c r="F1780" s="14" t="n">
        <x:v>50</x:v>
      </x:c>
      <x:c r="G1780" s="26" t="n">
        <x:f>'成本明细'!U260+'成本明细'!G260*(E1780-'参数'!$B$6)</x:f>
        <x:v>2953.805392835</x:v>
      </x:c>
      <x:c r="H1780" s="26" t="n">
        <x:f>'成本明细'!U266</x:f>
        <x:v>4047.692073874445</x:v>
      </x:c>
      <x:c r="I1780" s="26" t="n">
        <x:f>'成本明细'!V266</x:f>
        <x:v>8687</x:v>
      </x:c>
      <x:c r="J1780" s="22" t="n">
        <x:f>'参数'!$B$9</x:f>
        <x:v>300</x:v>
      </x:c>
      <x:c r="K1780" s="26" t="n">
        <x:f>J1780*(G1780-H1780)-I1780*ROUNDUP(J1780/F1780,0)</x:f>
        <x:v>-380288.00431183353</x:v>
      </x:c>
      <x:c r="L1780" s="10" t="str">
        <x:f>IF(G1780-H1780&lt;=0,"未回本",IF(ROUNDUP(I1780/(G1780-H1780),0)&gt;MIN(F1780,J1780),"未回本",MAX(1,ROUNDUP(I1780/(G1780-H1780),0))))</x:f>
        <x:v>未回本</x:v>
      </x:c>
    </x:row>
    <x:row r="1781" ht="22" customHeight="1">
      <x:c r="A1781" s="11" t="str">
        <x:v>lade_0827_30aoi</x:v>
      </x:c>
      <x:c r="B1781" s="10" t="n">
        <x:v>30</x:v>
      </x:c>
      <x:c r="C1781" s="10" t="n">
        <x:v>44</x:v>
      </x:c>
      <x:c r="D1781" s="10" t="str">
        <x:v>M2 / M4</x:v>
      </x:c>
      <x:c r="E1781" s="16" t="n">
        <x:v>2</x:v>
      </x:c>
      <x:c r="F1781" s="14" t="n">
        <x:v>50</x:v>
      </x:c>
      <x:c r="G1781" s="26" t="n">
        <x:f>'成本明细'!U263+'成本明细'!G263*(E1781-'参数'!$B$6)</x:f>
        <x:v>2370.846937516667</x:v>
      </x:c>
      <x:c r="H1781" s="26" t="n">
        <x:f>'成本明细'!U269</x:f>
        <x:v>3857.867768682778</x:v>
      </x:c>
      <x:c r="I1781" s="26" t="n">
        <x:f>'成本明细'!V269</x:f>
        <x:v>8687</x:v>
      </x:c>
      <x:c r="J1781" s="22" t="n">
        <x:f>'参数'!$B$9</x:f>
        <x:v>300</x:v>
      </x:c>
      <x:c r="K1781" s="26" t="n">
        <x:f>J1781*(G1781-H1781)-I1781*ROUNDUP(J1781/F1781,0)</x:f>
        <x:v>-498228.2493498334</x:v>
      </x:c>
      <x:c r="L1781" s="10" t="str">
        <x:f>IF(G1781-H1781&lt;=0,"未回本",IF(ROUNDUP(I1781/(G1781-H1781),0)&gt;MIN(F1781,J1781),"未回本",MAX(1,ROUNDUP(I1781/(G1781-H1781),0))))</x:f>
        <x:v>未回本</x:v>
      </x:c>
    </x:row>
    <x:row r="1782" ht="22" customHeight="1">
      <x:c r="A1782" s="11" t="str">
        <x:v>lade_0827_30aoi</x:v>
      </x:c>
      <x:c r="B1782" s="10" t="n">
        <x:v>30</x:v>
      </x:c>
      <x:c r="C1782" s="10" t="n">
        <x:v>44</x:v>
      </x:c>
      <x:c r="D1782" s="10" t="str">
        <x:v>M1 / M3</x:v>
      </x:c>
      <x:c r="E1782" s="16" t="n">
        <x:v>3</x:v>
      </x:c>
      <x:c r="F1782" s="14" t="n">
        <x:v>10</x:v>
      </x:c>
      <x:c r="G1782" s="26" t="n">
        <x:f>'成本明细'!U260+'成本明细'!G260*(E1782-'参数'!$B$6)</x:f>
        <x:v>3191.805392835</x:v>
      </x:c>
      <x:c r="H1782" s="26" t="n">
        <x:f>'成本明细'!U266</x:f>
        <x:v>4047.692073874445</x:v>
      </x:c>
      <x:c r="I1782" s="26" t="n">
        <x:f>'成本明细'!V266</x:f>
        <x:v>8687</x:v>
      </x:c>
      <x:c r="J1782" s="22" t="n">
        <x:f>'参数'!$B$9</x:f>
        <x:v>300</x:v>
      </x:c>
      <x:c r="K1782" s="26" t="n">
        <x:f>J1782*(G1782-H1782)-I1782*ROUNDUP(J1782/F1782,0)</x:f>
        <x:v>-517376.00431183353</x:v>
      </x:c>
      <x:c r="L1782" s="10" t="str">
        <x:f>IF(G1782-H1782&lt;=0,"未回本",IF(ROUNDUP(I1782/(G1782-H1782),0)&gt;MIN(F1782,J1782),"未回本",MAX(1,ROUNDUP(I1782/(G1782-H1782),0))))</x:f>
        <x:v>未回本</x:v>
      </x:c>
    </x:row>
    <x:row r="1783" ht="22" customHeight="1">
      <x:c r="A1783" s="11" t="str">
        <x:v>lade_0827_30aoi</x:v>
      </x:c>
      <x:c r="B1783" s="10" t="n">
        <x:v>30</x:v>
      </x:c>
      <x:c r="C1783" s="10" t="n">
        <x:v>44</x:v>
      </x:c>
      <x:c r="D1783" s="10" t="str">
        <x:v>M2 / M4</x:v>
      </x:c>
      <x:c r="E1783" s="16" t="n">
        <x:v>3</x:v>
      </x:c>
      <x:c r="F1783" s="14" t="n">
        <x:v>10</x:v>
      </x:c>
      <x:c r="G1783" s="26" t="n">
        <x:f>'成本明细'!U263+'成本明细'!G263*(E1783-'参数'!$B$6)</x:f>
        <x:v>2608.846937516667</x:v>
      </x:c>
      <x:c r="H1783" s="26" t="n">
        <x:f>'成本明细'!U269</x:f>
        <x:v>3857.867768682778</x:v>
      </x:c>
      <x:c r="I1783" s="26" t="n">
        <x:f>'成本明细'!V269</x:f>
        <x:v>8687</x:v>
      </x:c>
      <x:c r="J1783" s="22" t="n">
        <x:f>'参数'!$B$9</x:f>
        <x:v>300</x:v>
      </x:c>
      <x:c r="K1783" s="26" t="n">
        <x:f>J1783*(G1783-H1783)-I1783*ROUNDUP(J1783/F1783,0)</x:f>
        <x:v>-635316.2493498335</x:v>
      </x:c>
      <x:c r="L1783" s="10" t="str">
        <x:f>IF(G1783-H1783&lt;=0,"未回本",IF(ROUNDUP(I1783/(G1783-H1783),0)&gt;MIN(F1783,J1783),"未回本",MAX(1,ROUNDUP(I1783/(G1783-H1783),0))))</x:f>
        <x:v>未回本</x:v>
      </x:c>
    </x:row>
    <x:row r="1784" ht="22" customHeight="1">
      <x:c r="A1784" s="11" t="str">
        <x:v>lade_0827_30aoi</x:v>
      </x:c>
      <x:c r="B1784" s="10" t="n">
        <x:v>30</x:v>
      </x:c>
      <x:c r="C1784" s="10" t="n">
        <x:v>44</x:v>
      </x:c>
      <x:c r="D1784" s="10" t="str">
        <x:v>M1 / M3</x:v>
      </x:c>
      <x:c r="E1784" s="16" t="n">
        <x:v>3</x:v>
      </x:c>
      <x:c r="F1784" s="14" t="n">
        <x:v>20</x:v>
      </x:c>
      <x:c r="G1784" s="26" t="n">
        <x:f>'成本明细'!U260+'成本明细'!G260*(E1784-'参数'!$B$6)</x:f>
        <x:v>3191.805392835</x:v>
      </x:c>
      <x:c r="H1784" s="26" t="n">
        <x:f>'成本明细'!U266</x:f>
        <x:v>4047.692073874445</x:v>
      </x:c>
      <x:c r="I1784" s="26" t="n">
        <x:f>'成本明细'!V266</x:f>
        <x:v>8687</x:v>
      </x:c>
      <x:c r="J1784" s="22" t="n">
        <x:f>'参数'!$B$9</x:f>
        <x:v>300</x:v>
      </x:c>
      <x:c r="K1784" s="26" t="n">
        <x:f>J1784*(G1784-H1784)-I1784*ROUNDUP(J1784/F1784,0)</x:f>
        <x:v>-387071.00431183353</x:v>
      </x:c>
      <x:c r="L1784" s="10" t="str">
        <x:f>IF(G1784-H1784&lt;=0,"未回本",IF(ROUNDUP(I1784/(G1784-H1784),0)&gt;MIN(F1784,J1784),"未回本",MAX(1,ROUNDUP(I1784/(G1784-H1784),0))))</x:f>
        <x:v>未回本</x:v>
      </x:c>
    </x:row>
    <x:row r="1785" ht="22" customHeight="1">
      <x:c r="A1785" s="11" t="str">
        <x:v>lade_0827_30aoi</x:v>
      </x:c>
      <x:c r="B1785" s="10" t="n">
        <x:v>30</x:v>
      </x:c>
      <x:c r="C1785" s="10" t="n">
        <x:v>44</x:v>
      </x:c>
      <x:c r="D1785" s="10" t="str">
        <x:v>M2 / M4</x:v>
      </x:c>
      <x:c r="E1785" s="16" t="n">
        <x:v>3</x:v>
      </x:c>
      <x:c r="F1785" s="14" t="n">
        <x:v>20</x:v>
      </x:c>
      <x:c r="G1785" s="26" t="n">
        <x:f>'成本明细'!U263+'成本明细'!G263*(E1785-'参数'!$B$6)</x:f>
        <x:v>2608.846937516667</x:v>
      </x:c>
      <x:c r="H1785" s="26" t="n">
        <x:f>'成本明细'!U269</x:f>
        <x:v>3857.867768682778</x:v>
      </x:c>
      <x:c r="I1785" s="26" t="n">
        <x:f>'成本明细'!V269</x:f>
        <x:v>8687</x:v>
      </x:c>
      <x:c r="J1785" s="22" t="n">
        <x:f>'参数'!$B$9</x:f>
        <x:v>300</x:v>
      </x:c>
      <x:c r="K1785" s="26" t="n">
        <x:f>J1785*(G1785-H1785)-I1785*ROUNDUP(J1785/F1785,0)</x:f>
        <x:v>-505011.2493498334</x:v>
      </x:c>
      <x:c r="L1785" s="10" t="str">
        <x:f>IF(G1785-H1785&lt;=0,"未回本",IF(ROUNDUP(I1785/(G1785-H1785),0)&gt;MIN(F1785,J1785),"未回本",MAX(1,ROUNDUP(I1785/(G1785-H1785),0))))</x:f>
        <x:v>未回本</x:v>
      </x:c>
    </x:row>
    <x:row r="1786" ht="22" customHeight="1">
      <x:c r="A1786" s="11" t="str">
        <x:v>lade_0827_30aoi</x:v>
      </x:c>
      <x:c r="B1786" s="10" t="n">
        <x:v>30</x:v>
      </x:c>
      <x:c r="C1786" s="10" t="n">
        <x:v>44</x:v>
      </x:c>
      <x:c r="D1786" s="10" t="str">
        <x:v>M1 / M3</x:v>
      </x:c>
      <x:c r="E1786" s="16" t="n">
        <x:v>3</x:v>
      </x:c>
      <x:c r="F1786" s="14" t="n">
        <x:v>30</x:v>
      </x:c>
      <x:c r="G1786" s="26" t="n">
        <x:f>'成本明细'!U260+'成本明细'!G260*(E1786-'参数'!$B$6)</x:f>
        <x:v>3191.805392835</x:v>
      </x:c>
      <x:c r="H1786" s="26" t="n">
        <x:f>'成本明细'!U266</x:f>
        <x:v>4047.692073874445</x:v>
      </x:c>
      <x:c r="I1786" s="26" t="n">
        <x:f>'成本明细'!V266</x:f>
        <x:v>8687</x:v>
      </x:c>
      <x:c r="J1786" s="22" t="n">
        <x:f>'参数'!$B$9</x:f>
        <x:v>300</x:v>
      </x:c>
      <x:c r="K1786" s="26" t="n">
        <x:f>J1786*(G1786-H1786)-I1786*ROUNDUP(J1786/F1786,0)</x:f>
        <x:v>-343636.00431183353</x:v>
      </x:c>
      <x:c r="L1786" s="10" t="str">
        <x:f>IF(G1786-H1786&lt;=0,"未回本",IF(ROUNDUP(I1786/(G1786-H1786),0)&gt;MIN(F1786,J1786),"未回本",MAX(1,ROUNDUP(I1786/(G1786-H1786),0))))</x:f>
        <x:v>未回本</x:v>
      </x:c>
    </x:row>
    <x:row r="1787" ht="22" customHeight="1">
      <x:c r="A1787" s="11" t="str">
        <x:v>lade_0827_30aoi</x:v>
      </x:c>
      <x:c r="B1787" s="10" t="n">
        <x:v>30</x:v>
      </x:c>
      <x:c r="C1787" s="10" t="n">
        <x:v>44</x:v>
      </x:c>
      <x:c r="D1787" s="10" t="str">
        <x:v>M2 / M4</x:v>
      </x:c>
      <x:c r="E1787" s="16" t="n">
        <x:v>3</x:v>
      </x:c>
      <x:c r="F1787" s="14" t="n">
        <x:v>30</x:v>
      </x:c>
      <x:c r="G1787" s="26" t="n">
        <x:f>'成本明细'!U263+'成本明细'!G263*(E1787-'参数'!$B$6)</x:f>
        <x:v>2608.846937516667</x:v>
      </x:c>
      <x:c r="H1787" s="26" t="n">
        <x:f>'成本明细'!U269</x:f>
        <x:v>3857.867768682778</x:v>
      </x:c>
      <x:c r="I1787" s="26" t="n">
        <x:f>'成本明细'!V269</x:f>
        <x:v>8687</x:v>
      </x:c>
      <x:c r="J1787" s="22" t="n">
        <x:f>'参数'!$B$9</x:f>
        <x:v>300</x:v>
      </x:c>
      <x:c r="K1787" s="26" t="n">
        <x:f>J1787*(G1787-H1787)-I1787*ROUNDUP(J1787/F1787,0)</x:f>
        <x:v>-461576.2493498334</x:v>
      </x:c>
      <x:c r="L1787" s="10" t="str">
        <x:f>IF(G1787-H1787&lt;=0,"未回本",IF(ROUNDUP(I1787/(G1787-H1787),0)&gt;MIN(F1787,J1787),"未回本",MAX(1,ROUNDUP(I1787/(G1787-H1787),0))))</x:f>
        <x:v>未回本</x:v>
      </x:c>
    </x:row>
    <x:row r="1788" ht="22" customHeight="1">
      <x:c r="A1788" s="11" t="str">
        <x:v>lade_0827_30aoi</x:v>
      </x:c>
      <x:c r="B1788" s="10" t="n">
        <x:v>30</x:v>
      </x:c>
      <x:c r="C1788" s="10" t="n">
        <x:v>44</x:v>
      </x:c>
      <x:c r="D1788" s="10" t="str">
        <x:v>M1 / M3</x:v>
      </x:c>
      <x:c r="E1788" s="16" t="n">
        <x:v>3</x:v>
      </x:c>
      <x:c r="F1788" s="14" t="n">
        <x:v>50</x:v>
      </x:c>
      <x:c r="G1788" s="26" t="n">
        <x:f>'成本明细'!U260+'成本明细'!G260*(E1788-'参数'!$B$6)</x:f>
        <x:v>3191.805392835</x:v>
      </x:c>
      <x:c r="H1788" s="26" t="n">
        <x:f>'成本明细'!U266</x:f>
        <x:v>4047.692073874445</x:v>
      </x:c>
      <x:c r="I1788" s="26" t="n">
        <x:f>'成本明细'!V266</x:f>
        <x:v>8687</x:v>
      </x:c>
      <x:c r="J1788" s="22" t="n">
        <x:f>'参数'!$B$9</x:f>
        <x:v>300</x:v>
      </x:c>
      <x:c r="K1788" s="26" t="n">
        <x:f>J1788*(G1788-H1788)-I1788*ROUNDUP(J1788/F1788,0)</x:f>
        <x:v>-308888.00431183353</x:v>
      </x:c>
      <x:c r="L1788" s="10" t="str">
        <x:f>IF(G1788-H1788&lt;=0,"未回本",IF(ROUNDUP(I1788/(G1788-H1788),0)&gt;MIN(F1788,J1788),"未回本",MAX(1,ROUNDUP(I1788/(G1788-H1788),0))))</x:f>
        <x:v>未回本</x:v>
      </x:c>
    </x:row>
    <x:row r="1789" ht="22" customHeight="1">
      <x:c r="A1789" s="11" t="str">
        <x:v>lade_0827_30aoi</x:v>
      </x:c>
      <x:c r="B1789" s="10" t="n">
        <x:v>30</x:v>
      </x:c>
      <x:c r="C1789" s="10" t="n">
        <x:v>44</x:v>
      </x:c>
      <x:c r="D1789" s="10" t="str">
        <x:v>M2 / M4</x:v>
      </x:c>
      <x:c r="E1789" s="16" t="n">
        <x:v>3</x:v>
      </x:c>
      <x:c r="F1789" s="14" t="n">
        <x:v>50</x:v>
      </x:c>
      <x:c r="G1789" s="26" t="n">
        <x:f>'成本明细'!U263+'成本明细'!G263*(E1789-'参数'!$B$6)</x:f>
        <x:v>2608.846937516667</x:v>
      </x:c>
      <x:c r="H1789" s="26" t="n">
        <x:f>'成本明细'!U269</x:f>
        <x:v>3857.867768682778</x:v>
      </x:c>
      <x:c r="I1789" s="26" t="n">
        <x:f>'成本明细'!V269</x:f>
        <x:v>8687</x:v>
      </x:c>
      <x:c r="J1789" s="22" t="n">
        <x:f>'参数'!$B$9</x:f>
        <x:v>300</x:v>
      </x:c>
      <x:c r="K1789" s="26" t="n">
        <x:f>J1789*(G1789-H1789)-I1789*ROUNDUP(J1789/F1789,0)</x:f>
        <x:v>-426828.2493498334</x:v>
      </x:c>
      <x:c r="L1789" s="10" t="str">
        <x:f>IF(G1789-H1789&lt;=0,"未回本",IF(ROUNDUP(I1789/(G1789-H1789),0)&gt;MIN(F1789,J1789),"未回本",MAX(1,ROUNDUP(I1789/(G1789-H1789),0))))</x:f>
        <x:v>未回本</x:v>
      </x:c>
    </x:row>
    <x:row r="1790" ht="22" customHeight="1">
      <x:c r="A1790" s="11" t="str">
        <x:v>lade_0827_30aoi</x:v>
      </x:c>
      <x:c r="B1790" s="10" t="n">
        <x:v>30</x:v>
      </x:c>
      <x:c r="C1790" s="10" t="n">
        <x:v>44</x:v>
      </x:c>
      <x:c r="D1790" s="10" t="str">
        <x:v>M1 / M3</x:v>
      </x:c>
      <x:c r="E1790" s="16" t="n">
        <x:v>4</x:v>
      </x:c>
      <x:c r="F1790" s="14" t="n">
        <x:v>10</x:v>
      </x:c>
      <x:c r="G1790" s="26" t="n">
        <x:f>'成本明细'!U260+'成本明细'!G260*(E1790-'参数'!$B$6)</x:f>
        <x:v>3429.805392835</x:v>
      </x:c>
      <x:c r="H1790" s="26" t="n">
        <x:f>'成本明细'!U266</x:f>
        <x:v>4047.692073874445</x:v>
      </x:c>
      <x:c r="I1790" s="26" t="n">
        <x:f>'成本明细'!V266</x:f>
        <x:v>8687</x:v>
      </x:c>
      <x:c r="J1790" s="22" t="n">
        <x:f>'参数'!$B$9</x:f>
        <x:v>300</x:v>
      </x:c>
      <x:c r="K1790" s="26" t="n">
        <x:f>J1790*(G1790-H1790)-I1790*ROUNDUP(J1790/F1790,0)</x:f>
        <x:v>-445976.00431183353</x:v>
      </x:c>
      <x:c r="L1790" s="10" t="str">
        <x:f>IF(G1790-H1790&lt;=0,"未回本",IF(ROUNDUP(I1790/(G1790-H1790),0)&gt;MIN(F1790,J1790),"未回本",MAX(1,ROUNDUP(I1790/(G1790-H1790),0))))</x:f>
        <x:v>未回本</x:v>
      </x:c>
    </x:row>
    <x:row r="1791" ht="22" customHeight="1">
      <x:c r="A1791" s="11" t="str">
        <x:v>lade_0827_30aoi</x:v>
      </x:c>
      <x:c r="B1791" s="10" t="n">
        <x:v>30</x:v>
      </x:c>
      <x:c r="C1791" s="10" t="n">
        <x:v>44</x:v>
      </x:c>
      <x:c r="D1791" s="10" t="str">
        <x:v>M2 / M4</x:v>
      </x:c>
      <x:c r="E1791" s="16" t="n">
        <x:v>4</x:v>
      </x:c>
      <x:c r="F1791" s="14" t="n">
        <x:v>10</x:v>
      </x:c>
      <x:c r="G1791" s="26" t="n">
        <x:f>'成本明细'!U263+'成本明细'!G263*(E1791-'参数'!$B$6)</x:f>
        <x:v>2846.846937516667</x:v>
      </x:c>
      <x:c r="H1791" s="26" t="n">
        <x:f>'成本明细'!U269</x:f>
        <x:v>3857.867768682778</x:v>
      </x:c>
      <x:c r="I1791" s="26" t="n">
        <x:f>'成本明细'!V269</x:f>
        <x:v>8687</x:v>
      </x:c>
      <x:c r="J1791" s="22" t="n">
        <x:f>'参数'!$B$9</x:f>
        <x:v>300</x:v>
      </x:c>
      <x:c r="K1791" s="26" t="n">
        <x:f>J1791*(G1791-H1791)-I1791*ROUNDUP(J1791/F1791,0)</x:f>
        <x:v>-563916.2493498335</x:v>
      </x:c>
      <x:c r="L1791" s="10" t="str">
        <x:f>IF(G1791-H1791&lt;=0,"未回本",IF(ROUNDUP(I1791/(G1791-H1791),0)&gt;MIN(F1791,J1791),"未回本",MAX(1,ROUNDUP(I1791/(G1791-H1791),0))))</x:f>
        <x:v>未回本</x:v>
      </x:c>
    </x:row>
    <x:row r="1792" ht="22" customHeight="1">
      <x:c r="A1792" s="11" t="str">
        <x:v>lade_0827_30aoi</x:v>
      </x:c>
      <x:c r="B1792" s="10" t="n">
        <x:v>30</x:v>
      </x:c>
      <x:c r="C1792" s="10" t="n">
        <x:v>44</x:v>
      </x:c>
      <x:c r="D1792" s="10" t="str">
        <x:v>M1 / M3</x:v>
      </x:c>
      <x:c r="E1792" s="16" t="n">
        <x:v>4</x:v>
      </x:c>
      <x:c r="F1792" s="14" t="n">
        <x:v>20</x:v>
      </x:c>
      <x:c r="G1792" s="26" t="n">
        <x:f>'成本明细'!U260+'成本明细'!G260*(E1792-'参数'!$B$6)</x:f>
        <x:v>3429.805392835</x:v>
      </x:c>
      <x:c r="H1792" s="26" t="n">
        <x:f>'成本明细'!U266</x:f>
        <x:v>4047.692073874445</x:v>
      </x:c>
      <x:c r="I1792" s="26" t="n">
        <x:f>'成本明细'!V266</x:f>
        <x:v>8687</x:v>
      </x:c>
      <x:c r="J1792" s="22" t="n">
        <x:f>'参数'!$B$9</x:f>
        <x:v>300</x:v>
      </x:c>
      <x:c r="K1792" s="26" t="n">
        <x:f>J1792*(G1792-H1792)-I1792*ROUNDUP(J1792/F1792,0)</x:f>
        <x:v>-315671.00431183353</x:v>
      </x:c>
      <x:c r="L1792" s="10" t="str">
        <x:f>IF(G1792-H1792&lt;=0,"未回本",IF(ROUNDUP(I1792/(G1792-H1792),0)&gt;MIN(F1792,J1792),"未回本",MAX(1,ROUNDUP(I1792/(G1792-H1792),0))))</x:f>
        <x:v>未回本</x:v>
      </x:c>
    </x:row>
    <x:row r="1793" ht="22" customHeight="1">
      <x:c r="A1793" s="11" t="str">
        <x:v>lade_0827_30aoi</x:v>
      </x:c>
      <x:c r="B1793" s="10" t="n">
        <x:v>30</x:v>
      </x:c>
      <x:c r="C1793" s="10" t="n">
        <x:v>44</x:v>
      </x:c>
      <x:c r="D1793" s="10" t="str">
        <x:v>M2 / M4</x:v>
      </x:c>
      <x:c r="E1793" s="16" t="n">
        <x:v>4</x:v>
      </x:c>
      <x:c r="F1793" s="14" t="n">
        <x:v>20</x:v>
      </x:c>
      <x:c r="G1793" s="26" t="n">
        <x:f>'成本明细'!U263+'成本明细'!G263*(E1793-'参数'!$B$6)</x:f>
        <x:v>2846.846937516667</x:v>
      </x:c>
      <x:c r="H1793" s="26" t="n">
        <x:f>'成本明细'!U269</x:f>
        <x:v>3857.867768682778</x:v>
      </x:c>
      <x:c r="I1793" s="26" t="n">
        <x:f>'成本明细'!V269</x:f>
        <x:v>8687</x:v>
      </x:c>
      <x:c r="J1793" s="22" t="n">
        <x:f>'参数'!$B$9</x:f>
        <x:v>300</x:v>
      </x:c>
      <x:c r="K1793" s="26" t="n">
        <x:f>J1793*(G1793-H1793)-I1793*ROUNDUP(J1793/F1793,0)</x:f>
        <x:v>-433611.2493498334</x:v>
      </x:c>
      <x:c r="L1793" s="10" t="str">
        <x:f>IF(G1793-H1793&lt;=0,"未回本",IF(ROUNDUP(I1793/(G1793-H1793),0)&gt;MIN(F1793,J1793),"未回本",MAX(1,ROUNDUP(I1793/(G1793-H1793),0))))</x:f>
        <x:v>未回本</x:v>
      </x:c>
    </x:row>
    <x:row r="1794" ht="22" customHeight="1">
      <x:c r="A1794" s="11" t="str">
        <x:v>lade_0827_30aoi</x:v>
      </x:c>
      <x:c r="B1794" s="10" t="n">
        <x:v>30</x:v>
      </x:c>
      <x:c r="C1794" s="10" t="n">
        <x:v>44</x:v>
      </x:c>
      <x:c r="D1794" s="10" t="str">
        <x:v>M1 / M3</x:v>
      </x:c>
      <x:c r="E1794" s="16" t="n">
        <x:v>4</x:v>
      </x:c>
      <x:c r="F1794" s="14" t="n">
        <x:v>30</x:v>
      </x:c>
      <x:c r="G1794" s="26" t="n">
        <x:f>'成本明细'!U260+'成本明细'!G260*(E1794-'参数'!$B$6)</x:f>
        <x:v>3429.805392835</x:v>
      </x:c>
      <x:c r="H1794" s="26" t="n">
        <x:f>'成本明细'!U266</x:f>
        <x:v>4047.692073874445</x:v>
      </x:c>
      <x:c r="I1794" s="26" t="n">
        <x:f>'成本明细'!V266</x:f>
        <x:v>8687</x:v>
      </x:c>
      <x:c r="J1794" s="22" t="n">
        <x:f>'参数'!$B$9</x:f>
        <x:v>300</x:v>
      </x:c>
      <x:c r="K1794" s="26" t="n">
        <x:f>J1794*(G1794-H1794)-I1794*ROUNDUP(J1794/F1794,0)</x:f>
        <x:v>-272236.00431183353</x:v>
      </x:c>
      <x:c r="L1794" s="10" t="str">
        <x:f>IF(G1794-H1794&lt;=0,"未回本",IF(ROUNDUP(I1794/(G1794-H1794),0)&gt;MIN(F1794,J1794),"未回本",MAX(1,ROUNDUP(I1794/(G1794-H1794),0))))</x:f>
        <x:v>未回本</x:v>
      </x:c>
    </x:row>
    <x:row r="1795" ht="22" customHeight="1">
      <x:c r="A1795" s="11" t="str">
        <x:v>lade_0827_30aoi</x:v>
      </x:c>
      <x:c r="B1795" s="10" t="n">
        <x:v>30</x:v>
      </x:c>
      <x:c r="C1795" s="10" t="n">
        <x:v>44</x:v>
      </x:c>
      <x:c r="D1795" s="10" t="str">
        <x:v>M2 / M4</x:v>
      </x:c>
      <x:c r="E1795" s="16" t="n">
        <x:v>4</x:v>
      </x:c>
      <x:c r="F1795" s="14" t="n">
        <x:v>30</x:v>
      </x:c>
      <x:c r="G1795" s="26" t="n">
        <x:f>'成本明细'!U263+'成本明细'!G263*(E1795-'参数'!$B$6)</x:f>
        <x:v>2846.846937516667</x:v>
      </x:c>
      <x:c r="H1795" s="26" t="n">
        <x:f>'成本明细'!U269</x:f>
        <x:v>3857.867768682778</x:v>
      </x:c>
      <x:c r="I1795" s="26" t="n">
        <x:f>'成本明细'!V269</x:f>
        <x:v>8687</x:v>
      </x:c>
      <x:c r="J1795" s="22" t="n">
        <x:f>'参数'!$B$9</x:f>
        <x:v>300</x:v>
      </x:c>
      <x:c r="K1795" s="26" t="n">
        <x:f>J1795*(G1795-H1795)-I1795*ROUNDUP(J1795/F1795,0)</x:f>
        <x:v>-390176.2493498334</x:v>
      </x:c>
      <x:c r="L1795" s="10" t="str">
        <x:f>IF(G1795-H1795&lt;=0,"未回本",IF(ROUNDUP(I1795/(G1795-H1795),0)&gt;MIN(F1795,J1795),"未回本",MAX(1,ROUNDUP(I1795/(G1795-H1795),0))))</x:f>
        <x:v>未回本</x:v>
      </x:c>
    </x:row>
    <x:row r="1796" ht="22" customHeight="1">
      <x:c r="A1796" s="11" t="str">
        <x:v>lade_0827_30aoi</x:v>
      </x:c>
      <x:c r="B1796" s="10" t="n">
        <x:v>30</x:v>
      </x:c>
      <x:c r="C1796" s="10" t="n">
        <x:v>44</x:v>
      </x:c>
      <x:c r="D1796" s="10" t="str">
        <x:v>M1 / M3</x:v>
      </x:c>
      <x:c r="E1796" s="16" t="n">
        <x:v>4</x:v>
      </x:c>
      <x:c r="F1796" s="14" t="n">
        <x:v>50</x:v>
      </x:c>
      <x:c r="G1796" s="26" t="n">
        <x:f>'成本明细'!U260+'成本明细'!G260*(E1796-'参数'!$B$6)</x:f>
        <x:v>3429.805392835</x:v>
      </x:c>
      <x:c r="H1796" s="26" t="n">
        <x:f>'成本明细'!U266</x:f>
        <x:v>4047.692073874445</x:v>
      </x:c>
      <x:c r="I1796" s="26" t="n">
        <x:f>'成本明细'!V266</x:f>
        <x:v>8687</x:v>
      </x:c>
      <x:c r="J1796" s="22" t="n">
        <x:f>'参数'!$B$9</x:f>
        <x:v>300</x:v>
      </x:c>
      <x:c r="K1796" s="26" t="n">
        <x:f>J1796*(G1796-H1796)-I1796*ROUNDUP(J1796/F1796,0)</x:f>
        <x:v>-237488.00431183356</x:v>
      </x:c>
      <x:c r="L1796" s="10" t="str">
        <x:f>IF(G1796-H1796&lt;=0,"未回本",IF(ROUNDUP(I1796/(G1796-H1796),0)&gt;MIN(F1796,J1796),"未回本",MAX(1,ROUNDUP(I1796/(G1796-H1796),0))))</x:f>
        <x:v>未回本</x:v>
      </x:c>
    </x:row>
    <x:row r="1797" ht="22" customHeight="1">
      <x:c r="A1797" s="11" t="str">
        <x:v>lade_0827_30aoi</x:v>
      </x:c>
      <x:c r="B1797" s="10" t="n">
        <x:v>30</x:v>
      </x:c>
      <x:c r="C1797" s="10" t="n">
        <x:v>44</x:v>
      </x:c>
      <x:c r="D1797" s="10" t="str">
        <x:v>M2 / M4</x:v>
      </x:c>
      <x:c r="E1797" s="16" t="n">
        <x:v>4</x:v>
      </x:c>
      <x:c r="F1797" s="14" t="n">
        <x:v>50</x:v>
      </x:c>
      <x:c r="G1797" s="26" t="n">
        <x:f>'成本明细'!U263+'成本明细'!G263*(E1797-'参数'!$B$6)</x:f>
        <x:v>2846.846937516667</x:v>
      </x:c>
      <x:c r="H1797" s="26" t="n">
        <x:f>'成本明细'!U269</x:f>
        <x:v>3857.867768682778</x:v>
      </x:c>
      <x:c r="I1797" s="26" t="n">
        <x:f>'成本明细'!V269</x:f>
        <x:v>8687</x:v>
      </x:c>
      <x:c r="J1797" s="22" t="n">
        <x:f>'参数'!$B$9</x:f>
        <x:v>300</x:v>
      </x:c>
      <x:c r="K1797" s="26" t="n">
        <x:f>J1797*(G1797-H1797)-I1797*ROUNDUP(J1797/F1797,0)</x:f>
        <x:v>-355428.2493498334</x:v>
      </x:c>
      <x:c r="L1797" s="10" t="str">
        <x:f>IF(G1797-H1797&lt;=0,"未回本",IF(ROUNDUP(I1797/(G1797-H1797),0)&gt;MIN(F1797,J1797),"未回本",MAX(1,ROUNDUP(I1797/(G1797-H1797),0))))</x:f>
        <x:v>未回本</x:v>
      </x:c>
    </x:row>
    <x:row r="1798" ht="22" customHeight="1">
      <x:c r="A1798" s="11" t="str">
        <x:v>lade_0827_30aoi</x:v>
      </x:c>
      <x:c r="B1798" s="10" t="n">
        <x:v>30</x:v>
      </x:c>
      <x:c r="C1798" s="10" t="n">
        <x:v>44</x:v>
      </x:c>
      <x:c r="D1798" s="10" t="str">
        <x:v>M1 / M3</x:v>
      </x:c>
      <x:c r="E1798" s="16" t="n">
        <x:v>5</x:v>
      </x:c>
      <x:c r="F1798" s="14" t="n">
        <x:v>10</x:v>
      </x:c>
      <x:c r="G1798" s="26" t="n">
        <x:f>'成本明细'!U260+'成本明细'!G260*(E1798-'参数'!$B$6)</x:f>
        <x:v>3667.805392835</x:v>
      </x:c>
      <x:c r="H1798" s="26" t="n">
        <x:f>'成本明细'!U266</x:f>
        <x:v>4047.692073874445</x:v>
      </x:c>
      <x:c r="I1798" s="26" t="n">
        <x:f>'成本明细'!V266</x:f>
        <x:v>8687</x:v>
      </x:c>
      <x:c r="J1798" s="22" t="n">
        <x:f>'参数'!$B$9</x:f>
        <x:v>300</x:v>
      </x:c>
      <x:c r="K1798" s="26" t="n">
        <x:f>J1798*(G1798-H1798)-I1798*ROUNDUP(J1798/F1798,0)</x:f>
        <x:v>-374576.00431183353</x:v>
      </x:c>
      <x:c r="L1798" s="10" t="str">
        <x:f>IF(G1798-H1798&lt;=0,"未回本",IF(ROUNDUP(I1798/(G1798-H1798),0)&gt;MIN(F1798,J1798),"未回本",MAX(1,ROUNDUP(I1798/(G1798-H1798),0))))</x:f>
        <x:v>未回本</x:v>
      </x:c>
    </x:row>
    <x:row r="1799" ht="22" customHeight="1">
      <x:c r="A1799" s="11" t="str">
        <x:v>lade_0827_30aoi</x:v>
      </x:c>
      <x:c r="B1799" s="10" t="n">
        <x:v>30</x:v>
      </x:c>
      <x:c r="C1799" s="10" t="n">
        <x:v>44</x:v>
      </x:c>
      <x:c r="D1799" s="10" t="str">
        <x:v>M2 / M4</x:v>
      </x:c>
      <x:c r="E1799" s="16" t="n">
        <x:v>5</x:v>
      </x:c>
      <x:c r="F1799" s="14" t="n">
        <x:v>10</x:v>
      </x:c>
      <x:c r="G1799" s="26" t="n">
        <x:f>'成本明细'!U263+'成本明细'!G263*(E1799-'参数'!$B$6)</x:f>
        <x:v>3084.846937516667</x:v>
      </x:c>
      <x:c r="H1799" s="26" t="n">
        <x:f>'成本明细'!U269</x:f>
        <x:v>3857.867768682778</x:v>
      </x:c>
      <x:c r="I1799" s="26" t="n">
        <x:f>'成本明细'!V269</x:f>
        <x:v>8687</x:v>
      </x:c>
      <x:c r="J1799" s="22" t="n">
        <x:f>'参数'!$B$9</x:f>
        <x:v>300</x:v>
      </x:c>
      <x:c r="K1799" s="26" t="n">
        <x:f>J1799*(G1799-H1799)-I1799*ROUNDUP(J1799/F1799,0)</x:f>
        <x:v>-492516.24934983335</x:v>
      </x:c>
      <x:c r="L1799" s="10" t="str">
        <x:f>IF(G1799-H1799&lt;=0,"未回本",IF(ROUNDUP(I1799/(G1799-H1799),0)&gt;MIN(F1799,J1799),"未回本",MAX(1,ROUNDUP(I1799/(G1799-H1799),0))))</x:f>
        <x:v>未回本</x:v>
      </x:c>
    </x:row>
    <x:row r="1800" ht="22" customHeight="1">
      <x:c r="A1800" s="11" t="str">
        <x:v>lade_0827_30aoi</x:v>
      </x:c>
      <x:c r="B1800" s="10" t="n">
        <x:v>30</x:v>
      </x:c>
      <x:c r="C1800" s="10" t="n">
        <x:v>44</x:v>
      </x:c>
      <x:c r="D1800" s="10" t="str">
        <x:v>M1 / M3</x:v>
      </x:c>
      <x:c r="E1800" s="16" t="n">
        <x:v>5</x:v>
      </x:c>
      <x:c r="F1800" s="14" t="n">
        <x:v>20</x:v>
      </x:c>
      <x:c r="G1800" s="26" t="n">
        <x:f>'成本明细'!U260+'成本明细'!G260*(E1800-'参数'!$B$6)</x:f>
        <x:v>3667.805392835</x:v>
      </x:c>
      <x:c r="H1800" s="26" t="n">
        <x:f>'成本明细'!U266</x:f>
        <x:v>4047.692073874445</x:v>
      </x:c>
      <x:c r="I1800" s="26" t="n">
        <x:f>'成本明细'!V266</x:f>
        <x:v>8687</x:v>
      </x:c>
      <x:c r="J1800" s="22" t="n">
        <x:f>'参数'!$B$9</x:f>
        <x:v>300</x:v>
      </x:c>
      <x:c r="K1800" s="26" t="n">
        <x:f>J1800*(G1800-H1800)-I1800*ROUNDUP(J1800/F1800,0)</x:f>
        <x:v>-244271.00431183356</x:v>
      </x:c>
      <x:c r="L1800" s="10" t="str">
        <x:f>IF(G1800-H1800&lt;=0,"未回本",IF(ROUNDUP(I1800/(G1800-H1800),0)&gt;MIN(F1800,J1800),"未回本",MAX(1,ROUNDUP(I1800/(G1800-H1800),0))))</x:f>
        <x:v>未回本</x:v>
      </x:c>
    </x:row>
    <x:row r="1801" ht="22" customHeight="1">
      <x:c r="A1801" s="11" t="str">
        <x:v>lade_0827_30aoi</x:v>
      </x:c>
      <x:c r="B1801" s="10" t="n">
        <x:v>30</x:v>
      </x:c>
      <x:c r="C1801" s="10" t="n">
        <x:v>44</x:v>
      </x:c>
      <x:c r="D1801" s="10" t="str">
        <x:v>M2 / M4</x:v>
      </x:c>
      <x:c r="E1801" s="16" t="n">
        <x:v>5</x:v>
      </x:c>
      <x:c r="F1801" s="14" t="n">
        <x:v>20</x:v>
      </x:c>
      <x:c r="G1801" s="26" t="n">
        <x:f>'成本明细'!U263+'成本明细'!G263*(E1801-'参数'!$B$6)</x:f>
        <x:v>3084.846937516667</x:v>
      </x:c>
      <x:c r="H1801" s="26" t="n">
        <x:f>'成本明细'!U269</x:f>
        <x:v>3857.867768682778</x:v>
      </x:c>
      <x:c r="I1801" s="26" t="n">
        <x:f>'成本明细'!V269</x:f>
        <x:v>8687</x:v>
      </x:c>
      <x:c r="J1801" s="22" t="n">
        <x:f>'参数'!$B$9</x:f>
        <x:v>300</x:v>
      </x:c>
      <x:c r="K1801" s="26" t="n">
        <x:f>J1801*(G1801-H1801)-I1801*ROUNDUP(J1801/F1801,0)</x:f>
        <x:v>-362211.24934983335</x:v>
      </x:c>
      <x:c r="L1801" s="10" t="str">
        <x:f>IF(G1801-H1801&lt;=0,"未回本",IF(ROUNDUP(I1801/(G1801-H1801),0)&gt;MIN(F1801,J1801),"未回本",MAX(1,ROUNDUP(I1801/(G1801-H1801),0))))</x:f>
        <x:v>未回本</x:v>
      </x:c>
    </x:row>
    <x:row r="1802" ht="22" customHeight="1">
      <x:c r="A1802" s="11" t="str">
        <x:v>lade_0827_30aoi</x:v>
      </x:c>
      <x:c r="B1802" s="10" t="n">
        <x:v>30</x:v>
      </x:c>
      <x:c r="C1802" s="10" t="n">
        <x:v>44</x:v>
      </x:c>
      <x:c r="D1802" s="10" t="str">
        <x:v>M1 / M3</x:v>
      </x:c>
      <x:c r="E1802" s="16" t="n">
        <x:v>5</x:v>
      </x:c>
      <x:c r="F1802" s="14" t="n">
        <x:v>30</x:v>
      </x:c>
      <x:c r="G1802" s="26" t="n">
        <x:f>'成本明细'!U260+'成本明细'!G260*(E1802-'参数'!$B$6)</x:f>
        <x:v>3667.805392835</x:v>
      </x:c>
      <x:c r="H1802" s="26" t="n">
        <x:f>'成本明细'!U266</x:f>
        <x:v>4047.692073874445</x:v>
      </x:c>
      <x:c r="I1802" s="26" t="n">
        <x:f>'成本明细'!V266</x:f>
        <x:v>8687</x:v>
      </x:c>
      <x:c r="J1802" s="22" t="n">
        <x:f>'参数'!$B$9</x:f>
        <x:v>300</x:v>
      </x:c>
      <x:c r="K1802" s="26" t="n">
        <x:f>J1802*(G1802-H1802)-I1802*ROUNDUP(J1802/F1802,0)</x:f>
        <x:v>-200836.00431183356</x:v>
      </x:c>
      <x:c r="L1802" s="10" t="str">
        <x:f>IF(G1802-H1802&lt;=0,"未回本",IF(ROUNDUP(I1802/(G1802-H1802),0)&gt;MIN(F1802,J1802),"未回本",MAX(1,ROUNDUP(I1802/(G1802-H1802),0))))</x:f>
        <x:v>未回本</x:v>
      </x:c>
    </x:row>
    <x:row r="1803" ht="22" customHeight="1">
      <x:c r="A1803" s="11" t="str">
        <x:v>lade_0827_30aoi</x:v>
      </x:c>
      <x:c r="B1803" s="10" t="n">
        <x:v>30</x:v>
      </x:c>
      <x:c r="C1803" s="10" t="n">
        <x:v>44</x:v>
      </x:c>
      <x:c r="D1803" s="10" t="str">
        <x:v>M2 / M4</x:v>
      </x:c>
      <x:c r="E1803" s="16" t="n">
        <x:v>5</x:v>
      </x:c>
      <x:c r="F1803" s="14" t="n">
        <x:v>30</x:v>
      </x:c>
      <x:c r="G1803" s="26" t="n">
        <x:f>'成本明细'!U263+'成本明细'!G263*(E1803-'参数'!$B$6)</x:f>
        <x:v>3084.846937516667</x:v>
      </x:c>
      <x:c r="H1803" s="26" t="n">
        <x:f>'成本明细'!U269</x:f>
        <x:v>3857.867768682778</x:v>
      </x:c>
      <x:c r="I1803" s="26" t="n">
        <x:f>'成本明细'!V269</x:f>
        <x:v>8687</x:v>
      </x:c>
      <x:c r="J1803" s="22" t="n">
        <x:f>'参数'!$B$9</x:f>
        <x:v>300</x:v>
      </x:c>
      <x:c r="K1803" s="26" t="n">
        <x:f>J1803*(G1803-H1803)-I1803*ROUNDUP(J1803/F1803,0)</x:f>
        <x:v>-318776.24934983335</x:v>
      </x:c>
      <x:c r="L1803" s="10" t="str">
        <x:f>IF(G1803-H1803&lt;=0,"未回本",IF(ROUNDUP(I1803/(G1803-H1803),0)&gt;MIN(F1803,J1803),"未回本",MAX(1,ROUNDUP(I1803/(G1803-H1803),0))))</x:f>
        <x:v>未回本</x:v>
      </x:c>
    </x:row>
    <x:row r="1804" ht="22" customHeight="1">
      <x:c r="A1804" s="11" t="str">
        <x:v>lade_0827_30aoi</x:v>
      </x:c>
      <x:c r="B1804" s="10" t="n">
        <x:v>30</x:v>
      </x:c>
      <x:c r="C1804" s="10" t="n">
        <x:v>44</x:v>
      </x:c>
      <x:c r="D1804" s="10" t="str">
        <x:v>M1 / M3</x:v>
      </x:c>
      <x:c r="E1804" s="16" t="n">
        <x:v>5</x:v>
      </x:c>
      <x:c r="F1804" s="14" t="n">
        <x:v>50</x:v>
      </x:c>
      <x:c r="G1804" s="26" t="n">
        <x:f>'成本明细'!U260+'成本明细'!G260*(E1804-'参数'!$B$6)</x:f>
        <x:v>3667.805392835</x:v>
      </x:c>
      <x:c r="H1804" s="26" t="n">
        <x:f>'成本明细'!U266</x:f>
        <x:v>4047.692073874445</x:v>
      </x:c>
      <x:c r="I1804" s="26" t="n">
        <x:f>'成本明细'!V266</x:f>
        <x:v>8687</x:v>
      </x:c>
      <x:c r="J1804" s="22" t="n">
        <x:f>'参数'!$B$9</x:f>
        <x:v>300</x:v>
      </x:c>
      <x:c r="K1804" s="26" t="n">
        <x:f>J1804*(G1804-H1804)-I1804*ROUNDUP(J1804/F1804,0)</x:f>
        <x:v>-166088.00431183356</x:v>
      </x:c>
      <x:c r="L1804" s="10" t="str">
        <x:f>IF(G1804-H1804&lt;=0,"未回本",IF(ROUNDUP(I1804/(G1804-H1804),0)&gt;MIN(F1804,J1804),"未回本",MAX(1,ROUNDUP(I1804/(G1804-H1804),0))))</x:f>
        <x:v>未回本</x:v>
      </x:c>
    </x:row>
    <x:row r="1805" ht="22" customHeight="1">
      <x:c r="A1805" s="11" t="str">
        <x:v>lade_0827_30aoi</x:v>
      </x:c>
      <x:c r="B1805" s="10" t="n">
        <x:v>30</x:v>
      </x:c>
      <x:c r="C1805" s="10" t="n">
        <x:v>44</x:v>
      </x:c>
      <x:c r="D1805" s="10" t="str">
        <x:v>M2 / M4</x:v>
      </x:c>
      <x:c r="E1805" s="16" t="n">
        <x:v>5</x:v>
      </x:c>
      <x:c r="F1805" s="14" t="n">
        <x:v>50</x:v>
      </x:c>
      <x:c r="G1805" s="26" t="n">
        <x:f>'成本明细'!U263+'成本明细'!G263*(E1805-'参数'!$B$6)</x:f>
        <x:v>3084.846937516667</x:v>
      </x:c>
      <x:c r="H1805" s="26" t="n">
        <x:f>'成本明细'!U269</x:f>
        <x:v>3857.867768682778</x:v>
      </x:c>
      <x:c r="I1805" s="26" t="n">
        <x:f>'成本明细'!V269</x:f>
        <x:v>8687</x:v>
      </x:c>
      <x:c r="J1805" s="22" t="n">
        <x:f>'参数'!$B$9</x:f>
        <x:v>300</x:v>
      </x:c>
      <x:c r="K1805" s="26" t="n">
        <x:f>J1805*(G1805-H1805)-I1805*ROUNDUP(J1805/F1805,0)</x:f>
        <x:v>-284028.24934983335</x:v>
      </x:c>
      <x:c r="L1805" s="10" t="str">
        <x:f>IF(G1805-H1805&lt;=0,"未回本",IF(ROUNDUP(I1805/(G1805-H1805),0)&gt;MIN(F1805,J1805),"未回本",MAX(1,ROUNDUP(I1805/(G1805-H1805),0))))</x:f>
        <x:v>未回本</x:v>
      </x:c>
    </x:row>
    <x:row r="1806" ht="22" customHeight="1">
      <x:c r="A1806" s="11" t="str">
        <x:v>lade_0828_10aoi</x:v>
      </x:c>
      <x:c r="B1806" s="10" t="n">
        <x:v>10</x:v>
      </x:c>
      <x:c r="C1806" s="10" t="n">
        <x:v>42</x:v>
      </x:c>
      <x:c r="D1806" s="10" t="str">
        <x:v>M1 / M3</x:v>
      </x:c>
      <x:c r="E1806" s="16" t="n">
        <x:v>1</x:v>
      </x:c>
      <x:c r="F1806" s="14" t="n">
        <x:v>10</x:v>
      </x:c>
      <x:c r="G1806" s="26" t="n">
        <x:f>'成本明细'!U276+'成本明细'!G276*(E1806-'参数'!$B$6)</x:f>
        <x:v>1441.7832468372221</x:v>
      </x:c>
      <x:c r="H1806" s="26" t="n">
        <x:f>'成本明细'!U282</x:f>
        <x:v>2261.6482725555556</x:v>
      </x:c>
      <x:c r="I1806" s="26" t="n">
        <x:f>'成本明细'!V282</x:f>
        <x:v>4307</x:v>
      </x:c>
      <x:c r="J1806" s="22" t="n">
        <x:f>'参数'!$B$9</x:f>
        <x:v>300</x:v>
      </x:c>
      <x:c r="K1806" s="26" t="n">
        <x:f>J1806*(G1806-H1806)-I1806*ROUNDUP(J1806/F1806,0)</x:f>
        <x:v>-375169.5077155001</x:v>
      </x:c>
      <x:c r="L1806" s="10" t="str">
        <x:f>IF(G1806-H1806&lt;=0,"未回本",IF(ROUNDUP(I1806/(G1806-H1806),0)&gt;MIN(F1806,J1806),"未回本",MAX(1,ROUNDUP(I1806/(G1806-H1806),0))))</x:f>
        <x:v>未回本</x:v>
      </x:c>
    </x:row>
    <x:row r="1807" ht="22" customHeight="1">
      <x:c r="A1807" s="11" t="str">
        <x:v>lade_0828_10aoi</x:v>
      </x:c>
      <x:c r="B1807" s="10" t="n">
        <x:v>10</x:v>
      </x:c>
      <x:c r="C1807" s="10" t="n">
        <x:v>42</x:v>
      </x:c>
      <x:c r="D1807" s="10" t="str">
        <x:v>M2 / M4</x:v>
      </x:c>
      <x:c r="E1807" s="16" t="n">
        <x:v>1</x:v>
      </x:c>
      <x:c r="F1807" s="14" t="n">
        <x:v>10</x:v>
      </x:c>
      <x:c r="G1807" s="26" t="n">
        <x:f>'成本明细'!U279+'成本明细'!G279*(E1807-'参数'!$B$6)</x:f>
        <x:v>932.4314819866668</x:v>
      </x:c>
      <x:c r="H1807" s="26" t="n">
        <x:f>'成本明细'!U285</x:f>
        <x:v>1924.7891930611108</x:v>
      </x:c>
      <x:c r="I1807" s="26" t="n">
        <x:f>'成本明细'!V285</x:f>
        <x:v>4307</x:v>
      </x:c>
      <x:c r="J1807" s="22" t="n">
        <x:f>'参数'!$B$9</x:f>
        <x:v>300</x:v>
      </x:c>
      <x:c r="K1807" s="26" t="n">
        <x:f>J1807*(G1807-H1807)-I1807*ROUNDUP(J1807/F1807,0)</x:f>
        <x:v>-426917.3133223332</x:v>
      </x:c>
      <x:c r="L1807" s="10" t="str">
        <x:f>IF(G1807-H1807&lt;=0,"未回本",IF(ROUNDUP(I1807/(G1807-H1807),0)&gt;MIN(F1807,J1807),"未回本",MAX(1,ROUNDUP(I1807/(G1807-H1807),0))))</x:f>
        <x:v>未回本</x:v>
      </x:c>
    </x:row>
    <x:row r="1808" ht="22" customHeight="1">
      <x:c r="A1808" s="11" t="str">
        <x:v>lade_0828_10aoi</x:v>
      </x:c>
      <x:c r="B1808" s="10" t="n">
        <x:v>10</x:v>
      </x:c>
      <x:c r="C1808" s="10" t="n">
        <x:v>42</x:v>
      </x:c>
      <x:c r="D1808" s="10" t="str">
        <x:v>M1 / M3</x:v>
      </x:c>
      <x:c r="E1808" s="16" t="n">
        <x:v>1</x:v>
      </x:c>
      <x:c r="F1808" s="14" t="n">
        <x:v>20</x:v>
      </x:c>
      <x:c r="G1808" s="26" t="n">
        <x:f>'成本明细'!U276+'成本明细'!G276*(E1808-'参数'!$B$6)</x:f>
        <x:v>1441.7832468372221</x:v>
      </x:c>
      <x:c r="H1808" s="26" t="n">
        <x:f>'成本明细'!U282</x:f>
        <x:v>2261.6482725555556</x:v>
      </x:c>
      <x:c r="I1808" s="26" t="n">
        <x:f>'成本明细'!V282</x:f>
        <x:v>4307</x:v>
      </x:c>
      <x:c r="J1808" s="22" t="n">
        <x:f>'参数'!$B$9</x:f>
        <x:v>300</x:v>
      </x:c>
      <x:c r="K1808" s="26" t="n">
        <x:f>J1808*(G1808-H1808)-I1808*ROUNDUP(J1808/F1808,0)</x:f>
        <x:v>-310564.5077155001</x:v>
      </x:c>
      <x:c r="L1808" s="10" t="str">
        <x:f>IF(G1808-H1808&lt;=0,"未回本",IF(ROUNDUP(I1808/(G1808-H1808),0)&gt;MIN(F1808,J1808),"未回本",MAX(1,ROUNDUP(I1808/(G1808-H1808),0))))</x:f>
        <x:v>未回本</x:v>
      </x:c>
    </x:row>
    <x:row r="1809" ht="22" customHeight="1">
      <x:c r="A1809" s="11" t="str">
        <x:v>lade_0828_10aoi</x:v>
      </x:c>
      <x:c r="B1809" s="10" t="n">
        <x:v>10</x:v>
      </x:c>
      <x:c r="C1809" s="10" t="n">
        <x:v>42</x:v>
      </x:c>
      <x:c r="D1809" s="10" t="str">
        <x:v>M2 / M4</x:v>
      </x:c>
      <x:c r="E1809" s="16" t="n">
        <x:v>1</x:v>
      </x:c>
      <x:c r="F1809" s="14" t="n">
        <x:v>20</x:v>
      </x:c>
      <x:c r="G1809" s="26" t="n">
        <x:f>'成本明细'!U279+'成本明细'!G279*(E1809-'参数'!$B$6)</x:f>
        <x:v>932.4314819866668</x:v>
      </x:c>
      <x:c r="H1809" s="26" t="n">
        <x:f>'成本明细'!U285</x:f>
        <x:v>1924.7891930611108</x:v>
      </x:c>
      <x:c r="I1809" s="26" t="n">
        <x:f>'成本明细'!V285</x:f>
        <x:v>4307</x:v>
      </x:c>
      <x:c r="J1809" s="22" t="n">
        <x:f>'参数'!$B$9</x:f>
        <x:v>300</x:v>
      </x:c>
      <x:c r="K1809" s="26" t="n">
        <x:f>J1809*(G1809-H1809)-I1809*ROUNDUP(J1809/F1809,0)</x:f>
        <x:v>-362312.3133223332</x:v>
      </x:c>
      <x:c r="L1809" s="10" t="str">
        <x:f>IF(G1809-H1809&lt;=0,"未回本",IF(ROUNDUP(I1809/(G1809-H1809),0)&gt;MIN(F1809,J1809),"未回本",MAX(1,ROUNDUP(I1809/(G1809-H1809),0))))</x:f>
        <x:v>未回本</x:v>
      </x:c>
    </x:row>
    <x:row r="1810" ht="22" customHeight="1">
      <x:c r="A1810" s="11" t="str">
        <x:v>lade_0828_10aoi</x:v>
      </x:c>
      <x:c r="B1810" s="10" t="n">
        <x:v>10</x:v>
      </x:c>
      <x:c r="C1810" s="10" t="n">
        <x:v>42</x:v>
      </x:c>
      <x:c r="D1810" s="10" t="str">
        <x:v>M1 / M3</x:v>
      </x:c>
      <x:c r="E1810" s="16" t="n">
        <x:v>1</x:v>
      </x:c>
      <x:c r="F1810" s="14" t="n">
        <x:v>30</x:v>
      </x:c>
      <x:c r="G1810" s="26" t="n">
        <x:f>'成本明细'!U276+'成本明细'!G276*(E1810-'参数'!$B$6)</x:f>
        <x:v>1441.7832468372221</x:v>
      </x:c>
      <x:c r="H1810" s="26" t="n">
        <x:f>'成本明细'!U282</x:f>
        <x:v>2261.6482725555556</x:v>
      </x:c>
      <x:c r="I1810" s="26" t="n">
        <x:f>'成本明细'!V282</x:f>
        <x:v>4307</x:v>
      </x:c>
      <x:c r="J1810" s="22" t="n">
        <x:f>'参数'!$B$9</x:f>
        <x:v>300</x:v>
      </x:c>
      <x:c r="K1810" s="26" t="n">
        <x:f>J1810*(G1810-H1810)-I1810*ROUNDUP(J1810/F1810,0)</x:f>
        <x:v>-289029.5077155001</x:v>
      </x:c>
      <x:c r="L1810" s="10" t="str">
        <x:f>IF(G1810-H1810&lt;=0,"未回本",IF(ROUNDUP(I1810/(G1810-H1810),0)&gt;MIN(F1810,J1810),"未回本",MAX(1,ROUNDUP(I1810/(G1810-H1810),0))))</x:f>
        <x:v>未回本</x:v>
      </x:c>
    </x:row>
    <x:row r="1811" ht="22" customHeight="1">
      <x:c r="A1811" s="11" t="str">
        <x:v>lade_0828_10aoi</x:v>
      </x:c>
      <x:c r="B1811" s="10" t="n">
        <x:v>10</x:v>
      </x:c>
      <x:c r="C1811" s="10" t="n">
        <x:v>42</x:v>
      </x:c>
      <x:c r="D1811" s="10" t="str">
        <x:v>M2 / M4</x:v>
      </x:c>
      <x:c r="E1811" s="16" t="n">
        <x:v>1</x:v>
      </x:c>
      <x:c r="F1811" s="14" t="n">
        <x:v>30</x:v>
      </x:c>
      <x:c r="G1811" s="26" t="n">
        <x:f>'成本明细'!U279+'成本明细'!G279*(E1811-'参数'!$B$6)</x:f>
        <x:v>932.4314819866668</x:v>
      </x:c>
      <x:c r="H1811" s="26" t="n">
        <x:f>'成本明细'!U285</x:f>
        <x:v>1924.7891930611108</x:v>
      </x:c>
      <x:c r="I1811" s="26" t="n">
        <x:f>'成本明细'!V285</x:f>
        <x:v>4307</x:v>
      </x:c>
      <x:c r="J1811" s="22" t="n">
        <x:f>'参数'!$B$9</x:f>
        <x:v>300</x:v>
      </x:c>
      <x:c r="K1811" s="26" t="n">
        <x:f>J1811*(G1811-H1811)-I1811*ROUNDUP(J1811/F1811,0)</x:f>
        <x:v>-340777.3133223332</x:v>
      </x:c>
      <x:c r="L1811" s="10" t="str">
        <x:f>IF(G1811-H1811&lt;=0,"未回本",IF(ROUNDUP(I1811/(G1811-H1811),0)&gt;MIN(F1811,J1811),"未回本",MAX(1,ROUNDUP(I1811/(G1811-H1811),0))))</x:f>
        <x:v>未回本</x:v>
      </x:c>
    </x:row>
    <x:row r="1812" ht="22" customHeight="1">
      <x:c r="A1812" s="11" t="str">
        <x:v>lade_0828_10aoi</x:v>
      </x:c>
      <x:c r="B1812" s="10" t="n">
        <x:v>10</x:v>
      </x:c>
      <x:c r="C1812" s="10" t="n">
        <x:v>42</x:v>
      </x:c>
      <x:c r="D1812" s="10" t="str">
        <x:v>M1 / M3</x:v>
      </x:c>
      <x:c r="E1812" s="16" t="n">
        <x:v>1</x:v>
      </x:c>
      <x:c r="F1812" s="14" t="n">
        <x:v>50</x:v>
      </x:c>
      <x:c r="G1812" s="26" t="n">
        <x:f>'成本明细'!U276+'成本明细'!G276*(E1812-'参数'!$B$6)</x:f>
        <x:v>1441.7832468372221</x:v>
      </x:c>
      <x:c r="H1812" s="26" t="n">
        <x:f>'成本明细'!U282</x:f>
        <x:v>2261.6482725555556</x:v>
      </x:c>
      <x:c r="I1812" s="26" t="n">
        <x:f>'成本明细'!V282</x:f>
        <x:v>4307</x:v>
      </x:c>
      <x:c r="J1812" s="22" t="n">
        <x:f>'参数'!$B$9</x:f>
        <x:v>300</x:v>
      </x:c>
      <x:c r="K1812" s="26" t="n">
        <x:f>J1812*(G1812-H1812)-I1812*ROUNDUP(J1812/F1812,0)</x:f>
        <x:v>-271801.5077155001</x:v>
      </x:c>
      <x:c r="L1812" s="10" t="str">
        <x:f>IF(G1812-H1812&lt;=0,"未回本",IF(ROUNDUP(I1812/(G1812-H1812),0)&gt;MIN(F1812,J1812),"未回本",MAX(1,ROUNDUP(I1812/(G1812-H1812),0))))</x:f>
        <x:v>未回本</x:v>
      </x:c>
    </x:row>
    <x:row r="1813" ht="22" customHeight="1">
      <x:c r="A1813" s="11" t="str">
        <x:v>lade_0828_10aoi</x:v>
      </x:c>
      <x:c r="B1813" s="10" t="n">
        <x:v>10</x:v>
      </x:c>
      <x:c r="C1813" s="10" t="n">
        <x:v>42</x:v>
      </x:c>
      <x:c r="D1813" s="10" t="str">
        <x:v>M2 / M4</x:v>
      </x:c>
      <x:c r="E1813" s="16" t="n">
        <x:v>1</x:v>
      </x:c>
      <x:c r="F1813" s="14" t="n">
        <x:v>50</x:v>
      </x:c>
      <x:c r="G1813" s="26" t="n">
        <x:f>'成本明细'!U279+'成本明细'!G279*(E1813-'参数'!$B$6)</x:f>
        <x:v>932.4314819866668</x:v>
      </x:c>
      <x:c r="H1813" s="26" t="n">
        <x:f>'成本明细'!U285</x:f>
        <x:v>1924.7891930611108</x:v>
      </x:c>
      <x:c r="I1813" s="26" t="n">
        <x:f>'成本明细'!V285</x:f>
        <x:v>4307</x:v>
      </x:c>
      <x:c r="J1813" s="22" t="n">
        <x:f>'参数'!$B$9</x:f>
        <x:v>300</x:v>
      </x:c>
      <x:c r="K1813" s="26" t="n">
        <x:f>J1813*(G1813-H1813)-I1813*ROUNDUP(J1813/F1813,0)</x:f>
        <x:v>-323549.3133223332</x:v>
      </x:c>
      <x:c r="L1813" s="10" t="str">
        <x:f>IF(G1813-H1813&lt;=0,"未回本",IF(ROUNDUP(I1813/(G1813-H1813),0)&gt;MIN(F1813,J1813),"未回本",MAX(1,ROUNDUP(I1813/(G1813-H1813),0))))</x:f>
        <x:v>未回本</x:v>
      </x:c>
    </x:row>
    <x:row r="1814" ht="22" customHeight="1">
      <x:c r="A1814" s="11" t="str">
        <x:v>lade_0828_10aoi</x:v>
      </x:c>
      <x:c r="B1814" s="10" t="n">
        <x:v>10</x:v>
      </x:c>
      <x:c r="C1814" s="10" t="n">
        <x:v>42</x:v>
      </x:c>
      <x:c r="D1814" s="10" t="str">
        <x:v>M1 / M3</x:v>
      </x:c>
      <x:c r="E1814" s="16" t="n">
        <x:v>2</x:v>
      </x:c>
      <x:c r="F1814" s="14" t="n">
        <x:v>10</x:v>
      </x:c>
      <x:c r="G1814" s="26" t="n">
        <x:f>'成本明细'!U276+'成本明细'!G276*(E1814-'参数'!$B$6)</x:f>
        <x:v>1559.7832468372221</x:v>
      </x:c>
      <x:c r="H1814" s="26" t="n">
        <x:f>'成本明细'!U282</x:f>
        <x:v>2261.6482725555556</x:v>
      </x:c>
      <x:c r="I1814" s="26" t="n">
        <x:f>'成本明细'!V282</x:f>
        <x:v>4307</x:v>
      </x:c>
      <x:c r="J1814" s="22" t="n">
        <x:f>'参数'!$B$9</x:f>
        <x:v>300</x:v>
      </x:c>
      <x:c r="K1814" s="26" t="n">
        <x:f>J1814*(G1814-H1814)-I1814*ROUNDUP(J1814/F1814,0)</x:f>
        <x:v>-339769.5077155001</x:v>
      </x:c>
      <x:c r="L1814" s="10" t="str">
        <x:f>IF(G1814-H1814&lt;=0,"未回本",IF(ROUNDUP(I1814/(G1814-H1814),0)&gt;MIN(F1814,J1814),"未回本",MAX(1,ROUNDUP(I1814/(G1814-H1814),0))))</x:f>
        <x:v>未回本</x:v>
      </x:c>
    </x:row>
    <x:row r="1815" ht="22" customHeight="1">
      <x:c r="A1815" s="11" t="str">
        <x:v>lade_0828_10aoi</x:v>
      </x:c>
      <x:c r="B1815" s="10" t="n">
        <x:v>10</x:v>
      </x:c>
      <x:c r="C1815" s="10" t="n">
        <x:v>42</x:v>
      </x:c>
      <x:c r="D1815" s="10" t="str">
        <x:v>M2 / M4</x:v>
      </x:c>
      <x:c r="E1815" s="16" t="n">
        <x:v>2</x:v>
      </x:c>
      <x:c r="F1815" s="14" t="n">
        <x:v>10</x:v>
      </x:c>
      <x:c r="G1815" s="26" t="n">
        <x:f>'成本明细'!U279+'成本明细'!G279*(E1815-'参数'!$B$6)</x:f>
        <x:v>1050.4314819866668</x:v>
      </x:c>
      <x:c r="H1815" s="26" t="n">
        <x:f>'成本明细'!U285</x:f>
        <x:v>1924.7891930611108</x:v>
      </x:c>
      <x:c r="I1815" s="26" t="n">
        <x:f>'成本明细'!V285</x:f>
        <x:v>4307</x:v>
      </x:c>
      <x:c r="J1815" s="22" t="n">
        <x:f>'参数'!$B$9</x:f>
        <x:v>300</x:v>
      </x:c>
      <x:c r="K1815" s="26" t="n">
        <x:f>J1815*(G1815-H1815)-I1815*ROUNDUP(J1815/F1815,0)</x:f>
        <x:v>-391517.3133223332</x:v>
      </x:c>
      <x:c r="L1815" s="10" t="str">
        <x:f>IF(G1815-H1815&lt;=0,"未回本",IF(ROUNDUP(I1815/(G1815-H1815),0)&gt;MIN(F1815,J1815),"未回本",MAX(1,ROUNDUP(I1815/(G1815-H1815),0))))</x:f>
        <x:v>未回本</x:v>
      </x:c>
    </x:row>
    <x:row r="1816" ht="22" customHeight="1">
      <x:c r="A1816" s="11" t="str">
        <x:v>lade_0828_10aoi</x:v>
      </x:c>
      <x:c r="B1816" s="10" t="n">
        <x:v>10</x:v>
      </x:c>
      <x:c r="C1816" s="10" t="n">
        <x:v>42</x:v>
      </x:c>
      <x:c r="D1816" s="10" t="str">
        <x:v>M1 / M3</x:v>
      </x:c>
      <x:c r="E1816" s="16" t="n">
        <x:v>2</x:v>
      </x:c>
      <x:c r="F1816" s="14" t="n">
        <x:v>20</x:v>
      </x:c>
      <x:c r="G1816" s="26" t="n">
        <x:f>'成本明细'!U276+'成本明细'!G276*(E1816-'参数'!$B$6)</x:f>
        <x:v>1559.7832468372221</x:v>
      </x:c>
      <x:c r="H1816" s="26" t="n">
        <x:f>'成本明细'!U282</x:f>
        <x:v>2261.6482725555556</x:v>
      </x:c>
      <x:c r="I1816" s="26" t="n">
        <x:f>'成本明细'!V282</x:f>
        <x:v>4307</x:v>
      </x:c>
      <x:c r="J1816" s="22" t="n">
        <x:f>'参数'!$B$9</x:f>
        <x:v>300</x:v>
      </x:c>
      <x:c r="K1816" s="26" t="n">
        <x:f>J1816*(G1816-H1816)-I1816*ROUNDUP(J1816/F1816,0)</x:f>
        <x:v>-275164.5077155001</x:v>
      </x:c>
      <x:c r="L1816" s="10" t="str">
        <x:f>IF(G1816-H1816&lt;=0,"未回本",IF(ROUNDUP(I1816/(G1816-H1816),0)&gt;MIN(F1816,J1816),"未回本",MAX(1,ROUNDUP(I1816/(G1816-H1816),0))))</x:f>
        <x:v>未回本</x:v>
      </x:c>
    </x:row>
    <x:row r="1817" ht="22" customHeight="1">
      <x:c r="A1817" s="11" t="str">
        <x:v>lade_0828_10aoi</x:v>
      </x:c>
      <x:c r="B1817" s="10" t="n">
        <x:v>10</x:v>
      </x:c>
      <x:c r="C1817" s="10" t="n">
        <x:v>42</x:v>
      </x:c>
      <x:c r="D1817" s="10" t="str">
        <x:v>M2 / M4</x:v>
      </x:c>
      <x:c r="E1817" s="16" t="n">
        <x:v>2</x:v>
      </x:c>
      <x:c r="F1817" s="14" t="n">
        <x:v>20</x:v>
      </x:c>
      <x:c r="G1817" s="26" t="n">
        <x:f>'成本明细'!U279+'成本明细'!G279*(E1817-'参数'!$B$6)</x:f>
        <x:v>1050.4314819866668</x:v>
      </x:c>
      <x:c r="H1817" s="26" t="n">
        <x:f>'成本明细'!U285</x:f>
        <x:v>1924.7891930611108</x:v>
      </x:c>
      <x:c r="I1817" s="26" t="n">
        <x:f>'成本明细'!V285</x:f>
        <x:v>4307</x:v>
      </x:c>
      <x:c r="J1817" s="22" t="n">
        <x:f>'参数'!$B$9</x:f>
        <x:v>300</x:v>
      </x:c>
      <x:c r="K1817" s="26" t="n">
        <x:f>J1817*(G1817-H1817)-I1817*ROUNDUP(J1817/F1817,0)</x:f>
        <x:v>-326912.3133223332</x:v>
      </x:c>
      <x:c r="L1817" s="10" t="str">
        <x:f>IF(G1817-H1817&lt;=0,"未回本",IF(ROUNDUP(I1817/(G1817-H1817),0)&gt;MIN(F1817,J1817),"未回本",MAX(1,ROUNDUP(I1817/(G1817-H1817),0))))</x:f>
        <x:v>未回本</x:v>
      </x:c>
    </x:row>
    <x:row r="1818" ht="22" customHeight="1">
      <x:c r="A1818" s="11" t="str">
        <x:v>lade_0828_10aoi</x:v>
      </x:c>
      <x:c r="B1818" s="10" t="n">
        <x:v>10</x:v>
      </x:c>
      <x:c r="C1818" s="10" t="n">
        <x:v>42</x:v>
      </x:c>
      <x:c r="D1818" s="10" t="str">
        <x:v>M1 / M3</x:v>
      </x:c>
      <x:c r="E1818" s="16" t="n">
        <x:v>2</x:v>
      </x:c>
      <x:c r="F1818" s="14" t="n">
        <x:v>30</x:v>
      </x:c>
      <x:c r="G1818" s="26" t="n">
        <x:f>'成本明细'!U276+'成本明细'!G276*(E1818-'参数'!$B$6)</x:f>
        <x:v>1559.7832468372221</x:v>
      </x:c>
      <x:c r="H1818" s="26" t="n">
        <x:f>'成本明细'!U282</x:f>
        <x:v>2261.6482725555556</x:v>
      </x:c>
      <x:c r="I1818" s="26" t="n">
        <x:f>'成本明细'!V282</x:f>
        <x:v>4307</x:v>
      </x:c>
      <x:c r="J1818" s="22" t="n">
        <x:f>'参数'!$B$9</x:f>
        <x:v>300</x:v>
      </x:c>
      <x:c r="K1818" s="26" t="n">
        <x:f>J1818*(G1818-H1818)-I1818*ROUNDUP(J1818/F1818,0)</x:f>
        <x:v>-253629.50771550005</x:v>
      </x:c>
      <x:c r="L1818" s="10" t="str">
        <x:f>IF(G1818-H1818&lt;=0,"未回本",IF(ROUNDUP(I1818/(G1818-H1818),0)&gt;MIN(F1818,J1818),"未回本",MAX(1,ROUNDUP(I1818/(G1818-H1818),0))))</x:f>
        <x:v>未回本</x:v>
      </x:c>
    </x:row>
    <x:row r="1819" ht="22" customHeight="1">
      <x:c r="A1819" s="11" t="str">
        <x:v>lade_0828_10aoi</x:v>
      </x:c>
      <x:c r="B1819" s="10" t="n">
        <x:v>10</x:v>
      </x:c>
      <x:c r="C1819" s="10" t="n">
        <x:v>42</x:v>
      </x:c>
      <x:c r="D1819" s="10" t="str">
        <x:v>M2 / M4</x:v>
      </x:c>
      <x:c r="E1819" s="16" t="n">
        <x:v>2</x:v>
      </x:c>
      <x:c r="F1819" s="14" t="n">
        <x:v>30</x:v>
      </x:c>
      <x:c r="G1819" s="26" t="n">
        <x:f>'成本明细'!U279+'成本明细'!G279*(E1819-'参数'!$B$6)</x:f>
        <x:v>1050.4314819866668</x:v>
      </x:c>
      <x:c r="H1819" s="26" t="n">
        <x:f>'成本明细'!U285</x:f>
        <x:v>1924.7891930611108</x:v>
      </x:c>
      <x:c r="I1819" s="26" t="n">
        <x:f>'成本明细'!V285</x:f>
        <x:v>4307</x:v>
      </x:c>
      <x:c r="J1819" s="22" t="n">
        <x:f>'参数'!$B$9</x:f>
        <x:v>300</x:v>
      </x:c>
      <x:c r="K1819" s="26" t="n">
        <x:f>J1819*(G1819-H1819)-I1819*ROUNDUP(J1819/F1819,0)</x:f>
        <x:v>-305377.3133223332</x:v>
      </x:c>
      <x:c r="L1819" s="10" t="str">
        <x:f>IF(G1819-H1819&lt;=0,"未回本",IF(ROUNDUP(I1819/(G1819-H1819),0)&gt;MIN(F1819,J1819),"未回本",MAX(1,ROUNDUP(I1819/(G1819-H1819),0))))</x:f>
        <x:v>未回本</x:v>
      </x:c>
    </x:row>
    <x:row r="1820" ht="22" customHeight="1">
      <x:c r="A1820" s="11" t="str">
        <x:v>lade_0828_10aoi</x:v>
      </x:c>
      <x:c r="B1820" s="10" t="n">
        <x:v>10</x:v>
      </x:c>
      <x:c r="C1820" s="10" t="n">
        <x:v>42</x:v>
      </x:c>
      <x:c r="D1820" s="10" t="str">
        <x:v>M1 / M3</x:v>
      </x:c>
      <x:c r="E1820" s="16" t="n">
        <x:v>2</x:v>
      </x:c>
      <x:c r="F1820" s="14" t="n">
        <x:v>50</x:v>
      </x:c>
      <x:c r="G1820" s="26" t="n">
        <x:f>'成本明细'!U276+'成本明细'!G276*(E1820-'参数'!$B$6)</x:f>
        <x:v>1559.7832468372221</x:v>
      </x:c>
      <x:c r="H1820" s="26" t="n">
        <x:f>'成本明细'!U282</x:f>
        <x:v>2261.6482725555556</x:v>
      </x:c>
      <x:c r="I1820" s="26" t="n">
        <x:f>'成本明细'!V282</x:f>
        <x:v>4307</x:v>
      </x:c>
      <x:c r="J1820" s="22" t="n">
        <x:f>'参数'!$B$9</x:f>
        <x:v>300</x:v>
      </x:c>
      <x:c r="K1820" s="26" t="n">
        <x:f>J1820*(G1820-H1820)-I1820*ROUNDUP(J1820/F1820,0)</x:f>
        <x:v>-236401.50771550005</x:v>
      </x:c>
      <x:c r="L1820" s="10" t="str">
        <x:f>IF(G1820-H1820&lt;=0,"未回本",IF(ROUNDUP(I1820/(G1820-H1820),0)&gt;MIN(F1820,J1820),"未回本",MAX(1,ROUNDUP(I1820/(G1820-H1820),0))))</x:f>
        <x:v>未回本</x:v>
      </x:c>
    </x:row>
    <x:row r="1821" ht="22" customHeight="1">
      <x:c r="A1821" s="11" t="str">
        <x:v>lade_0828_10aoi</x:v>
      </x:c>
      <x:c r="B1821" s="10" t="n">
        <x:v>10</x:v>
      </x:c>
      <x:c r="C1821" s="10" t="n">
        <x:v>42</x:v>
      </x:c>
      <x:c r="D1821" s="10" t="str">
        <x:v>M2 / M4</x:v>
      </x:c>
      <x:c r="E1821" s="16" t="n">
        <x:v>2</x:v>
      </x:c>
      <x:c r="F1821" s="14" t="n">
        <x:v>50</x:v>
      </x:c>
      <x:c r="G1821" s="26" t="n">
        <x:f>'成本明细'!U279+'成本明细'!G279*(E1821-'参数'!$B$6)</x:f>
        <x:v>1050.4314819866668</x:v>
      </x:c>
      <x:c r="H1821" s="26" t="n">
        <x:f>'成本明细'!U285</x:f>
        <x:v>1924.7891930611108</x:v>
      </x:c>
      <x:c r="I1821" s="26" t="n">
        <x:f>'成本明细'!V285</x:f>
        <x:v>4307</x:v>
      </x:c>
      <x:c r="J1821" s="22" t="n">
        <x:f>'参数'!$B$9</x:f>
        <x:v>300</x:v>
      </x:c>
      <x:c r="K1821" s="26" t="n">
        <x:f>J1821*(G1821-H1821)-I1821*ROUNDUP(J1821/F1821,0)</x:f>
        <x:v>-288149.3133223332</x:v>
      </x:c>
      <x:c r="L1821" s="10" t="str">
        <x:f>IF(G1821-H1821&lt;=0,"未回本",IF(ROUNDUP(I1821/(G1821-H1821),0)&gt;MIN(F1821,J1821),"未回本",MAX(1,ROUNDUP(I1821/(G1821-H1821),0))))</x:f>
        <x:v>未回本</x:v>
      </x:c>
    </x:row>
    <x:row r="1822" ht="22" customHeight="1">
      <x:c r="A1822" s="11" t="str">
        <x:v>lade_0828_10aoi</x:v>
      </x:c>
      <x:c r="B1822" s="10" t="n">
        <x:v>10</x:v>
      </x:c>
      <x:c r="C1822" s="10" t="n">
        <x:v>42</x:v>
      </x:c>
      <x:c r="D1822" s="10" t="str">
        <x:v>M1 / M3</x:v>
      </x:c>
      <x:c r="E1822" s="16" t="n">
        <x:v>3</x:v>
      </x:c>
      <x:c r="F1822" s="14" t="n">
        <x:v>10</x:v>
      </x:c>
      <x:c r="G1822" s="26" t="n">
        <x:f>'成本明细'!U276+'成本明细'!G276*(E1822-'参数'!$B$6)</x:f>
        <x:v>1677.7832468372221</x:v>
      </x:c>
      <x:c r="H1822" s="26" t="n">
        <x:f>'成本明细'!U282</x:f>
        <x:v>2261.6482725555556</x:v>
      </x:c>
      <x:c r="I1822" s="26" t="n">
        <x:f>'成本明细'!V282</x:f>
        <x:v>4307</x:v>
      </x:c>
      <x:c r="J1822" s="22" t="n">
        <x:f>'参数'!$B$9</x:f>
        <x:v>300</x:v>
      </x:c>
      <x:c r="K1822" s="26" t="n">
        <x:f>J1822*(G1822-H1822)-I1822*ROUNDUP(J1822/F1822,0)</x:f>
        <x:v>-304369.5077155001</x:v>
      </x:c>
      <x:c r="L1822" s="10" t="str">
        <x:f>IF(G1822-H1822&lt;=0,"未回本",IF(ROUNDUP(I1822/(G1822-H1822),0)&gt;MIN(F1822,J1822),"未回本",MAX(1,ROUNDUP(I1822/(G1822-H1822),0))))</x:f>
        <x:v>未回本</x:v>
      </x:c>
    </x:row>
    <x:row r="1823" ht="22" customHeight="1">
      <x:c r="A1823" s="11" t="str">
        <x:v>lade_0828_10aoi</x:v>
      </x:c>
      <x:c r="B1823" s="10" t="n">
        <x:v>10</x:v>
      </x:c>
      <x:c r="C1823" s="10" t="n">
        <x:v>42</x:v>
      </x:c>
      <x:c r="D1823" s="10" t="str">
        <x:v>M2 / M4</x:v>
      </x:c>
      <x:c r="E1823" s="16" t="n">
        <x:v>3</x:v>
      </x:c>
      <x:c r="F1823" s="14" t="n">
        <x:v>10</x:v>
      </x:c>
      <x:c r="G1823" s="26" t="n">
        <x:f>'成本明细'!U279+'成本明细'!G279*(E1823-'参数'!$B$6)</x:f>
        <x:v>1168.4314819866668</x:v>
      </x:c>
      <x:c r="H1823" s="26" t="n">
        <x:f>'成本明细'!U285</x:f>
        <x:v>1924.7891930611108</x:v>
      </x:c>
      <x:c r="I1823" s="26" t="n">
        <x:f>'成本明细'!V285</x:f>
        <x:v>4307</x:v>
      </x:c>
      <x:c r="J1823" s="22" t="n">
        <x:f>'参数'!$B$9</x:f>
        <x:v>300</x:v>
      </x:c>
      <x:c r="K1823" s="26" t="n">
        <x:f>J1823*(G1823-H1823)-I1823*ROUNDUP(J1823/F1823,0)</x:f>
        <x:v>-356117.3133223332</x:v>
      </x:c>
      <x:c r="L1823" s="10" t="str">
        <x:f>IF(G1823-H1823&lt;=0,"未回本",IF(ROUNDUP(I1823/(G1823-H1823),0)&gt;MIN(F1823,J1823),"未回本",MAX(1,ROUNDUP(I1823/(G1823-H1823),0))))</x:f>
        <x:v>未回本</x:v>
      </x:c>
    </x:row>
    <x:row r="1824" ht="22" customHeight="1">
      <x:c r="A1824" s="11" t="str">
        <x:v>lade_0828_10aoi</x:v>
      </x:c>
      <x:c r="B1824" s="10" t="n">
        <x:v>10</x:v>
      </x:c>
      <x:c r="C1824" s="10" t="n">
        <x:v>42</x:v>
      </x:c>
      <x:c r="D1824" s="10" t="str">
        <x:v>M1 / M3</x:v>
      </x:c>
      <x:c r="E1824" s="16" t="n">
        <x:v>3</x:v>
      </x:c>
      <x:c r="F1824" s="14" t="n">
        <x:v>20</x:v>
      </x:c>
      <x:c r="G1824" s="26" t="n">
        <x:f>'成本明细'!U276+'成本明细'!G276*(E1824-'参数'!$B$6)</x:f>
        <x:v>1677.7832468372221</x:v>
      </x:c>
      <x:c r="H1824" s="26" t="n">
        <x:f>'成本明细'!U282</x:f>
        <x:v>2261.6482725555556</x:v>
      </x:c>
      <x:c r="I1824" s="26" t="n">
        <x:f>'成本明细'!V282</x:f>
        <x:v>4307</x:v>
      </x:c>
      <x:c r="J1824" s="22" t="n">
        <x:f>'参数'!$B$9</x:f>
        <x:v>300</x:v>
      </x:c>
      <x:c r="K1824" s="26" t="n">
        <x:f>J1824*(G1824-H1824)-I1824*ROUNDUP(J1824/F1824,0)</x:f>
        <x:v>-239764.50771550005</x:v>
      </x:c>
      <x:c r="L1824" s="10" t="str">
        <x:f>IF(G1824-H1824&lt;=0,"未回本",IF(ROUNDUP(I1824/(G1824-H1824),0)&gt;MIN(F1824,J1824),"未回本",MAX(1,ROUNDUP(I1824/(G1824-H1824),0))))</x:f>
        <x:v>未回本</x:v>
      </x:c>
    </x:row>
    <x:row r="1825" ht="22" customHeight="1">
      <x:c r="A1825" s="11" t="str">
        <x:v>lade_0828_10aoi</x:v>
      </x:c>
      <x:c r="B1825" s="10" t="n">
        <x:v>10</x:v>
      </x:c>
      <x:c r="C1825" s="10" t="n">
        <x:v>42</x:v>
      </x:c>
      <x:c r="D1825" s="10" t="str">
        <x:v>M2 / M4</x:v>
      </x:c>
      <x:c r="E1825" s="16" t="n">
        <x:v>3</x:v>
      </x:c>
      <x:c r="F1825" s="14" t="n">
        <x:v>20</x:v>
      </x:c>
      <x:c r="G1825" s="26" t="n">
        <x:f>'成本明细'!U279+'成本明细'!G279*(E1825-'参数'!$B$6)</x:f>
        <x:v>1168.4314819866668</x:v>
      </x:c>
      <x:c r="H1825" s="26" t="n">
        <x:f>'成本明细'!U285</x:f>
        <x:v>1924.7891930611108</x:v>
      </x:c>
      <x:c r="I1825" s="26" t="n">
        <x:f>'成本明细'!V285</x:f>
        <x:v>4307</x:v>
      </x:c>
      <x:c r="J1825" s="22" t="n">
        <x:f>'参数'!$B$9</x:f>
        <x:v>300</x:v>
      </x:c>
      <x:c r="K1825" s="26" t="n">
        <x:f>J1825*(G1825-H1825)-I1825*ROUNDUP(J1825/F1825,0)</x:f>
        <x:v>-291512.3133223332</x:v>
      </x:c>
      <x:c r="L1825" s="10" t="str">
        <x:f>IF(G1825-H1825&lt;=0,"未回本",IF(ROUNDUP(I1825/(G1825-H1825),0)&gt;MIN(F1825,J1825),"未回本",MAX(1,ROUNDUP(I1825/(G1825-H1825),0))))</x:f>
        <x:v>未回本</x:v>
      </x:c>
    </x:row>
    <x:row r="1826" ht="22" customHeight="1">
      <x:c r="A1826" s="11" t="str">
        <x:v>lade_0828_10aoi</x:v>
      </x:c>
      <x:c r="B1826" s="10" t="n">
        <x:v>10</x:v>
      </x:c>
      <x:c r="C1826" s="10" t="n">
        <x:v>42</x:v>
      </x:c>
      <x:c r="D1826" s="10" t="str">
        <x:v>M1 / M3</x:v>
      </x:c>
      <x:c r="E1826" s="16" t="n">
        <x:v>3</x:v>
      </x:c>
      <x:c r="F1826" s="14" t="n">
        <x:v>30</x:v>
      </x:c>
      <x:c r="G1826" s="26" t="n">
        <x:f>'成本明细'!U276+'成本明细'!G276*(E1826-'参数'!$B$6)</x:f>
        <x:v>1677.7832468372221</x:v>
      </x:c>
      <x:c r="H1826" s="26" t="n">
        <x:f>'成本明细'!U282</x:f>
        <x:v>2261.6482725555556</x:v>
      </x:c>
      <x:c r="I1826" s="26" t="n">
        <x:f>'成本明细'!V282</x:f>
        <x:v>4307</x:v>
      </x:c>
      <x:c r="J1826" s="22" t="n">
        <x:f>'参数'!$B$9</x:f>
        <x:v>300</x:v>
      </x:c>
      <x:c r="K1826" s="26" t="n">
        <x:f>J1826*(G1826-H1826)-I1826*ROUNDUP(J1826/F1826,0)</x:f>
        <x:v>-218229.50771550005</x:v>
      </x:c>
      <x:c r="L1826" s="10" t="str">
        <x:f>IF(G1826-H1826&lt;=0,"未回本",IF(ROUNDUP(I1826/(G1826-H1826),0)&gt;MIN(F1826,J1826),"未回本",MAX(1,ROUNDUP(I1826/(G1826-H1826),0))))</x:f>
        <x:v>未回本</x:v>
      </x:c>
    </x:row>
    <x:row r="1827" ht="22" customHeight="1">
      <x:c r="A1827" s="11" t="str">
        <x:v>lade_0828_10aoi</x:v>
      </x:c>
      <x:c r="B1827" s="10" t="n">
        <x:v>10</x:v>
      </x:c>
      <x:c r="C1827" s="10" t="n">
        <x:v>42</x:v>
      </x:c>
      <x:c r="D1827" s="10" t="str">
        <x:v>M2 / M4</x:v>
      </x:c>
      <x:c r="E1827" s="16" t="n">
        <x:v>3</x:v>
      </x:c>
      <x:c r="F1827" s="14" t="n">
        <x:v>30</x:v>
      </x:c>
      <x:c r="G1827" s="26" t="n">
        <x:f>'成本明细'!U279+'成本明细'!G279*(E1827-'参数'!$B$6)</x:f>
        <x:v>1168.4314819866668</x:v>
      </x:c>
      <x:c r="H1827" s="26" t="n">
        <x:f>'成本明细'!U285</x:f>
        <x:v>1924.7891930611108</x:v>
      </x:c>
      <x:c r="I1827" s="26" t="n">
        <x:f>'成本明细'!V285</x:f>
        <x:v>4307</x:v>
      </x:c>
      <x:c r="J1827" s="22" t="n">
        <x:f>'参数'!$B$9</x:f>
        <x:v>300</x:v>
      </x:c>
      <x:c r="K1827" s="26" t="n">
        <x:f>J1827*(G1827-H1827)-I1827*ROUNDUP(J1827/F1827,0)</x:f>
        <x:v>-269977.3133223332</x:v>
      </x:c>
      <x:c r="L1827" s="10" t="str">
        <x:f>IF(G1827-H1827&lt;=0,"未回本",IF(ROUNDUP(I1827/(G1827-H1827),0)&gt;MIN(F1827,J1827),"未回本",MAX(1,ROUNDUP(I1827/(G1827-H1827),0))))</x:f>
        <x:v>未回本</x:v>
      </x:c>
    </x:row>
    <x:row r="1828" ht="22" customHeight="1">
      <x:c r="A1828" s="11" t="str">
        <x:v>lade_0828_10aoi</x:v>
      </x:c>
      <x:c r="B1828" s="10" t="n">
        <x:v>10</x:v>
      </x:c>
      <x:c r="C1828" s="10" t="n">
        <x:v>42</x:v>
      </x:c>
      <x:c r="D1828" s="10" t="str">
        <x:v>M1 / M3</x:v>
      </x:c>
      <x:c r="E1828" s="16" t="n">
        <x:v>3</x:v>
      </x:c>
      <x:c r="F1828" s="14" t="n">
        <x:v>50</x:v>
      </x:c>
      <x:c r="G1828" s="26" t="n">
        <x:f>'成本明细'!U276+'成本明细'!G276*(E1828-'参数'!$B$6)</x:f>
        <x:v>1677.7832468372221</x:v>
      </x:c>
      <x:c r="H1828" s="26" t="n">
        <x:f>'成本明细'!U282</x:f>
        <x:v>2261.6482725555556</x:v>
      </x:c>
      <x:c r="I1828" s="26" t="n">
        <x:f>'成本明细'!V282</x:f>
        <x:v>4307</x:v>
      </x:c>
      <x:c r="J1828" s="22" t="n">
        <x:f>'参数'!$B$9</x:f>
        <x:v>300</x:v>
      </x:c>
      <x:c r="K1828" s="26" t="n">
        <x:f>J1828*(G1828-H1828)-I1828*ROUNDUP(J1828/F1828,0)</x:f>
        <x:v>-201001.50771550005</x:v>
      </x:c>
      <x:c r="L1828" s="10" t="str">
        <x:f>IF(G1828-H1828&lt;=0,"未回本",IF(ROUNDUP(I1828/(G1828-H1828),0)&gt;MIN(F1828,J1828),"未回本",MAX(1,ROUNDUP(I1828/(G1828-H1828),0))))</x:f>
        <x:v>未回本</x:v>
      </x:c>
    </x:row>
    <x:row r="1829" ht="22" customHeight="1">
      <x:c r="A1829" s="11" t="str">
        <x:v>lade_0828_10aoi</x:v>
      </x:c>
      <x:c r="B1829" s="10" t="n">
        <x:v>10</x:v>
      </x:c>
      <x:c r="C1829" s="10" t="n">
        <x:v>42</x:v>
      </x:c>
      <x:c r="D1829" s="10" t="str">
        <x:v>M2 / M4</x:v>
      </x:c>
      <x:c r="E1829" s="16" t="n">
        <x:v>3</x:v>
      </x:c>
      <x:c r="F1829" s="14" t="n">
        <x:v>50</x:v>
      </x:c>
      <x:c r="G1829" s="26" t="n">
        <x:f>'成本明细'!U279+'成本明细'!G279*(E1829-'参数'!$B$6)</x:f>
        <x:v>1168.4314819866668</x:v>
      </x:c>
      <x:c r="H1829" s="26" t="n">
        <x:f>'成本明细'!U285</x:f>
        <x:v>1924.7891930611108</x:v>
      </x:c>
      <x:c r="I1829" s="26" t="n">
        <x:f>'成本明细'!V285</x:f>
        <x:v>4307</x:v>
      </x:c>
      <x:c r="J1829" s="22" t="n">
        <x:f>'参数'!$B$9</x:f>
        <x:v>300</x:v>
      </x:c>
      <x:c r="K1829" s="26" t="n">
        <x:f>J1829*(G1829-H1829)-I1829*ROUNDUP(J1829/F1829,0)</x:f>
        <x:v>-252749.3133223332</x:v>
      </x:c>
      <x:c r="L1829" s="10" t="str">
        <x:f>IF(G1829-H1829&lt;=0,"未回本",IF(ROUNDUP(I1829/(G1829-H1829),0)&gt;MIN(F1829,J1829),"未回本",MAX(1,ROUNDUP(I1829/(G1829-H1829),0))))</x:f>
        <x:v>未回本</x:v>
      </x:c>
    </x:row>
    <x:row r="1830" ht="22" customHeight="1">
      <x:c r="A1830" s="11" t="str">
        <x:v>lade_0828_10aoi</x:v>
      </x:c>
      <x:c r="B1830" s="10" t="n">
        <x:v>10</x:v>
      </x:c>
      <x:c r="C1830" s="10" t="n">
        <x:v>42</x:v>
      </x:c>
      <x:c r="D1830" s="10" t="str">
        <x:v>M1 / M3</x:v>
      </x:c>
      <x:c r="E1830" s="16" t="n">
        <x:v>4</x:v>
      </x:c>
      <x:c r="F1830" s="14" t="n">
        <x:v>10</x:v>
      </x:c>
      <x:c r="G1830" s="26" t="n">
        <x:f>'成本明细'!U276+'成本明细'!G276*(E1830-'参数'!$B$6)</x:f>
        <x:v>1795.7832468372221</x:v>
      </x:c>
      <x:c r="H1830" s="26" t="n">
        <x:f>'成本明细'!U282</x:f>
        <x:v>2261.6482725555556</x:v>
      </x:c>
      <x:c r="I1830" s="26" t="n">
        <x:f>'成本明细'!V282</x:f>
        <x:v>4307</x:v>
      </x:c>
      <x:c r="J1830" s="22" t="n">
        <x:f>'参数'!$B$9</x:f>
        <x:v>300</x:v>
      </x:c>
      <x:c r="K1830" s="26" t="n">
        <x:f>J1830*(G1830-H1830)-I1830*ROUNDUP(J1830/F1830,0)</x:f>
        <x:v>-268969.5077155001</x:v>
      </x:c>
      <x:c r="L1830" s="10" t="str">
        <x:f>IF(G1830-H1830&lt;=0,"未回本",IF(ROUNDUP(I1830/(G1830-H1830),0)&gt;MIN(F1830,J1830),"未回本",MAX(1,ROUNDUP(I1830/(G1830-H1830),0))))</x:f>
        <x:v>未回本</x:v>
      </x:c>
    </x:row>
    <x:row r="1831" ht="22" customHeight="1">
      <x:c r="A1831" s="11" t="str">
        <x:v>lade_0828_10aoi</x:v>
      </x:c>
      <x:c r="B1831" s="10" t="n">
        <x:v>10</x:v>
      </x:c>
      <x:c r="C1831" s="10" t="n">
        <x:v>42</x:v>
      </x:c>
      <x:c r="D1831" s="10" t="str">
        <x:v>M2 / M4</x:v>
      </x:c>
      <x:c r="E1831" s="16" t="n">
        <x:v>4</x:v>
      </x:c>
      <x:c r="F1831" s="14" t="n">
        <x:v>10</x:v>
      </x:c>
      <x:c r="G1831" s="26" t="n">
        <x:f>'成本明细'!U279+'成本明细'!G279*(E1831-'参数'!$B$6)</x:f>
        <x:v>1286.4314819866668</x:v>
      </x:c>
      <x:c r="H1831" s="26" t="n">
        <x:f>'成本明细'!U285</x:f>
        <x:v>1924.7891930611108</x:v>
      </x:c>
      <x:c r="I1831" s="26" t="n">
        <x:f>'成本明细'!V285</x:f>
        <x:v>4307</x:v>
      </x:c>
      <x:c r="J1831" s="22" t="n">
        <x:f>'参数'!$B$9</x:f>
        <x:v>300</x:v>
      </x:c>
      <x:c r="K1831" s="26" t="n">
        <x:f>J1831*(G1831-H1831)-I1831*ROUNDUP(J1831/F1831,0)</x:f>
        <x:v>-320717.3133223332</x:v>
      </x:c>
      <x:c r="L1831" s="10" t="str">
        <x:f>IF(G1831-H1831&lt;=0,"未回本",IF(ROUNDUP(I1831/(G1831-H1831),0)&gt;MIN(F1831,J1831),"未回本",MAX(1,ROUNDUP(I1831/(G1831-H1831),0))))</x:f>
        <x:v>未回本</x:v>
      </x:c>
    </x:row>
    <x:row r="1832" ht="22" customHeight="1">
      <x:c r="A1832" s="11" t="str">
        <x:v>lade_0828_10aoi</x:v>
      </x:c>
      <x:c r="B1832" s="10" t="n">
        <x:v>10</x:v>
      </x:c>
      <x:c r="C1832" s="10" t="n">
        <x:v>42</x:v>
      </x:c>
      <x:c r="D1832" s="10" t="str">
        <x:v>M1 / M3</x:v>
      </x:c>
      <x:c r="E1832" s="16" t="n">
        <x:v>4</x:v>
      </x:c>
      <x:c r="F1832" s="14" t="n">
        <x:v>20</x:v>
      </x:c>
      <x:c r="G1832" s="26" t="n">
        <x:f>'成本明细'!U276+'成本明细'!G276*(E1832-'参数'!$B$6)</x:f>
        <x:v>1795.7832468372221</x:v>
      </x:c>
      <x:c r="H1832" s="26" t="n">
        <x:f>'成本明细'!U282</x:f>
        <x:v>2261.6482725555556</x:v>
      </x:c>
      <x:c r="I1832" s="26" t="n">
        <x:f>'成本明细'!V282</x:f>
        <x:v>4307</x:v>
      </x:c>
      <x:c r="J1832" s="22" t="n">
        <x:f>'参数'!$B$9</x:f>
        <x:v>300</x:v>
      </x:c>
      <x:c r="K1832" s="26" t="n">
        <x:f>J1832*(G1832-H1832)-I1832*ROUNDUP(J1832/F1832,0)</x:f>
        <x:v>-204364.50771550005</x:v>
      </x:c>
      <x:c r="L1832" s="10" t="str">
        <x:f>IF(G1832-H1832&lt;=0,"未回本",IF(ROUNDUP(I1832/(G1832-H1832),0)&gt;MIN(F1832,J1832),"未回本",MAX(1,ROUNDUP(I1832/(G1832-H1832),0))))</x:f>
        <x:v>未回本</x:v>
      </x:c>
    </x:row>
    <x:row r="1833" ht="22" customHeight="1">
      <x:c r="A1833" s="11" t="str">
        <x:v>lade_0828_10aoi</x:v>
      </x:c>
      <x:c r="B1833" s="10" t="n">
        <x:v>10</x:v>
      </x:c>
      <x:c r="C1833" s="10" t="n">
        <x:v>42</x:v>
      </x:c>
      <x:c r="D1833" s="10" t="str">
        <x:v>M2 / M4</x:v>
      </x:c>
      <x:c r="E1833" s="16" t="n">
        <x:v>4</x:v>
      </x:c>
      <x:c r="F1833" s="14" t="n">
        <x:v>20</x:v>
      </x:c>
      <x:c r="G1833" s="26" t="n">
        <x:f>'成本明细'!U279+'成本明细'!G279*(E1833-'参数'!$B$6)</x:f>
        <x:v>1286.4314819866668</x:v>
      </x:c>
      <x:c r="H1833" s="26" t="n">
        <x:f>'成本明细'!U285</x:f>
        <x:v>1924.7891930611108</x:v>
      </x:c>
      <x:c r="I1833" s="26" t="n">
        <x:f>'成本明细'!V285</x:f>
        <x:v>4307</x:v>
      </x:c>
      <x:c r="J1833" s="22" t="n">
        <x:f>'参数'!$B$9</x:f>
        <x:v>300</x:v>
      </x:c>
      <x:c r="K1833" s="26" t="n">
        <x:f>J1833*(G1833-H1833)-I1833*ROUNDUP(J1833/F1833,0)</x:f>
        <x:v>-256112.3133223332</x:v>
      </x:c>
      <x:c r="L1833" s="10" t="str">
        <x:f>IF(G1833-H1833&lt;=0,"未回本",IF(ROUNDUP(I1833/(G1833-H1833),0)&gt;MIN(F1833,J1833),"未回本",MAX(1,ROUNDUP(I1833/(G1833-H1833),0))))</x:f>
        <x:v>未回本</x:v>
      </x:c>
    </x:row>
    <x:row r="1834" ht="22" customHeight="1">
      <x:c r="A1834" s="11" t="str">
        <x:v>lade_0828_10aoi</x:v>
      </x:c>
      <x:c r="B1834" s="10" t="n">
        <x:v>10</x:v>
      </x:c>
      <x:c r="C1834" s="10" t="n">
        <x:v>42</x:v>
      </x:c>
      <x:c r="D1834" s="10" t="str">
        <x:v>M1 / M3</x:v>
      </x:c>
      <x:c r="E1834" s="16" t="n">
        <x:v>4</x:v>
      </x:c>
      <x:c r="F1834" s="14" t="n">
        <x:v>30</x:v>
      </x:c>
      <x:c r="G1834" s="26" t="n">
        <x:f>'成本明细'!U276+'成本明细'!G276*(E1834-'参数'!$B$6)</x:f>
        <x:v>1795.7832468372221</x:v>
      </x:c>
      <x:c r="H1834" s="26" t="n">
        <x:f>'成本明细'!U282</x:f>
        <x:v>2261.6482725555556</x:v>
      </x:c>
      <x:c r="I1834" s="26" t="n">
        <x:f>'成本明细'!V282</x:f>
        <x:v>4307</x:v>
      </x:c>
      <x:c r="J1834" s="22" t="n">
        <x:f>'参数'!$B$9</x:f>
        <x:v>300</x:v>
      </x:c>
      <x:c r="K1834" s="26" t="n">
        <x:f>J1834*(G1834-H1834)-I1834*ROUNDUP(J1834/F1834,0)</x:f>
        <x:v>-182829.50771550005</x:v>
      </x:c>
      <x:c r="L1834" s="10" t="str">
        <x:f>IF(G1834-H1834&lt;=0,"未回本",IF(ROUNDUP(I1834/(G1834-H1834),0)&gt;MIN(F1834,J1834),"未回本",MAX(1,ROUNDUP(I1834/(G1834-H1834),0))))</x:f>
        <x:v>未回本</x:v>
      </x:c>
    </x:row>
    <x:row r="1835" ht="22" customHeight="1">
      <x:c r="A1835" s="11" t="str">
        <x:v>lade_0828_10aoi</x:v>
      </x:c>
      <x:c r="B1835" s="10" t="n">
        <x:v>10</x:v>
      </x:c>
      <x:c r="C1835" s="10" t="n">
        <x:v>42</x:v>
      </x:c>
      <x:c r="D1835" s="10" t="str">
        <x:v>M2 / M4</x:v>
      </x:c>
      <x:c r="E1835" s="16" t="n">
        <x:v>4</x:v>
      </x:c>
      <x:c r="F1835" s="14" t="n">
        <x:v>30</x:v>
      </x:c>
      <x:c r="G1835" s="26" t="n">
        <x:f>'成本明细'!U279+'成本明细'!G279*(E1835-'参数'!$B$6)</x:f>
        <x:v>1286.4314819866668</x:v>
      </x:c>
      <x:c r="H1835" s="26" t="n">
        <x:f>'成本明细'!U285</x:f>
        <x:v>1924.7891930611108</x:v>
      </x:c>
      <x:c r="I1835" s="26" t="n">
        <x:f>'成本明细'!V285</x:f>
        <x:v>4307</x:v>
      </x:c>
      <x:c r="J1835" s="22" t="n">
        <x:f>'参数'!$B$9</x:f>
        <x:v>300</x:v>
      </x:c>
      <x:c r="K1835" s="26" t="n">
        <x:f>J1835*(G1835-H1835)-I1835*ROUNDUP(J1835/F1835,0)</x:f>
        <x:v>-234577.3133223332</x:v>
      </x:c>
      <x:c r="L1835" s="10" t="str">
        <x:f>IF(G1835-H1835&lt;=0,"未回本",IF(ROUNDUP(I1835/(G1835-H1835),0)&gt;MIN(F1835,J1835),"未回本",MAX(1,ROUNDUP(I1835/(G1835-H1835),0))))</x:f>
        <x:v>未回本</x:v>
      </x:c>
    </x:row>
    <x:row r="1836" ht="22" customHeight="1">
      <x:c r="A1836" s="11" t="str">
        <x:v>lade_0828_10aoi</x:v>
      </x:c>
      <x:c r="B1836" s="10" t="n">
        <x:v>10</x:v>
      </x:c>
      <x:c r="C1836" s="10" t="n">
        <x:v>42</x:v>
      </x:c>
      <x:c r="D1836" s="10" t="str">
        <x:v>M1 / M3</x:v>
      </x:c>
      <x:c r="E1836" s="16" t="n">
        <x:v>4</x:v>
      </x:c>
      <x:c r="F1836" s="14" t="n">
        <x:v>50</x:v>
      </x:c>
      <x:c r="G1836" s="26" t="n">
        <x:f>'成本明细'!U276+'成本明细'!G276*(E1836-'参数'!$B$6)</x:f>
        <x:v>1795.7832468372221</x:v>
      </x:c>
      <x:c r="H1836" s="26" t="n">
        <x:f>'成本明细'!U282</x:f>
        <x:v>2261.6482725555556</x:v>
      </x:c>
      <x:c r="I1836" s="26" t="n">
        <x:f>'成本明细'!V282</x:f>
        <x:v>4307</x:v>
      </x:c>
      <x:c r="J1836" s="22" t="n">
        <x:f>'参数'!$B$9</x:f>
        <x:v>300</x:v>
      </x:c>
      <x:c r="K1836" s="26" t="n">
        <x:f>J1836*(G1836-H1836)-I1836*ROUNDUP(J1836/F1836,0)</x:f>
        <x:v>-165601.50771550005</x:v>
      </x:c>
      <x:c r="L1836" s="10" t="str">
        <x:f>IF(G1836-H1836&lt;=0,"未回本",IF(ROUNDUP(I1836/(G1836-H1836),0)&gt;MIN(F1836,J1836),"未回本",MAX(1,ROUNDUP(I1836/(G1836-H1836),0))))</x:f>
        <x:v>未回本</x:v>
      </x:c>
    </x:row>
    <x:row r="1837" ht="22" customHeight="1">
      <x:c r="A1837" s="11" t="str">
        <x:v>lade_0828_10aoi</x:v>
      </x:c>
      <x:c r="B1837" s="10" t="n">
        <x:v>10</x:v>
      </x:c>
      <x:c r="C1837" s="10" t="n">
        <x:v>42</x:v>
      </x:c>
      <x:c r="D1837" s="10" t="str">
        <x:v>M2 / M4</x:v>
      </x:c>
      <x:c r="E1837" s="16" t="n">
        <x:v>4</x:v>
      </x:c>
      <x:c r="F1837" s="14" t="n">
        <x:v>50</x:v>
      </x:c>
      <x:c r="G1837" s="26" t="n">
        <x:f>'成本明细'!U279+'成本明细'!G279*(E1837-'参数'!$B$6)</x:f>
        <x:v>1286.4314819866668</x:v>
      </x:c>
      <x:c r="H1837" s="26" t="n">
        <x:f>'成本明细'!U285</x:f>
        <x:v>1924.7891930611108</x:v>
      </x:c>
      <x:c r="I1837" s="26" t="n">
        <x:f>'成本明细'!V285</x:f>
        <x:v>4307</x:v>
      </x:c>
      <x:c r="J1837" s="22" t="n">
        <x:f>'参数'!$B$9</x:f>
        <x:v>300</x:v>
      </x:c>
      <x:c r="K1837" s="26" t="n">
        <x:f>J1837*(G1837-H1837)-I1837*ROUNDUP(J1837/F1837,0)</x:f>
        <x:v>-217349.3133223332</x:v>
      </x:c>
      <x:c r="L1837" s="10" t="str">
        <x:f>IF(G1837-H1837&lt;=0,"未回本",IF(ROUNDUP(I1837/(G1837-H1837),0)&gt;MIN(F1837,J1837),"未回本",MAX(1,ROUNDUP(I1837/(G1837-H1837),0))))</x:f>
        <x:v>未回本</x:v>
      </x:c>
    </x:row>
    <x:row r="1838" ht="22" customHeight="1">
      <x:c r="A1838" s="11" t="str">
        <x:v>lade_0828_10aoi</x:v>
      </x:c>
      <x:c r="B1838" s="10" t="n">
        <x:v>10</x:v>
      </x:c>
      <x:c r="C1838" s="10" t="n">
        <x:v>42</x:v>
      </x:c>
      <x:c r="D1838" s="10" t="str">
        <x:v>M1 / M3</x:v>
      </x:c>
      <x:c r="E1838" s="16" t="n">
        <x:v>5</x:v>
      </x:c>
      <x:c r="F1838" s="14" t="n">
        <x:v>10</x:v>
      </x:c>
      <x:c r="G1838" s="26" t="n">
        <x:f>'成本明细'!U276+'成本明细'!G276*(E1838-'参数'!$B$6)</x:f>
        <x:v>1913.7832468372221</x:v>
      </x:c>
      <x:c r="H1838" s="26" t="n">
        <x:f>'成本明细'!U282</x:f>
        <x:v>2261.6482725555556</x:v>
      </x:c>
      <x:c r="I1838" s="26" t="n">
        <x:f>'成本明细'!V282</x:f>
        <x:v>4307</x:v>
      </x:c>
      <x:c r="J1838" s="22" t="n">
        <x:f>'参数'!$B$9</x:f>
        <x:v>300</x:v>
      </x:c>
      <x:c r="K1838" s="26" t="n">
        <x:f>J1838*(G1838-H1838)-I1838*ROUNDUP(J1838/F1838,0)</x:f>
        <x:v>-233569.50771550008</x:v>
      </x:c>
      <x:c r="L1838" s="10" t="str">
        <x:f>IF(G1838-H1838&lt;=0,"未回本",IF(ROUNDUP(I1838/(G1838-H1838),0)&gt;MIN(F1838,J1838),"未回本",MAX(1,ROUNDUP(I1838/(G1838-H1838),0))))</x:f>
        <x:v>未回本</x:v>
      </x:c>
    </x:row>
    <x:row r="1839" ht="22" customHeight="1">
      <x:c r="A1839" s="11" t="str">
        <x:v>lade_0828_10aoi</x:v>
      </x:c>
      <x:c r="B1839" s="10" t="n">
        <x:v>10</x:v>
      </x:c>
      <x:c r="C1839" s="10" t="n">
        <x:v>42</x:v>
      </x:c>
      <x:c r="D1839" s="10" t="str">
        <x:v>M2 / M4</x:v>
      </x:c>
      <x:c r="E1839" s="16" t="n">
        <x:v>5</x:v>
      </x:c>
      <x:c r="F1839" s="14" t="n">
        <x:v>10</x:v>
      </x:c>
      <x:c r="G1839" s="26" t="n">
        <x:f>'成本明细'!U279+'成本明细'!G279*(E1839-'参数'!$B$6)</x:f>
        <x:v>1404.4314819866668</x:v>
      </x:c>
      <x:c r="H1839" s="26" t="n">
        <x:f>'成本明细'!U285</x:f>
        <x:v>1924.7891930611108</x:v>
      </x:c>
      <x:c r="I1839" s="26" t="n">
        <x:f>'成本明细'!V285</x:f>
        <x:v>4307</x:v>
      </x:c>
      <x:c r="J1839" s="22" t="n">
        <x:f>'参数'!$B$9</x:f>
        <x:v>300</x:v>
      </x:c>
      <x:c r="K1839" s="26" t="n">
        <x:f>J1839*(G1839-H1839)-I1839*ROUNDUP(J1839/F1839,0)</x:f>
        <x:v>-285317.3133223332</x:v>
      </x:c>
      <x:c r="L1839" s="10" t="str">
        <x:f>IF(G1839-H1839&lt;=0,"未回本",IF(ROUNDUP(I1839/(G1839-H1839),0)&gt;MIN(F1839,J1839),"未回本",MAX(1,ROUNDUP(I1839/(G1839-H1839),0))))</x:f>
        <x:v>未回本</x:v>
      </x:c>
    </x:row>
    <x:row r="1840" ht="22" customHeight="1">
      <x:c r="A1840" s="11" t="str">
        <x:v>lade_0828_10aoi</x:v>
      </x:c>
      <x:c r="B1840" s="10" t="n">
        <x:v>10</x:v>
      </x:c>
      <x:c r="C1840" s="10" t="n">
        <x:v>42</x:v>
      </x:c>
      <x:c r="D1840" s="10" t="str">
        <x:v>M1 / M3</x:v>
      </x:c>
      <x:c r="E1840" s="16" t="n">
        <x:v>5</x:v>
      </x:c>
      <x:c r="F1840" s="14" t="n">
        <x:v>20</x:v>
      </x:c>
      <x:c r="G1840" s="26" t="n">
        <x:f>'成本明细'!U276+'成本明细'!G276*(E1840-'参数'!$B$6)</x:f>
        <x:v>1913.7832468372221</x:v>
      </x:c>
      <x:c r="H1840" s="26" t="n">
        <x:f>'成本明细'!U282</x:f>
        <x:v>2261.6482725555556</x:v>
      </x:c>
      <x:c r="I1840" s="26" t="n">
        <x:f>'成本明细'!V282</x:f>
        <x:v>4307</x:v>
      </x:c>
      <x:c r="J1840" s="22" t="n">
        <x:f>'参数'!$B$9</x:f>
        <x:v>300</x:v>
      </x:c>
      <x:c r="K1840" s="26" t="n">
        <x:f>J1840*(G1840-H1840)-I1840*ROUNDUP(J1840/F1840,0)</x:f>
        <x:v>-168964.50771550008</x:v>
      </x:c>
      <x:c r="L1840" s="10" t="str">
        <x:f>IF(G1840-H1840&lt;=0,"未回本",IF(ROUNDUP(I1840/(G1840-H1840),0)&gt;MIN(F1840,J1840),"未回本",MAX(1,ROUNDUP(I1840/(G1840-H1840),0))))</x:f>
        <x:v>未回本</x:v>
      </x:c>
    </x:row>
    <x:row r="1841" ht="22" customHeight="1">
      <x:c r="A1841" s="11" t="str">
        <x:v>lade_0828_10aoi</x:v>
      </x:c>
      <x:c r="B1841" s="10" t="n">
        <x:v>10</x:v>
      </x:c>
      <x:c r="C1841" s="10" t="n">
        <x:v>42</x:v>
      </x:c>
      <x:c r="D1841" s="10" t="str">
        <x:v>M2 / M4</x:v>
      </x:c>
      <x:c r="E1841" s="16" t="n">
        <x:v>5</x:v>
      </x:c>
      <x:c r="F1841" s="14" t="n">
        <x:v>20</x:v>
      </x:c>
      <x:c r="G1841" s="26" t="n">
        <x:f>'成本明细'!U279+'成本明细'!G279*(E1841-'参数'!$B$6)</x:f>
        <x:v>1404.4314819866668</x:v>
      </x:c>
      <x:c r="H1841" s="26" t="n">
        <x:f>'成本明细'!U285</x:f>
        <x:v>1924.7891930611108</x:v>
      </x:c>
      <x:c r="I1841" s="26" t="n">
        <x:f>'成本明细'!V285</x:f>
        <x:v>4307</x:v>
      </x:c>
      <x:c r="J1841" s="22" t="n">
        <x:f>'参数'!$B$9</x:f>
        <x:v>300</x:v>
      </x:c>
      <x:c r="K1841" s="26" t="n">
        <x:f>J1841*(G1841-H1841)-I1841*ROUNDUP(J1841/F1841,0)</x:f>
        <x:v>-220712.3133223332</x:v>
      </x:c>
      <x:c r="L1841" s="10" t="str">
        <x:f>IF(G1841-H1841&lt;=0,"未回本",IF(ROUNDUP(I1841/(G1841-H1841),0)&gt;MIN(F1841,J1841),"未回本",MAX(1,ROUNDUP(I1841/(G1841-H1841),0))))</x:f>
        <x:v>未回本</x:v>
      </x:c>
    </x:row>
    <x:row r="1842" ht="22" customHeight="1">
      <x:c r="A1842" s="11" t="str">
        <x:v>lade_0828_10aoi</x:v>
      </x:c>
      <x:c r="B1842" s="10" t="n">
        <x:v>10</x:v>
      </x:c>
      <x:c r="C1842" s="10" t="n">
        <x:v>42</x:v>
      </x:c>
      <x:c r="D1842" s="10" t="str">
        <x:v>M1 / M3</x:v>
      </x:c>
      <x:c r="E1842" s="16" t="n">
        <x:v>5</x:v>
      </x:c>
      <x:c r="F1842" s="14" t="n">
        <x:v>30</x:v>
      </x:c>
      <x:c r="G1842" s="26" t="n">
        <x:f>'成本明细'!U276+'成本明细'!G276*(E1842-'参数'!$B$6)</x:f>
        <x:v>1913.7832468372221</x:v>
      </x:c>
      <x:c r="H1842" s="26" t="n">
        <x:f>'成本明细'!U282</x:f>
        <x:v>2261.6482725555556</x:v>
      </x:c>
      <x:c r="I1842" s="26" t="n">
        <x:f>'成本明细'!V282</x:f>
        <x:v>4307</x:v>
      </x:c>
      <x:c r="J1842" s="22" t="n">
        <x:f>'参数'!$B$9</x:f>
        <x:v>300</x:v>
      </x:c>
      <x:c r="K1842" s="26" t="n">
        <x:f>J1842*(G1842-H1842)-I1842*ROUNDUP(J1842/F1842,0)</x:f>
        <x:v>-147429.50771550008</x:v>
      </x:c>
      <x:c r="L1842" s="10" t="str">
        <x:f>IF(G1842-H1842&lt;=0,"未回本",IF(ROUNDUP(I1842/(G1842-H1842),0)&gt;MIN(F1842,J1842),"未回本",MAX(1,ROUNDUP(I1842/(G1842-H1842),0))))</x:f>
        <x:v>未回本</x:v>
      </x:c>
    </x:row>
    <x:row r="1843" ht="22" customHeight="1">
      <x:c r="A1843" s="11" t="str">
        <x:v>lade_0828_10aoi</x:v>
      </x:c>
      <x:c r="B1843" s="10" t="n">
        <x:v>10</x:v>
      </x:c>
      <x:c r="C1843" s="10" t="n">
        <x:v>42</x:v>
      </x:c>
      <x:c r="D1843" s="10" t="str">
        <x:v>M2 / M4</x:v>
      </x:c>
      <x:c r="E1843" s="16" t="n">
        <x:v>5</x:v>
      </x:c>
      <x:c r="F1843" s="14" t="n">
        <x:v>30</x:v>
      </x:c>
      <x:c r="G1843" s="26" t="n">
        <x:f>'成本明细'!U279+'成本明细'!G279*(E1843-'参数'!$B$6)</x:f>
        <x:v>1404.4314819866668</x:v>
      </x:c>
      <x:c r="H1843" s="26" t="n">
        <x:f>'成本明细'!U285</x:f>
        <x:v>1924.7891930611108</x:v>
      </x:c>
      <x:c r="I1843" s="26" t="n">
        <x:f>'成本明细'!V285</x:f>
        <x:v>4307</x:v>
      </x:c>
      <x:c r="J1843" s="22" t="n">
        <x:f>'参数'!$B$9</x:f>
        <x:v>300</x:v>
      </x:c>
      <x:c r="K1843" s="26" t="n">
        <x:f>J1843*(G1843-H1843)-I1843*ROUNDUP(J1843/F1843,0)</x:f>
        <x:v>-199177.3133223332</x:v>
      </x:c>
      <x:c r="L1843" s="10" t="str">
        <x:f>IF(G1843-H1843&lt;=0,"未回本",IF(ROUNDUP(I1843/(G1843-H1843),0)&gt;MIN(F1843,J1843),"未回本",MAX(1,ROUNDUP(I1843/(G1843-H1843),0))))</x:f>
        <x:v>未回本</x:v>
      </x:c>
    </x:row>
    <x:row r="1844" ht="22" customHeight="1">
      <x:c r="A1844" s="11" t="str">
        <x:v>lade_0828_10aoi</x:v>
      </x:c>
      <x:c r="B1844" s="10" t="n">
        <x:v>10</x:v>
      </x:c>
      <x:c r="C1844" s="10" t="n">
        <x:v>42</x:v>
      </x:c>
      <x:c r="D1844" s="10" t="str">
        <x:v>M1 / M3</x:v>
      </x:c>
      <x:c r="E1844" s="16" t="n">
        <x:v>5</x:v>
      </x:c>
      <x:c r="F1844" s="14" t="n">
        <x:v>50</x:v>
      </x:c>
      <x:c r="G1844" s="26" t="n">
        <x:f>'成本明细'!U276+'成本明细'!G276*(E1844-'参数'!$B$6)</x:f>
        <x:v>1913.7832468372221</x:v>
      </x:c>
      <x:c r="H1844" s="26" t="n">
        <x:f>'成本明细'!U282</x:f>
        <x:v>2261.6482725555556</x:v>
      </x:c>
      <x:c r="I1844" s="26" t="n">
        <x:f>'成本明细'!V282</x:f>
        <x:v>4307</x:v>
      </x:c>
      <x:c r="J1844" s="22" t="n">
        <x:f>'参数'!$B$9</x:f>
        <x:v>300</x:v>
      </x:c>
      <x:c r="K1844" s="26" t="n">
        <x:f>J1844*(G1844-H1844)-I1844*ROUNDUP(J1844/F1844,0)</x:f>
        <x:v>-130201.50771550006</x:v>
      </x:c>
      <x:c r="L1844" s="10" t="str">
        <x:f>IF(G1844-H1844&lt;=0,"未回本",IF(ROUNDUP(I1844/(G1844-H1844),0)&gt;MIN(F1844,J1844),"未回本",MAX(1,ROUNDUP(I1844/(G1844-H1844),0))))</x:f>
        <x:v>未回本</x:v>
      </x:c>
    </x:row>
    <x:row r="1845" ht="22" customHeight="1">
      <x:c r="A1845" s="11" t="str">
        <x:v>lade_0828_10aoi</x:v>
      </x:c>
      <x:c r="B1845" s="10" t="n">
        <x:v>10</x:v>
      </x:c>
      <x:c r="C1845" s="10" t="n">
        <x:v>42</x:v>
      </x:c>
      <x:c r="D1845" s="10" t="str">
        <x:v>M2 / M4</x:v>
      </x:c>
      <x:c r="E1845" s="16" t="n">
        <x:v>5</x:v>
      </x:c>
      <x:c r="F1845" s="14" t="n">
        <x:v>50</x:v>
      </x:c>
      <x:c r="G1845" s="26" t="n">
        <x:f>'成本明细'!U279+'成本明细'!G279*(E1845-'参数'!$B$6)</x:f>
        <x:v>1404.4314819866668</x:v>
      </x:c>
      <x:c r="H1845" s="26" t="n">
        <x:f>'成本明细'!U285</x:f>
        <x:v>1924.7891930611108</x:v>
      </x:c>
      <x:c r="I1845" s="26" t="n">
        <x:f>'成本明细'!V285</x:f>
        <x:v>4307</x:v>
      </x:c>
      <x:c r="J1845" s="22" t="n">
        <x:f>'参数'!$B$9</x:f>
        <x:v>300</x:v>
      </x:c>
      <x:c r="K1845" s="26" t="n">
        <x:f>J1845*(G1845-H1845)-I1845*ROUNDUP(J1845/F1845,0)</x:f>
        <x:v>-181949.3133223332</x:v>
      </x:c>
      <x:c r="L1845" s="10" t="str">
        <x:f>IF(G1845-H1845&lt;=0,"未回本",IF(ROUNDUP(I1845/(G1845-H1845),0)&gt;MIN(F1845,J1845),"未回本",MAX(1,ROUNDUP(I1845/(G1845-H1845),0))))</x:f>
        <x:v>未回本</x:v>
      </x:c>
    </x:row>
    <x:row r="1846" ht="22" customHeight="1">
      <x:c r="A1846" s="11" t="str">
        <x:v>lade_0828_10aoi</x:v>
      </x:c>
      <x:c r="B1846" s="10" t="n">
        <x:v>10</x:v>
      </x:c>
      <x:c r="C1846" s="10" t="n">
        <x:v>43</x:v>
      </x:c>
      <x:c r="D1846" s="10" t="str">
        <x:v>M1 / M3</x:v>
      </x:c>
      <x:c r="E1846" s="16" t="n">
        <x:v>1</x:v>
      </x:c>
      <x:c r="F1846" s="14" t="n">
        <x:v>10</x:v>
      </x:c>
      <x:c r="G1846" s="26" t="n">
        <x:f>'成本明细'!U277+'成本明细'!G277*(E1846-'参数'!$B$6)</x:f>
        <x:v>1441.7832468372221</x:v>
      </x:c>
      <x:c r="H1846" s="26" t="n">
        <x:f>'成本明细'!U283</x:f>
        <x:v>2261.6482725555556</x:v>
      </x:c>
      <x:c r="I1846" s="26" t="n">
        <x:f>'成本明细'!V283</x:f>
        <x:v>4307</x:v>
      </x:c>
      <x:c r="J1846" s="22" t="n">
        <x:f>'参数'!$B$9</x:f>
        <x:v>300</x:v>
      </x:c>
      <x:c r="K1846" s="26" t="n">
        <x:f>J1846*(G1846-H1846)-I1846*ROUNDUP(J1846/F1846,0)</x:f>
        <x:v>-375169.5077155001</x:v>
      </x:c>
      <x:c r="L1846" s="10" t="str">
        <x:f>IF(G1846-H1846&lt;=0,"未回本",IF(ROUNDUP(I1846/(G1846-H1846),0)&gt;MIN(F1846,J1846),"未回本",MAX(1,ROUNDUP(I1846/(G1846-H1846),0))))</x:f>
        <x:v>未回本</x:v>
      </x:c>
    </x:row>
    <x:row r="1847" ht="22" customHeight="1">
      <x:c r="A1847" s="11" t="str">
        <x:v>lade_0828_10aoi</x:v>
      </x:c>
      <x:c r="B1847" s="10" t="n">
        <x:v>10</x:v>
      </x:c>
      <x:c r="C1847" s="10" t="n">
        <x:v>43</x:v>
      </x:c>
      <x:c r="D1847" s="10" t="str">
        <x:v>M2 / M4</x:v>
      </x:c>
      <x:c r="E1847" s="16" t="n">
        <x:v>1</x:v>
      </x:c>
      <x:c r="F1847" s="14" t="n">
        <x:v>10</x:v>
      </x:c>
      <x:c r="G1847" s="26" t="n">
        <x:f>'成本明细'!U280+'成本明细'!G280*(E1847-'参数'!$B$6)</x:f>
        <x:v>851.7080709688889</x:v>
      </x:c>
      <x:c r="H1847" s="26" t="n">
        <x:f>'成本明细'!U286</x:f>
        <x:v>2086.0806047838887</x:v>
      </x:c>
      <x:c r="I1847" s="26" t="n">
        <x:f>'成本明细'!V286</x:f>
        <x:v>4307</x:v>
      </x:c>
      <x:c r="J1847" s="22" t="n">
        <x:f>'参数'!$B$9</x:f>
        <x:v>300</x:v>
      </x:c>
      <x:c r="K1847" s="26" t="n">
        <x:f>J1847*(G1847-H1847)-I1847*ROUNDUP(J1847/F1847,0)</x:f>
        <x:v>-499521.76014449995</x:v>
      </x:c>
      <x:c r="L1847" s="10" t="str">
        <x:f>IF(G1847-H1847&lt;=0,"未回本",IF(ROUNDUP(I1847/(G1847-H1847),0)&gt;MIN(F1847,J1847),"未回本",MAX(1,ROUNDUP(I1847/(G1847-H1847),0))))</x:f>
        <x:v>未回本</x:v>
      </x:c>
    </x:row>
    <x:row r="1848" ht="22" customHeight="1">
      <x:c r="A1848" s="11" t="str">
        <x:v>lade_0828_10aoi</x:v>
      </x:c>
      <x:c r="B1848" s="10" t="n">
        <x:v>10</x:v>
      </x:c>
      <x:c r="C1848" s="10" t="n">
        <x:v>43</x:v>
      </x:c>
      <x:c r="D1848" s="10" t="str">
        <x:v>M1 / M3</x:v>
      </x:c>
      <x:c r="E1848" s="16" t="n">
        <x:v>1</x:v>
      </x:c>
      <x:c r="F1848" s="14" t="n">
        <x:v>20</x:v>
      </x:c>
      <x:c r="G1848" s="26" t="n">
        <x:f>'成本明细'!U277+'成本明细'!G277*(E1848-'参数'!$B$6)</x:f>
        <x:v>1441.7832468372221</x:v>
      </x:c>
      <x:c r="H1848" s="26" t="n">
        <x:f>'成本明细'!U283</x:f>
        <x:v>2261.6482725555556</x:v>
      </x:c>
      <x:c r="I1848" s="26" t="n">
        <x:f>'成本明细'!V283</x:f>
        <x:v>4307</x:v>
      </x:c>
      <x:c r="J1848" s="22" t="n">
        <x:f>'参数'!$B$9</x:f>
        <x:v>300</x:v>
      </x:c>
      <x:c r="K1848" s="26" t="n">
        <x:f>J1848*(G1848-H1848)-I1848*ROUNDUP(J1848/F1848,0)</x:f>
        <x:v>-310564.5077155001</x:v>
      </x:c>
      <x:c r="L1848" s="10" t="str">
        <x:f>IF(G1848-H1848&lt;=0,"未回本",IF(ROUNDUP(I1848/(G1848-H1848),0)&gt;MIN(F1848,J1848),"未回本",MAX(1,ROUNDUP(I1848/(G1848-H1848),0))))</x:f>
        <x:v>未回本</x:v>
      </x:c>
    </x:row>
    <x:row r="1849" ht="22" customHeight="1">
      <x:c r="A1849" s="11" t="str">
        <x:v>lade_0828_10aoi</x:v>
      </x:c>
      <x:c r="B1849" s="10" t="n">
        <x:v>10</x:v>
      </x:c>
      <x:c r="C1849" s="10" t="n">
        <x:v>43</x:v>
      </x:c>
      <x:c r="D1849" s="10" t="str">
        <x:v>M2 / M4</x:v>
      </x:c>
      <x:c r="E1849" s="16" t="n">
        <x:v>1</x:v>
      </x:c>
      <x:c r="F1849" s="14" t="n">
        <x:v>20</x:v>
      </x:c>
      <x:c r="G1849" s="26" t="n">
        <x:f>'成本明细'!U280+'成本明细'!G280*(E1849-'参数'!$B$6)</x:f>
        <x:v>851.7080709688889</x:v>
      </x:c>
      <x:c r="H1849" s="26" t="n">
        <x:f>'成本明细'!U286</x:f>
        <x:v>2086.0806047838887</x:v>
      </x:c>
      <x:c r="I1849" s="26" t="n">
        <x:f>'成本明细'!V286</x:f>
        <x:v>4307</x:v>
      </x:c>
      <x:c r="J1849" s="22" t="n">
        <x:f>'参数'!$B$9</x:f>
        <x:v>300</x:v>
      </x:c>
      <x:c r="K1849" s="26" t="n">
        <x:f>J1849*(G1849-H1849)-I1849*ROUNDUP(J1849/F1849,0)</x:f>
        <x:v>-434916.76014449995</x:v>
      </x:c>
      <x:c r="L1849" s="10" t="str">
        <x:f>IF(G1849-H1849&lt;=0,"未回本",IF(ROUNDUP(I1849/(G1849-H1849),0)&gt;MIN(F1849,J1849),"未回本",MAX(1,ROUNDUP(I1849/(G1849-H1849),0))))</x:f>
        <x:v>未回本</x:v>
      </x:c>
    </x:row>
    <x:row r="1850" ht="22" customHeight="1">
      <x:c r="A1850" s="11" t="str">
        <x:v>lade_0828_10aoi</x:v>
      </x:c>
      <x:c r="B1850" s="10" t="n">
        <x:v>10</x:v>
      </x:c>
      <x:c r="C1850" s="10" t="n">
        <x:v>43</x:v>
      </x:c>
      <x:c r="D1850" s="10" t="str">
        <x:v>M1 / M3</x:v>
      </x:c>
      <x:c r="E1850" s="16" t="n">
        <x:v>1</x:v>
      </x:c>
      <x:c r="F1850" s="14" t="n">
        <x:v>30</x:v>
      </x:c>
      <x:c r="G1850" s="26" t="n">
        <x:f>'成本明细'!U277+'成本明细'!G277*(E1850-'参数'!$B$6)</x:f>
        <x:v>1441.7832468372221</x:v>
      </x:c>
      <x:c r="H1850" s="26" t="n">
        <x:f>'成本明细'!U283</x:f>
        <x:v>2261.6482725555556</x:v>
      </x:c>
      <x:c r="I1850" s="26" t="n">
        <x:f>'成本明细'!V283</x:f>
        <x:v>4307</x:v>
      </x:c>
      <x:c r="J1850" s="22" t="n">
        <x:f>'参数'!$B$9</x:f>
        <x:v>300</x:v>
      </x:c>
      <x:c r="K1850" s="26" t="n">
        <x:f>J1850*(G1850-H1850)-I1850*ROUNDUP(J1850/F1850,0)</x:f>
        <x:v>-289029.5077155001</x:v>
      </x:c>
      <x:c r="L1850" s="10" t="str">
        <x:f>IF(G1850-H1850&lt;=0,"未回本",IF(ROUNDUP(I1850/(G1850-H1850),0)&gt;MIN(F1850,J1850),"未回本",MAX(1,ROUNDUP(I1850/(G1850-H1850),0))))</x:f>
        <x:v>未回本</x:v>
      </x:c>
    </x:row>
    <x:row r="1851" ht="22" customHeight="1">
      <x:c r="A1851" s="11" t="str">
        <x:v>lade_0828_10aoi</x:v>
      </x:c>
      <x:c r="B1851" s="10" t="n">
        <x:v>10</x:v>
      </x:c>
      <x:c r="C1851" s="10" t="n">
        <x:v>43</x:v>
      </x:c>
      <x:c r="D1851" s="10" t="str">
        <x:v>M2 / M4</x:v>
      </x:c>
      <x:c r="E1851" s="16" t="n">
        <x:v>1</x:v>
      </x:c>
      <x:c r="F1851" s="14" t="n">
        <x:v>30</x:v>
      </x:c>
      <x:c r="G1851" s="26" t="n">
        <x:f>'成本明细'!U280+'成本明细'!G280*(E1851-'参数'!$B$6)</x:f>
        <x:v>851.7080709688889</x:v>
      </x:c>
      <x:c r="H1851" s="26" t="n">
        <x:f>'成本明细'!U286</x:f>
        <x:v>2086.0806047838887</x:v>
      </x:c>
      <x:c r="I1851" s="26" t="n">
        <x:f>'成本明细'!V286</x:f>
        <x:v>4307</x:v>
      </x:c>
      <x:c r="J1851" s="22" t="n">
        <x:f>'参数'!$B$9</x:f>
        <x:v>300</x:v>
      </x:c>
      <x:c r="K1851" s="26" t="n">
        <x:f>J1851*(G1851-H1851)-I1851*ROUNDUP(J1851/F1851,0)</x:f>
        <x:v>-413381.76014449995</x:v>
      </x:c>
      <x:c r="L1851" s="10" t="str">
        <x:f>IF(G1851-H1851&lt;=0,"未回本",IF(ROUNDUP(I1851/(G1851-H1851),0)&gt;MIN(F1851,J1851),"未回本",MAX(1,ROUNDUP(I1851/(G1851-H1851),0))))</x:f>
        <x:v>未回本</x:v>
      </x:c>
    </x:row>
    <x:row r="1852" ht="22" customHeight="1">
      <x:c r="A1852" s="11" t="str">
        <x:v>lade_0828_10aoi</x:v>
      </x:c>
      <x:c r="B1852" s="10" t="n">
        <x:v>10</x:v>
      </x:c>
      <x:c r="C1852" s="10" t="n">
        <x:v>43</x:v>
      </x:c>
      <x:c r="D1852" s="10" t="str">
        <x:v>M1 / M3</x:v>
      </x:c>
      <x:c r="E1852" s="16" t="n">
        <x:v>1</x:v>
      </x:c>
      <x:c r="F1852" s="14" t="n">
        <x:v>50</x:v>
      </x:c>
      <x:c r="G1852" s="26" t="n">
        <x:f>'成本明细'!U277+'成本明细'!G277*(E1852-'参数'!$B$6)</x:f>
        <x:v>1441.7832468372221</x:v>
      </x:c>
      <x:c r="H1852" s="26" t="n">
        <x:f>'成本明细'!U283</x:f>
        <x:v>2261.6482725555556</x:v>
      </x:c>
      <x:c r="I1852" s="26" t="n">
        <x:f>'成本明细'!V283</x:f>
        <x:v>4307</x:v>
      </x:c>
      <x:c r="J1852" s="22" t="n">
        <x:f>'参数'!$B$9</x:f>
        <x:v>300</x:v>
      </x:c>
      <x:c r="K1852" s="26" t="n">
        <x:f>J1852*(G1852-H1852)-I1852*ROUNDUP(J1852/F1852,0)</x:f>
        <x:v>-271801.5077155001</x:v>
      </x:c>
      <x:c r="L1852" s="10" t="str">
        <x:f>IF(G1852-H1852&lt;=0,"未回本",IF(ROUNDUP(I1852/(G1852-H1852),0)&gt;MIN(F1852,J1852),"未回本",MAX(1,ROUNDUP(I1852/(G1852-H1852),0))))</x:f>
        <x:v>未回本</x:v>
      </x:c>
    </x:row>
    <x:row r="1853" ht="22" customHeight="1">
      <x:c r="A1853" s="11" t="str">
        <x:v>lade_0828_10aoi</x:v>
      </x:c>
      <x:c r="B1853" s="10" t="n">
        <x:v>10</x:v>
      </x:c>
      <x:c r="C1853" s="10" t="n">
        <x:v>43</x:v>
      </x:c>
      <x:c r="D1853" s="10" t="str">
        <x:v>M2 / M4</x:v>
      </x:c>
      <x:c r="E1853" s="16" t="n">
        <x:v>1</x:v>
      </x:c>
      <x:c r="F1853" s="14" t="n">
        <x:v>50</x:v>
      </x:c>
      <x:c r="G1853" s="26" t="n">
        <x:f>'成本明细'!U280+'成本明细'!G280*(E1853-'参数'!$B$6)</x:f>
        <x:v>851.7080709688889</x:v>
      </x:c>
      <x:c r="H1853" s="26" t="n">
        <x:f>'成本明细'!U286</x:f>
        <x:v>2086.0806047838887</x:v>
      </x:c>
      <x:c r="I1853" s="26" t="n">
        <x:f>'成本明细'!V286</x:f>
        <x:v>4307</x:v>
      </x:c>
      <x:c r="J1853" s="22" t="n">
        <x:f>'参数'!$B$9</x:f>
        <x:v>300</x:v>
      </x:c>
      <x:c r="K1853" s="26" t="n">
        <x:f>J1853*(G1853-H1853)-I1853*ROUNDUP(J1853/F1853,0)</x:f>
        <x:v>-396153.76014449995</x:v>
      </x:c>
      <x:c r="L1853" s="10" t="str">
        <x:f>IF(G1853-H1853&lt;=0,"未回本",IF(ROUNDUP(I1853/(G1853-H1853),0)&gt;MIN(F1853,J1853),"未回本",MAX(1,ROUNDUP(I1853/(G1853-H1853),0))))</x:f>
        <x:v>未回本</x:v>
      </x:c>
    </x:row>
    <x:row r="1854" ht="22" customHeight="1">
      <x:c r="A1854" s="11" t="str">
        <x:v>lade_0828_10aoi</x:v>
      </x:c>
      <x:c r="B1854" s="10" t="n">
        <x:v>10</x:v>
      </x:c>
      <x:c r="C1854" s="10" t="n">
        <x:v>43</x:v>
      </x:c>
      <x:c r="D1854" s="10" t="str">
        <x:v>M1 / M3</x:v>
      </x:c>
      <x:c r="E1854" s="16" t="n">
        <x:v>2</x:v>
      </x:c>
      <x:c r="F1854" s="14" t="n">
        <x:v>10</x:v>
      </x:c>
      <x:c r="G1854" s="26" t="n">
        <x:f>'成本明细'!U277+'成本明细'!G277*(E1854-'参数'!$B$6)</x:f>
        <x:v>1559.7832468372221</x:v>
      </x:c>
      <x:c r="H1854" s="26" t="n">
        <x:f>'成本明细'!U283</x:f>
        <x:v>2261.6482725555556</x:v>
      </x:c>
      <x:c r="I1854" s="26" t="n">
        <x:f>'成本明细'!V283</x:f>
        <x:v>4307</x:v>
      </x:c>
      <x:c r="J1854" s="22" t="n">
        <x:f>'参数'!$B$9</x:f>
        <x:v>300</x:v>
      </x:c>
      <x:c r="K1854" s="26" t="n">
        <x:f>J1854*(G1854-H1854)-I1854*ROUNDUP(J1854/F1854,0)</x:f>
        <x:v>-339769.5077155001</x:v>
      </x:c>
      <x:c r="L1854" s="10" t="str">
        <x:f>IF(G1854-H1854&lt;=0,"未回本",IF(ROUNDUP(I1854/(G1854-H1854),0)&gt;MIN(F1854,J1854),"未回本",MAX(1,ROUNDUP(I1854/(G1854-H1854),0))))</x:f>
        <x:v>未回本</x:v>
      </x:c>
    </x:row>
    <x:row r="1855" ht="22" customHeight="1">
      <x:c r="A1855" s="11" t="str">
        <x:v>lade_0828_10aoi</x:v>
      </x:c>
      <x:c r="B1855" s="10" t="n">
        <x:v>10</x:v>
      </x:c>
      <x:c r="C1855" s="10" t="n">
        <x:v>43</x:v>
      </x:c>
      <x:c r="D1855" s="10" t="str">
        <x:v>M2 / M4</x:v>
      </x:c>
      <x:c r="E1855" s="16" t="n">
        <x:v>2</x:v>
      </x:c>
      <x:c r="F1855" s="14" t="n">
        <x:v>10</x:v>
      </x:c>
      <x:c r="G1855" s="26" t="n">
        <x:f>'成本明细'!U280+'成本明细'!G280*(E1855-'参数'!$B$6)</x:f>
        <x:v>969.7080709688889</x:v>
      </x:c>
      <x:c r="H1855" s="26" t="n">
        <x:f>'成本明细'!U286</x:f>
        <x:v>2086.0806047838887</x:v>
      </x:c>
      <x:c r="I1855" s="26" t="n">
        <x:f>'成本明细'!V286</x:f>
        <x:v>4307</x:v>
      </x:c>
      <x:c r="J1855" s="22" t="n">
        <x:f>'参数'!$B$9</x:f>
        <x:v>300</x:v>
      </x:c>
      <x:c r="K1855" s="26" t="n">
        <x:f>J1855*(G1855-H1855)-I1855*ROUNDUP(J1855/F1855,0)</x:f>
        <x:v>-464121.76014449995</x:v>
      </x:c>
      <x:c r="L1855" s="10" t="str">
        <x:f>IF(G1855-H1855&lt;=0,"未回本",IF(ROUNDUP(I1855/(G1855-H1855),0)&gt;MIN(F1855,J1855),"未回本",MAX(1,ROUNDUP(I1855/(G1855-H1855),0))))</x:f>
        <x:v>未回本</x:v>
      </x:c>
    </x:row>
    <x:row r="1856" ht="22" customHeight="1">
      <x:c r="A1856" s="11" t="str">
        <x:v>lade_0828_10aoi</x:v>
      </x:c>
      <x:c r="B1856" s="10" t="n">
        <x:v>10</x:v>
      </x:c>
      <x:c r="C1856" s="10" t="n">
        <x:v>43</x:v>
      </x:c>
      <x:c r="D1856" s="10" t="str">
        <x:v>M1 / M3</x:v>
      </x:c>
      <x:c r="E1856" s="16" t="n">
        <x:v>2</x:v>
      </x:c>
      <x:c r="F1856" s="14" t="n">
        <x:v>20</x:v>
      </x:c>
      <x:c r="G1856" s="26" t="n">
        <x:f>'成本明细'!U277+'成本明细'!G277*(E1856-'参数'!$B$6)</x:f>
        <x:v>1559.7832468372221</x:v>
      </x:c>
      <x:c r="H1856" s="26" t="n">
        <x:f>'成本明细'!U283</x:f>
        <x:v>2261.6482725555556</x:v>
      </x:c>
      <x:c r="I1856" s="26" t="n">
        <x:f>'成本明细'!V283</x:f>
        <x:v>4307</x:v>
      </x:c>
      <x:c r="J1856" s="22" t="n">
        <x:f>'参数'!$B$9</x:f>
        <x:v>300</x:v>
      </x:c>
      <x:c r="K1856" s="26" t="n">
        <x:f>J1856*(G1856-H1856)-I1856*ROUNDUP(J1856/F1856,0)</x:f>
        <x:v>-275164.5077155001</x:v>
      </x:c>
      <x:c r="L1856" s="10" t="str">
        <x:f>IF(G1856-H1856&lt;=0,"未回本",IF(ROUNDUP(I1856/(G1856-H1856),0)&gt;MIN(F1856,J1856),"未回本",MAX(1,ROUNDUP(I1856/(G1856-H1856),0))))</x:f>
        <x:v>未回本</x:v>
      </x:c>
    </x:row>
    <x:row r="1857" ht="22" customHeight="1">
      <x:c r="A1857" s="11" t="str">
        <x:v>lade_0828_10aoi</x:v>
      </x:c>
      <x:c r="B1857" s="10" t="n">
        <x:v>10</x:v>
      </x:c>
      <x:c r="C1857" s="10" t="n">
        <x:v>43</x:v>
      </x:c>
      <x:c r="D1857" s="10" t="str">
        <x:v>M2 / M4</x:v>
      </x:c>
      <x:c r="E1857" s="16" t="n">
        <x:v>2</x:v>
      </x:c>
      <x:c r="F1857" s="14" t="n">
        <x:v>20</x:v>
      </x:c>
      <x:c r="G1857" s="26" t="n">
        <x:f>'成本明细'!U280+'成本明细'!G280*(E1857-'参数'!$B$6)</x:f>
        <x:v>969.7080709688889</x:v>
      </x:c>
      <x:c r="H1857" s="26" t="n">
        <x:f>'成本明细'!U286</x:f>
        <x:v>2086.0806047838887</x:v>
      </x:c>
      <x:c r="I1857" s="26" t="n">
        <x:f>'成本明细'!V286</x:f>
        <x:v>4307</x:v>
      </x:c>
      <x:c r="J1857" s="22" t="n">
        <x:f>'参数'!$B$9</x:f>
        <x:v>300</x:v>
      </x:c>
      <x:c r="K1857" s="26" t="n">
        <x:f>J1857*(G1857-H1857)-I1857*ROUNDUP(J1857/F1857,0)</x:f>
        <x:v>-399516.76014449995</x:v>
      </x:c>
      <x:c r="L1857" s="10" t="str">
        <x:f>IF(G1857-H1857&lt;=0,"未回本",IF(ROUNDUP(I1857/(G1857-H1857),0)&gt;MIN(F1857,J1857),"未回本",MAX(1,ROUNDUP(I1857/(G1857-H1857),0))))</x:f>
        <x:v>未回本</x:v>
      </x:c>
    </x:row>
    <x:row r="1858" ht="22" customHeight="1">
      <x:c r="A1858" s="11" t="str">
        <x:v>lade_0828_10aoi</x:v>
      </x:c>
      <x:c r="B1858" s="10" t="n">
        <x:v>10</x:v>
      </x:c>
      <x:c r="C1858" s="10" t="n">
        <x:v>43</x:v>
      </x:c>
      <x:c r="D1858" s="10" t="str">
        <x:v>M1 / M3</x:v>
      </x:c>
      <x:c r="E1858" s="16" t="n">
        <x:v>2</x:v>
      </x:c>
      <x:c r="F1858" s="14" t="n">
        <x:v>30</x:v>
      </x:c>
      <x:c r="G1858" s="26" t="n">
        <x:f>'成本明细'!U277+'成本明细'!G277*(E1858-'参数'!$B$6)</x:f>
        <x:v>1559.7832468372221</x:v>
      </x:c>
      <x:c r="H1858" s="26" t="n">
        <x:f>'成本明细'!U283</x:f>
        <x:v>2261.6482725555556</x:v>
      </x:c>
      <x:c r="I1858" s="26" t="n">
        <x:f>'成本明细'!V283</x:f>
        <x:v>4307</x:v>
      </x:c>
      <x:c r="J1858" s="22" t="n">
        <x:f>'参数'!$B$9</x:f>
        <x:v>300</x:v>
      </x:c>
      <x:c r="K1858" s="26" t="n">
        <x:f>J1858*(G1858-H1858)-I1858*ROUNDUP(J1858/F1858,0)</x:f>
        <x:v>-253629.50771550005</x:v>
      </x:c>
      <x:c r="L1858" s="10" t="str">
        <x:f>IF(G1858-H1858&lt;=0,"未回本",IF(ROUNDUP(I1858/(G1858-H1858),0)&gt;MIN(F1858,J1858),"未回本",MAX(1,ROUNDUP(I1858/(G1858-H1858),0))))</x:f>
        <x:v>未回本</x:v>
      </x:c>
    </x:row>
    <x:row r="1859" ht="22" customHeight="1">
      <x:c r="A1859" s="11" t="str">
        <x:v>lade_0828_10aoi</x:v>
      </x:c>
      <x:c r="B1859" s="10" t="n">
        <x:v>10</x:v>
      </x:c>
      <x:c r="C1859" s="10" t="n">
        <x:v>43</x:v>
      </x:c>
      <x:c r="D1859" s="10" t="str">
        <x:v>M2 / M4</x:v>
      </x:c>
      <x:c r="E1859" s="16" t="n">
        <x:v>2</x:v>
      </x:c>
      <x:c r="F1859" s="14" t="n">
        <x:v>30</x:v>
      </x:c>
      <x:c r="G1859" s="26" t="n">
        <x:f>'成本明细'!U280+'成本明细'!G280*(E1859-'参数'!$B$6)</x:f>
        <x:v>969.7080709688889</x:v>
      </x:c>
      <x:c r="H1859" s="26" t="n">
        <x:f>'成本明细'!U286</x:f>
        <x:v>2086.0806047838887</x:v>
      </x:c>
      <x:c r="I1859" s="26" t="n">
        <x:f>'成本明细'!V286</x:f>
        <x:v>4307</x:v>
      </x:c>
      <x:c r="J1859" s="22" t="n">
        <x:f>'参数'!$B$9</x:f>
        <x:v>300</x:v>
      </x:c>
      <x:c r="K1859" s="26" t="n">
        <x:f>J1859*(G1859-H1859)-I1859*ROUNDUP(J1859/F1859,0)</x:f>
        <x:v>-377981.76014449995</x:v>
      </x:c>
      <x:c r="L1859" s="10" t="str">
        <x:f>IF(G1859-H1859&lt;=0,"未回本",IF(ROUNDUP(I1859/(G1859-H1859),0)&gt;MIN(F1859,J1859),"未回本",MAX(1,ROUNDUP(I1859/(G1859-H1859),0))))</x:f>
        <x:v>未回本</x:v>
      </x:c>
    </x:row>
    <x:row r="1860" ht="22" customHeight="1">
      <x:c r="A1860" s="11" t="str">
        <x:v>lade_0828_10aoi</x:v>
      </x:c>
      <x:c r="B1860" s="10" t="n">
        <x:v>10</x:v>
      </x:c>
      <x:c r="C1860" s="10" t="n">
        <x:v>43</x:v>
      </x:c>
      <x:c r="D1860" s="10" t="str">
        <x:v>M1 / M3</x:v>
      </x:c>
      <x:c r="E1860" s="16" t="n">
        <x:v>2</x:v>
      </x:c>
      <x:c r="F1860" s="14" t="n">
        <x:v>50</x:v>
      </x:c>
      <x:c r="G1860" s="26" t="n">
        <x:f>'成本明细'!U277+'成本明细'!G277*(E1860-'参数'!$B$6)</x:f>
        <x:v>1559.7832468372221</x:v>
      </x:c>
      <x:c r="H1860" s="26" t="n">
        <x:f>'成本明细'!U283</x:f>
        <x:v>2261.6482725555556</x:v>
      </x:c>
      <x:c r="I1860" s="26" t="n">
        <x:f>'成本明细'!V283</x:f>
        <x:v>4307</x:v>
      </x:c>
      <x:c r="J1860" s="22" t="n">
        <x:f>'参数'!$B$9</x:f>
        <x:v>300</x:v>
      </x:c>
      <x:c r="K1860" s="26" t="n">
        <x:f>J1860*(G1860-H1860)-I1860*ROUNDUP(J1860/F1860,0)</x:f>
        <x:v>-236401.50771550005</x:v>
      </x:c>
      <x:c r="L1860" s="10" t="str">
        <x:f>IF(G1860-H1860&lt;=0,"未回本",IF(ROUNDUP(I1860/(G1860-H1860),0)&gt;MIN(F1860,J1860),"未回本",MAX(1,ROUNDUP(I1860/(G1860-H1860),0))))</x:f>
        <x:v>未回本</x:v>
      </x:c>
    </x:row>
    <x:row r="1861" ht="22" customHeight="1">
      <x:c r="A1861" s="11" t="str">
        <x:v>lade_0828_10aoi</x:v>
      </x:c>
      <x:c r="B1861" s="10" t="n">
        <x:v>10</x:v>
      </x:c>
      <x:c r="C1861" s="10" t="n">
        <x:v>43</x:v>
      </x:c>
      <x:c r="D1861" s="10" t="str">
        <x:v>M2 / M4</x:v>
      </x:c>
      <x:c r="E1861" s="16" t="n">
        <x:v>2</x:v>
      </x:c>
      <x:c r="F1861" s="14" t="n">
        <x:v>50</x:v>
      </x:c>
      <x:c r="G1861" s="26" t="n">
        <x:f>'成本明细'!U280+'成本明细'!G280*(E1861-'参数'!$B$6)</x:f>
        <x:v>969.7080709688889</x:v>
      </x:c>
      <x:c r="H1861" s="26" t="n">
        <x:f>'成本明细'!U286</x:f>
        <x:v>2086.0806047838887</x:v>
      </x:c>
      <x:c r="I1861" s="26" t="n">
        <x:f>'成本明细'!V286</x:f>
        <x:v>4307</x:v>
      </x:c>
      <x:c r="J1861" s="22" t="n">
        <x:f>'参数'!$B$9</x:f>
        <x:v>300</x:v>
      </x:c>
      <x:c r="K1861" s="26" t="n">
        <x:f>J1861*(G1861-H1861)-I1861*ROUNDUP(J1861/F1861,0)</x:f>
        <x:v>-360753.76014449995</x:v>
      </x:c>
      <x:c r="L1861" s="10" t="str">
        <x:f>IF(G1861-H1861&lt;=0,"未回本",IF(ROUNDUP(I1861/(G1861-H1861),0)&gt;MIN(F1861,J1861),"未回本",MAX(1,ROUNDUP(I1861/(G1861-H1861),0))))</x:f>
        <x:v>未回本</x:v>
      </x:c>
    </x:row>
    <x:row r="1862" ht="22" customHeight="1">
      <x:c r="A1862" s="11" t="str">
        <x:v>lade_0828_10aoi</x:v>
      </x:c>
      <x:c r="B1862" s="10" t="n">
        <x:v>10</x:v>
      </x:c>
      <x:c r="C1862" s="10" t="n">
        <x:v>43</x:v>
      </x:c>
      <x:c r="D1862" s="10" t="str">
        <x:v>M1 / M3</x:v>
      </x:c>
      <x:c r="E1862" s="16" t="n">
        <x:v>3</x:v>
      </x:c>
      <x:c r="F1862" s="14" t="n">
        <x:v>10</x:v>
      </x:c>
      <x:c r="G1862" s="26" t="n">
        <x:f>'成本明细'!U277+'成本明细'!G277*(E1862-'参数'!$B$6)</x:f>
        <x:v>1677.7832468372221</x:v>
      </x:c>
      <x:c r="H1862" s="26" t="n">
        <x:f>'成本明细'!U283</x:f>
        <x:v>2261.6482725555556</x:v>
      </x:c>
      <x:c r="I1862" s="26" t="n">
        <x:f>'成本明细'!V283</x:f>
        <x:v>4307</x:v>
      </x:c>
      <x:c r="J1862" s="22" t="n">
        <x:f>'参数'!$B$9</x:f>
        <x:v>300</x:v>
      </x:c>
      <x:c r="K1862" s="26" t="n">
        <x:f>J1862*(G1862-H1862)-I1862*ROUNDUP(J1862/F1862,0)</x:f>
        <x:v>-304369.5077155001</x:v>
      </x:c>
      <x:c r="L1862" s="10" t="str">
        <x:f>IF(G1862-H1862&lt;=0,"未回本",IF(ROUNDUP(I1862/(G1862-H1862),0)&gt;MIN(F1862,J1862),"未回本",MAX(1,ROUNDUP(I1862/(G1862-H1862),0))))</x:f>
        <x:v>未回本</x:v>
      </x:c>
    </x:row>
    <x:row r="1863" ht="22" customHeight="1">
      <x:c r="A1863" s="11" t="str">
        <x:v>lade_0828_10aoi</x:v>
      </x:c>
      <x:c r="B1863" s="10" t="n">
        <x:v>10</x:v>
      </x:c>
      <x:c r="C1863" s="10" t="n">
        <x:v>43</x:v>
      </x:c>
      <x:c r="D1863" s="10" t="str">
        <x:v>M2 / M4</x:v>
      </x:c>
      <x:c r="E1863" s="16" t="n">
        <x:v>3</x:v>
      </x:c>
      <x:c r="F1863" s="14" t="n">
        <x:v>10</x:v>
      </x:c>
      <x:c r="G1863" s="26" t="n">
        <x:f>'成本明细'!U280+'成本明细'!G280*(E1863-'参数'!$B$6)</x:f>
        <x:v>1087.708070968889</x:v>
      </x:c>
      <x:c r="H1863" s="26" t="n">
        <x:f>'成本明细'!U286</x:f>
        <x:v>2086.0806047838887</x:v>
      </x:c>
      <x:c r="I1863" s="26" t="n">
        <x:f>'成本明细'!V286</x:f>
        <x:v>4307</x:v>
      </x:c>
      <x:c r="J1863" s="22" t="n">
        <x:f>'参数'!$B$9</x:f>
        <x:v>300</x:v>
      </x:c>
      <x:c r="K1863" s="26" t="n">
        <x:f>J1863*(G1863-H1863)-I1863*ROUNDUP(J1863/F1863,0)</x:f>
        <x:v>-428721.76014449995</x:v>
      </x:c>
      <x:c r="L1863" s="10" t="str">
        <x:f>IF(G1863-H1863&lt;=0,"未回本",IF(ROUNDUP(I1863/(G1863-H1863),0)&gt;MIN(F1863,J1863),"未回本",MAX(1,ROUNDUP(I1863/(G1863-H1863),0))))</x:f>
        <x:v>未回本</x:v>
      </x:c>
    </x:row>
    <x:row r="1864" ht="22" customHeight="1">
      <x:c r="A1864" s="11" t="str">
        <x:v>lade_0828_10aoi</x:v>
      </x:c>
      <x:c r="B1864" s="10" t="n">
        <x:v>10</x:v>
      </x:c>
      <x:c r="C1864" s="10" t="n">
        <x:v>43</x:v>
      </x:c>
      <x:c r="D1864" s="10" t="str">
        <x:v>M1 / M3</x:v>
      </x:c>
      <x:c r="E1864" s="16" t="n">
        <x:v>3</x:v>
      </x:c>
      <x:c r="F1864" s="14" t="n">
        <x:v>20</x:v>
      </x:c>
      <x:c r="G1864" s="26" t="n">
        <x:f>'成本明细'!U277+'成本明细'!G277*(E1864-'参数'!$B$6)</x:f>
        <x:v>1677.7832468372221</x:v>
      </x:c>
      <x:c r="H1864" s="26" t="n">
        <x:f>'成本明细'!U283</x:f>
        <x:v>2261.6482725555556</x:v>
      </x:c>
      <x:c r="I1864" s="26" t="n">
        <x:f>'成本明细'!V283</x:f>
        <x:v>4307</x:v>
      </x:c>
      <x:c r="J1864" s="22" t="n">
        <x:f>'参数'!$B$9</x:f>
        <x:v>300</x:v>
      </x:c>
      <x:c r="K1864" s="26" t="n">
        <x:f>J1864*(G1864-H1864)-I1864*ROUNDUP(J1864/F1864,0)</x:f>
        <x:v>-239764.50771550005</x:v>
      </x:c>
      <x:c r="L1864" s="10" t="str">
        <x:f>IF(G1864-H1864&lt;=0,"未回本",IF(ROUNDUP(I1864/(G1864-H1864),0)&gt;MIN(F1864,J1864),"未回本",MAX(1,ROUNDUP(I1864/(G1864-H1864),0))))</x:f>
        <x:v>未回本</x:v>
      </x:c>
    </x:row>
    <x:row r="1865" ht="22" customHeight="1">
      <x:c r="A1865" s="11" t="str">
        <x:v>lade_0828_10aoi</x:v>
      </x:c>
      <x:c r="B1865" s="10" t="n">
        <x:v>10</x:v>
      </x:c>
      <x:c r="C1865" s="10" t="n">
        <x:v>43</x:v>
      </x:c>
      <x:c r="D1865" s="10" t="str">
        <x:v>M2 / M4</x:v>
      </x:c>
      <x:c r="E1865" s="16" t="n">
        <x:v>3</x:v>
      </x:c>
      <x:c r="F1865" s="14" t="n">
        <x:v>20</x:v>
      </x:c>
      <x:c r="G1865" s="26" t="n">
        <x:f>'成本明细'!U280+'成本明细'!G280*(E1865-'参数'!$B$6)</x:f>
        <x:v>1087.708070968889</x:v>
      </x:c>
      <x:c r="H1865" s="26" t="n">
        <x:f>'成本明细'!U286</x:f>
        <x:v>2086.0806047838887</x:v>
      </x:c>
      <x:c r="I1865" s="26" t="n">
        <x:f>'成本明细'!V286</x:f>
        <x:v>4307</x:v>
      </x:c>
      <x:c r="J1865" s="22" t="n">
        <x:f>'参数'!$B$9</x:f>
        <x:v>300</x:v>
      </x:c>
      <x:c r="K1865" s="26" t="n">
        <x:f>J1865*(G1865-H1865)-I1865*ROUNDUP(J1865/F1865,0)</x:f>
        <x:v>-364116.76014449995</x:v>
      </x:c>
      <x:c r="L1865" s="10" t="str">
        <x:f>IF(G1865-H1865&lt;=0,"未回本",IF(ROUNDUP(I1865/(G1865-H1865),0)&gt;MIN(F1865,J1865),"未回本",MAX(1,ROUNDUP(I1865/(G1865-H1865),0))))</x:f>
        <x:v>未回本</x:v>
      </x:c>
    </x:row>
    <x:row r="1866" ht="22" customHeight="1">
      <x:c r="A1866" s="11" t="str">
        <x:v>lade_0828_10aoi</x:v>
      </x:c>
      <x:c r="B1866" s="10" t="n">
        <x:v>10</x:v>
      </x:c>
      <x:c r="C1866" s="10" t="n">
        <x:v>43</x:v>
      </x:c>
      <x:c r="D1866" s="10" t="str">
        <x:v>M1 / M3</x:v>
      </x:c>
      <x:c r="E1866" s="16" t="n">
        <x:v>3</x:v>
      </x:c>
      <x:c r="F1866" s="14" t="n">
        <x:v>30</x:v>
      </x:c>
      <x:c r="G1866" s="26" t="n">
        <x:f>'成本明细'!U277+'成本明细'!G277*(E1866-'参数'!$B$6)</x:f>
        <x:v>1677.7832468372221</x:v>
      </x:c>
      <x:c r="H1866" s="26" t="n">
        <x:f>'成本明细'!U283</x:f>
        <x:v>2261.6482725555556</x:v>
      </x:c>
      <x:c r="I1866" s="26" t="n">
        <x:f>'成本明细'!V283</x:f>
        <x:v>4307</x:v>
      </x:c>
      <x:c r="J1866" s="22" t="n">
        <x:f>'参数'!$B$9</x:f>
        <x:v>300</x:v>
      </x:c>
      <x:c r="K1866" s="26" t="n">
        <x:f>J1866*(G1866-H1866)-I1866*ROUNDUP(J1866/F1866,0)</x:f>
        <x:v>-218229.50771550005</x:v>
      </x:c>
      <x:c r="L1866" s="10" t="str">
        <x:f>IF(G1866-H1866&lt;=0,"未回本",IF(ROUNDUP(I1866/(G1866-H1866),0)&gt;MIN(F1866,J1866),"未回本",MAX(1,ROUNDUP(I1866/(G1866-H1866),0))))</x:f>
        <x:v>未回本</x:v>
      </x:c>
    </x:row>
    <x:row r="1867" ht="22" customHeight="1">
      <x:c r="A1867" s="11" t="str">
        <x:v>lade_0828_10aoi</x:v>
      </x:c>
      <x:c r="B1867" s="10" t="n">
        <x:v>10</x:v>
      </x:c>
      <x:c r="C1867" s="10" t="n">
        <x:v>43</x:v>
      </x:c>
      <x:c r="D1867" s="10" t="str">
        <x:v>M2 / M4</x:v>
      </x:c>
      <x:c r="E1867" s="16" t="n">
        <x:v>3</x:v>
      </x:c>
      <x:c r="F1867" s="14" t="n">
        <x:v>30</x:v>
      </x:c>
      <x:c r="G1867" s="26" t="n">
        <x:f>'成本明细'!U280+'成本明细'!G280*(E1867-'参数'!$B$6)</x:f>
        <x:v>1087.708070968889</x:v>
      </x:c>
      <x:c r="H1867" s="26" t="n">
        <x:f>'成本明细'!U286</x:f>
        <x:v>2086.0806047838887</x:v>
      </x:c>
      <x:c r="I1867" s="26" t="n">
        <x:f>'成本明细'!V286</x:f>
        <x:v>4307</x:v>
      </x:c>
      <x:c r="J1867" s="22" t="n">
        <x:f>'参数'!$B$9</x:f>
        <x:v>300</x:v>
      </x:c>
      <x:c r="K1867" s="26" t="n">
        <x:f>J1867*(G1867-H1867)-I1867*ROUNDUP(J1867/F1867,0)</x:f>
        <x:v>-342581.76014449995</x:v>
      </x:c>
      <x:c r="L1867" s="10" t="str">
        <x:f>IF(G1867-H1867&lt;=0,"未回本",IF(ROUNDUP(I1867/(G1867-H1867),0)&gt;MIN(F1867,J1867),"未回本",MAX(1,ROUNDUP(I1867/(G1867-H1867),0))))</x:f>
        <x:v>未回本</x:v>
      </x:c>
    </x:row>
    <x:row r="1868" ht="22" customHeight="1">
      <x:c r="A1868" s="11" t="str">
        <x:v>lade_0828_10aoi</x:v>
      </x:c>
      <x:c r="B1868" s="10" t="n">
        <x:v>10</x:v>
      </x:c>
      <x:c r="C1868" s="10" t="n">
        <x:v>43</x:v>
      </x:c>
      <x:c r="D1868" s="10" t="str">
        <x:v>M1 / M3</x:v>
      </x:c>
      <x:c r="E1868" s="16" t="n">
        <x:v>3</x:v>
      </x:c>
      <x:c r="F1868" s="14" t="n">
        <x:v>50</x:v>
      </x:c>
      <x:c r="G1868" s="26" t="n">
        <x:f>'成本明细'!U277+'成本明细'!G277*(E1868-'参数'!$B$6)</x:f>
        <x:v>1677.7832468372221</x:v>
      </x:c>
      <x:c r="H1868" s="26" t="n">
        <x:f>'成本明细'!U283</x:f>
        <x:v>2261.6482725555556</x:v>
      </x:c>
      <x:c r="I1868" s="26" t="n">
        <x:f>'成本明细'!V283</x:f>
        <x:v>4307</x:v>
      </x:c>
      <x:c r="J1868" s="22" t="n">
        <x:f>'参数'!$B$9</x:f>
        <x:v>300</x:v>
      </x:c>
      <x:c r="K1868" s="26" t="n">
        <x:f>J1868*(G1868-H1868)-I1868*ROUNDUP(J1868/F1868,0)</x:f>
        <x:v>-201001.50771550005</x:v>
      </x:c>
      <x:c r="L1868" s="10" t="str">
        <x:f>IF(G1868-H1868&lt;=0,"未回本",IF(ROUNDUP(I1868/(G1868-H1868),0)&gt;MIN(F1868,J1868),"未回本",MAX(1,ROUNDUP(I1868/(G1868-H1868),0))))</x:f>
        <x:v>未回本</x:v>
      </x:c>
    </x:row>
    <x:row r="1869" ht="22" customHeight="1">
      <x:c r="A1869" s="11" t="str">
        <x:v>lade_0828_10aoi</x:v>
      </x:c>
      <x:c r="B1869" s="10" t="n">
        <x:v>10</x:v>
      </x:c>
      <x:c r="C1869" s="10" t="n">
        <x:v>43</x:v>
      </x:c>
      <x:c r="D1869" s="10" t="str">
        <x:v>M2 / M4</x:v>
      </x:c>
      <x:c r="E1869" s="16" t="n">
        <x:v>3</x:v>
      </x:c>
      <x:c r="F1869" s="14" t="n">
        <x:v>50</x:v>
      </x:c>
      <x:c r="G1869" s="26" t="n">
        <x:f>'成本明细'!U280+'成本明细'!G280*(E1869-'参数'!$B$6)</x:f>
        <x:v>1087.708070968889</x:v>
      </x:c>
      <x:c r="H1869" s="26" t="n">
        <x:f>'成本明细'!U286</x:f>
        <x:v>2086.0806047838887</x:v>
      </x:c>
      <x:c r="I1869" s="26" t="n">
        <x:f>'成本明细'!V286</x:f>
        <x:v>4307</x:v>
      </x:c>
      <x:c r="J1869" s="22" t="n">
        <x:f>'参数'!$B$9</x:f>
        <x:v>300</x:v>
      </x:c>
      <x:c r="K1869" s="26" t="n">
        <x:f>J1869*(G1869-H1869)-I1869*ROUNDUP(J1869/F1869,0)</x:f>
        <x:v>-325353.76014449995</x:v>
      </x:c>
      <x:c r="L1869" s="10" t="str">
        <x:f>IF(G1869-H1869&lt;=0,"未回本",IF(ROUNDUP(I1869/(G1869-H1869),0)&gt;MIN(F1869,J1869),"未回本",MAX(1,ROUNDUP(I1869/(G1869-H1869),0))))</x:f>
        <x:v>未回本</x:v>
      </x:c>
    </x:row>
    <x:row r="1870" ht="22" customHeight="1">
      <x:c r="A1870" s="11" t="str">
        <x:v>lade_0828_10aoi</x:v>
      </x:c>
      <x:c r="B1870" s="10" t="n">
        <x:v>10</x:v>
      </x:c>
      <x:c r="C1870" s="10" t="n">
        <x:v>43</x:v>
      </x:c>
      <x:c r="D1870" s="10" t="str">
        <x:v>M1 / M3</x:v>
      </x:c>
      <x:c r="E1870" s="16" t="n">
        <x:v>4</x:v>
      </x:c>
      <x:c r="F1870" s="14" t="n">
        <x:v>10</x:v>
      </x:c>
      <x:c r="G1870" s="26" t="n">
        <x:f>'成本明细'!U277+'成本明细'!G277*(E1870-'参数'!$B$6)</x:f>
        <x:v>1795.7832468372221</x:v>
      </x:c>
      <x:c r="H1870" s="26" t="n">
        <x:f>'成本明细'!U283</x:f>
        <x:v>2261.6482725555556</x:v>
      </x:c>
      <x:c r="I1870" s="26" t="n">
        <x:f>'成本明细'!V283</x:f>
        <x:v>4307</x:v>
      </x:c>
      <x:c r="J1870" s="22" t="n">
        <x:f>'参数'!$B$9</x:f>
        <x:v>300</x:v>
      </x:c>
      <x:c r="K1870" s="26" t="n">
        <x:f>J1870*(G1870-H1870)-I1870*ROUNDUP(J1870/F1870,0)</x:f>
        <x:v>-268969.5077155001</x:v>
      </x:c>
      <x:c r="L1870" s="10" t="str">
        <x:f>IF(G1870-H1870&lt;=0,"未回本",IF(ROUNDUP(I1870/(G1870-H1870),0)&gt;MIN(F1870,J1870),"未回本",MAX(1,ROUNDUP(I1870/(G1870-H1870),0))))</x:f>
        <x:v>未回本</x:v>
      </x:c>
    </x:row>
    <x:row r="1871" ht="22" customHeight="1">
      <x:c r="A1871" s="11" t="str">
        <x:v>lade_0828_10aoi</x:v>
      </x:c>
      <x:c r="B1871" s="10" t="n">
        <x:v>10</x:v>
      </x:c>
      <x:c r="C1871" s="10" t="n">
        <x:v>43</x:v>
      </x:c>
      <x:c r="D1871" s="10" t="str">
        <x:v>M2 / M4</x:v>
      </x:c>
      <x:c r="E1871" s="16" t="n">
        <x:v>4</x:v>
      </x:c>
      <x:c r="F1871" s="14" t="n">
        <x:v>10</x:v>
      </x:c>
      <x:c r="G1871" s="26" t="n">
        <x:f>'成本明细'!U280+'成本明细'!G280*(E1871-'参数'!$B$6)</x:f>
        <x:v>1205.708070968889</x:v>
      </x:c>
      <x:c r="H1871" s="26" t="n">
        <x:f>'成本明细'!U286</x:f>
        <x:v>2086.0806047838887</x:v>
      </x:c>
      <x:c r="I1871" s="26" t="n">
        <x:f>'成本明细'!V286</x:f>
        <x:v>4307</x:v>
      </x:c>
      <x:c r="J1871" s="22" t="n">
        <x:f>'参数'!$B$9</x:f>
        <x:v>300</x:v>
      </x:c>
      <x:c r="K1871" s="26" t="n">
        <x:f>J1871*(G1871-H1871)-I1871*ROUNDUP(J1871/F1871,0)</x:f>
        <x:v>-393321.76014449995</x:v>
      </x:c>
      <x:c r="L1871" s="10" t="str">
        <x:f>IF(G1871-H1871&lt;=0,"未回本",IF(ROUNDUP(I1871/(G1871-H1871),0)&gt;MIN(F1871,J1871),"未回本",MAX(1,ROUNDUP(I1871/(G1871-H1871),0))))</x:f>
        <x:v>未回本</x:v>
      </x:c>
    </x:row>
    <x:row r="1872" ht="22" customHeight="1">
      <x:c r="A1872" s="11" t="str">
        <x:v>lade_0828_10aoi</x:v>
      </x:c>
      <x:c r="B1872" s="10" t="n">
        <x:v>10</x:v>
      </x:c>
      <x:c r="C1872" s="10" t="n">
        <x:v>43</x:v>
      </x:c>
      <x:c r="D1872" s="10" t="str">
        <x:v>M1 / M3</x:v>
      </x:c>
      <x:c r="E1872" s="16" t="n">
        <x:v>4</x:v>
      </x:c>
      <x:c r="F1872" s="14" t="n">
        <x:v>20</x:v>
      </x:c>
      <x:c r="G1872" s="26" t="n">
        <x:f>'成本明细'!U277+'成本明细'!G277*(E1872-'参数'!$B$6)</x:f>
        <x:v>1795.7832468372221</x:v>
      </x:c>
      <x:c r="H1872" s="26" t="n">
        <x:f>'成本明细'!U283</x:f>
        <x:v>2261.6482725555556</x:v>
      </x:c>
      <x:c r="I1872" s="26" t="n">
        <x:f>'成本明细'!V283</x:f>
        <x:v>4307</x:v>
      </x:c>
      <x:c r="J1872" s="22" t="n">
        <x:f>'参数'!$B$9</x:f>
        <x:v>300</x:v>
      </x:c>
      <x:c r="K1872" s="26" t="n">
        <x:f>J1872*(G1872-H1872)-I1872*ROUNDUP(J1872/F1872,0)</x:f>
        <x:v>-204364.50771550005</x:v>
      </x:c>
      <x:c r="L1872" s="10" t="str">
        <x:f>IF(G1872-H1872&lt;=0,"未回本",IF(ROUNDUP(I1872/(G1872-H1872),0)&gt;MIN(F1872,J1872),"未回本",MAX(1,ROUNDUP(I1872/(G1872-H1872),0))))</x:f>
        <x:v>未回本</x:v>
      </x:c>
    </x:row>
    <x:row r="1873" ht="22" customHeight="1">
      <x:c r="A1873" s="11" t="str">
        <x:v>lade_0828_10aoi</x:v>
      </x:c>
      <x:c r="B1873" s="10" t="n">
        <x:v>10</x:v>
      </x:c>
      <x:c r="C1873" s="10" t="n">
        <x:v>43</x:v>
      </x:c>
      <x:c r="D1873" s="10" t="str">
        <x:v>M2 / M4</x:v>
      </x:c>
      <x:c r="E1873" s="16" t="n">
        <x:v>4</x:v>
      </x:c>
      <x:c r="F1873" s="14" t="n">
        <x:v>20</x:v>
      </x:c>
      <x:c r="G1873" s="26" t="n">
        <x:f>'成本明细'!U280+'成本明细'!G280*(E1873-'参数'!$B$6)</x:f>
        <x:v>1205.708070968889</x:v>
      </x:c>
      <x:c r="H1873" s="26" t="n">
        <x:f>'成本明细'!U286</x:f>
        <x:v>2086.0806047838887</x:v>
      </x:c>
      <x:c r="I1873" s="26" t="n">
        <x:f>'成本明细'!V286</x:f>
        <x:v>4307</x:v>
      </x:c>
      <x:c r="J1873" s="22" t="n">
        <x:f>'参数'!$B$9</x:f>
        <x:v>300</x:v>
      </x:c>
      <x:c r="K1873" s="26" t="n">
        <x:f>J1873*(G1873-H1873)-I1873*ROUNDUP(J1873/F1873,0)</x:f>
        <x:v>-328716.76014449995</x:v>
      </x:c>
      <x:c r="L1873" s="10" t="str">
        <x:f>IF(G1873-H1873&lt;=0,"未回本",IF(ROUNDUP(I1873/(G1873-H1873),0)&gt;MIN(F1873,J1873),"未回本",MAX(1,ROUNDUP(I1873/(G1873-H1873),0))))</x:f>
        <x:v>未回本</x:v>
      </x:c>
    </x:row>
    <x:row r="1874" ht="22" customHeight="1">
      <x:c r="A1874" s="11" t="str">
        <x:v>lade_0828_10aoi</x:v>
      </x:c>
      <x:c r="B1874" s="10" t="n">
        <x:v>10</x:v>
      </x:c>
      <x:c r="C1874" s="10" t="n">
        <x:v>43</x:v>
      </x:c>
      <x:c r="D1874" s="10" t="str">
        <x:v>M1 / M3</x:v>
      </x:c>
      <x:c r="E1874" s="16" t="n">
        <x:v>4</x:v>
      </x:c>
      <x:c r="F1874" s="14" t="n">
        <x:v>30</x:v>
      </x:c>
      <x:c r="G1874" s="26" t="n">
        <x:f>'成本明细'!U277+'成本明细'!G277*(E1874-'参数'!$B$6)</x:f>
        <x:v>1795.7832468372221</x:v>
      </x:c>
      <x:c r="H1874" s="26" t="n">
        <x:f>'成本明细'!U283</x:f>
        <x:v>2261.6482725555556</x:v>
      </x:c>
      <x:c r="I1874" s="26" t="n">
        <x:f>'成本明细'!V283</x:f>
        <x:v>4307</x:v>
      </x:c>
      <x:c r="J1874" s="22" t="n">
        <x:f>'参数'!$B$9</x:f>
        <x:v>300</x:v>
      </x:c>
      <x:c r="K1874" s="26" t="n">
        <x:f>J1874*(G1874-H1874)-I1874*ROUNDUP(J1874/F1874,0)</x:f>
        <x:v>-182829.50771550005</x:v>
      </x:c>
      <x:c r="L1874" s="10" t="str">
        <x:f>IF(G1874-H1874&lt;=0,"未回本",IF(ROUNDUP(I1874/(G1874-H1874),0)&gt;MIN(F1874,J1874),"未回本",MAX(1,ROUNDUP(I1874/(G1874-H1874),0))))</x:f>
        <x:v>未回本</x:v>
      </x:c>
    </x:row>
    <x:row r="1875" ht="22" customHeight="1">
      <x:c r="A1875" s="11" t="str">
        <x:v>lade_0828_10aoi</x:v>
      </x:c>
      <x:c r="B1875" s="10" t="n">
        <x:v>10</x:v>
      </x:c>
      <x:c r="C1875" s="10" t="n">
        <x:v>43</x:v>
      </x:c>
      <x:c r="D1875" s="10" t="str">
        <x:v>M2 / M4</x:v>
      </x:c>
      <x:c r="E1875" s="16" t="n">
        <x:v>4</x:v>
      </x:c>
      <x:c r="F1875" s="14" t="n">
        <x:v>30</x:v>
      </x:c>
      <x:c r="G1875" s="26" t="n">
        <x:f>'成本明细'!U280+'成本明细'!G280*(E1875-'参数'!$B$6)</x:f>
        <x:v>1205.708070968889</x:v>
      </x:c>
      <x:c r="H1875" s="26" t="n">
        <x:f>'成本明细'!U286</x:f>
        <x:v>2086.0806047838887</x:v>
      </x:c>
      <x:c r="I1875" s="26" t="n">
        <x:f>'成本明细'!V286</x:f>
        <x:v>4307</x:v>
      </x:c>
      <x:c r="J1875" s="22" t="n">
        <x:f>'参数'!$B$9</x:f>
        <x:v>300</x:v>
      </x:c>
      <x:c r="K1875" s="26" t="n">
        <x:f>J1875*(G1875-H1875)-I1875*ROUNDUP(J1875/F1875,0)</x:f>
        <x:v>-307181.76014449995</x:v>
      </x:c>
      <x:c r="L1875" s="10" t="str">
        <x:f>IF(G1875-H1875&lt;=0,"未回本",IF(ROUNDUP(I1875/(G1875-H1875),0)&gt;MIN(F1875,J1875),"未回本",MAX(1,ROUNDUP(I1875/(G1875-H1875),0))))</x:f>
        <x:v>未回本</x:v>
      </x:c>
    </x:row>
    <x:row r="1876" ht="22" customHeight="1">
      <x:c r="A1876" s="11" t="str">
        <x:v>lade_0828_10aoi</x:v>
      </x:c>
      <x:c r="B1876" s="10" t="n">
        <x:v>10</x:v>
      </x:c>
      <x:c r="C1876" s="10" t="n">
        <x:v>43</x:v>
      </x:c>
      <x:c r="D1876" s="10" t="str">
        <x:v>M1 / M3</x:v>
      </x:c>
      <x:c r="E1876" s="16" t="n">
        <x:v>4</x:v>
      </x:c>
      <x:c r="F1876" s="14" t="n">
        <x:v>50</x:v>
      </x:c>
      <x:c r="G1876" s="26" t="n">
        <x:f>'成本明细'!U277+'成本明细'!G277*(E1876-'参数'!$B$6)</x:f>
        <x:v>1795.7832468372221</x:v>
      </x:c>
      <x:c r="H1876" s="26" t="n">
        <x:f>'成本明细'!U283</x:f>
        <x:v>2261.6482725555556</x:v>
      </x:c>
      <x:c r="I1876" s="26" t="n">
        <x:f>'成本明细'!V283</x:f>
        <x:v>4307</x:v>
      </x:c>
      <x:c r="J1876" s="22" t="n">
        <x:f>'参数'!$B$9</x:f>
        <x:v>300</x:v>
      </x:c>
      <x:c r="K1876" s="26" t="n">
        <x:f>J1876*(G1876-H1876)-I1876*ROUNDUP(J1876/F1876,0)</x:f>
        <x:v>-165601.50771550005</x:v>
      </x:c>
      <x:c r="L1876" s="10" t="str">
        <x:f>IF(G1876-H1876&lt;=0,"未回本",IF(ROUNDUP(I1876/(G1876-H1876),0)&gt;MIN(F1876,J1876),"未回本",MAX(1,ROUNDUP(I1876/(G1876-H1876),0))))</x:f>
        <x:v>未回本</x:v>
      </x:c>
    </x:row>
    <x:row r="1877" ht="22" customHeight="1">
      <x:c r="A1877" s="11" t="str">
        <x:v>lade_0828_10aoi</x:v>
      </x:c>
      <x:c r="B1877" s="10" t="n">
        <x:v>10</x:v>
      </x:c>
      <x:c r="C1877" s="10" t="n">
        <x:v>43</x:v>
      </x:c>
      <x:c r="D1877" s="10" t="str">
        <x:v>M2 / M4</x:v>
      </x:c>
      <x:c r="E1877" s="16" t="n">
        <x:v>4</x:v>
      </x:c>
      <x:c r="F1877" s="14" t="n">
        <x:v>50</x:v>
      </x:c>
      <x:c r="G1877" s="26" t="n">
        <x:f>'成本明细'!U280+'成本明细'!G280*(E1877-'参数'!$B$6)</x:f>
        <x:v>1205.708070968889</x:v>
      </x:c>
      <x:c r="H1877" s="26" t="n">
        <x:f>'成本明细'!U286</x:f>
        <x:v>2086.0806047838887</x:v>
      </x:c>
      <x:c r="I1877" s="26" t="n">
        <x:f>'成本明细'!V286</x:f>
        <x:v>4307</x:v>
      </x:c>
      <x:c r="J1877" s="22" t="n">
        <x:f>'参数'!$B$9</x:f>
        <x:v>300</x:v>
      </x:c>
      <x:c r="K1877" s="26" t="n">
        <x:f>J1877*(G1877-H1877)-I1877*ROUNDUP(J1877/F1877,0)</x:f>
        <x:v>-289953.76014449995</x:v>
      </x:c>
      <x:c r="L1877" s="10" t="str">
        <x:f>IF(G1877-H1877&lt;=0,"未回本",IF(ROUNDUP(I1877/(G1877-H1877),0)&gt;MIN(F1877,J1877),"未回本",MAX(1,ROUNDUP(I1877/(G1877-H1877),0))))</x:f>
        <x:v>未回本</x:v>
      </x:c>
    </x:row>
    <x:row r="1878" ht="22" customHeight="1">
      <x:c r="A1878" s="11" t="str">
        <x:v>lade_0828_10aoi</x:v>
      </x:c>
      <x:c r="B1878" s="10" t="n">
        <x:v>10</x:v>
      </x:c>
      <x:c r="C1878" s="10" t="n">
        <x:v>43</x:v>
      </x:c>
      <x:c r="D1878" s="10" t="str">
        <x:v>M1 / M3</x:v>
      </x:c>
      <x:c r="E1878" s="16" t="n">
        <x:v>5</x:v>
      </x:c>
      <x:c r="F1878" s="14" t="n">
        <x:v>10</x:v>
      </x:c>
      <x:c r="G1878" s="26" t="n">
        <x:f>'成本明细'!U277+'成本明细'!G277*(E1878-'参数'!$B$6)</x:f>
        <x:v>1913.7832468372221</x:v>
      </x:c>
      <x:c r="H1878" s="26" t="n">
        <x:f>'成本明细'!U283</x:f>
        <x:v>2261.6482725555556</x:v>
      </x:c>
      <x:c r="I1878" s="26" t="n">
        <x:f>'成本明细'!V283</x:f>
        <x:v>4307</x:v>
      </x:c>
      <x:c r="J1878" s="22" t="n">
        <x:f>'参数'!$B$9</x:f>
        <x:v>300</x:v>
      </x:c>
      <x:c r="K1878" s="26" t="n">
        <x:f>J1878*(G1878-H1878)-I1878*ROUNDUP(J1878/F1878,0)</x:f>
        <x:v>-233569.50771550008</x:v>
      </x:c>
      <x:c r="L1878" s="10" t="str">
        <x:f>IF(G1878-H1878&lt;=0,"未回本",IF(ROUNDUP(I1878/(G1878-H1878),0)&gt;MIN(F1878,J1878),"未回本",MAX(1,ROUNDUP(I1878/(G1878-H1878),0))))</x:f>
        <x:v>未回本</x:v>
      </x:c>
    </x:row>
    <x:row r="1879" ht="22" customHeight="1">
      <x:c r="A1879" s="11" t="str">
        <x:v>lade_0828_10aoi</x:v>
      </x:c>
      <x:c r="B1879" s="10" t="n">
        <x:v>10</x:v>
      </x:c>
      <x:c r="C1879" s="10" t="n">
        <x:v>43</x:v>
      </x:c>
      <x:c r="D1879" s="10" t="str">
        <x:v>M2 / M4</x:v>
      </x:c>
      <x:c r="E1879" s="16" t="n">
        <x:v>5</x:v>
      </x:c>
      <x:c r="F1879" s="14" t="n">
        <x:v>10</x:v>
      </x:c>
      <x:c r="G1879" s="26" t="n">
        <x:f>'成本明细'!U280+'成本明细'!G280*(E1879-'参数'!$B$6)</x:f>
        <x:v>1323.708070968889</x:v>
      </x:c>
      <x:c r="H1879" s="26" t="n">
        <x:f>'成本明细'!U286</x:f>
        <x:v>2086.0806047838887</x:v>
      </x:c>
      <x:c r="I1879" s="26" t="n">
        <x:f>'成本明细'!V286</x:f>
        <x:v>4307</x:v>
      </x:c>
      <x:c r="J1879" s="22" t="n">
        <x:f>'参数'!$B$9</x:f>
        <x:v>300</x:v>
      </x:c>
      <x:c r="K1879" s="26" t="n">
        <x:f>J1879*(G1879-H1879)-I1879*ROUNDUP(J1879/F1879,0)</x:f>
        <x:v>-357921.76014449995</x:v>
      </x:c>
      <x:c r="L1879" s="10" t="str">
        <x:f>IF(G1879-H1879&lt;=0,"未回本",IF(ROUNDUP(I1879/(G1879-H1879),0)&gt;MIN(F1879,J1879),"未回本",MAX(1,ROUNDUP(I1879/(G1879-H1879),0))))</x:f>
        <x:v>未回本</x:v>
      </x:c>
    </x:row>
    <x:row r="1880" ht="22" customHeight="1">
      <x:c r="A1880" s="11" t="str">
        <x:v>lade_0828_10aoi</x:v>
      </x:c>
      <x:c r="B1880" s="10" t="n">
        <x:v>10</x:v>
      </x:c>
      <x:c r="C1880" s="10" t="n">
        <x:v>43</x:v>
      </x:c>
      <x:c r="D1880" s="10" t="str">
        <x:v>M1 / M3</x:v>
      </x:c>
      <x:c r="E1880" s="16" t="n">
        <x:v>5</x:v>
      </x:c>
      <x:c r="F1880" s="14" t="n">
        <x:v>20</x:v>
      </x:c>
      <x:c r="G1880" s="26" t="n">
        <x:f>'成本明细'!U277+'成本明细'!G277*(E1880-'参数'!$B$6)</x:f>
        <x:v>1913.7832468372221</x:v>
      </x:c>
      <x:c r="H1880" s="26" t="n">
        <x:f>'成本明细'!U283</x:f>
        <x:v>2261.6482725555556</x:v>
      </x:c>
      <x:c r="I1880" s="26" t="n">
        <x:f>'成本明细'!V283</x:f>
        <x:v>4307</x:v>
      </x:c>
      <x:c r="J1880" s="22" t="n">
        <x:f>'参数'!$B$9</x:f>
        <x:v>300</x:v>
      </x:c>
      <x:c r="K1880" s="26" t="n">
        <x:f>J1880*(G1880-H1880)-I1880*ROUNDUP(J1880/F1880,0)</x:f>
        <x:v>-168964.50771550008</x:v>
      </x:c>
      <x:c r="L1880" s="10" t="str">
        <x:f>IF(G1880-H1880&lt;=0,"未回本",IF(ROUNDUP(I1880/(G1880-H1880),0)&gt;MIN(F1880,J1880),"未回本",MAX(1,ROUNDUP(I1880/(G1880-H1880),0))))</x:f>
        <x:v>未回本</x:v>
      </x:c>
    </x:row>
    <x:row r="1881" ht="22" customHeight="1">
      <x:c r="A1881" s="11" t="str">
        <x:v>lade_0828_10aoi</x:v>
      </x:c>
      <x:c r="B1881" s="10" t="n">
        <x:v>10</x:v>
      </x:c>
      <x:c r="C1881" s="10" t="n">
        <x:v>43</x:v>
      </x:c>
      <x:c r="D1881" s="10" t="str">
        <x:v>M2 / M4</x:v>
      </x:c>
      <x:c r="E1881" s="16" t="n">
        <x:v>5</x:v>
      </x:c>
      <x:c r="F1881" s="14" t="n">
        <x:v>20</x:v>
      </x:c>
      <x:c r="G1881" s="26" t="n">
        <x:f>'成本明细'!U280+'成本明细'!G280*(E1881-'参数'!$B$6)</x:f>
        <x:v>1323.708070968889</x:v>
      </x:c>
      <x:c r="H1881" s="26" t="n">
        <x:f>'成本明细'!U286</x:f>
        <x:v>2086.0806047838887</x:v>
      </x:c>
      <x:c r="I1881" s="26" t="n">
        <x:f>'成本明细'!V286</x:f>
        <x:v>4307</x:v>
      </x:c>
      <x:c r="J1881" s="22" t="n">
        <x:f>'参数'!$B$9</x:f>
        <x:v>300</x:v>
      </x:c>
      <x:c r="K1881" s="26" t="n">
        <x:f>J1881*(G1881-H1881)-I1881*ROUNDUP(J1881/F1881,0)</x:f>
        <x:v>-293316.76014449995</x:v>
      </x:c>
      <x:c r="L1881" s="10" t="str">
        <x:f>IF(G1881-H1881&lt;=0,"未回本",IF(ROUNDUP(I1881/(G1881-H1881),0)&gt;MIN(F1881,J1881),"未回本",MAX(1,ROUNDUP(I1881/(G1881-H1881),0))))</x:f>
        <x:v>未回本</x:v>
      </x:c>
    </x:row>
    <x:row r="1882" ht="22" customHeight="1">
      <x:c r="A1882" s="11" t="str">
        <x:v>lade_0828_10aoi</x:v>
      </x:c>
      <x:c r="B1882" s="10" t="n">
        <x:v>10</x:v>
      </x:c>
      <x:c r="C1882" s="10" t="n">
        <x:v>43</x:v>
      </x:c>
      <x:c r="D1882" s="10" t="str">
        <x:v>M1 / M3</x:v>
      </x:c>
      <x:c r="E1882" s="16" t="n">
        <x:v>5</x:v>
      </x:c>
      <x:c r="F1882" s="14" t="n">
        <x:v>30</x:v>
      </x:c>
      <x:c r="G1882" s="26" t="n">
        <x:f>'成本明细'!U277+'成本明细'!G277*(E1882-'参数'!$B$6)</x:f>
        <x:v>1913.7832468372221</x:v>
      </x:c>
      <x:c r="H1882" s="26" t="n">
        <x:f>'成本明细'!U283</x:f>
        <x:v>2261.6482725555556</x:v>
      </x:c>
      <x:c r="I1882" s="26" t="n">
        <x:f>'成本明细'!V283</x:f>
        <x:v>4307</x:v>
      </x:c>
      <x:c r="J1882" s="22" t="n">
        <x:f>'参数'!$B$9</x:f>
        <x:v>300</x:v>
      </x:c>
      <x:c r="K1882" s="26" t="n">
        <x:f>J1882*(G1882-H1882)-I1882*ROUNDUP(J1882/F1882,0)</x:f>
        <x:v>-147429.50771550008</x:v>
      </x:c>
      <x:c r="L1882" s="10" t="str">
        <x:f>IF(G1882-H1882&lt;=0,"未回本",IF(ROUNDUP(I1882/(G1882-H1882),0)&gt;MIN(F1882,J1882),"未回本",MAX(1,ROUNDUP(I1882/(G1882-H1882),0))))</x:f>
        <x:v>未回本</x:v>
      </x:c>
    </x:row>
    <x:row r="1883" ht="22" customHeight="1">
      <x:c r="A1883" s="11" t="str">
        <x:v>lade_0828_10aoi</x:v>
      </x:c>
      <x:c r="B1883" s="10" t="n">
        <x:v>10</x:v>
      </x:c>
      <x:c r="C1883" s="10" t="n">
        <x:v>43</x:v>
      </x:c>
      <x:c r="D1883" s="10" t="str">
        <x:v>M2 / M4</x:v>
      </x:c>
      <x:c r="E1883" s="16" t="n">
        <x:v>5</x:v>
      </x:c>
      <x:c r="F1883" s="14" t="n">
        <x:v>30</x:v>
      </x:c>
      <x:c r="G1883" s="26" t="n">
        <x:f>'成本明细'!U280+'成本明细'!G280*(E1883-'参数'!$B$6)</x:f>
        <x:v>1323.708070968889</x:v>
      </x:c>
      <x:c r="H1883" s="26" t="n">
        <x:f>'成本明细'!U286</x:f>
        <x:v>2086.0806047838887</x:v>
      </x:c>
      <x:c r="I1883" s="26" t="n">
        <x:f>'成本明细'!V286</x:f>
        <x:v>4307</x:v>
      </x:c>
      <x:c r="J1883" s="22" t="n">
        <x:f>'参数'!$B$9</x:f>
        <x:v>300</x:v>
      </x:c>
      <x:c r="K1883" s="26" t="n">
        <x:f>J1883*(G1883-H1883)-I1883*ROUNDUP(J1883/F1883,0)</x:f>
        <x:v>-271781.76014449995</x:v>
      </x:c>
      <x:c r="L1883" s="10" t="str">
        <x:f>IF(G1883-H1883&lt;=0,"未回本",IF(ROUNDUP(I1883/(G1883-H1883),0)&gt;MIN(F1883,J1883),"未回本",MAX(1,ROUNDUP(I1883/(G1883-H1883),0))))</x:f>
        <x:v>未回本</x:v>
      </x:c>
    </x:row>
    <x:row r="1884" ht="22" customHeight="1">
      <x:c r="A1884" s="11" t="str">
        <x:v>lade_0828_10aoi</x:v>
      </x:c>
      <x:c r="B1884" s="10" t="n">
        <x:v>10</x:v>
      </x:c>
      <x:c r="C1884" s="10" t="n">
        <x:v>43</x:v>
      </x:c>
      <x:c r="D1884" s="10" t="str">
        <x:v>M1 / M3</x:v>
      </x:c>
      <x:c r="E1884" s="16" t="n">
        <x:v>5</x:v>
      </x:c>
      <x:c r="F1884" s="14" t="n">
        <x:v>50</x:v>
      </x:c>
      <x:c r="G1884" s="26" t="n">
        <x:f>'成本明细'!U277+'成本明细'!G277*(E1884-'参数'!$B$6)</x:f>
        <x:v>1913.7832468372221</x:v>
      </x:c>
      <x:c r="H1884" s="26" t="n">
        <x:f>'成本明细'!U283</x:f>
        <x:v>2261.6482725555556</x:v>
      </x:c>
      <x:c r="I1884" s="26" t="n">
        <x:f>'成本明细'!V283</x:f>
        <x:v>4307</x:v>
      </x:c>
      <x:c r="J1884" s="22" t="n">
        <x:f>'参数'!$B$9</x:f>
        <x:v>300</x:v>
      </x:c>
      <x:c r="K1884" s="26" t="n">
        <x:f>J1884*(G1884-H1884)-I1884*ROUNDUP(J1884/F1884,0)</x:f>
        <x:v>-130201.50771550006</x:v>
      </x:c>
      <x:c r="L1884" s="10" t="str">
        <x:f>IF(G1884-H1884&lt;=0,"未回本",IF(ROUNDUP(I1884/(G1884-H1884),0)&gt;MIN(F1884,J1884),"未回本",MAX(1,ROUNDUP(I1884/(G1884-H1884),0))))</x:f>
        <x:v>未回本</x:v>
      </x:c>
    </x:row>
    <x:row r="1885" ht="22" customHeight="1">
      <x:c r="A1885" s="11" t="str">
        <x:v>lade_0828_10aoi</x:v>
      </x:c>
      <x:c r="B1885" s="10" t="n">
        <x:v>10</x:v>
      </x:c>
      <x:c r="C1885" s="10" t="n">
        <x:v>43</x:v>
      </x:c>
      <x:c r="D1885" s="10" t="str">
        <x:v>M2 / M4</x:v>
      </x:c>
      <x:c r="E1885" s="16" t="n">
        <x:v>5</x:v>
      </x:c>
      <x:c r="F1885" s="14" t="n">
        <x:v>50</x:v>
      </x:c>
      <x:c r="G1885" s="26" t="n">
        <x:f>'成本明细'!U280+'成本明细'!G280*(E1885-'参数'!$B$6)</x:f>
        <x:v>1323.708070968889</x:v>
      </x:c>
      <x:c r="H1885" s="26" t="n">
        <x:f>'成本明细'!U286</x:f>
        <x:v>2086.0806047838887</x:v>
      </x:c>
      <x:c r="I1885" s="26" t="n">
        <x:f>'成本明细'!V286</x:f>
        <x:v>4307</x:v>
      </x:c>
      <x:c r="J1885" s="22" t="n">
        <x:f>'参数'!$B$9</x:f>
        <x:v>300</x:v>
      </x:c>
      <x:c r="K1885" s="26" t="n">
        <x:f>J1885*(G1885-H1885)-I1885*ROUNDUP(J1885/F1885,0)</x:f>
        <x:v>-254553.76014449995</x:v>
      </x:c>
      <x:c r="L1885" s="10" t="str">
        <x:f>IF(G1885-H1885&lt;=0,"未回本",IF(ROUNDUP(I1885/(G1885-H1885),0)&gt;MIN(F1885,J1885),"未回本",MAX(1,ROUNDUP(I1885/(G1885-H1885),0))))</x:f>
        <x:v>未回本</x:v>
      </x:c>
    </x:row>
    <x:row r="1886" ht="22" customHeight="1">
      <x:c r="A1886" s="11" t="str">
        <x:v>lade_0828_10aoi</x:v>
      </x:c>
      <x:c r="B1886" s="10" t="n">
        <x:v>10</x:v>
      </x:c>
      <x:c r="C1886" s="10" t="n">
        <x:v>44</x:v>
      </x:c>
      <x:c r="D1886" s="10" t="str">
        <x:v>M1 / M3</x:v>
      </x:c>
      <x:c r="E1886" s="16" t="n">
        <x:v>1</x:v>
      </x:c>
      <x:c r="F1886" s="14" t="n">
        <x:v>10</x:v>
      </x:c>
      <x:c r="G1886" s="26" t="n">
        <x:f>'成本明细'!U278+'成本明细'!G278*(E1886-'参数'!$B$6)</x:f>
        <x:v>1441.7832468372221</x:v>
      </x:c>
      <x:c r="H1886" s="26" t="n">
        <x:f>'成本明细'!U284</x:f>
        <x:v>2261.6482725555556</x:v>
      </x:c>
      <x:c r="I1886" s="26" t="n">
        <x:f>'成本明细'!V284</x:f>
        <x:v>4307</x:v>
      </x:c>
      <x:c r="J1886" s="22" t="n">
        <x:f>'参数'!$B$9</x:f>
        <x:v>300</x:v>
      </x:c>
      <x:c r="K1886" s="26" t="n">
        <x:f>J1886*(G1886-H1886)-I1886*ROUNDUP(J1886/F1886,0)</x:f>
        <x:v>-375169.5077155001</x:v>
      </x:c>
      <x:c r="L1886" s="10" t="str">
        <x:f>IF(G1886-H1886&lt;=0,"未回本",IF(ROUNDUP(I1886/(G1886-H1886),0)&gt;MIN(F1886,J1886),"未回本",MAX(1,ROUNDUP(I1886/(G1886-H1886),0))))</x:f>
        <x:v>未回本</x:v>
      </x:c>
    </x:row>
    <x:row r="1887" ht="22" customHeight="1">
      <x:c r="A1887" s="11" t="str">
        <x:v>lade_0828_10aoi</x:v>
      </x:c>
      <x:c r="B1887" s="10" t="n">
        <x:v>10</x:v>
      </x:c>
      <x:c r="C1887" s="10" t="n">
        <x:v>44</x:v>
      </x:c>
      <x:c r="D1887" s="10" t="str">
        <x:v>M2 / M4</x:v>
      </x:c>
      <x:c r="E1887" s="16" t="n">
        <x:v>1</x:v>
      </x:c>
      <x:c r="F1887" s="14" t="n">
        <x:v>10</x:v>
      </x:c>
      <x:c r="G1887" s="26" t="n">
        <x:f>'成本明细'!U281+'成本明细'!G281*(E1887-'参数'!$B$6)</x:f>
        <x:v>932.4314819866668</x:v>
      </x:c>
      <x:c r="H1887" s="26" t="n">
        <x:f>'成本明细'!U287</x:f>
        <x:v>2096.6259821005556</x:v>
      </x:c>
      <x:c r="I1887" s="26" t="n">
        <x:f>'成本明细'!V287</x:f>
        <x:v>4307</x:v>
      </x:c>
      <x:c r="J1887" s="22" t="n">
        <x:f>'参数'!$B$9</x:f>
        <x:v>300</x:v>
      </x:c>
      <x:c r="K1887" s="26" t="n">
        <x:f>J1887*(G1887-H1887)-I1887*ROUNDUP(J1887/F1887,0)</x:f>
        <x:v>-478468.35003416665</x:v>
      </x:c>
      <x:c r="L1887" s="10" t="str">
        <x:f>IF(G1887-H1887&lt;=0,"未回本",IF(ROUNDUP(I1887/(G1887-H1887),0)&gt;MIN(F1887,J1887),"未回本",MAX(1,ROUNDUP(I1887/(G1887-H1887),0))))</x:f>
        <x:v>未回本</x:v>
      </x:c>
    </x:row>
    <x:row r="1888" ht="22" customHeight="1">
      <x:c r="A1888" s="11" t="str">
        <x:v>lade_0828_10aoi</x:v>
      </x:c>
      <x:c r="B1888" s="10" t="n">
        <x:v>10</x:v>
      </x:c>
      <x:c r="C1888" s="10" t="n">
        <x:v>44</x:v>
      </x:c>
      <x:c r="D1888" s="10" t="str">
        <x:v>M1 / M3</x:v>
      </x:c>
      <x:c r="E1888" s="16" t="n">
        <x:v>1</x:v>
      </x:c>
      <x:c r="F1888" s="14" t="n">
        <x:v>20</x:v>
      </x:c>
      <x:c r="G1888" s="26" t="n">
        <x:f>'成本明细'!U278+'成本明细'!G278*(E1888-'参数'!$B$6)</x:f>
        <x:v>1441.7832468372221</x:v>
      </x:c>
      <x:c r="H1888" s="26" t="n">
        <x:f>'成本明细'!U284</x:f>
        <x:v>2261.6482725555556</x:v>
      </x:c>
      <x:c r="I1888" s="26" t="n">
        <x:f>'成本明细'!V284</x:f>
        <x:v>4307</x:v>
      </x:c>
      <x:c r="J1888" s="22" t="n">
        <x:f>'参数'!$B$9</x:f>
        <x:v>300</x:v>
      </x:c>
      <x:c r="K1888" s="26" t="n">
        <x:f>J1888*(G1888-H1888)-I1888*ROUNDUP(J1888/F1888,0)</x:f>
        <x:v>-310564.5077155001</x:v>
      </x:c>
      <x:c r="L1888" s="10" t="str">
        <x:f>IF(G1888-H1888&lt;=0,"未回本",IF(ROUNDUP(I1888/(G1888-H1888),0)&gt;MIN(F1888,J1888),"未回本",MAX(1,ROUNDUP(I1888/(G1888-H1888),0))))</x:f>
        <x:v>未回本</x:v>
      </x:c>
    </x:row>
    <x:row r="1889" ht="22" customHeight="1">
      <x:c r="A1889" s="11" t="str">
        <x:v>lade_0828_10aoi</x:v>
      </x:c>
      <x:c r="B1889" s="10" t="n">
        <x:v>10</x:v>
      </x:c>
      <x:c r="C1889" s="10" t="n">
        <x:v>44</x:v>
      </x:c>
      <x:c r="D1889" s="10" t="str">
        <x:v>M2 / M4</x:v>
      </x:c>
      <x:c r="E1889" s="16" t="n">
        <x:v>1</x:v>
      </x:c>
      <x:c r="F1889" s="14" t="n">
        <x:v>20</x:v>
      </x:c>
      <x:c r="G1889" s="26" t="n">
        <x:f>'成本明细'!U281+'成本明细'!G281*(E1889-'参数'!$B$6)</x:f>
        <x:v>932.4314819866668</x:v>
      </x:c>
      <x:c r="H1889" s="26" t="n">
        <x:f>'成本明细'!U287</x:f>
        <x:v>2096.6259821005556</x:v>
      </x:c>
      <x:c r="I1889" s="26" t="n">
        <x:f>'成本明细'!V287</x:f>
        <x:v>4307</x:v>
      </x:c>
      <x:c r="J1889" s="22" t="n">
        <x:f>'参数'!$B$9</x:f>
        <x:v>300</x:v>
      </x:c>
      <x:c r="K1889" s="26" t="n">
        <x:f>J1889*(G1889-H1889)-I1889*ROUNDUP(J1889/F1889,0)</x:f>
        <x:v>-413863.35003416665</x:v>
      </x:c>
      <x:c r="L1889" s="10" t="str">
        <x:f>IF(G1889-H1889&lt;=0,"未回本",IF(ROUNDUP(I1889/(G1889-H1889),0)&gt;MIN(F1889,J1889),"未回本",MAX(1,ROUNDUP(I1889/(G1889-H1889),0))))</x:f>
        <x:v>未回本</x:v>
      </x:c>
    </x:row>
    <x:row r="1890" ht="22" customHeight="1">
      <x:c r="A1890" s="11" t="str">
        <x:v>lade_0828_10aoi</x:v>
      </x:c>
      <x:c r="B1890" s="10" t="n">
        <x:v>10</x:v>
      </x:c>
      <x:c r="C1890" s="10" t="n">
        <x:v>44</x:v>
      </x:c>
      <x:c r="D1890" s="10" t="str">
        <x:v>M1 / M3</x:v>
      </x:c>
      <x:c r="E1890" s="16" t="n">
        <x:v>1</x:v>
      </x:c>
      <x:c r="F1890" s="14" t="n">
        <x:v>30</x:v>
      </x:c>
      <x:c r="G1890" s="26" t="n">
        <x:f>'成本明细'!U278+'成本明细'!G278*(E1890-'参数'!$B$6)</x:f>
        <x:v>1441.7832468372221</x:v>
      </x:c>
      <x:c r="H1890" s="26" t="n">
        <x:f>'成本明细'!U284</x:f>
        <x:v>2261.6482725555556</x:v>
      </x:c>
      <x:c r="I1890" s="26" t="n">
        <x:f>'成本明细'!V284</x:f>
        <x:v>4307</x:v>
      </x:c>
      <x:c r="J1890" s="22" t="n">
        <x:f>'参数'!$B$9</x:f>
        <x:v>300</x:v>
      </x:c>
      <x:c r="K1890" s="26" t="n">
        <x:f>J1890*(G1890-H1890)-I1890*ROUNDUP(J1890/F1890,0)</x:f>
        <x:v>-289029.5077155001</x:v>
      </x:c>
      <x:c r="L1890" s="10" t="str">
        <x:f>IF(G1890-H1890&lt;=0,"未回本",IF(ROUNDUP(I1890/(G1890-H1890),0)&gt;MIN(F1890,J1890),"未回本",MAX(1,ROUNDUP(I1890/(G1890-H1890),0))))</x:f>
        <x:v>未回本</x:v>
      </x:c>
    </x:row>
    <x:row r="1891" ht="22" customHeight="1">
      <x:c r="A1891" s="11" t="str">
        <x:v>lade_0828_10aoi</x:v>
      </x:c>
      <x:c r="B1891" s="10" t="n">
        <x:v>10</x:v>
      </x:c>
      <x:c r="C1891" s="10" t="n">
        <x:v>44</x:v>
      </x:c>
      <x:c r="D1891" s="10" t="str">
        <x:v>M2 / M4</x:v>
      </x:c>
      <x:c r="E1891" s="16" t="n">
        <x:v>1</x:v>
      </x:c>
      <x:c r="F1891" s="14" t="n">
        <x:v>30</x:v>
      </x:c>
      <x:c r="G1891" s="26" t="n">
        <x:f>'成本明细'!U281+'成本明细'!G281*(E1891-'参数'!$B$6)</x:f>
        <x:v>932.4314819866668</x:v>
      </x:c>
      <x:c r="H1891" s="26" t="n">
        <x:f>'成本明细'!U287</x:f>
        <x:v>2096.6259821005556</x:v>
      </x:c>
      <x:c r="I1891" s="26" t="n">
        <x:f>'成本明细'!V287</x:f>
        <x:v>4307</x:v>
      </x:c>
      <x:c r="J1891" s="22" t="n">
        <x:f>'参数'!$B$9</x:f>
        <x:v>300</x:v>
      </x:c>
      <x:c r="K1891" s="26" t="n">
        <x:f>J1891*(G1891-H1891)-I1891*ROUNDUP(J1891/F1891,0)</x:f>
        <x:v>-392328.35003416665</x:v>
      </x:c>
      <x:c r="L1891" s="10" t="str">
        <x:f>IF(G1891-H1891&lt;=0,"未回本",IF(ROUNDUP(I1891/(G1891-H1891),0)&gt;MIN(F1891,J1891),"未回本",MAX(1,ROUNDUP(I1891/(G1891-H1891),0))))</x:f>
        <x:v>未回本</x:v>
      </x:c>
    </x:row>
    <x:row r="1892" ht="22" customHeight="1">
      <x:c r="A1892" s="11" t="str">
        <x:v>lade_0828_10aoi</x:v>
      </x:c>
      <x:c r="B1892" s="10" t="n">
        <x:v>10</x:v>
      </x:c>
      <x:c r="C1892" s="10" t="n">
        <x:v>44</x:v>
      </x:c>
      <x:c r="D1892" s="10" t="str">
        <x:v>M1 / M3</x:v>
      </x:c>
      <x:c r="E1892" s="16" t="n">
        <x:v>1</x:v>
      </x:c>
      <x:c r="F1892" s="14" t="n">
        <x:v>50</x:v>
      </x:c>
      <x:c r="G1892" s="26" t="n">
        <x:f>'成本明细'!U278+'成本明细'!G278*(E1892-'参数'!$B$6)</x:f>
        <x:v>1441.7832468372221</x:v>
      </x:c>
      <x:c r="H1892" s="26" t="n">
        <x:f>'成本明细'!U284</x:f>
        <x:v>2261.6482725555556</x:v>
      </x:c>
      <x:c r="I1892" s="26" t="n">
        <x:f>'成本明细'!V284</x:f>
        <x:v>4307</x:v>
      </x:c>
      <x:c r="J1892" s="22" t="n">
        <x:f>'参数'!$B$9</x:f>
        <x:v>300</x:v>
      </x:c>
      <x:c r="K1892" s="26" t="n">
        <x:f>J1892*(G1892-H1892)-I1892*ROUNDUP(J1892/F1892,0)</x:f>
        <x:v>-271801.5077155001</x:v>
      </x:c>
      <x:c r="L1892" s="10" t="str">
        <x:f>IF(G1892-H1892&lt;=0,"未回本",IF(ROUNDUP(I1892/(G1892-H1892),0)&gt;MIN(F1892,J1892),"未回本",MAX(1,ROUNDUP(I1892/(G1892-H1892),0))))</x:f>
        <x:v>未回本</x:v>
      </x:c>
    </x:row>
    <x:row r="1893" ht="22" customHeight="1">
      <x:c r="A1893" s="11" t="str">
        <x:v>lade_0828_10aoi</x:v>
      </x:c>
      <x:c r="B1893" s="10" t="n">
        <x:v>10</x:v>
      </x:c>
      <x:c r="C1893" s="10" t="n">
        <x:v>44</x:v>
      </x:c>
      <x:c r="D1893" s="10" t="str">
        <x:v>M2 / M4</x:v>
      </x:c>
      <x:c r="E1893" s="16" t="n">
        <x:v>1</x:v>
      </x:c>
      <x:c r="F1893" s="14" t="n">
        <x:v>50</x:v>
      </x:c>
      <x:c r="G1893" s="26" t="n">
        <x:f>'成本明细'!U281+'成本明细'!G281*(E1893-'参数'!$B$6)</x:f>
        <x:v>932.4314819866668</x:v>
      </x:c>
      <x:c r="H1893" s="26" t="n">
        <x:f>'成本明细'!U287</x:f>
        <x:v>2096.6259821005556</x:v>
      </x:c>
      <x:c r="I1893" s="26" t="n">
        <x:f>'成本明细'!V287</x:f>
        <x:v>4307</x:v>
      </x:c>
      <x:c r="J1893" s="22" t="n">
        <x:f>'参数'!$B$9</x:f>
        <x:v>300</x:v>
      </x:c>
      <x:c r="K1893" s="26" t="n">
        <x:f>J1893*(G1893-H1893)-I1893*ROUNDUP(J1893/F1893,0)</x:f>
        <x:v>-375100.35003416665</x:v>
      </x:c>
      <x:c r="L1893" s="10" t="str">
        <x:f>IF(G1893-H1893&lt;=0,"未回本",IF(ROUNDUP(I1893/(G1893-H1893),0)&gt;MIN(F1893,J1893),"未回本",MAX(1,ROUNDUP(I1893/(G1893-H1893),0))))</x:f>
        <x:v>未回本</x:v>
      </x:c>
    </x:row>
    <x:row r="1894" ht="22" customHeight="1">
      <x:c r="A1894" s="11" t="str">
        <x:v>lade_0828_10aoi</x:v>
      </x:c>
      <x:c r="B1894" s="10" t="n">
        <x:v>10</x:v>
      </x:c>
      <x:c r="C1894" s="10" t="n">
        <x:v>44</x:v>
      </x:c>
      <x:c r="D1894" s="10" t="str">
        <x:v>M1 / M3</x:v>
      </x:c>
      <x:c r="E1894" s="16" t="n">
        <x:v>2</x:v>
      </x:c>
      <x:c r="F1894" s="14" t="n">
        <x:v>10</x:v>
      </x:c>
      <x:c r="G1894" s="26" t="n">
        <x:f>'成本明细'!U278+'成本明细'!G278*(E1894-'参数'!$B$6)</x:f>
        <x:v>1559.7832468372221</x:v>
      </x:c>
      <x:c r="H1894" s="26" t="n">
        <x:f>'成本明细'!U284</x:f>
        <x:v>2261.6482725555556</x:v>
      </x:c>
      <x:c r="I1894" s="26" t="n">
        <x:f>'成本明细'!V284</x:f>
        <x:v>4307</x:v>
      </x:c>
      <x:c r="J1894" s="22" t="n">
        <x:f>'参数'!$B$9</x:f>
        <x:v>300</x:v>
      </x:c>
      <x:c r="K1894" s="26" t="n">
        <x:f>J1894*(G1894-H1894)-I1894*ROUNDUP(J1894/F1894,0)</x:f>
        <x:v>-339769.5077155001</x:v>
      </x:c>
      <x:c r="L1894" s="10" t="str">
        <x:f>IF(G1894-H1894&lt;=0,"未回本",IF(ROUNDUP(I1894/(G1894-H1894),0)&gt;MIN(F1894,J1894),"未回本",MAX(1,ROUNDUP(I1894/(G1894-H1894),0))))</x:f>
        <x:v>未回本</x:v>
      </x:c>
    </x:row>
    <x:row r="1895" ht="22" customHeight="1">
      <x:c r="A1895" s="11" t="str">
        <x:v>lade_0828_10aoi</x:v>
      </x:c>
      <x:c r="B1895" s="10" t="n">
        <x:v>10</x:v>
      </x:c>
      <x:c r="C1895" s="10" t="n">
        <x:v>44</x:v>
      </x:c>
      <x:c r="D1895" s="10" t="str">
        <x:v>M2 / M4</x:v>
      </x:c>
      <x:c r="E1895" s="16" t="n">
        <x:v>2</x:v>
      </x:c>
      <x:c r="F1895" s="14" t="n">
        <x:v>10</x:v>
      </x:c>
      <x:c r="G1895" s="26" t="n">
        <x:f>'成本明细'!U281+'成本明细'!G281*(E1895-'参数'!$B$6)</x:f>
        <x:v>1050.4314819866668</x:v>
      </x:c>
      <x:c r="H1895" s="26" t="n">
        <x:f>'成本明细'!U287</x:f>
        <x:v>2096.6259821005556</x:v>
      </x:c>
      <x:c r="I1895" s="26" t="n">
        <x:f>'成本明细'!V287</x:f>
        <x:v>4307</x:v>
      </x:c>
      <x:c r="J1895" s="22" t="n">
        <x:f>'参数'!$B$9</x:f>
        <x:v>300</x:v>
      </x:c>
      <x:c r="K1895" s="26" t="n">
        <x:f>J1895*(G1895-H1895)-I1895*ROUNDUP(J1895/F1895,0)</x:f>
        <x:v>-443068.35003416665</x:v>
      </x:c>
      <x:c r="L1895" s="10" t="str">
        <x:f>IF(G1895-H1895&lt;=0,"未回本",IF(ROUNDUP(I1895/(G1895-H1895),0)&gt;MIN(F1895,J1895),"未回本",MAX(1,ROUNDUP(I1895/(G1895-H1895),0))))</x:f>
        <x:v>未回本</x:v>
      </x:c>
    </x:row>
    <x:row r="1896" ht="22" customHeight="1">
      <x:c r="A1896" s="11" t="str">
        <x:v>lade_0828_10aoi</x:v>
      </x:c>
      <x:c r="B1896" s="10" t="n">
        <x:v>10</x:v>
      </x:c>
      <x:c r="C1896" s="10" t="n">
        <x:v>44</x:v>
      </x:c>
      <x:c r="D1896" s="10" t="str">
        <x:v>M1 / M3</x:v>
      </x:c>
      <x:c r="E1896" s="16" t="n">
        <x:v>2</x:v>
      </x:c>
      <x:c r="F1896" s="14" t="n">
        <x:v>20</x:v>
      </x:c>
      <x:c r="G1896" s="26" t="n">
        <x:f>'成本明细'!U278+'成本明细'!G278*(E1896-'参数'!$B$6)</x:f>
        <x:v>1559.7832468372221</x:v>
      </x:c>
      <x:c r="H1896" s="26" t="n">
        <x:f>'成本明细'!U284</x:f>
        <x:v>2261.6482725555556</x:v>
      </x:c>
      <x:c r="I1896" s="26" t="n">
        <x:f>'成本明细'!V284</x:f>
        <x:v>4307</x:v>
      </x:c>
      <x:c r="J1896" s="22" t="n">
        <x:f>'参数'!$B$9</x:f>
        <x:v>300</x:v>
      </x:c>
      <x:c r="K1896" s="26" t="n">
        <x:f>J1896*(G1896-H1896)-I1896*ROUNDUP(J1896/F1896,0)</x:f>
        <x:v>-275164.5077155001</x:v>
      </x:c>
      <x:c r="L1896" s="10" t="str">
        <x:f>IF(G1896-H1896&lt;=0,"未回本",IF(ROUNDUP(I1896/(G1896-H1896),0)&gt;MIN(F1896,J1896),"未回本",MAX(1,ROUNDUP(I1896/(G1896-H1896),0))))</x:f>
        <x:v>未回本</x:v>
      </x:c>
    </x:row>
    <x:row r="1897" ht="22" customHeight="1">
      <x:c r="A1897" s="11" t="str">
        <x:v>lade_0828_10aoi</x:v>
      </x:c>
      <x:c r="B1897" s="10" t="n">
        <x:v>10</x:v>
      </x:c>
      <x:c r="C1897" s="10" t="n">
        <x:v>44</x:v>
      </x:c>
      <x:c r="D1897" s="10" t="str">
        <x:v>M2 / M4</x:v>
      </x:c>
      <x:c r="E1897" s="16" t="n">
        <x:v>2</x:v>
      </x:c>
      <x:c r="F1897" s="14" t="n">
        <x:v>20</x:v>
      </x:c>
      <x:c r="G1897" s="26" t="n">
        <x:f>'成本明细'!U281+'成本明细'!G281*(E1897-'参数'!$B$6)</x:f>
        <x:v>1050.4314819866668</x:v>
      </x:c>
      <x:c r="H1897" s="26" t="n">
        <x:f>'成本明细'!U287</x:f>
        <x:v>2096.6259821005556</x:v>
      </x:c>
      <x:c r="I1897" s="26" t="n">
        <x:f>'成本明细'!V287</x:f>
        <x:v>4307</x:v>
      </x:c>
      <x:c r="J1897" s="22" t="n">
        <x:f>'参数'!$B$9</x:f>
        <x:v>300</x:v>
      </x:c>
      <x:c r="K1897" s="26" t="n">
        <x:f>J1897*(G1897-H1897)-I1897*ROUNDUP(J1897/F1897,0)</x:f>
        <x:v>-378463.35003416665</x:v>
      </x:c>
      <x:c r="L1897" s="10" t="str">
        <x:f>IF(G1897-H1897&lt;=0,"未回本",IF(ROUNDUP(I1897/(G1897-H1897),0)&gt;MIN(F1897,J1897),"未回本",MAX(1,ROUNDUP(I1897/(G1897-H1897),0))))</x:f>
        <x:v>未回本</x:v>
      </x:c>
    </x:row>
    <x:row r="1898" ht="22" customHeight="1">
      <x:c r="A1898" s="11" t="str">
        <x:v>lade_0828_10aoi</x:v>
      </x:c>
      <x:c r="B1898" s="10" t="n">
        <x:v>10</x:v>
      </x:c>
      <x:c r="C1898" s="10" t="n">
        <x:v>44</x:v>
      </x:c>
      <x:c r="D1898" s="10" t="str">
        <x:v>M1 / M3</x:v>
      </x:c>
      <x:c r="E1898" s="16" t="n">
        <x:v>2</x:v>
      </x:c>
      <x:c r="F1898" s="14" t="n">
        <x:v>30</x:v>
      </x:c>
      <x:c r="G1898" s="26" t="n">
        <x:f>'成本明细'!U278+'成本明细'!G278*(E1898-'参数'!$B$6)</x:f>
        <x:v>1559.7832468372221</x:v>
      </x:c>
      <x:c r="H1898" s="26" t="n">
        <x:f>'成本明细'!U284</x:f>
        <x:v>2261.6482725555556</x:v>
      </x:c>
      <x:c r="I1898" s="26" t="n">
        <x:f>'成本明细'!V284</x:f>
        <x:v>4307</x:v>
      </x:c>
      <x:c r="J1898" s="22" t="n">
        <x:f>'参数'!$B$9</x:f>
        <x:v>300</x:v>
      </x:c>
      <x:c r="K1898" s="26" t="n">
        <x:f>J1898*(G1898-H1898)-I1898*ROUNDUP(J1898/F1898,0)</x:f>
        <x:v>-253629.50771550005</x:v>
      </x:c>
      <x:c r="L1898" s="10" t="str">
        <x:f>IF(G1898-H1898&lt;=0,"未回本",IF(ROUNDUP(I1898/(G1898-H1898),0)&gt;MIN(F1898,J1898),"未回本",MAX(1,ROUNDUP(I1898/(G1898-H1898),0))))</x:f>
        <x:v>未回本</x:v>
      </x:c>
    </x:row>
    <x:row r="1899" ht="22" customHeight="1">
      <x:c r="A1899" s="11" t="str">
        <x:v>lade_0828_10aoi</x:v>
      </x:c>
      <x:c r="B1899" s="10" t="n">
        <x:v>10</x:v>
      </x:c>
      <x:c r="C1899" s="10" t="n">
        <x:v>44</x:v>
      </x:c>
      <x:c r="D1899" s="10" t="str">
        <x:v>M2 / M4</x:v>
      </x:c>
      <x:c r="E1899" s="16" t="n">
        <x:v>2</x:v>
      </x:c>
      <x:c r="F1899" s="14" t="n">
        <x:v>30</x:v>
      </x:c>
      <x:c r="G1899" s="26" t="n">
        <x:f>'成本明细'!U281+'成本明细'!G281*(E1899-'参数'!$B$6)</x:f>
        <x:v>1050.4314819866668</x:v>
      </x:c>
      <x:c r="H1899" s="26" t="n">
        <x:f>'成本明细'!U287</x:f>
        <x:v>2096.6259821005556</x:v>
      </x:c>
      <x:c r="I1899" s="26" t="n">
        <x:f>'成本明细'!V287</x:f>
        <x:v>4307</x:v>
      </x:c>
      <x:c r="J1899" s="22" t="n">
        <x:f>'参数'!$B$9</x:f>
        <x:v>300</x:v>
      </x:c>
      <x:c r="K1899" s="26" t="n">
        <x:f>J1899*(G1899-H1899)-I1899*ROUNDUP(J1899/F1899,0)</x:f>
        <x:v>-356928.35003416665</x:v>
      </x:c>
      <x:c r="L1899" s="10" t="str">
        <x:f>IF(G1899-H1899&lt;=0,"未回本",IF(ROUNDUP(I1899/(G1899-H1899),0)&gt;MIN(F1899,J1899),"未回本",MAX(1,ROUNDUP(I1899/(G1899-H1899),0))))</x:f>
        <x:v>未回本</x:v>
      </x:c>
    </x:row>
    <x:row r="1900" ht="22" customHeight="1">
      <x:c r="A1900" s="11" t="str">
        <x:v>lade_0828_10aoi</x:v>
      </x:c>
      <x:c r="B1900" s="10" t="n">
        <x:v>10</x:v>
      </x:c>
      <x:c r="C1900" s="10" t="n">
        <x:v>44</x:v>
      </x:c>
      <x:c r="D1900" s="10" t="str">
        <x:v>M1 / M3</x:v>
      </x:c>
      <x:c r="E1900" s="16" t="n">
        <x:v>2</x:v>
      </x:c>
      <x:c r="F1900" s="14" t="n">
        <x:v>50</x:v>
      </x:c>
      <x:c r="G1900" s="26" t="n">
        <x:f>'成本明细'!U278+'成本明细'!G278*(E1900-'参数'!$B$6)</x:f>
        <x:v>1559.7832468372221</x:v>
      </x:c>
      <x:c r="H1900" s="26" t="n">
        <x:f>'成本明细'!U284</x:f>
        <x:v>2261.6482725555556</x:v>
      </x:c>
      <x:c r="I1900" s="26" t="n">
        <x:f>'成本明细'!V284</x:f>
        <x:v>4307</x:v>
      </x:c>
      <x:c r="J1900" s="22" t="n">
        <x:f>'参数'!$B$9</x:f>
        <x:v>300</x:v>
      </x:c>
      <x:c r="K1900" s="26" t="n">
        <x:f>J1900*(G1900-H1900)-I1900*ROUNDUP(J1900/F1900,0)</x:f>
        <x:v>-236401.50771550005</x:v>
      </x:c>
      <x:c r="L1900" s="10" t="str">
        <x:f>IF(G1900-H1900&lt;=0,"未回本",IF(ROUNDUP(I1900/(G1900-H1900),0)&gt;MIN(F1900,J1900),"未回本",MAX(1,ROUNDUP(I1900/(G1900-H1900),0))))</x:f>
        <x:v>未回本</x:v>
      </x:c>
    </x:row>
    <x:row r="1901" ht="22" customHeight="1">
      <x:c r="A1901" s="11" t="str">
        <x:v>lade_0828_10aoi</x:v>
      </x:c>
      <x:c r="B1901" s="10" t="n">
        <x:v>10</x:v>
      </x:c>
      <x:c r="C1901" s="10" t="n">
        <x:v>44</x:v>
      </x:c>
      <x:c r="D1901" s="10" t="str">
        <x:v>M2 / M4</x:v>
      </x:c>
      <x:c r="E1901" s="16" t="n">
        <x:v>2</x:v>
      </x:c>
      <x:c r="F1901" s="14" t="n">
        <x:v>50</x:v>
      </x:c>
      <x:c r="G1901" s="26" t="n">
        <x:f>'成本明细'!U281+'成本明细'!G281*(E1901-'参数'!$B$6)</x:f>
        <x:v>1050.4314819866668</x:v>
      </x:c>
      <x:c r="H1901" s="26" t="n">
        <x:f>'成本明细'!U287</x:f>
        <x:v>2096.6259821005556</x:v>
      </x:c>
      <x:c r="I1901" s="26" t="n">
        <x:f>'成本明细'!V287</x:f>
        <x:v>4307</x:v>
      </x:c>
      <x:c r="J1901" s="22" t="n">
        <x:f>'参数'!$B$9</x:f>
        <x:v>300</x:v>
      </x:c>
      <x:c r="K1901" s="26" t="n">
        <x:f>J1901*(G1901-H1901)-I1901*ROUNDUP(J1901/F1901,0)</x:f>
        <x:v>-339700.35003416665</x:v>
      </x:c>
      <x:c r="L1901" s="10" t="str">
        <x:f>IF(G1901-H1901&lt;=0,"未回本",IF(ROUNDUP(I1901/(G1901-H1901),0)&gt;MIN(F1901,J1901),"未回本",MAX(1,ROUNDUP(I1901/(G1901-H1901),0))))</x:f>
        <x:v>未回本</x:v>
      </x:c>
    </x:row>
    <x:row r="1902" ht="22" customHeight="1">
      <x:c r="A1902" s="11" t="str">
        <x:v>lade_0828_10aoi</x:v>
      </x:c>
      <x:c r="B1902" s="10" t="n">
        <x:v>10</x:v>
      </x:c>
      <x:c r="C1902" s="10" t="n">
        <x:v>44</x:v>
      </x:c>
      <x:c r="D1902" s="10" t="str">
        <x:v>M1 / M3</x:v>
      </x:c>
      <x:c r="E1902" s="16" t="n">
        <x:v>3</x:v>
      </x:c>
      <x:c r="F1902" s="14" t="n">
        <x:v>10</x:v>
      </x:c>
      <x:c r="G1902" s="26" t="n">
        <x:f>'成本明细'!U278+'成本明细'!G278*(E1902-'参数'!$B$6)</x:f>
        <x:v>1677.7832468372221</x:v>
      </x:c>
      <x:c r="H1902" s="26" t="n">
        <x:f>'成本明细'!U284</x:f>
        <x:v>2261.6482725555556</x:v>
      </x:c>
      <x:c r="I1902" s="26" t="n">
        <x:f>'成本明细'!V284</x:f>
        <x:v>4307</x:v>
      </x:c>
      <x:c r="J1902" s="22" t="n">
        <x:f>'参数'!$B$9</x:f>
        <x:v>300</x:v>
      </x:c>
      <x:c r="K1902" s="26" t="n">
        <x:f>J1902*(G1902-H1902)-I1902*ROUNDUP(J1902/F1902,0)</x:f>
        <x:v>-304369.5077155001</x:v>
      </x:c>
      <x:c r="L1902" s="10" t="str">
        <x:f>IF(G1902-H1902&lt;=0,"未回本",IF(ROUNDUP(I1902/(G1902-H1902),0)&gt;MIN(F1902,J1902),"未回本",MAX(1,ROUNDUP(I1902/(G1902-H1902),0))))</x:f>
        <x:v>未回本</x:v>
      </x:c>
    </x:row>
    <x:row r="1903" ht="22" customHeight="1">
      <x:c r="A1903" s="11" t="str">
        <x:v>lade_0828_10aoi</x:v>
      </x:c>
      <x:c r="B1903" s="10" t="n">
        <x:v>10</x:v>
      </x:c>
      <x:c r="C1903" s="10" t="n">
        <x:v>44</x:v>
      </x:c>
      <x:c r="D1903" s="10" t="str">
        <x:v>M2 / M4</x:v>
      </x:c>
      <x:c r="E1903" s="16" t="n">
        <x:v>3</x:v>
      </x:c>
      <x:c r="F1903" s="14" t="n">
        <x:v>10</x:v>
      </x:c>
      <x:c r="G1903" s="26" t="n">
        <x:f>'成本明细'!U281+'成本明细'!G281*(E1903-'参数'!$B$6)</x:f>
        <x:v>1168.4314819866668</x:v>
      </x:c>
      <x:c r="H1903" s="26" t="n">
        <x:f>'成本明细'!U287</x:f>
        <x:v>2096.6259821005556</x:v>
      </x:c>
      <x:c r="I1903" s="26" t="n">
        <x:f>'成本明细'!V287</x:f>
        <x:v>4307</x:v>
      </x:c>
      <x:c r="J1903" s="22" t="n">
        <x:f>'参数'!$B$9</x:f>
        <x:v>300</x:v>
      </x:c>
      <x:c r="K1903" s="26" t="n">
        <x:f>J1903*(G1903-H1903)-I1903*ROUNDUP(J1903/F1903,0)</x:f>
        <x:v>-407668.35003416665</x:v>
      </x:c>
      <x:c r="L1903" s="10" t="str">
        <x:f>IF(G1903-H1903&lt;=0,"未回本",IF(ROUNDUP(I1903/(G1903-H1903),0)&gt;MIN(F1903,J1903),"未回本",MAX(1,ROUNDUP(I1903/(G1903-H1903),0))))</x:f>
        <x:v>未回本</x:v>
      </x:c>
    </x:row>
    <x:row r="1904" ht="22" customHeight="1">
      <x:c r="A1904" s="11" t="str">
        <x:v>lade_0828_10aoi</x:v>
      </x:c>
      <x:c r="B1904" s="10" t="n">
        <x:v>10</x:v>
      </x:c>
      <x:c r="C1904" s="10" t="n">
        <x:v>44</x:v>
      </x:c>
      <x:c r="D1904" s="10" t="str">
        <x:v>M1 / M3</x:v>
      </x:c>
      <x:c r="E1904" s="16" t="n">
        <x:v>3</x:v>
      </x:c>
      <x:c r="F1904" s="14" t="n">
        <x:v>20</x:v>
      </x:c>
      <x:c r="G1904" s="26" t="n">
        <x:f>'成本明细'!U278+'成本明细'!G278*(E1904-'参数'!$B$6)</x:f>
        <x:v>1677.7832468372221</x:v>
      </x:c>
      <x:c r="H1904" s="26" t="n">
        <x:f>'成本明细'!U284</x:f>
        <x:v>2261.6482725555556</x:v>
      </x:c>
      <x:c r="I1904" s="26" t="n">
        <x:f>'成本明细'!V284</x:f>
        <x:v>4307</x:v>
      </x:c>
      <x:c r="J1904" s="22" t="n">
        <x:f>'参数'!$B$9</x:f>
        <x:v>300</x:v>
      </x:c>
      <x:c r="K1904" s="26" t="n">
        <x:f>J1904*(G1904-H1904)-I1904*ROUNDUP(J1904/F1904,0)</x:f>
        <x:v>-239764.50771550005</x:v>
      </x:c>
      <x:c r="L1904" s="10" t="str">
        <x:f>IF(G1904-H1904&lt;=0,"未回本",IF(ROUNDUP(I1904/(G1904-H1904),0)&gt;MIN(F1904,J1904),"未回本",MAX(1,ROUNDUP(I1904/(G1904-H1904),0))))</x:f>
        <x:v>未回本</x:v>
      </x:c>
    </x:row>
    <x:row r="1905" ht="22" customHeight="1">
      <x:c r="A1905" s="11" t="str">
        <x:v>lade_0828_10aoi</x:v>
      </x:c>
      <x:c r="B1905" s="10" t="n">
        <x:v>10</x:v>
      </x:c>
      <x:c r="C1905" s="10" t="n">
        <x:v>44</x:v>
      </x:c>
      <x:c r="D1905" s="10" t="str">
        <x:v>M2 / M4</x:v>
      </x:c>
      <x:c r="E1905" s="16" t="n">
        <x:v>3</x:v>
      </x:c>
      <x:c r="F1905" s="14" t="n">
        <x:v>20</x:v>
      </x:c>
      <x:c r="G1905" s="26" t="n">
        <x:f>'成本明细'!U281+'成本明细'!G281*(E1905-'参数'!$B$6)</x:f>
        <x:v>1168.4314819866668</x:v>
      </x:c>
      <x:c r="H1905" s="26" t="n">
        <x:f>'成本明细'!U287</x:f>
        <x:v>2096.6259821005556</x:v>
      </x:c>
      <x:c r="I1905" s="26" t="n">
        <x:f>'成本明细'!V287</x:f>
        <x:v>4307</x:v>
      </x:c>
      <x:c r="J1905" s="22" t="n">
        <x:f>'参数'!$B$9</x:f>
        <x:v>300</x:v>
      </x:c>
      <x:c r="K1905" s="26" t="n">
        <x:f>J1905*(G1905-H1905)-I1905*ROUNDUP(J1905/F1905,0)</x:f>
        <x:v>-343063.35003416665</x:v>
      </x:c>
      <x:c r="L1905" s="10" t="str">
        <x:f>IF(G1905-H1905&lt;=0,"未回本",IF(ROUNDUP(I1905/(G1905-H1905),0)&gt;MIN(F1905,J1905),"未回本",MAX(1,ROUNDUP(I1905/(G1905-H1905),0))))</x:f>
        <x:v>未回本</x:v>
      </x:c>
    </x:row>
    <x:row r="1906" ht="22" customHeight="1">
      <x:c r="A1906" s="11" t="str">
        <x:v>lade_0828_10aoi</x:v>
      </x:c>
      <x:c r="B1906" s="10" t="n">
        <x:v>10</x:v>
      </x:c>
      <x:c r="C1906" s="10" t="n">
        <x:v>44</x:v>
      </x:c>
      <x:c r="D1906" s="10" t="str">
        <x:v>M1 / M3</x:v>
      </x:c>
      <x:c r="E1906" s="16" t="n">
        <x:v>3</x:v>
      </x:c>
      <x:c r="F1906" s="14" t="n">
        <x:v>30</x:v>
      </x:c>
      <x:c r="G1906" s="26" t="n">
        <x:f>'成本明细'!U278+'成本明细'!G278*(E1906-'参数'!$B$6)</x:f>
        <x:v>1677.7832468372221</x:v>
      </x:c>
      <x:c r="H1906" s="26" t="n">
        <x:f>'成本明细'!U284</x:f>
        <x:v>2261.6482725555556</x:v>
      </x:c>
      <x:c r="I1906" s="26" t="n">
        <x:f>'成本明细'!V284</x:f>
        <x:v>4307</x:v>
      </x:c>
      <x:c r="J1906" s="22" t="n">
        <x:f>'参数'!$B$9</x:f>
        <x:v>300</x:v>
      </x:c>
      <x:c r="K1906" s="26" t="n">
        <x:f>J1906*(G1906-H1906)-I1906*ROUNDUP(J1906/F1906,0)</x:f>
        <x:v>-218229.50771550005</x:v>
      </x:c>
      <x:c r="L1906" s="10" t="str">
        <x:f>IF(G1906-H1906&lt;=0,"未回本",IF(ROUNDUP(I1906/(G1906-H1906),0)&gt;MIN(F1906,J1906),"未回本",MAX(1,ROUNDUP(I1906/(G1906-H1906),0))))</x:f>
        <x:v>未回本</x:v>
      </x:c>
    </x:row>
    <x:row r="1907" ht="22" customHeight="1">
      <x:c r="A1907" s="11" t="str">
        <x:v>lade_0828_10aoi</x:v>
      </x:c>
      <x:c r="B1907" s="10" t="n">
        <x:v>10</x:v>
      </x:c>
      <x:c r="C1907" s="10" t="n">
        <x:v>44</x:v>
      </x:c>
      <x:c r="D1907" s="10" t="str">
        <x:v>M2 / M4</x:v>
      </x:c>
      <x:c r="E1907" s="16" t="n">
        <x:v>3</x:v>
      </x:c>
      <x:c r="F1907" s="14" t="n">
        <x:v>30</x:v>
      </x:c>
      <x:c r="G1907" s="26" t="n">
        <x:f>'成本明细'!U281+'成本明细'!G281*(E1907-'参数'!$B$6)</x:f>
        <x:v>1168.4314819866668</x:v>
      </x:c>
      <x:c r="H1907" s="26" t="n">
        <x:f>'成本明细'!U287</x:f>
        <x:v>2096.6259821005556</x:v>
      </x:c>
      <x:c r="I1907" s="26" t="n">
        <x:f>'成本明细'!V287</x:f>
        <x:v>4307</x:v>
      </x:c>
      <x:c r="J1907" s="22" t="n">
        <x:f>'参数'!$B$9</x:f>
        <x:v>300</x:v>
      </x:c>
      <x:c r="K1907" s="26" t="n">
        <x:f>J1907*(G1907-H1907)-I1907*ROUNDUP(J1907/F1907,0)</x:f>
        <x:v>-321528.35003416665</x:v>
      </x:c>
      <x:c r="L1907" s="10" t="str">
        <x:f>IF(G1907-H1907&lt;=0,"未回本",IF(ROUNDUP(I1907/(G1907-H1907),0)&gt;MIN(F1907,J1907),"未回本",MAX(1,ROUNDUP(I1907/(G1907-H1907),0))))</x:f>
        <x:v>未回本</x:v>
      </x:c>
    </x:row>
    <x:row r="1908" ht="22" customHeight="1">
      <x:c r="A1908" s="11" t="str">
        <x:v>lade_0828_10aoi</x:v>
      </x:c>
      <x:c r="B1908" s="10" t="n">
        <x:v>10</x:v>
      </x:c>
      <x:c r="C1908" s="10" t="n">
        <x:v>44</x:v>
      </x:c>
      <x:c r="D1908" s="10" t="str">
        <x:v>M1 / M3</x:v>
      </x:c>
      <x:c r="E1908" s="16" t="n">
        <x:v>3</x:v>
      </x:c>
      <x:c r="F1908" s="14" t="n">
        <x:v>50</x:v>
      </x:c>
      <x:c r="G1908" s="26" t="n">
        <x:f>'成本明细'!U278+'成本明细'!G278*(E1908-'参数'!$B$6)</x:f>
        <x:v>1677.7832468372221</x:v>
      </x:c>
      <x:c r="H1908" s="26" t="n">
        <x:f>'成本明细'!U284</x:f>
        <x:v>2261.6482725555556</x:v>
      </x:c>
      <x:c r="I1908" s="26" t="n">
        <x:f>'成本明细'!V284</x:f>
        <x:v>4307</x:v>
      </x:c>
      <x:c r="J1908" s="22" t="n">
        <x:f>'参数'!$B$9</x:f>
        <x:v>300</x:v>
      </x:c>
      <x:c r="K1908" s="26" t="n">
        <x:f>J1908*(G1908-H1908)-I1908*ROUNDUP(J1908/F1908,0)</x:f>
        <x:v>-201001.50771550005</x:v>
      </x:c>
      <x:c r="L1908" s="10" t="str">
        <x:f>IF(G1908-H1908&lt;=0,"未回本",IF(ROUNDUP(I1908/(G1908-H1908),0)&gt;MIN(F1908,J1908),"未回本",MAX(1,ROUNDUP(I1908/(G1908-H1908),0))))</x:f>
        <x:v>未回本</x:v>
      </x:c>
    </x:row>
    <x:row r="1909" ht="22" customHeight="1">
      <x:c r="A1909" s="11" t="str">
        <x:v>lade_0828_10aoi</x:v>
      </x:c>
      <x:c r="B1909" s="10" t="n">
        <x:v>10</x:v>
      </x:c>
      <x:c r="C1909" s="10" t="n">
        <x:v>44</x:v>
      </x:c>
      <x:c r="D1909" s="10" t="str">
        <x:v>M2 / M4</x:v>
      </x:c>
      <x:c r="E1909" s="16" t="n">
        <x:v>3</x:v>
      </x:c>
      <x:c r="F1909" s="14" t="n">
        <x:v>50</x:v>
      </x:c>
      <x:c r="G1909" s="26" t="n">
        <x:f>'成本明细'!U281+'成本明细'!G281*(E1909-'参数'!$B$6)</x:f>
        <x:v>1168.4314819866668</x:v>
      </x:c>
      <x:c r="H1909" s="26" t="n">
        <x:f>'成本明细'!U287</x:f>
        <x:v>2096.6259821005556</x:v>
      </x:c>
      <x:c r="I1909" s="26" t="n">
        <x:f>'成本明细'!V287</x:f>
        <x:v>4307</x:v>
      </x:c>
      <x:c r="J1909" s="22" t="n">
        <x:f>'参数'!$B$9</x:f>
        <x:v>300</x:v>
      </x:c>
      <x:c r="K1909" s="26" t="n">
        <x:f>J1909*(G1909-H1909)-I1909*ROUNDUP(J1909/F1909,0)</x:f>
        <x:v>-304300.35003416665</x:v>
      </x:c>
      <x:c r="L1909" s="10" t="str">
        <x:f>IF(G1909-H1909&lt;=0,"未回本",IF(ROUNDUP(I1909/(G1909-H1909),0)&gt;MIN(F1909,J1909),"未回本",MAX(1,ROUNDUP(I1909/(G1909-H1909),0))))</x:f>
        <x:v>未回本</x:v>
      </x:c>
    </x:row>
    <x:row r="1910" ht="22" customHeight="1">
      <x:c r="A1910" s="11" t="str">
        <x:v>lade_0828_10aoi</x:v>
      </x:c>
      <x:c r="B1910" s="10" t="n">
        <x:v>10</x:v>
      </x:c>
      <x:c r="C1910" s="10" t="n">
        <x:v>44</x:v>
      </x:c>
      <x:c r="D1910" s="10" t="str">
        <x:v>M1 / M3</x:v>
      </x:c>
      <x:c r="E1910" s="16" t="n">
        <x:v>4</x:v>
      </x:c>
      <x:c r="F1910" s="14" t="n">
        <x:v>10</x:v>
      </x:c>
      <x:c r="G1910" s="26" t="n">
        <x:f>'成本明细'!U278+'成本明细'!G278*(E1910-'参数'!$B$6)</x:f>
        <x:v>1795.7832468372221</x:v>
      </x:c>
      <x:c r="H1910" s="26" t="n">
        <x:f>'成本明细'!U284</x:f>
        <x:v>2261.6482725555556</x:v>
      </x:c>
      <x:c r="I1910" s="26" t="n">
        <x:f>'成本明细'!V284</x:f>
        <x:v>4307</x:v>
      </x:c>
      <x:c r="J1910" s="22" t="n">
        <x:f>'参数'!$B$9</x:f>
        <x:v>300</x:v>
      </x:c>
      <x:c r="K1910" s="26" t="n">
        <x:f>J1910*(G1910-H1910)-I1910*ROUNDUP(J1910/F1910,0)</x:f>
        <x:v>-268969.5077155001</x:v>
      </x:c>
      <x:c r="L1910" s="10" t="str">
        <x:f>IF(G1910-H1910&lt;=0,"未回本",IF(ROUNDUP(I1910/(G1910-H1910),0)&gt;MIN(F1910,J1910),"未回本",MAX(1,ROUNDUP(I1910/(G1910-H1910),0))))</x:f>
        <x:v>未回本</x:v>
      </x:c>
    </x:row>
    <x:row r="1911" ht="22" customHeight="1">
      <x:c r="A1911" s="11" t="str">
        <x:v>lade_0828_10aoi</x:v>
      </x:c>
      <x:c r="B1911" s="10" t="n">
        <x:v>10</x:v>
      </x:c>
      <x:c r="C1911" s="10" t="n">
        <x:v>44</x:v>
      </x:c>
      <x:c r="D1911" s="10" t="str">
        <x:v>M2 / M4</x:v>
      </x:c>
      <x:c r="E1911" s="16" t="n">
        <x:v>4</x:v>
      </x:c>
      <x:c r="F1911" s="14" t="n">
        <x:v>10</x:v>
      </x:c>
      <x:c r="G1911" s="26" t="n">
        <x:f>'成本明细'!U281+'成本明细'!G281*(E1911-'参数'!$B$6)</x:f>
        <x:v>1286.4314819866668</x:v>
      </x:c>
      <x:c r="H1911" s="26" t="n">
        <x:f>'成本明细'!U287</x:f>
        <x:v>2096.6259821005556</x:v>
      </x:c>
      <x:c r="I1911" s="26" t="n">
        <x:f>'成本明细'!V287</x:f>
        <x:v>4307</x:v>
      </x:c>
      <x:c r="J1911" s="22" t="n">
        <x:f>'参数'!$B$9</x:f>
        <x:v>300</x:v>
      </x:c>
      <x:c r="K1911" s="26" t="n">
        <x:f>J1911*(G1911-H1911)-I1911*ROUNDUP(J1911/F1911,0)</x:f>
        <x:v>-372268.35003416665</x:v>
      </x:c>
      <x:c r="L1911" s="10" t="str">
        <x:f>IF(G1911-H1911&lt;=0,"未回本",IF(ROUNDUP(I1911/(G1911-H1911),0)&gt;MIN(F1911,J1911),"未回本",MAX(1,ROUNDUP(I1911/(G1911-H1911),0))))</x:f>
        <x:v>未回本</x:v>
      </x:c>
    </x:row>
    <x:row r="1912" ht="22" customHeight="1">
      <x:c r="A1912" s="11" t="str">
        <x:v>lade_0828_10aoi</x:v>
      </x:c>
      <x:c r="B1912" s="10" t="n">
        <x:v>10</x:v>
      </x:c>
      <x:c r="C1912" s="10" t="n">
        <x:v>44</x:v>
      </x:c>
      <x:c r="D1912" s="10" t="str">
        <x:v>M1 / M3</x:v>
      </x:c>
      <x:c r="E1912" s="16" t="n">
        <x:v>4</x:v>
      </x:c>
      <x:c r="F1912" s="14" t="n">
        <x:v>20</x:v>
      </x:c>
      <x:c r="G1912" s="26" t="n">
        <x:f>'成本明细'!U278+'成本明细'!G278*(E1912-'参数'!$B$6)</x:f>
        <x:v>1795.7832468372221</x:v>
      </x:c>
      <x:c r="H1912" s="26" t="n">
        <x:f>'成本明细'!U284</x:f>
        <x:v>2261.6482725555556</x:v>
      </x:c>
      <x:c r="I1912" s="26" t="n">
        <x:f>'成本明细'!V284</x:f>
        <x:v>4307</x:v>
      </x:c>
      <x:c r="J1912" s="22" t="n">
        <x:f>'参数'!$B$9</x:f>
        <x:v>300</x:v>
      </x:c>
      <x:c r="K1912" s="26" t="n">
        <x:f>J1912*(G1912-H1912)-I1912*ROUNDUP(J1912/F1912,0)</x:f>
        <x:v>-204364.50771550005</x:v>
      </x:c>
      <x:c r="L1912" s="10" t="str">
        <x:f>IF(G1912-H1912&lt;=0,"未回本",IF(ROUNDUP(I1912/(G1912-H1912),0)&gt;MIN(F1912,J1912),"未回本",MAX(1,ROUNDUP(I1912/(G1912-H1912),0))))</x:f>
        <x:v>未回本</x:v>
      </x:c>
    </x:row>
    <x:row r="1913" ht="22" customHeight="1">
      <x:c r="A1913" s="11" t="str">
        <x:v>lade_0828_10aoi</x:v>
      </x:c>
      <x:c r="B1913" s="10" t="n">
        <x:v>10</x:v>
      </x:c>
      <x:c r="C1913" s="10" t="n">
        <x:v>44</x:v>
      </x:c>
      <x:c r="D1913" s="10" t="str">
        <x:v>M2 / M4</x:v>
      </x:c>
      <x:c r="E1913" s="16" t="n">
        <x:v>4</x:v>
      </x:c>
      <x:c r="F1913" s="14" t="n">
        <x:v>20</x:v>
      </x:c>
      <x:c r="G1913" s="26" t="n">
        <x:f>'成本明细'!U281+'成本明细'!G281*(E1913-'参数'!$B$6)</x:f>
        <x:v>1286.4314819866668</x:v>
      </x:c>
      <x:c r="H1913" s="26" t="n">
        <x:f>'成本明细'!U287</x:f>
        <x:v>2096.6259821005556</x:v>
      </x:c>
      <x:c r="I1913" s="26" t="n">
        <x:f>'成本明细'!V287</x:f>
        <x:v>4307</x:v>
      </x:c>
      <x:c r="J1913" s="22" t="n">
        <x:f>'参数'!$B$9</x:f>
        <x:v>300</x:v>
      </x:c>
      <x:c r="K1913" s="26" t="n">
        <x:f>J1913*(G1913-H1913)-I1913*ROUNDUP(J1913/F1913,0)</x:f>
        <x:v>-307663.35003416665</x:v>
      </x:c>
      <x:c r="L1913" s="10" t="str">
        <x:f>IF(G1913-H1913&lt;=0,"未回本",IF(ROUNDUP(I1913/(G1913-H1913),0)&gt;MIN(F1913,J1913),"未回本",MAX(1,ROUNDUP(I1913/(G1913-H1913),0))))</x:f>
        <x:v>未回本</x:v>
      </x:c>
    </x:row>
    <x:row r="1914" ht="22" customHeight="1">
      <x:c r="A1914" s="11" t="str">
        <x:v>lade_0828_10aoi</x:v>
      </x:c>
      <x:c r="B1914" s="10" t="n">
        <x:v>10</x:v>
      </x:c>
      <x:c r="C1914" s="10" t="n">
        <x:v>44</x:v>
      </x:c>
      <x:c r="D1914" s="10" t="str">
        <x:v>M1 / M3</x:v>
      </x:c>
      <x:c r="E1914" s="16" t="n">
        <x:v>4</x:v>
      </x:c>
      <x:c r="F1914" s="14" t="n">
        <x:v>30</x:v>
      </x:c>
      <x:c r="G1914" s="26" t="n">
        <x:f>'成本明细'!U278+'成本明细'!G278*(E1914-'参数'!$B$6)</x:f>
        <x:v>1795.7832468372221</x:v>
      </x:c>
      <x:c r="H1914" s="26" t="n">
        <x:f>'成本明细'!U284</x:f>
        <x:v>2261.6482725555556</x:v>
      </x:c>
      <x:c r="I1914" s="26" t="n">
        <x:f>'成本明细'!V284</x:f>
        <x:v>4307</x:v>
      </x:c>
      <x:c r="J1914" s="22" t="n">
        <x:f>'参数'!$B$9</x:f>
        <x:v>300</x:v>
      </x:c>
      <x:c r="K1914" s="26" t="n">
        <x:f>J1914*(G1914-H1914)-I1914*ROUNDUP(J1914/F1914,0)</x:f>
        <x:v>-182829.50771550005</x:v>
      </x:c>
      <x:c r="L1914" s="10" t="str">
        <x:f>IF(G1914-H1914&lt;=0,"未回本",IF(ROUNDUP(I1914/(G1914-H1914),0)&gt;MIN(F1914,J1914),"未回本",MAX(1,ROUNDUP(I1914/(G1914-H1914),0))))</x:f>
        <x:v>未回本</x:v>
      </x:c>
    </x:row>
    <x:row r="1915" ht="22" customHeight="1">
      <x:c r="A1915" s="11" t="str">
        <x:v>lade_0828_10aoi</x:v>
      </x:c>
      <x:c r="B1915" s="10" t="n">
        <x:v>10</x:v>
      </x:c>
      <x:c r="C1915" s="10" t="n">
        <x:v>44</x:v>
      </x:c>
      <x:c r="D1915" s="10" t="str">
        <x:v>M2 / M4</x:v>
      </x:c>
      <x:c r="E1915" s="16" t="n">
        <x:v>4</x:v>
      </x:c>
      <x:c r="F1915" s="14" t="n">
        <x:v>30</x:v>
      </x:c>
      <x:c r="G1915" s="26" t="n">
        <x:f>'成本明细'!U281+'成本明细'!G281*(E1915-'参数'!$B$6)</x:f>
        <x:v>1286.4314819866668</x:v>
      </x:c>
      <x:c r="H1915" s="26" t="n">
        <x:f>'成本明细'!U287</x:f>
        <x:v>2096.6259821005556</x:v>
      </x:c>
      <x:c r="I1915" s="26" t="n">
        <x:f>'成本明细'!V287</x:f>
        <x:v>4307</x:v>
      </x:c>
      <x:c r="J1915" s="22" t="n">
        <x:f>'参数'!$B$9</x:f>
        <x:v>300</x:v>
      </x:c>
      <x:c r="K1915" s="26" t="n">
        <x:f>J1915*(G1915-H1915)-I1915*ROUNDUP(J1915/F1915,0)</x:f>
        <x:v>-286128.35003416665</x:v>
      </x:c>
      <x:c r="L1915" s="10" t="str">
        <x:f>IF(G1915-H1915&lt;=0,"未回本",IF(ROUNDUP(I1915/(G1915-H1915),0)&gt;MIN(F1915,J1915),"未回本",MAX(1,ROUNDUP(I1915/(G1915-H1915),0))))</x:f>
        <x:v>未回本</x:v>
      </x:c>
    </x:row>
    <x:row r="1916" ht="22" customHeight="1">
      <x:c r="A1916" s="11" t="str">
        <x:v>lade_0828_10aoi</x:v>
      </x:c>
      <x:c r="B1916" s="10" t="n">
        <x:v>10</x:v>
      </x:c>
      <x:c r="C1916" s="10" t="n">
        <x:v>44</x:v>
      </x:c>
      <x:c r="D1916" s="10" t="str">
        <x:v>M1 / M3</x:v>
      </x:c>
      <x:c r="E1916" s="16" t="n">
        <x:v>4</x:v>
      </x:c>
      <x:c r="F1916" s="14" t="n">
        <x:v>50</x:v>
      </x:c>
      <x:c r="G1916" s="26" t="n">
        <x:f>'成本明细'!U278+'成本明细'!G278*(E1916-'参数'!$B$6)</x:f>
        <x:v>1795.7832468372221</x:v>
      </x:c>
      <x:c r="H1916" s="26" t="n">
        <x:f>'成本明细'!U284</x:f>
        <x:v>2261.6482725555556</x:v>
      </x:c>
      <x:c r="I1916" s="26" t="n">
        <x:f>'成本明细'!V284</x:f>
        <x:v>4307</x:v>
      </x:c>
      <x:c r="J1916" s="22" t="n">
        <x:f>'参数'!$B$9</x:f>
        <x:v>300</x:v>
      </x:c>
      <x:c r="K1916" s="26" t="n">
        <x:f>J1916*(G1916-H1916)-I1916*ROUNDUP(J1916/F1916,0)</x:f>
        <x:v>-165601.50771550005</x:v>
      </x:c>
      <x:c r="L1916" s="10" t="str">
        <x:f>IF(G1916-H1916&lt;=0,"未回本",IF(ROUNDUP(I1916/(G1916-H1916),0)&gt;MIN(F1916,J1916),"未回本",MAX(1,ROUNDUP(I1916/(G1916-H1916),0))))</x:f>
        <x:v>未回本</x:v>
      </x:c>
    </x:row>
    <x:row r="1917" ht="22" customHeight="1">
      <x:c r="A1917" s="11" t="str">
        <x:v>lade_0828_10aoi</x:v>
      </x:c>
      <x:c r="B1917" s="10" t="n">
        <x:v>10</x:v>
      </x:c>
      <x:c r="C1917" s="10" t="n">
        <x:v>44</x:v>
      </x:c>
      <x:c r="D1917" s="10" t="str">
        <x:v>M2 / M4</x:v>
      </x:c>
      <x:c r="E1917" s="16" t="n">
        <x:v>4</x:v>
      </x:c>
      <x:c r="F1917" s="14" t="n">
        <x:v>50</x:v>
      </x:c>
      <x:c r="G1917" s="26" t="n">
        <x:f>'成本明细'!U281+'成本明细'!G281*(E1917-'参数'!$B$6)</x:f>
        <x:v>1286.4314819866668</x:v>
      </x:c>
      <x:c r="H1917" s="26" t="n">
        <x:f>'成本明细'!U287</x:f>
        <x:v>2096.6259821005556</x:v>
      </x:c>
      <x:c r="I1917" s="26" t="n">
        <x:f>'成本明细'!V287</x:f>
        <x:v>4307</x:v>
      </x:c>
      <x:c r="J1917" s="22" t="n">
        <x:f>'参数'!$B$9</x:f>
        <x:v>300</x:v>
      </x:c>
      <x:c r="K1917" s="26" t="n">
        <x:f>J1917*(G1917-H1917)-I1917*ROUNDUP(J1917/F1917,0)</x:f>
        <x:v>-268900.35003416665</x:v>
      </x:c>
      <x:c r="L1917" s="10" t="str">
        <x:f>IF(G1917-H1917&lt;=0,"未回本",IF(ROUNDUP(I1917/(G1917-H1917),0)&gt;MIN(F1917,J1917),"未回本",MAX(1,ROUNDUP(I1917/(G1917-H1917),0))))</x:f>
        <x:v>未回本</x:v>
      </x:c>
    </x:row>
    <x:row r="1918" ht="22" customHeight="1">
      <x:c r="A1918" s="11" t="str">
        <x:v>lade_0828_10aoi</x:v>
      </x:c>
      <x:c r="B1918" s="10" t="n">
        <x:v>10</x:v>
      </x:c>
      <x:c r="C1918" s="10" t="n">
        <x:v>44</x:v>
      </x:c>
      <x:c r="D1918" s="10" t="str">
        <x:v>M1 / M3</x:v>
      </x:c>
      <x:c r="E1918" s="16" t="n">
        <x:v>5</x:v>
      </x:c>
      <x:c r="F1918" s="14" t="n">
        <x:v>10</x:v>
      </x:c>
      <x:c r="G1918" s="26" t="n">
        <x:f>'成本明细'!U278+'成本明细'!G278*(E1918-'参数'!$B$6)</x:f>
        <x:v>1913.7832468372221</x:v>
      </x:c>
      <x:c r="H1918" s="26" t="n">
        <x:f>'成本明细'!U284</x:f>
        <x:v>2261.6482725555556</x:v>
      </x:c>
      <x:c r="I1918" s="26" t="n">
        <x:f>'成本明细'!V284</x:f>
        <x:v>4307</x:v>
      </x:c>
      <x:c r="J1918" s="22" t="n">
        <x:f>'参数'!$B$9</x:f>
        <x:v>300</x:v>
      </x:c>
      <x:c r="K1918" s="26" t="n">
        <x:f>J1918*(G1918-H1918)-I1918*ROUNDUP(J1918/F1918,0)</x:f>
        <x:v>-233569.50771550008</x:v>
      </x:c>
      <x:c r="L1918" s="10" t="str">
        <x:f>IF(G1918-H1918&lt;=0,"未回本",IF(ROUNDUP(I1918/(G1918-H1918),0)&gt;MIN(F1918,J1918),"未回本",MAX(1,ROUNDUP(I1918/(G1918-H1918),0))))</x:f>
        <x:v>未回本</x:v>
      </x:c>
    </x:row>
    <x:row r="1919" ht="22" customHeight="1">
      <x:c r="A1919" s="11" t="str">
        <x:v>lade_0828_10aoi</x:v>
      </x:c>
      <x:c r="B1919" s="10" t="n">
        <x:v>10</x:v>
      </x:c>
      <x:c r="C1919" s="10" t="n">
        <x:v>44</x:v>
      </x:c>
      <x:c r="D1919" s="10" t="str">
        <x:v>M2 / M4</x:v>
      </x:c>
      <x:c r="E1919" s="16" t="n">
        <x:v>5</x:v>
      </x:c>
      <x:c r="F1919" s="14" t="n">
        <x:v>10</x:v>
      </x:c>
      <x:c r="G1919" s="26" t="n">
        <x:f>'成本明细'!U281+'成本明细'!G281*(E1919-'参数'!$B$6)</x:f>
        <x:v>1404.4314819866668</x:v>
      </x:c>
      <x:c r="H1919" s="26" t="n">
        <x:f>'成本明细'!U287</x:f>
        <x:v>2096.6259821005556</x:v>
      </x:c>
      <x:c r="I1919" s="26" t="n">
        <x:f>'成本明细'!V287</x:f>
        <x:v>4307</x:v>
      </x:c>
      <x:c r="J1919" s="22" t="n">
        <x:f>'参数'!$B$9</x:f>
        <x:v>300</x:v>
      </x:c>
      <x:c r="K1919" s="26" t="n">
        <x:f>J1919*(G1919-H1919)-I1919*ROUNDUP(J1919/F1919,0)</x:f>
        <x:v>-336868.35003416665</x:v>
      </x:c>
      <x:c r="L1919" s="10" t="str">
        <x:f>IF(G1919-H1919&lt;=0,"未回本",IF(ROUNDUP(I1919/(G1919-H1919),0)&gt;MIN(F1919,J1919),"未回本",MAX(1,ROUNDUP(I1919/(G1919-H1919),0))))</x:f>
        <x:v>未回本</x:v>
      </x:c>
    </x:row>
    <x:row r="1920" ht="22" customHeight="1">
      <x:c r="A1920" s="11" t="str">
        <x:v>lade_0828_10aoi</x:v>
      </x:c>
      <x:c r="B1920" s="10" t="n">
        <x:v>10</x:v>
      </x:c>
      <x:c r="C1920" s="10" t="n">
        <x:v>44</x:v>
      </x:c>
      <x:c r="D1920" s="10" t="str">
        <x:v>M1 / M3</x:v>
      </x:c>
      <x:c r="E1920" s="16" t="n">
        <x:v>5</x:v>
      </x:c>
      <x:c r="F1920" s="14" t="n">
        <x:v>20</x:v>
      </x:c>
      <x:c r="G1920" s="26" t="n">
        <x:f>'成本明细'!U278+'成本明细'!G278*(E1920-'参数'!$B$6)</x:f>
        <x:v>1913.7832468372221</x:v>
      </x:c>
      <x:c r="H1920" s="26" t="n">
        <x:f>'成本明细'!U284</x:f>
        <x:v>2261.6482725555556</x:v>
      </x:c>
      <x:c r="I1920" s="26" t="n">
        <x:f>'成本明细'!V284</x:f>
        <x:v>4307</x:v>
      </x:c>
      <x:c r="J1920" s="22" t="n">
        <x:f>'参数'!$B$9</x:f>
        <x:v>300</x:v>
      </x:c>
      <x:c r="K1920" s="26" t="n">
        <x:f>J1920*(G1920-H1920)-I1920*ROUNDUP(J1920/F1920,0)</x:f>
        <x:v>-168964.50771550008</x:v>
      </x:c>
      <x:c r="L1920" s="10" t="str">
        <x:f>IF(G1920-H1920&lt;=0,"未回本",IF(ROUNDUP(I1920/(G1920-H1920),0)&gt;MIN(F1920,J1920),"未回本",MAX(1,ROUNDUP(I1920/(G1920-H1920),0))))</x:f>
        <x:v>未回本</x:v>
      </x:c>
    </x:row>
    <x:row r="1921" ht="22" customHeight="1">
      <x:c r="A1921" s="11" t="str">
        <x:v>lade_0828_10aoi</x:v>
      </x:c>
      <x:c r="B1921" s="10" t="n">
        <x:v>10</x:v>
      </x:c>
      <x:c r="C1921" s="10" t="n">
        <x:v>44</x:v>
      </x:c>
      <x:c r="D1921" s="10" t="str">
        <x:v>M2 / M4</x:v>
      </x:c>
      <x:c r="E1921" s="16" t="n">
        <x:v>5</x:v>
      </x:c>
      <x:c r="F1921" s="14" t="n">
        <x:v>20</x:v>
      </x:c>
      <x:c r="G1921" s="26" t="n">
        <x:f>'成本明细'!U281+'成本明细'!G281*(E1921-'参数'!$B$6)</x:f>
        <x:v>1404.4314819866668</x:v>
      </x:c>
      <x:c r="H1921" s="26" t="n">
        <x:f>'成本明细'!U287</x:f>
        <x:v>2096.6259821005556</x:v>
      </x:c>
      <x:c r="I1921" s="26" t="n">
        <x:f>'成本明细'!V287</x:f>
        <x:v>4307</x:v>
      </x:c>
      <x:c r="J1921" s="22" t="n">
        <x:f>'参数'!$B$9</x:f>
        <x:v>300</x:v>
      </x:c>
      <x:c r="K1921" s="26" t="n">
        <x:f>J1921*(G1921-H1921)-I1921*ROUNDUP(J1921/F1921,0)</x:f>
        <x:v>-272263.35003416665</x:v>
      </x:c>
      <x:c r="L1921" s="10" t="str">
        <x:f>IF(G1921-H1921&lt;=0,"未回本",IF(ROUNDUP(I1921/(G1921-H1921),0)&gt;MIN(F1921,J1921),"未回本",MAX(1,ROUNDUP(I1921/(G1921-H1921),0))))</x:f>
        <x:v>未回本</x:v>
      </x:c>
    </x:row>
    <x:row r="1922" ht="22" customHeight="1">
      <x:c r="A1922" s="11" t="str">
        <x:v>lade_0828_10aoi</x:v>
      </x:c>
      <x:c r="B1922" s="10" t="n">
        <x:v>10</x:v>
      </x:c>
      <x:c r="C1922" s="10" t="n">
        <x:v>44</x:v>
      </x:c>
      <x:c r="D1922" s="10" t="str">
        <x:v>M1 / M3</x:v>
      </x:c>
      <x:c r="E1922" s="16" t="n">
        <x:v>5</x:v>
      </x:c>
      <x:c r="F1922" s="14" t="n">
        <x:v>30</x:v>
      </x:c>
      <x:c r="G1922" s="26" t="n">
        <x:f>'成本明细'!U278+'成本明细'!G278*(E1922-'参数'!$B$6)</x:f>
        <x:v>1913.7832468372221</x:v>
      </x:c>
      <x:c r="H1922" s="26" t="n">
        <x:f>'成本明细'!U284</x:f>
        <x:v>2261.6482725555556</x:v>
      </x:c>
      <x:c r="I1922" s="26" t="n">
        <x:f>'成本明细'!V284</x:f>
        <x:v>4307</x:v>
      </x:c>
      <x:c r="J1922" s="22" t="n">
        <x:f>'参数'!$B$9</x:f>
        <x:v>300</x:v>
      </x:c>
      <x:c r="K1922" s="26" t="n">
        <x:f>J1922*(G1922-H1922)-I1922*ROUNDUP(J1922/F1922,0)</x:f>
        <x:v>-147429.50771550008</x:v>
      </x:c>
      <x:c r="L1922" s="10" t="str">
        <x:f>IF(G1922-H1922&lt;=0,"未回本",IF(ROUNDUP(I1922/(G1922-H1922),0)&gt;MIN(F1922,J1922),"未回本",MAX(1,ROUNDUP(I1922/(G1922-H1922),0))))</x:f>
        <x:v>未回本</x:v>
      </x:c>
    </x:row>
    <x:row r="1923" ht="22" customHeight="1">
      <x:c r="A1923" s="11" t="str">
        <x:v>lade_0828_10aoi</x:v>
      </x:c>
      <x:c r="B1923" s="10" t="n">
        <x:v>10</x:v>
      </x:c>
      <x:c r="C1923" s="10" t="n">
        <x:v>44</x:v>
      </x:c>
      <x:c r="D1923" s="10" t="str">
        <x:v>M2 / M4</x:v>
      </x:c>
      <x:c r="E1923" s="16" t="n">
        <x:v>5</x:v>
      </x:c>
      <x:c r="F1923" s="14" t="n">
        <x:v>30</x:v>
      </x:c>
      <x:c r="G1923" s="26" t="n">
        <x:f>'成本明细'!U281+'成本明细'!G281*(E1923-'参数'!$B$6)</x:f>
        <x:v>1404.4314819866668</x:v>
      </x:c>
      <x:c r="H1923" s="26" t="n">
        <x:f>'成本明细'!U287</x:f>
        <x:v>2096.6259821005556</x:v>
      </x:c>
      <x:c r="I1923" s="26" t="n">
        <x:f>'成本明细'!V287</x:f>
        <x:v>4307</x:v>
      </x:c>
      <x:c r="J1923" s="22" t="n">
        <x:f>'参数'!$B$9</x:f>
        <x:v>300</x:v>
      </x:c>
      <x:c r="K1923" s="26" t="n">
        <x:f>J1923*(G1923-H1923)-I1923*ROUNDUP(J1923/F1923,0)</x:f>
        <x:v>-250728.35003416665</x:v>
      </x:c>
      <x:c r="L1923" s="10" t="str">
        <x:f>IF(G1923-H1923&lt;=0,"未回本",IF(ROUNDUP(I1923/(G1923-H1923),0)&gt;MIN(F1923,J1923),"未回本",MAX(1,ROUNDUP(I1923/(G1923-H1923),0))))</x:f>
        <x:v>未回本</x:v>
      </x:c>
    </x:row>
    <x:row r="1924" ht="22" customHeight="1">
      <x:c r="A1924" s="11" t="str">
        <x:v>lade_0828_10aoi</x:v>
      </x:c>
      <x:c r="B1924" s="10" t="n">
        <x:v>10</x:v>
      </x:c>
      <x:c r="C1924" s="10" t="n">
        <x:v>44</x:v>
      </x:c>
      <x:c r="D1924" s="10" t="str">
        <x:v>M1 / M3</x:v>
      </x:c>
      <x:c r="E1924" s="16" t="n">
        <x:v>5</x:v>
      </x:c>
      <x:c r="F1924" s="14" t="n">
        <x:v>50</x:v>
      </x:c>
      <x:c r="G1924" s="26" t="n">
        <x:f>'成本明细'!U278+'成本明细'!G278*(E1924-'参数'!$B$6)</x:f>
        <x:v>1913.7832468372221</x:v>
      </x:c>
      <x:c r="H1924" s="26" t="n">
        <x:f>'成本明细'!U284</x:f>
        <x:v>2261.6482725555556</x:v>
      </x:c>
      <x:c r="I1924" s="26" t="n">
        <x:f>'成本明细'!V284</x:f>
        <x:v>4307</x:v>
      </x:c>
      <x:c r="J1924" s="22" t="n">
        <x:f>'参数'!$B$9</x:f>
        <x:v>300</x:v>
      </x:c>
      <x:c r="K1924" s="26" t="n">
        <x:f>J1924*(G1924-H1924)-I1924*ROUNDUP(J1924/F1924,0)</x:f>
        <x:v>-130201.50771550006</x:v>
      </x:c>
      <x:c r="L1924" s="10" t="str">
        <x:f>IF(G1924-H1924&lt;=0,"未回本",IF(ROUNDUP(I1924/(G1924-H1924),0)&gt;MIN(F1924,J1924),"未回本",MAX(1,ROUNDUP(I1924/(G1924-H1924),0))))</x:f>
        <x:v>未回本</x:v>
      </x:c>
    </x:row>
    <x:row r="1925" ht="22" customHeight="1">
      <x:c r="A1925" s="11" t="str">
        <x:v>lade_0828_10aoi</x:v>
      </x:c>
      <x:c r="B1925" s="10" t="n">
        <x:v>10</x:v>
      </x:c>
      <x:c r="C1925" s="10" t="n">
        <x:v>44</x:v>
      </x:c>
      <x:c r="D1925" s="10" t="str">
        <x:v>M2 / M4</x:v>
      </x:c>
      <x:c r="E1925" s="16" t="n">
        <x:v>5</x:v>
      </x:c>
      <x:c r="F1925" s="14" t="n">
        <x:v>50</x:v>
      </x:c>
      <x:c r="G1925" s="26" t="n">
        <x:f>'成本明细'!U281+'成本明细'!G281*(E1925-'参数'!$B$6)</x:f>
        <x:v>1404.4314819866668</x:v>
      </x:c>
      <x:c r="H1925" s="26" t="n">
        <x:f>'成本明细'!U287</x:f>
        <x:v>2096.6259821005556</x:v>
      </x:c>
      <x:c r="I1925" s="26" t="n">
        <x:f>'成本明细'!V287</x:f>
        <x:v>4307</x:v>
      </x:c>
      <x:c r="J1925" s="22" t="n">
        <x:f>'参数'!$B$9</x:f>
        <x:v>300</x:v>
      </x:c>
      <x:c r="K1925" s="26" t="n">
        <x:f>J1925*(G1925-H1925)-I1925*ROUNDUP(J1925/F1925,0)</x:f>
        <x:v>-233500.35003416665</x:v>
      </x:c>
      <x:c r="L1925" s="10" t="str">
        <x:f>IF(G1925-H1925&lt;=0,"未回本",IF(ROUNDUP(I1925/(G1925-H1925),0)&gt;MIN(F1925,J1925),"未回本",MAX(1,ROUNDUP(I1925/(G1925-H1925),0))))</x:f>
        <x:v>未回本</x:v>
      </x:c>
    </x:row>
    <x:row r="1926" ht="22" customHeight="1">
      <x:c r="A1926" s="11" t="str">
        <x:v>lade_0828_20aoi</x:v>
      </x:c>
      <x:c r="B1926" s="10" t="n">
        <x:v>20</x:v>
      </x:c>
      <x:c r="C1926" s="10" t="n">
        <x:v>42</x:v>
      </x:c>
      <x:c r="D1926" s="10" t="str">
        <x:v>M1 / M3</x:v>
      </x:c>
      <x:c r="E1926" s="16" t="n">
        <x:v>1</x:v>
      </x:c>
      <x:c r="F1926" s="14" t="n">
        <x:v>10</x:v>
      </x:c>
      <x:c r="G1926" s="26" t="n">
        <x:f>'成本明细'!U294+'成本明细'!G294*(E1926-'参数'!$B$6)</x:f>
        <x:v>2765.433337905</x:v>
      </x:c>
      <x:c r="H1926" s="26" t="n">
        <x:f>'成本明细'!U300</x:f>
        <x:v>3672.769739562222</x:v>
      </x:c>
      <x:c r="I1926" s="26" t="n">
        <x:f>'成本明细'!V300</x:f>
        <x:v>6825.5</x:v>
      </x:c>
      <x:c r="J1926" s="22" t="n">
        <x:f>'参数'!$B$9</x:f>
        <x:v>300</x:v>
      </x:c>
      <x:c r="K1926" s="26" t="n">
        <x:f>J1926*(G1926-H1926)-I1926*ROUNDUP(J1926/F1926,0)</x:f>
        <x:v>-476965.9204971667</x:v>
      </x:c>
      <x:c r="L1926" s="10" t="str">
        <x:f>IF(G1926-H1926&lt;=0,"未回本",IF(ROUNDUP(I1926/(G1926-H1926),0)&gt;MIN(F1926,J1926),"未回本",MAX(1,ROUNDUP(I1926/(G1926-H1926),0))))</x:f>
        <x:v>未回本</x:v>
      </x:c>
    </x:row>
    <x:row r="1927" ht="22" customHeight="1">
      <x:c r="A1927" s="11" t="str">
        <x:v>lade_0828_20aoi</x:v>
      </x:c>
      <x:c r="B1927" s="10" t="n">
        <x:v>20</x:v>
      </x:c>
      <x:c r="C1927" s="10" t="n">
        <x:v>42</x:v>
      </x:c>
      <x:c r="D1927" s="10" t="str">
        <x:v>M2 / M4</x:v>
      </x:c>
      <x:c r="E1927" s="16" t="n">
        <x:v>1</x:v>
      </x:c>
      <x:c r="F1927" s="14" t="n">
        <x:v>10</x:v>
      </x:c>
      <x:c r="G1927" s="26" t="n">
        <x:f>'成本明细'!U297+'成本明细'!G297*(E1927-'参数'!$B$6)</x:f>
        <x:v>2178.6958042244446</x:v>
      </x:c>
      <x:c r="H1927" s="26" t="n">
        <x:f>'成本明细'!U303</x:f>
        <x:v>3545.9287160472218</x:v>
      </x:c>
      <x:c r="I1927" s="26" t="n">
        <x:f>'成本明细'!V303</x:f>
        <x:v>6825.5</x:v>
      </x:c>
      <x:c r="J1927" s="22" t="n">
        <x:f>'参数'!$B$9</x:f>
        <x:v>300</x:v>
      </x:c>
      <x:c r="K1927" s="26" t="n">
        <x:f>J1927*(G1927-H1927)-I1927*ROUNDUP(J1927/F1927,0)</x:f>
        <x:v>-614934.8735468332</x:v>
      </x:c>
      <x:c r="L1927" s="10" t="str">
        <x:f>IF(G1927-H1927&lt;=0,"未回本",IF(ROUNDUP(I1927/(G1927-H1927),0)&gt;MIN(F1927,J1927),"未回本",MAX(1,ROUNDUP(I1927/(G1927-H1927),0))))</x:f>
        <x:v>未回本</x:v>
      </x:c>
    </x:row>
    <x:row r="1928" ht="22" customHeight="1">
      <x:c r="A1928" s="11" t="str">
        <x:v>lade_0828_20aoi</x:v>
      </x:c>
      <x:c r="B1928" s="10" t="n">
        <x:v>20</x:v>
      </x:c>
      <x:c r="C1928" s="10" t="n">
        <x:v>42</x:v>
      </x:c>
      <x:c r="D1928" s="10" t="str">
        <x:v>M1 / M3</x:v>
      </x:c>
      <x:c r="E1928" s="16" t="n">
        <x:v>1</x:v>
      </x:c>
      <x:c r="F1928" s="14" t="n">
        <x:v>20</x:v>
      </x:c>
      <x:c r="G1928" s="26" t="n">
        <x:f>'成本明细'!U294+'成本明细'!G294*(E1928-'参数'!$B$6)</x:f>
        <x:v>2765.433337905</x:v>
      </x:c>
      <x:c r="H1928" s="26" t="n">
        <x:f>'成本明细'!U300</x:f>
        <x:v>3672.769739562222</x:v>
      </x:c>
      <x:c r="I1928" s="26" t="n">
        <x:f>'成本明细'!V300</x:f>
        <x:v>6825.5</x:v>
      </x:c>
      <x:c r="J1928" s="22" t="n">
        <x:f>'参数'!$B$9</x:f>
        <x:v>300</x:v>
      </x:c>
      <x:c r="K1928" s="26" t="n">
        <x:f>J1928*(G1928-H1928)-I1928*ROUNDUP(J1928/F1928,0)</x:f>
        <x:v>-374583.4204971667</x:v>
      </x:c>
      <x:c r="L1928" s="10" t="str">
        <x:f>IF(G1928-H1928&lt;=0,"未回本",IF(ROUNDUP(I1928/(G1928-H1928),0)&gt;MIN(F1928,J1928),"未回本",MAX(1,ROUNDUP(I1928/(G1928-H1928),0))))</x:f>
        <x:v>未回本</x:v>
      </x:c>
    </x:row>
    <x:row r="1929" ht="22" customHeight="1">
      <x:c r="A1929" s="11" t="str">
        <x:v>lade_0828_20aoi</x:v>
      </x:c>
      <x:c r="B1929" s="10" t="n">
        <x:v>20</x:v>
      </x:c>
      <x:c r="C1929" s="10" t="n">
        <x:v>42</x:v>
      </x:c>
      <x:c r="D1929" s="10" t="str">
        <x:v>M2 / M4</x:v>
      </x:c>
      <x:c r="E1929" s="16" t="n">
        <x:v>1</x:v>
      </x:c>
      <x:c r="F1929" s="14" t="n">
        <x:v>20</x:v>
      </x:c>
      <x:c r="G1929" s="26" t="n">
        <x:f>'成本明细'!U297+'成本明细'!G297*(E1929-'参数'!$B$6)</x:f>
        <x:v>2178.6958042244446</x:v>
      </x:c>
      <x:c r="H1929" s="26" t="n">
        <x:f>'成本明细'!U303</x:f>
        <x:v>3545.9287160472218</x:v>
      </x:c>
      <x:c r="I1929" s="26" t="n">
        <x:f>'成本明细'!V303</x:f>
        <x:v>6825.5</x:v>
      </x:c>
      <x:c r="J1929" s="22" t="n">
        <x:f>'参数'!$B$9</x:f>
        <x:v>300</x:v>
      </x:c>
      <x:c r="K1929" s="26" t="n">
        <x:f>J1929*(G1929-H1929)-I1929*ROUNDUP(J1929/F1929,0)</x:f>
        <x:v>-512552.3735468332</x:v>
      </x:c>
      <x:c r="L1929" s="10" t="str">
        <x:f>IF(G1929-H1929&lt;=0,"未回本",IF(ROUNDUP(I1929/(G1929-H1929),0)&gt;MIN(F1929,J1929),"未回本",MAX(1,ROUNDUP(I1929/(G1929-H1929),0))))</x:f>
        <x:v>未回本</x:v>
      </x:c>
    </x:row>
    <x:row r="1930" ht="22" customHeight="1">
      <x:c r="A1930" s="11" t="str">
        <x:v>lade_0828_20aoi</x:v>
      </x:c>
      <x:c r="B1930" s="10" t="n">
        <x:v>20</x:v>
      </x:c>
      <x:c r="C1930" s="10" t="n">
        <x:v>42</x:v>
      </x:c>
      <x:c r="D1930" s="10" t="str">
        <x:v>M1 / M3</x:v>
      </x:c>
      <x:c r="E1930" s="16" t="n">
        <x:v>1</x:v>
      </x:c>
      <x:c r="F1930" s="14" t="n">
        <x:v>30</x:v>
      </x:c>
      <x:c r="G1930" s="26" t="n">
        <x:f>'成本明细'!U294+'成本明细'!G294*(E1930-'参数'!$B$6)</x:f>
        <x:v>2765.433337905</x:v>
      </x:c>
      <x:c r="H1930" s="26" t="n">
        <x:f>'成本明细'!U300</x:f>
        <x:v>3672.769739562222</x:v>
      </x:c>
      <x:c r="I1930" s="26" t="n">
        <x:f>'成本明细'!V300</x:f>
        <x:v>6825.5</x:v>
      </x:c>
      <x:c r="J1930" s="22" t="n">
        <x:f>'参数'!$B$9</x:f>
        <x:v>300</x:v>
      </x:c>
      <x:c r="K1930" s="26" t="n">
        <x:f>J1930*(G1930-H1930)-I1930*ROUNDUP(J1930/F1930,0)</x:f>
        <x:v>-340455.9204971667</x:v>
      </x:c>
      <x:c r="L1930" s="10" t="str">
        <x:f>IF(G1930-H1930&lt;=0,"未回本",IF(ROUNDUP(I1930/(G1930-H1930),0)&gt;MIN(F1930,J1930),"未回本",MAX(1,ROUNDUP(I1930/(G1930-H1930),0))))</x:f>
        <x:v>未回本</x:v>
      </x:c>
    </x:row>
    <x:row r="1931" ht="22" customHeight="1">
      <x:c r="A1931" s="11" t="str">
        <x:v>lade_0828_20aoi</x:v>
      </x:c>
      <x:c r="B1931" s="10" t="n">
        <x:v>20</x:v>
      </x:c>
      <x:c r="C1931" s="10" t="n">
        <x:v>42</x:v>
      </x:c>
      <x:c r="D1931" s="10" t="str">
        <x:v>M2 / M4</x:v>
      </x:c>
      <x:c r="E1931" s="16" t="n">
        <x:v>1</x:v>
      </x:c>
      <x:c r="F1931" s="14" t="n">
        <x:v>30</x:v>
      </x:c>
      <x:c r="G1931" s="26" t="n">
        <x:f>'成本明细'!U297+'成本明细'!G297*(E1931-'参数'!$B$6)</x:f>
        <x:v>2178.6958042244446</x:v>
      </x:c>
      <x:c r="H1931" s="26" t="n">
        <x:f>'成本明细'!U303</x:f>
        <x:v>3545.9287160472218</x:v>
      </x:c>
      <x:c r="I1931" s="26" t="n">
        <x:f>'成本明细'!V303</x:f>
        <x:v>6825.5</x:v>
      </x:c>
      <x:c r="J1931" s="22" t="n">
        <x:f>'参数'!$B$9</x:f>
        <x:v>300</x:v>
      </x:c>
      <x:c r="K1931" s="26" t="n">
        <x:f>J1931*(G1931-H1931)-I1931*ROUNDUP(J1931/F1931,0)</x:f>
        <x:v>-478424.8735468332</x:v>
      </x:c>
      <x:c r="L1931" s="10" t="str">
        <x:f>IF(G1931-H1931&lt;=0,"未回本",IF(ROUNDUP(I1931/(G1931-H1931),0)&gt;MIN(F1931,J1931),"未回本",MAX(1,ROUNDUP(I1931/(G1931-H1931),0))))</x:f>
        <x:v>未回本</x:v>
      </x:c>
    </x:row>
    <x:row r="1932" ht="22" customHeight="1">
      <x:c r="A1932" s="11" t="str">
        <x:v>lade_0828_20aoi</x:v>
      </x:c>
      <x:c r="B1932" s="10" t="n">
        <x:v>20</x:v>
      </x:c>
      <x:c r="C1932" s="10" t="n">
        <x:v>42</x:v>
      </x:c>
      <x:c r="D1932" s="10" t="str">
        <x:v>M1 / M3</x:v>
      </x:c>
      <x:c r="E1932" s="16" t="n">
        <x:v>1</x:v>
      </x:c>
      <x:c r="F1932" s="14" t="n">
        <x:v>50</x:v>
      </x:c>
      <x:c r="G1932" s="26" t="n">
        <x:f>'成本明细'!U294+'成本明细'!G294*(E1932-'参数'!$B$6)</x:f>
        <x:v>2765.433337905</x:v>
      </x:c>
      <x:c r="H1932" s="26" t="n">
        <x:f>'成本明细'!U300</x:f>
        <x:v>3672.769739562222</x:v>
      </x:c>
      <x:c r="I1932" s="26" t="n">
        <x:f>'成本明细'!V300</x:f>
        <x:v>6825.5</x:v>
      </x:c>
      <x:c r="J1932" s="22" t="n">
        <x:f>'参数'!$B$9</x:f>
        <x:v>300</x:v>
      </x:c>
      <x:c r="K1932" s="26" t="n">
        <x:f>J1932*(G1932-H1932)-I1932*ROUNDUP(J1932/F1932,0)</x:f>
        <x:v>-313153.9204971667</x:v>
      </x:c>
      <x:c r="L1932" s="10" t="str">
        <x:f>IF(G1932-H1932&lt;=0,"未回本",IF(ROUNDUP(I1932/(G1932-H1932),0)&gt;MIN(F1932,J1932),"未回本",MAX(1,ROUNDUP(I1932/(G1932-H1932),0))))</x:f>
        <x:v>未回本</x:v>
      </x:c>
    </x:row>
    <x:row r="1933" ht="22" customHeight="1">
      <x:c r="A1933" s="11" t="str">
        <x:v>lade_0828_20aoi</x:v>
      </x:c>
      <x:c r="B1933" s="10" t="n">
        <x:v>20</x:v>
      </x:c>
      <x:c r="C1933" s="10" t="n">
        <x:v>42</x:v>
      </x:c>
      <x:c r="D1933" s="10" t="str">
        <x:v>M2 / M4</x:v>
      </x:c>
      <x:c r="E1933" s="16" t="n">
        <x:v>1</x:v>
      </x:c>
      <x:c r="F1933" s="14" t="n">
        <x:v>50</x:v>
      </x:c>
      <x:c r="G1933" s="26" t="n">
        <x:f>'成本明细'!U297+'成本明细'!G297*(E1933-'参数'!$B$6)</x:f>
        <x:v>2178.6958042244446</x:v>
      </x:c>
      <x:c r="H1933" s="26" t="n">
        <x:f>'成本明细'!U303</x:f>
        <x:v>3545.9287160472218</x:v>
      </x:c>
      <x:c r="I1933" s="26" t="n">
        <x:f>'成本明细'!V303</x:f>
        <x:v>6825.5</x:v>
      </x:c>
      <x:c r="J1933" s="22" t="n">
        <x:f>'参数'!$B$9</x:f>
        <x:v>300</x:v>
      </x:c>
      <x:c r="K1933" s="26" t="n">
        <x:f>J1933*(G1933-H1933)-I1933*ROUNDUP(J1933/F1933,0)</x:f>
        <x:v>-451122.8735468332</x:v>
      </x:c>
      <x:c r="L1933" s="10" t="str">
        <x:f>IF(G1933-H1933&lt;=0,"未回本",IF(ROUNDUP(I1933/(G1933-H1933),0)&gt;MIN(F1933,J1933),"未回本",MAX(1,ROUNDUP(I1933/(G1933-H1933),0))))</x:f>
        <x:v>未回本</x:v>
      </x:c>
    </x:row>
    <x:row r="1934" ht="22" customHeight="1">
      <x:c r="A1934" s="11" t="str">
        <x:v>lade_0828_20aoi</x:v>
      </x:c>
      <x:c r="B1934" s="10" t="n">
        <x:v>20</x:v>
      </x:c>
      <x:c r="C1934" s="10" t="n">
        <x:v>42</x:v>
      </x:c>
      <x:c r="D1934" s="10" t="str">
        <x:v>M1 / M3</x:v>
      </x:c>
      <x:c r="E1934" s="16" t="n">
        <x:v>2</x:v>
      </x:c>
      <x:c r="F1934" s="14" t="n">
        <x:v>10</x:v>
      </x:c>
      <x:c r="G1934" s="26" t="n">
        <x:f>'成本明细'!U294+'成本明细'!G294*(E1934-'参数'!$B$6)</x:f>
        <x:v>2952.433337905</x:v>
      </x:c>
      <x:c r="H1934" s="26" t="n">
        <x:f>'成本明细'!U300</x:f>
        <x:v>3672.769739562222</x:v>
      </x:c>
      <x:c r="I1934" s="26" t="n">
        <x:f>'成本明细'!V300</x:f>
        <x:v>6825.5</x:v>
      </x:c>
      <x:c r="J1934" s="22" t="n">
        <x:f>'参数'!$B$9</x:f>
        <x:v>300</x:v>
      </x:c>
      <x:c r="K1934" s="26" t="n">
        <x:f>J1934*(G1934-H1934)-I1934*ROUNDUP(J1934/F1934,0)</x:f>
        <x:v>-420865.9204971667</x:v>
      </x:c>
      <x:c r="L1934" s="10" t="str">
        <x:f>IF(G1934-H1934&lt;=0,"未回本",IF(ROUNDUP(I1934/(G1934-H1934),0)&gt;MIN(F1934,J1934),"未回本",MAX(1,ROUNDUP(I1934/(G1934-H1934),0))))</x:f>
        <x:v>未回本</x:v>
      </x:c>
    </x:row>
    <x:row r="1935" ht="22" customHeight="1">
      <x:c r="A1935" s="11" t="str">
        <x:v>lade_0828_20aoi</x:v>
      </x:c>
      <x:c r="B1935" s="10" t="n">
        <x:v>20</x:v>
      </x:c>
      <x:c r="C1935" s="10" t="n">
        <x:v>42</x:v>
      </x:c>
      <x:c r="D1935" s="10" t="str">
        <x:v>M2 / M4</x:v>
      </x:c>
      <x:c r="E1935" s="16" t="n">
        <x:v>2</x:v>
      </x:c>
      <x:c r="F1935" s="14" t="n">
        <x:v>10</x:v>
      </x:c>
      <x:c r="G1935" s="26" t="n">
        <x:f>'成本明细'!U297+'成本明细'!G297*(E1935-'参数'!$B$6)</x:f>
        <x:v>2365.6958042244446</x:v>
      </x:c>
      <x:c r="H1935" s="26" t="n">
        <x:f>'成本明细'!U303</x:f>
        <x:v>3545.9287160472218</x:v>
      </x:c>
      <x:c r="I1935" s="26" t="n">
        <x:f>'成本明细'!V303</x:f>
        <x:v>6825.5</x:v>
      </x:c>
      <x:c r="J1935" s="22" t="n">
        <x:f>'参数'!$B$9</x:f>
        <x:v>300</x:v>
      </x:c>
      <x:c r="K1935" s="26" t="n">
        <x:f>J1935*(G1935-H1935)-I1935*ROUNDUP(J1935/F1935,0)</x:f>
        <x:v>-558834.8735468332</x:v>
      </x:c>
      <x:c r="L1935" s="10" t="str">
        <x:f>IF(G1935-H1935&lt;=0,"未回本",IF(ROUNDUP(I1935/(G1935-H1935),0)&gt;MIN(F1935,J1935),"未回本",MAX(1,ROUNDUP(I1935/(G1935-H1935),0))))</x:f>
        <x:v>未回本</x:v>
      </x:c>
    </x:row>
    <x:row r="1936" ht="22" customHeight="1">
      <x:c r="A1936" s="11" t="str">
        <x:v>lade_0828_20aoi</x:v>
      </x:c>
      <x:c r="B1936" s="10" t="n">
        <x:v>20</x:v>
      </x:c>
      <x:c r="C1936" s="10" t="n">
        <x:v>42</x:v>
      </x:c>
      <x:c r="D1936" s="10" t="str">
        <x:v>M1 / M3</x:v>
      </x:c>
      <x:c r="E1936" s="16" t="n">
        <x:v>2</x:v>
      </x:c>
      <x:c r="F1936" s="14" t="n">
        <x:v>20</x:v>
      </x:c>
      <x:c r="G1936" s="26" t="n">
        <x:f>'成本明细'!U294+'成本明细'!G294*(E1936-'参数'!$B$6)</x:f>
        <x:v>2952.433337905</x:v>
      </x:c>
      <x:c r="H1936" s="26" t="n">
        <x:f>'成本明细'!U300</x:f>
        <x:v>3672.769739562222</x:v>
      </x:c>
      <x:c r="I1936" s="26" t="n">
        <x:f>'成本明细'!V300</x:f>
        <x:v>6825.5</x:v>
      </x:c>
      <x:c r="J1936" s="22" t="n">
        <x:f>'参数'!$B$9</x:f>
        <x:v>300</x:v>
      </x:c>
      <x:c r="K1936" s="26" t="n">
        <x:f>J1936*(G1936-H1936)-I1936*ROUNDUP(J1936/F1936,0)</x:f>
        <x:v>-318483.4204971667</x:v>
      </x:c>
      <x:c r="L1936" s="10" t="str">
        <x:f>IF(G1936-H1936&lt;=0,"未回本",IF(ROUNDUP(I1936/(G1936-H1936),0)&gt;MIN(F1936,J1936),"未回本",MAX(1,ROUNDUP(I1936/(G1936-H1936),0))))</x:f>
        <x:v>未回本</x:v>
      </x:c>
    </x:row>
    <x:row r="1937" ht="22" customHeight="1">
      <x:c r="A1937" s="11" t="str">
        <x:v>lade_0828_20aoi</x:v>
      </x:c>
      <x:c r="B1937" s="10" t="n">
        <x:v>20</x:v>
      </x:c>
      <x:c r="C1937" s="10" t="n">
        <x:v>42</x:v>
      </x:c>
      <x:c r="D1937" s="10" t="str">
        <x:v>M2 / M4</x:v>
      </x:c>
      <x:c r="E1937" s="16" t="n">
        <x:v>2</x:v>
      </x:c>
      <x:c r="F1937" s="14" t="n">
        <x:v>20</x:v>
      </x:c>
      <x:c r="G1937" s="26" t="n">
        <x:f>'成本明细'!U297+'成本明细'!G297*(E1937-'参数'!$B$6)</x:f>
        <x:v>2365.6958042244446</x:v>
      </x:c>
      <x:c r="H1937" s="26" t="n">
        <x:f>'成本明细'!U303</x:f>
        <x:v>3545.9287160472218</x:v>
      </x:c>
      <x:c r="I1937" s="26" t="n">
        <x:f>'成本明细'!V303</x:f>
        <x:v>6825.5</x:v>
      </x:c>
      <x:c r="J1937" s="22" t="n">
        <x:f>'参数'!$B$9</x:f>
        <x:v>300</x:v>
      </x:c>
      <x:c r="K1937" s="26" t="n">
        <x:f>J1937*(G1937-H1937)-I1937*ROUNDUP(J1937/F1937,0)</x:f>
        <x:v>-456452.3735468332</x:v>
      </x:c>
      <x:c r="L1937" s="10" t="str">
        <x:f>IF(G1937-H1937&lt;=0,"未回本",IF(ROUNDUP(I1937/(G1937-H1937),0)&gt;MIN(F1937,J1937),"未回本",MAX(1,ROUNDUP(I1937/(G1937-H1937),0))))</x:f>
        <x:v>未回本</x:v>
      </x:c>
    </x:row>
    <x:row r="1938" ht="22" customHeight="1">
      <x:c r="A1938" s="11" t="str">
        <x:v>lade_0828_20aoi</x:v>
      </x:c>
      <x:c r="B1938" s="10" t="n">
        <x:v>20</x:v>
      </x:c>
      <x:c r="C1938" s="10" t="n">
        <x:v>42</x:v>
      </x:c>
      <x:c r="D1938" s="10" t="str">
        <x:v>M1 / M3</x:v>
      </x:c>
      <x:c r="E1938" s="16" t="n">
        <x:v>2</x:v>
      </x:c>
      <x:c r="F1938" s="14" t="n">
        <x:v>30</x:v>
      </x:c>
      <x:c r="G1938" s="26" t="n">
        <x:f>'成本明细'!U294+'成本明细'!G294*(E1938-'参数'!$B$6)</x:f>
        <x:v>2952.433337905</x:v>
      </x:c>
      <x:c r="H1938" s="26" t="n">
        <x:f>'成本明细'!U300</x:f>
        <x:v>3672.769739562222</x:v>
      </x:c>
      <x:c r="I1938" s="26" t="n">
        <x:f>'成本明细'!V300</x:f>
        <x:v>6825.5</x:v>
      </x:c>
      <x:c r="J1938" s="22" t="n">
        <x:f>'参数'!$B$9</x:f>
        <x:v>300</x:v>
      </x:c>
      <x:c r="K1938" s="26" t="n">
        <x:f>J1938*(G1938-H1938)-I1938*ROUNDUP(J1938/F1938,0)</x:f>
        <x:v>-284355.9204971667</x:v>
      </x:c>
      <x:c r="L1938" s="10" t="str">
        <x:f>IF(G1938-H1938&lt;=0,"未回本",IF(ROUNDUP(I1938/(G1938-H1938),0)&gt;MIN(F1938,J1938),"未回本",MAX(1,ROUNDUP(I1938/(G1938-H1938),0))))</x:f>
        <x:v>未回本</x:v>
      </x:c>
    </x:row>
    <x:row r="1939" ht="22" customHeight="1">
      <x:c r="A1939" s="11" t="str">
        <x:v>lade_0828_20aoi</x:v>
      </x:c>
      <x:c r="B1939" s="10" t="n">
        <x:v>20</x:v>
      </x:c>
      <x:c r="C1939" s="10" t="n">
        <x:v>42</x:v>
      </x:c>
      <x:c r="D1939" s="10" t="str">
        <x:v>M2 / M4</x:v>
      </x:c>
      <x:c r="E1939" s="16" t="n">
        <x:v>2</x:v>
      </x:c>
      <x:c r="F1939" s="14" t="n">
        <x:v>30</x:v>
      </x:c>
      <x:c r="G1939" s="26" t="n">
        <x:f>'成本明细'!U297+'成本明细'!G297*(E1939-'参数'!$B$6)</x:f>
        <x:v>2365.6958042244446</x:v>
      </x:c>
      <x:c r="H1939" s="26" t="n">
        <x:f>'成本明细'!U303</x:f>
        <x:v>3545.9287160472218</x:v>
      </x:c>
      <x:c r="I1939" s="26" t="n">
        <x:f>'成本明细'!V303</x:f>
        <x:v>6825.5</x:v>
      </x:c>
      <x:c r="J1939" s="22" t="n">
        <x:f>'参数'!$B$9</x:f>
        <x:v>300</x:v>
      </x:c>
      <x:c r="K1939" s="26" t="n">
        <x:f>J1939*(G1939-H1939)-I1939*ROUNDUP(J1939/F1939,0)</x:f>
        <x:v>-422324.8735468332</x:v>
      </x:c>
      <x:c r="L1939" s="10" t="str">
        <x:f>IF(G1939-H1939&lt;=0,"未回本",IF(ROUNDUP(I1939/(G1939-H1939),0)&gt;MIN(F1939,J1939),"未回本",MAX(1,ROUNDUP(I1939/(G1939-H1939),0))))</x:f>
        <x:v>未回本</x:v>
      </x:c>
    </x:row>
    <x:row r="1940" ht="22" customHeight="1">
      <x:c r="A1940" s="11" t="str">
        <x:v>lade_0828_20aoi</x:v>
      </x:c>
      <x:c r="B1940" s="10" t="n">
        <x:v>20</x:v>
      </x:c>
      <x:c r="C1940" s="10" t="n">
        <x:v>42</x:v>
      </x:c>
      <x:c r="D1940" s="10" t="str">
        <x:v>M1 / M3</x:v>
      </x:c>
      <x:c r="E1940" s="16" t="n">
        <x:v>2</x:v>
      </x:c>
      <x:c r="F1940" s="14" t="n">
        <x:v>50</x:v>
      </x:c>
      <x:c r="G1940" s="26" t="n">
        <x:f>'成本明细'!U294+'成本明细'!G294*(E1940-'参数'!$B$6)</x:f>
        <x:v>2952.433337905</x:v>
      </x:c>
      <x:c r="H1940" s="26" t="n">
        <x:f>'成本明细'!U300</x:f>
        <x:v>3672.769739562222</x:v>
      </x:c>
      <x:c r="I1940" s="26" t="n">
        <x:f>'成本明细'!V300</x:f>
        <x:v>6825.5</x:v>
      </x:c>
      <x:c r="J1940" s="22" t="n">
        <x:f>'参数'!$B$9</x:f>
        <x:v>300</x:v>
      </x:c>
      <x:c r="K1940" s="26" t="n">
        <x:f>J1940*(G1940-H1940)-I1940*ROUNDUP(J1940/F1940,0)</x:f>
        <x:v>-257053.9204971667</x:v>
      </x:c>
      <x:c r="L1940" s="10" t="str">
        <x:f>IF(G1940-H1940&lt;=0,"未回本",IF(ROUNDUP(I1940/(G1940-H1940),0)&gt;MIN(F1940,J1940),"未回本",MAX(1,ROUNDUP(I1940/(G1940-H1940),0))))</x:f>
        <x:v>未回本</x:v>
      </x:c>
    </x:row>
    <x:row r="1941" ht="22" customHeight="1">
      <x:c r="A1941" s="11" t="str">
        <x:v>lade_0828_20aoi</x:v>
      </x:c>
      <x:c r="B1941" s="10" t="n">
        <x:v>20</x:v>
      </x:c>
      <x:c r="C1941" s="10" t="n">
        <x:v>42</x:v>
      </x:c>
      <x:c r="D1941" s="10" t="str">
        <x:v>M2 / M4</x:v>
      </x:c>
      <x:c r="E1941" s="16" t="n">
        <x:v>2</x:v>
      </x:c>
      <x:c r="F1941" s="14" t="n">
        <x:v>50</x:v>
      </x:c>
      <x:c r="G1941" s="26" t="n">
        <x:f>'成本明细'!U297+'成本明细'!G297*(E1941-'参数'!$B$6)</x:f>
        <x:v>2365.6958042244446</x:v>
      </x:c>
      <x:c r="H1941" s="26" t="n">
        <x:f>'成本明细'!U303</x:f>
        <x:v>3545.9287160472218</x:v>
      </x:c>
      <x:c r="I1941" s="26" t="n">
        <x:f>'成本明细'!V303</x:f>
        <x:v>6825.5</x:v>
      </x:c>
      <x:c r="J1941" s="22" t="n">
        <x:f>'参数'!$B$9</x:f>
        <x:v>300</x:v>
      </x:c>
      <x:c r="K1941" s="26" t="n">
        <x:f>J1941*(G1941-H1941)-I1941*ROUNDUP(J1941/F1941,0)</x:f>
        <x:v>-395022.8735468332</x:v>
      </x:c>
      <x:c r="L1941" s="10" t="str">
        <x:f>IF(G1941-H1941&lt;=0,"未回本",IF(ROUNDUP(I1941/(G1941-H1941),0)&gt;MIN(F1941,J1941),"未回本",MAX(1,ROUNDUP(I1941/(G1941-H1941),0))))</x:f>
        <x:v>未回本</x:v>
      </x:c>
    </x:row>
    <x:row r="1942" ht="22" customHeight="1">
      <x:c r="A1942" s="11" t="str">
        <x:v>lade_0828_20aoi</x:v>
      </x:c>
      <x:c r="B1942" s="10" t="n">
        <x:v>20</x:v>
      </x:c>
      <x:c r="C1942" s="10" t="n">
        <x:v>42</x:v>
      </x:c>
      <x:c r="D1942" s="10" t="str">
        <x:v>M1 / M3</x:v>
      </x:c>
      <x:c r="E1942" s="16" t="n">
        <x:v>3</x:v>
      </x:c>
      <x:c r="F1942" s="14" t="n">
        <x:v>10</x:v>
      </x:c>
      <x:c r="G1942" s="26" t="n">
        <x:f>'成本明细'!U294+'成本明细'!G294*(E1942-'参数'!$B$6)</x:f>
        <x:v>3139.433337905</x:v>
      </x:c>
      <x:c r="H1942" s="26" t="n">
        <x:f>'成本明细'!U300</x:f>
        <x:v>3672.769739562222</x:v>
      </x:c>
      <x:c r="I1942" s="26" t="n">
        <x:f>'成本明细'!V300</x:f>
        <x:v>6825.5</x:v>
      </x:c>
      <x:c r="J1942" s="22" t="n">
        <x:f>'参数'!$B$9</x:f>
        <x:v>300</x:v>
      </x:c>
      <x:c r="K1942" s="26" t="n">
        <x:f>J1942*(G1942-H1942)-I1942*ROUNDUP(J1942/F1942,0)</x:f>
        <x:v>-364765.9204971667</x:v>
      </x:c>
      <x:c r="L1942" s="10" t="str">
        <x:f>IF(G1942-H1942&lt;=0,"未回本",IF(ROUNDUP(I1942/(G1942-H1942),0)&gt;MIN(F1942,J1942),"未回本",MAX(1,ROUNDUP(I1942/(G1942-H1942),0))))</x:f>
        <x:v>未回本</x:v>
      </x:c>
    </x:row>
    <x:row r="1943" ht="22" customHeight="1">
      <x:c r="A1943" s="11" t="str">
        <x:v>lade_0828_20aoi</x:v>
      </x:c>
      <x:c r="B1943" s="10" t="n">
        <x:v>20</x:v>
      </x:c>
      <x:c r="C1943" s="10" t="n">
        <x:v>42</x:v>
      </x:c>
      <x:c r="D1943" s="10" t="str">
        <x:v>M2 / M4</x:v>
      </x:c>
      <x:c r="E1943" s="16" t="n">
        <x:v>3</x:v>
      </x:c>
      <x:c r="F1943" s="14" t="n">
        <x:v>10</x:v>
      </x:c>
      <x:c r="G1943" s="26" t="n">
        <x:f>'成本明细'!U297+'成本明细'!G297*(E1943-'参数'!$B$6)</x:f>
        <x:v>2552.6958042244446</x:v>
      </x:c>
      <x:c r="H1943" s="26" t="n">
        <x:f>'成本明细'!U303</x:f>
        <x:v>3545.9287160472218</x:v>
      </x:c>
      <x:c r="I1943" s="26" t="n">
        <x:f>'成本明细'!V303</x:f>
        <x:v>6825.5</x:v>
      </x:c>
      <x:c r="J1943" s="22" t="n">
        <x:f>'参数'!$B$9</x:f>
        <x:v>300</x:v>
      </x:c>
      <x:c r="K1943" s="26" t="n">
        <x:f>J1943*(G1943-H1943)-I1943*ROUNDUP(J1943/F1943,0)</x:f>
        <x:v>-502734.8735468332</x:v>
      </x:c>
      <x:c r="L1943" s="10" t="str">
        <x:f>IF(G1943-H1943&lt;=0,"未回本",IF(ROUNDUP(I1943/(G1943-H1943),0)&gt;MIN(F1943,J1943),"未回本",MAX(1,ROUNDUP(I1943/(G1943-H1943),0))))</x:f>
        <x:v>未回本</x:v>
      </x:c>
    </x:row>
    <x:row r="1944" ht="22" customHeight="1">
      <x:c r="A1944" s="11" t="str">
        <x:v>lade_0828_20aoi</x:v>
      </x:c>
      <x:c r="B1944" s="10" t="n">
        <x:v>20</x:v>
      </x:c>
      <x:c r="C1944" s="10" t="n">
        <x:v>42</x:v>
      </x:c>
      <x:c r="D1944" s="10" t="str">
        <x:v>M1 / M3</x:v>
      </x:c>
      <x:c r="E1944" s="16" t="n">
        <x:v>3</x:v>
      </x:c>
      <x:c r="F1944" s="14" t="n">
        <x:v>20</x:v>
      </x:c>
      <x:c r="G1944" s="26" t="n">
        <x:f>'成本明细'!U294+'成本明细'!G294*(E1944-'参数'!$B$6)</x:f>
        <x:v>3139.433337905</x:v>
      </x:c>
      <x:c r="H1944" s="26" t="n">
        <x:f>'成本明细'!U300</x:f>
        <x:v>3672.769739562222</x:v>
      </x:c>
      <x:c r="I1944" s="26" t="n">
        <x:f>'成本明细'!V300</x:f>
        <x:v>6825.5</x:v>
      </x:c>
      <x:c r="J1944" s="22" t="n">
        <x:f>'参数'!$B$9</x:f>
        <x:v>300</x:v>
      </x:c>
      <x:c r="K1944" s="26" t="n">
        <x:f>J1944*(G1944-H1944)-I1944*ROUNDUP(J1944/F1944,0)</x:f>
        <x:v>-262383.4204971667</x:v>
      </x:c>
      <x:c r="L1944" s="10" t="str">
        <x:f>IF(G1944-H1944&lt;=0,"未回本",IF(ROUNDUP(I1944/(G1944-H1944),0)&gt;MIN(F1944,J1944),"未回本",MAX(1,ROUNDUP(I1944/(G1944-H1944),0))))</x:f>
        <x:v>未回本</x:v>
      </x:c>
    </x:row>
    <x:row r="1945" ht="22" customHeight="1">
      <x:c r="A1945" s="11" t="str">
        <x:v>lade_0828_20aoi</x:v>
      </x:c>
      <x:c r="B1945" s="10" t="n">
        <x:v>20</x:v>
      </x:c>
      <x:c r="C1945" s="10" t="n">
        <x:v>42</x:v>
      </x:c>
      <x:c r="D1945" s="10" t="str">
        <x:v>M2 / M4</x:v>
      </x:c>
      <x:c r="E1945" s="16" t="n">
        <x:v>3</x:v>
      </x:c>
      <x:c r="F1945" s="14" t="n">
        <x:v>20</x:v>
      </x:c>
      <x:c r="G1945" s="26" t="n">
        <x:f>'成本明细'!U297+'成本明细'!G297*(E1945-'参数'!$B$6)</x:f>
        <x:v>2552.6958042244446</x:v>
      </x:c>
      <x:c r="H1945" s="26" t="n">
        <x:f>'成本明细'!U303</x:f>
        <x:v>3545.9287160472218</x:v>
      </x:c>
      <x:c r="I1945" s="26" t="n">
        <x:f>'成本明细'!V303</x:f>
        <x:v>6825.5</x:v>
      </x:c>
      <x:c r="J1945" s="22" t="n">
        <x:f>'参数'!$B$9</x:f>
        <x:v>300</x:v>
      </x:c>
      <x:c r="K1945" s="26" t="n">
        <x:f>J1945*(G1945-H1945)-I1945*ROUNDUP(J1945/F1945,0)</x:f>
        <x:v>-400352.3735468332</x:v>
      </x:c>
      <x:c r="L1945" s="10" t="str">
        <x:f>IF(G1945-H1945&lt;=0,"未回本",IF(ROUNDUP(I1945/(G1945-H1945),0)&gt;MIN(F1945,J1945),"未回本",MAX(1,ROUNDUP(I1945/(G1945-H1945),0))))</x:f>
        <x:v>未回本</x:v>
      </x:c>
    </x:row>
    <x:row r="1946" ht="22" customHeight="1">
      <x:c r="A1946" s="11" t="str">
        <x:v>lade_0828_20aoi</x:v>
      </x:c>
      <x:c r="B1946" s="10" t="n">
        <x:v>20</x:v>
      </x:c>
      <x:c r="C1946" s="10" t="n">
        <x:v>42</x:v>
      </x:c>
      <x:c r="D1946" s="10" t="str">
        <x:v>M1 / M3</x:v>
      </x:c>
      <x:c r="E1946" s="16" t="n">
        <x:v>3</x:v>
      </x:c>
      <x:c r="F1946" s="14" t="n">
        <x:v>30</x:v>
      </x:c>
      <x:c r="G1946" s="26" t="n">
        <x:f>'成本明细'!U294+'成本明细'!G294*(E1946-'参数'!$B$6)</x:f>
        <x:v>3139.433337905</x:v>
      </x:c>
      <x:c r="H1946" s="26" t="n">
        <x:f>'成本明细'!U300</x:f>
        <x:v>3672.769739562222</x:v>
      </x:c>
      <x:c r="I1946" s="26" t="n">
        <x:f>'成本明细'!V300</x:f>
        <x:v>6825.5</x:v>
      </x:c>
      <x:c r="J1946" s="22" t="n">
        <x:f>'参数'!$B$9</x:f>
        <x:v>300</x:v>
      </x:c>
      <x:c r="K1946" s="26" t="n">
        <x:f>J1946*(G1946-H1946)-I1946*ROUNDUP(J1946/F1946,0)</x:f>
        <x:v>-228255.9204971667</x:v>
      </x:c>
      <x:c r="L1946" s="10" t="str">
        <x:f>IF(G1946-H1946&lt;=0,"未回本",IF(ROUNDUP(I1946/(G1946-H1946),0)&gt;MIN(F1946,J1946),"未回本",MAX(1,ROUNDUP(I1946/(G1946-H1946),0))))</x:f>
        <x:v>未回本</x:v>
      </x:c>
    </x:row>
    <x:row r="1947" ht="22" customHeight="1">
      <x:c r="A1947" s="11" t="str">
        <x:v>lade_0828_20aoi</x:v>
      </x:c>
      <x:c r="B1947" s="10" t="n">
        <x:v>20</x:v>
      </x:c>
      <x:c r="C1947" s="10" t="n">
        <x:v>42</x:v>
      </x:c>
      <x:c r="D1947" s="10" t="str">
        <x:v>M2 / M4</x:v>
      </x:c>
      <x:c r="E1947" s="16" t="n">
        <x:v>3</x:v>
      </x:c>
      <x:c r="F1947" s="14" t="n">
        <x:v>30</x:v>
      </x:c>
      <x:c r="G1947" s="26" t="n">
        <x:f>'成本明细'!U297+'成本明细'!G297*(E1947-'参数'!$B$6)</x:f>
        <x:v>2552.6958042244446</x:v>
      </x:c>
      <x:c r="H1947" s="26" t="n">
        <x:f>'成本明细'!U303</x:f>
        <x:v>3545.9287160472218</x:v>
      </x:c>
      <x:c r="I1947" s="26" t="n">
        <x:f>'成本明细'!V303</x:f>
        <x:v>6825.5</x:v>
      </x:c>
      <x:c r="J1947" s="22" t="n">
        <x:f>'参数'!$B$9</x:f>
        <x:v>300</x:v>
      </x:c>
      <x:c r="K1947" s="26" t="n">
        <x:f>J1947*(G1947-H1947)-I1947*ROUNDUP(J1947/F1947,0)</x:f>
        <x:v>-366224.8735468332</x:v>
      </x:c>
      <x:c r="L1947" s="10" t="str">
        <x:f>IF(G1947-H1947&lt;=0,"未回本",IF(ROUNDUP(I1947/(G1947-H1947),0)&gt;MIN(F1947,J1947),"未回本",MAX(1,ROUNDUP(I1947/(G1947-H1947),0))))</x:f>
        <x:v>未回本</x:v>
      </x:c>
    </x:row>
    <x:row r="1948" ht="22" customHeight="1">
      <x:c r="A1948" s="11" t="str">
        <x:v>lade_0828_20aoi</x:v>
      </x:c>
      <x:c r="B1948" s="10" t="n">
        <x:v>20</x:v>
      </x:c>
      <x:c r="C1948" s="10" t="n">
        <x:v>42</x:v>
      </x:c>
      <x:c r="D1948" s="10" t="str">
        <x:v>M1 / M3</x:v>
      </x:c>
      <x:c r="E1948" s="16" t="n">
        <x:v>3</x:v>
      </x:c>
      <x:c r="F1948" s="14" t="n">
        <x:v>50</x:v>
      </x:c>
      <x:c r="G1948" s="26" t="n">
        <x:f>'成本明细'!U294+'成本明细'!G294*(E1948-'参数'!$B$6)</x:f>
        <x:v>3139.433337905</x:v>
      </x:c>
      <x:c r="H1948" s="26" t="n">
        <x:f>'成本明细'!U300</x:f>
        <x:v>3672.769739562222</x:v>
      </x:c>
      <x:c r="I1948" s="26" t="n">
        <x:f>'成本明细'!V300</x:f>
        <x:v>6825.5</x:v>
      </x:c>
      <x:c r="J1948" s="22" t="n">
        <x:f>'参数'!$B$9</x:f>
        <x:v>300</x:v>
      </x:c>
      <x:c r="K1948" s="26" t="n">
        <x:f>J1948*(G1948-H1948)-I1948*ROUNDUP(J1948/F1948,0)</x:f>
        <x:v>-200953.9204971667</x:v>
      </x:c>
      <x:c r="L1948" s="10" t="str">
        <x:f>IF(G1948-H1948&lt;=0,"未回本",IF(ROUNDUP(I1948/(G1948-H1948),0)&gt;MIN(F1948,J1948),"未回本",MAX(1,ROUNDUP(I1948/(G1948-H1948),0))))</x:f>
        <x:v>未回本</x:v>
      </x:c>
    </x:row>
    <x:row r="1949" ht="22" customHeight="1">
      <x:c r="A1949" s="11" t="str">
        <x:v>lade_0828_20aoi</x:v>
      </x:c>
      <x:c r="B1949" s="10" t="n">
        <x:v>20</x:v>
      </x:c>
      <x:c r="C1949" s="10" t="n">
        <x:v>42</x:v>
      </x:c>
      <x:c r="D1949" s="10" t="str">
        <x:v>M2 / M4</x:v>
      </x:c>
      <x:c r="E1949" s="16" t="n">
        <x:v>3</x:v>
      </x:c>
      <x:c r="F1949" s="14" t="n">
        <x:v>50</x:v>
      </x:c>
      <x:c r="G1949" s="26" t="n">
        <x:f>'成本明细'!U297+'成本明细'!G297*(E1949-'参数'!$B$6)</x:f>
        <x:v>2552.6958042244446</x:v>
      </x:c>
      <x:c r="H1949" s="26" t="n">
        <x:f>'成本明细'!U303</x:f>
        <x:v>3545.9287160472218</x:v>
      </x:c>
      <x:c r="I1949" s="26" t="n">
        <x:f>'成本明细'!V303</x:f>
        <x:v>6825.5</x:v>
      </x:c>
      <x:c r="J1949" s="22" t="n">
        <x:f>'参数'!$B$9</x:f>
        <x:v>300</x:v>
      </x:c>
      <x:c r="K1949" s="26" t="n">
        <x:f>J1949*(G1949-H1949)-I1949*ROUNDUP(J1949/F1949,0)</x:f>
        <x:v>-338922.8735468332</x:v>
      </x:c>
      <x:c r="L1949" s="10" t="str">
        <x:f>IF(G1949-H1949&lt;=0,"未回本",IF(ROUNDUP(I1949/(G1949-H1949),0)&gt;MIN(F1949,J1949),"未回本",MAX(1,ROUNDUP(I1949/(G1949-H1949),0))))</x:f>
        <x:v>未回本</x:v>
      </x:c>
    </x:row>
    <x:row r="1950" ht="22" customHeight="1">
      <x:c r="A1950" s="11" t="str">
        <x:v>lade_0828_20aoi</x:v>
      </x:c>
      <x:c r="B1950" s="10" t="n">
        <x:v>20</x:v>
      </x:c>
      <x:c r="C1950" s="10" t="n">
        <x:v>42</x:v>
      </x:c>
      <x:c r="D1950" s="10" t="str">
        <x:v>M1 / M3</x:v>
      </x:c>
      <x:c r="E1950" s="16" t="n">
        <x:v>4</x:v>
      </x:c>
      <x:c r="F1950" s="14" t="n">
        <x:v>10</x:v>
      </x:c>
      <x:c r="G1950" s="26" t="n">
        <x:f>'成本明细'!U294+'成本明细'!G294*(E1950-'参数'!$B$6)</x:f>
        <x:v>3326.433337905</x:v>
      </x:c>
      <x:c r="H1950" s="26" t="n">
        <x:f>'成本明细'!U300</x:f>
        <x:v>3672.769739562222</x:v>
      </x:c>
      <x:c r="I1950" s="26" t="n">
        <x:f>'成本明细'!V300</x:f>
        <x:v>6825.5</x:v>
      </x:c>
      <x:c r="J1950" s="22" t="n">
        <x:f>'参数'!$B$9</x:f>
        <x:v>300</x:v>
      </x:c>
      <x:c r="K1950" s="26" t="n">
        <x:f>J1950*(G1950-H1950)-I1950*ROUNDUP(J1950/F1950,0)</x:f>
        <x:v>-308665.9204971667</x:v>
      </x:c>
      <x:c r="L1950" s="10" t="str">
        <x:f>IF(G1950-H1950&lt;=0,"未回本",IF(ROUNDUP(I1950/(G1950-H1950),0)&gt;MIN(F1950,J1950),"未回本",MAX(1,ROUNDUP(I1950/(G1950-H1950),0))))</x:f>
        <x:v>未回本</x:v>
      </x:c>
    </x:row>
    <x:row r="1951" ht="22" customHeight="1">
      <x:c r="A1951" s="11" t="str">
        <x:v>lade_0828_20aoi</x:v>
      </x:c>
      <x:c r="B1951" s="10" t="n">
        <x:v>20</x:v>
      </x:c>
      <x:c r="C1951" s="10" t="n">
        <x:v>42</x:v>
      </x:c>
      <x:c r="D1951" s="10" t="str">
        <x:v>M2 / M4</x:v>
      </x:c>
      <x:c r="E1951" s="16" t="n">
        <x:v>4</x:v>
      </x:c>
      <x:c r="F1951" s="14" t="n">
        <x:v>10</x:v>
      </x:c>
      <x:c r="G1951" s="26" t="n">
        <x:f>'成本明细'!U297+'成本明细'!G297*(E1951-'参数'!$B$6)</x:f>
        <x:v>2739.6958042244446</x:v>
      </x:c>
      <x:c r="H1951" s="26" t="n">
        <x:f>'成本明细'!U303</x:f>
        <x:v>3545.9287160472218</x:v>
      </x:c>
      <x:c r="I1951" s="26" t="n">
        <x:f>'成本明细'!V303</x:f>
        <x:v>6825.5</x:v>
      </x:c>
      <x:c r="J1951" s="22" t="n">
        <x:f>'参数'!$B$9</x:f>
        <x:v>300</x:v>
      </x:c>
      <x:c r="K1951" s="26" t="n">
        <x:f>J1951*(G1951-H1951)-I1951*ROUNDUP(J1951/F1951,0)</x:f>
        <x:v>-446634.8735468332</x:v>
      </x:c>
      <x:c r="L1951" s="10" t="str">
        <x:f>IF(G1951-H1951&lt;=0,"未回本",IF(ROUNDUP(I1951/(G1951-H1951),0)&gt;MIN(F1951,J1951),"未回本",MAX(1,ROUNDUP(I1951/(G1951-H1951),0))))</x:f>
        <x:v>未回本</x:v>
      </x:c>
    </x:row>
    <x:row r="1952" ht="22" customHeight="1">
      <x:c r="A1952" s="11" t="str">
        <x:v>lade_0828_20aoi</x:v>
      </x:c>
      <x:c r="B1952" s="10" t="n">
        <x:v>20</x:v>
      </x:c>
      <x:c r="C1952" s="10" t="n">
        <x:v>42</x:v>
      </x:c>
      <x:c r="D1952" s="10" t="str">
        <x:v>M1 / M3</x:v>
      </x:c>
      <x:c r="E1952" s="16" t="n">
        <x:v>4</x:v>
      </x:c>
      <x:c r="F1952" s="14" t="n">
        <x:v>20</x:v>
      </x:c>
      <x:c r="G1952" s="26" t="n">
        <x:f>'成本明细'!U294+'成本明细'!G294*(E1952-'参数'!$B$6)</x:f>
        <x:v>3326.433337905</x:v>
      </x:c>
      <x:c r="H1952" s="26" t="n">
        <x:f>'成本明细'!U300</x:f>
        <x:v>3672.769739562222</x:v>
      </x:c>
      <x:c r="I1952" s="26" t="n">
        <x:f>'成本明细'!V300</x:f>
        <x:v>6825.5</x:v>
      </x:c>
      <x:c r="J1952" s="22" t="n">
        <x:f>'参数'!$B$9</x:f>
        <x:v>300</x:v>
      </x:c>
      <x:c r="K1952" s="26" t="n">
        <x:f>J1952*(G1952-H1952)-I1952*ROUNDUP(J1952/F1952,0)</x:f>
        <x:v>-206283.4204971667</x:v>
      </x:c>
      <x:c r="L1952" s="10" t="str">
        <x:f>IF(G1952-H1952&lt;=0,"未回本",IF(ROUNDUP(I1952/(G1952-H1952),0)&gt;MIN(F1952,J1952),"未回本",MAX(1,ROUNDUP(I1952/(G1952-H1952),0))))</x:f>
        <x:v>未回本</x:v>
      </x:c>
    </x:row>
    <x:row r="1953" ht="22" customHeight="1">
      <x:c r="A1953" s="11" t="str">
        <x:v>lade_0828_20aoi</x:v>
      </x:c>
      <x:c r="B1953" s="10" t="n">
        <x:v>20</x:v>
      </x:c>
      <x:c r="C1953" s="10" t="n">
        <x:v>42</x:v>
      </x:c>
      <x:c r="D1953" s="10" t="str">
        <x:v>M2 / M4</x:v>
      </x:c>
      <x:c r="E1953" s="16" t="n">
        <x:v>4</x:v>
      </x:c>
      <x:c r="F1953" s="14" t="n">
        <x:v>20</x:v>
      </x:c>
      <x:c r="G1953" s="26" t="n">
        <x:f>'成本明细'!U297+'成本明细'!G297*(E1953-'参数'!$B$6)</x:f>
        <x:v>2739.6958042244446</x:v>
      </x:c>
      <x:c r="H1953" s="26" t="n">
        <x:f>'成本明细'!U303</x:f>
        <x:v>3545.9287160472218</x:v>
      </x:c>
      <x:c r="I1953" s="26" t="n">
        <x:f>'成本明细'!V303</x:f>
        <x:v>6825.5</x:v>
      </x:c>
      <x:c r="J1953" s="22" t="n">
        <x:f>'参数'!$B$9</x:f>
        <x:v>300</x:v>
      </x:c>
      <x:c r="K1953" s="26" t="n">
        <x:f>J1953*(G1953-H1953)-I1953*ROUNDUP(J1953/F1953,0)</x:f>
        <x:v>-344252.3735468332</x:v>
      </x:c>
      <x:c r="L1953" s="10" t="str">
        <x:f>IF(G1953-H1953&lt;=0,"未回本",IF(ROUNDUP(I1953/(G1953-H1953),0)&gt;MIN(F1953,J1953),"未回本",MAX(1,ROUNDUP(I1953/(G1953-H1953),0))))</x:f>
        <x:v>未回本</x:v>
      </x:c>
    </x:row>
    <x:row r="1954" ht="22" customHeight="1">
      <x:c r="A1954" s="11" t="str">
        <x:v>lade_0828_20aoi</x:v>
      </x:c>
      <x:c r="B1954" s="10" t="n">
        <x:v>20</x:v>
      </x:c>
      <x:c r="C1954" s="10" t="n">
        <x:v>42</x:v>
      </x:c>
      <x:c r="D1954" s="10" t="str">
        <x:v>M1 / M3</x:v>
      </x:c>
      <x:c r="E1954" s="16" t="n">
        <x:v>4</x:v>
      </x:c>
      <x:c r="F1954" s="14" t="n">
        <x:v>30</x:v>
      </x:c>
      <x:c r="G1954" s="26" t="n">
        <x:f>'成本明细'!U294+'成本明细'!G294*(E1954-'参数'!$B$6)</x:f>
        <x:v>3326.433337905</x:v>
      </x:c>
      <x:c r="H1954" s="26" t="n">
        <x:f>'成本明细'!U300</x:f>
        <x:v>3672.769739562222</x:v>
      </x:c>
      <x:c r="I1954" s="26" t="n">
        <x:f>'成本明细'!V300</x:f>
        <x:v>6825.5</x:v>
      </x:c>
      <x:c r="J1954" s="22" t="n">
        <x:f>'参数'!$B$9</x:f>
        <x:v>300</x:v>
      </x:c>
      <x:c r="K1954" s="26" t="n">
        <x:f>J1954*(G1954-H1954)-I1954*ROUNDUP(J1954/F1954,0)</x:f>
        <x:v>-172155.9204971667</x:v>
      </x:c>
      <x:c r="L1954" s="10" t="str">
        <x:f>IF(G1954-H1954&lt;=0,"未回本",IF(ROUNDUP(I1954/(G1954-H1954),0)&gt;MIN(F1954,J1954),"未回本",MAX(1,ROUNDUP(I1954/(G1954-H1954),0))))</x:f>
        <x:v>未回本</x:v>
      </x:c>
    </x:row>
    <x:row r="1955" ht="22" customHeight="1">
      <x:c r="A1955" s="11" t="str">
        <x:v>lade_0828_20aoi</x:v>
      </x:c>
      <x:c r="B1955" s="10" t="n">
        <x:v>20</x:v>
      </x:c>
      <x:c r="C1955" s="10" t="n">
        <x:v>42</x:v>
      </x:c>
      <x:c r="D1955" s="10" t="str">
        <x:v>M2 / M4</x:v>
      </x:c>
      <x:c r="E1955" s="16" t="n">
        <x:v>4</x:v>
      </x:c>
      <x:c r="F1955" s="14" t="n">
        <x:v>30</x:v>
      </x:c>
      <x:c r="G1955" s="26" t="n">
        <x:f>'成本明细'!U297+'成本明细'!G297*(E1955-'参数'!$B$6)</x:f>
        <x:v>2739.6958042244446</x:v>
      </x:c>
      <x:c r="H1955" s="26" t="n">
        <x:f>'成本明细'!U303</x:f>
        <x:v>3545.9287160472218</x:v>
      </x:c>
      <x:c r="I1955" s="26" t="n">
        <x:f>'成本明细'!V303</x:f>
        <x:v>6825.5</x:v>
      </x:c>
      <x:c r="J1955" s="22" t="n">
        <x:f>'参数'!$B$9</x:f>
        <x:v>300</x:v>
      </x:c>
      <x:c r="K1955" s="26" t="n">
        <x:f>J1955*(G1955-H1955)-I1955*ROUNDUP(J1955/F1955,0)</x:f>
        <x:v>-310124.8735468332</x:v>
      </x:c>
      <x:c r="L1955" s="10" t="str">
        <x:f>IF(G1955-H1955&lt;=0,"未回本",IF(ROUNDUP(I1955/(G1955-H1955),0)&gt;MIN(F1955,J1955),"未回本",MAX(1,ROUNDUP(I1955/(G1955-H1955),0))))</x:f>
        <x:v>未回本</x:v>
      </x:c>
    </x:row>
    <x:row r="1956" ht="22" customHeight="1">
      <x:c r="A1956" s="11" t="str">
        <x:v>lade_0828_20aoi</x:v>
      </x:c>
      <x:c r="B1956" s="10" t="n">
        <x:v>20</x:v>
      </x:c>
      <x:c r="C1956" s="10" t="n">
        <x:v>42</x:v>
      </x:c>
      <x:c r="D1956" s="10" t="str">
        <x:v>M1 / M3</x:v>
      </x:c>
      <x:c r="E1956" s="16" t="n">
        <x:v>4</x:v>
      </x:c>
      <x:c r="F1956" s="14" t="n">
        <x:v>50</x:v>
      </x:c>
      <x:c r="G1956" s="26" t="n">
        <x:f>'成本明细'!U294+'成本明细'!G294*(E1956-'参数'!$B$6)</x:f>
        <x:v>3326.433337905</x:v>
      </x:c>
      <x:c r="H1956" s="26" t="n">
        <x:f>'成本明细'!U300</x:f>
        <x:v>3672.769739562222</x:v>
      </x:c>
      <x:c r="I1956" s="26" t="n">
        <x:f>'成本明细'!V300</x:f>
        <x:v>6825.5</x:v>
      </x:c>
      <x:c r="J1956" s="22" t="n">
        <x:f>'参数'!$B$9</x:f>
        <x:v>300</x:v>
      </x:c>
      <x:c r="K1956" s="26" t="n">
        <x:f>J1956*(G1956-H1956)-I1956*ROUNDUP(J1956/F1956,0)</x:f>
        <x:v>-144853.9204971667</x:v>
      </x:c>
      <x:c r="L1956" s="10" t="str">
        <x:f>IF(G1956-H1956&lt;=0,"未回本",IF(ROUNDUP(I1956/(G1956-H1956),0)&gt;MIN(F1956,J1956),"未回本",MAX(1,ROUNDUP(I1956/(G1956-H1956),0))))</x:f>
        <x:v>未回本</x:v>
      </x:c>
    </x:row>
    <x:row r="1957" ht="22" customHeight="1">
      <x:c r="A1957" s="11" t="str">
        <x:v>lade_0828_20aoi</x:v>
      </x:c>
      <x:c r="B1957" s="10" t="n">
        <x:v>20</x:v>
      </x:c>
      <x:c r="C1957" s="10" t="n">
        <x:v>42</x:v>
      </x:c>
      <x:c r="D1957" s="10" t="str">
        <x:v>M2 / M4</x:v>
      </x:c>
      <x:c r="E1957" s="16" t="n">
        <x:v>4</x:v>
      </x:c>
      <x:c r="F1957" s="14" t="n">
        <x:v>50</x:v>
      </x:c>
      <x:c r="G1957" s="26" t="n">
        <x:f>'成本明细'!U297+'成本明细'!G297*(E1957-'参数'!$B$6)</x:f>
        <x:v>2739.6958042244446</x:v>
      </x:c>
      <x:c r="H1957" s="26" t="n">
        <x:f>'成本明细'!U303</x:f>
        <x:v>3545.9287160472218</x:v>
      </x:c>
      <x:c r="I1957" s="26" t="n">
        <x:f>'成本明细'!V303</x:f>
        <x:v>6825.5</x:v>
      </x:c>
      <x:c r="J1957" s="22" t="n">
        <x:f>'参数'!$B$9</x:f>
        <x:v>300</x:v>
      </x:c>
      <x:c r="K1957" s="26" t="n">
        <x:f>J1957*(G1957-H1957)-I1957*ROUNDUP(J1957/F1957,0)</x:f>
        <x:v>-282822.8735468332</x:v>
      </x:c>
      <x:c r="L1957" s="10" t="str">
        <x:f>IF(G1957-H1957&lt;=0,"未回本",IF(ROUNDUP(I1957/(G1957-H1957),0)&gt;MIN(F1957,J1957),"未回本",MAX(1,ROUNDUP(I1957/(G1957-H1957),0))))</x:f>
        <x:v>未回本</x:v>
      </x:c>
    </x:row>
    <x:row r="1958" ht="22" customHeight="1">
      <x:c r="A1958" s="11" t="str">
        <x:v>lade_0828_20aoi</x:v>
      </x:c>
      <x:c r="B1958" s="10" t="n">
        <x:v>20</x:v>
      </x:c>
      <x:c r="C1958" s="10" t="n">
        <x:v>42</x:v>
      </x:c>
      <x:c r="D1958" s="10" t="str">
        <x:v>M1 / M3</x:v>
      </x:c>
      <x:c r="E1958" s="16" t="n">
        <x:v>5</x:v>
      </x:c>
      <x:c r="F1958" s="14" t="n">
        <x:v>10</x:v>
      </x:c>
      <x:c r="G1958" s="26" t="n">
        <x:f>'成本明细'!U294+'成本明细'!G294*(E1958-'参数'!$B$6)</x:f>
        <x:v>3513.433337905</x:v>
      </x:c>
      <x:c r="H1958" s="26" t="n">
        <x:f>'成本明细'!U300</x:f>
        <x:v>3672.769739562222</x:v>
      </x:c>
      <x:c r="I1958" s="26" t="n">
        <x:f>'成本明细'!V300</x:f>
        <x:v>6825.5</x:v>
      </x:c>
      <x:c r="J1958" s="22" t="n">
        <x:f>'参数'!$B$9</x:f>
        <x:v>300</x:v>
      </x:c>
      <x:c r="K1958" s="26" t="n">
        <x:f>J1958*(G1958-H1958)-I1958*ROUNDUP(J1958/F1958,0)</x:f>
        <x:v>-252565.9204971667</x:v>
      </x:c>
      <x:c r="L1958" s="10" t="str">
        <x:f>IF(G1958-H1958&lt;=0,"未回本",IF(ROUNDUP(I1958/(G1958-H1958),0)&gt;MIN(F1958,J1958),"未回本",MAX(1,ROUNDUP(I1958/(G1958-H1958),0))))</x:f>
        <x:v>未回本</x:v>
      </x:c>
    </x:row>
    <x:row r="1959" ht="22" customHeight="1">
      <x:c r="A1959" s="11" t="str">
        <x:v>lade_0828_20aoi</x:v>
      </x:c>
      <x:c r="B1959" s="10" t="n">
        <x:v>20</x:v>
      </x:c>
      <x:c r="C1959" s="10" t="n">
        <x:v>42</x:v>
      </x:c>
      <x:c r="D1959" s="10" t="str">
        <x:v>M2 / M4</x:v>
      </x:c>
      <x:c r="E1959" s="16" t="n">
        <x:v>5</x:v>
      </x:c>
      <x:c r="F1959" s="14" t="n">
        <x:v>10</x:v>
      </x:c>
      <x:c r="G1959" s="26" t="n">
        <x:f>'成本明细'!U297+'成本明细'!G297*(E1959-'参数'!$B$6)</x:f>
        <x:v>2926.6958042244446</x:v>
      </x:c>
      <x:c r="H1959" s="26" t="n">
        <x:f>'成本明细'!U303</x:f>
        <x:v>3545.9287160472218</x:v>
      </x:c>
      <x:c r="I1959" s="26" t="n">
        <x:f>'成本明细'!V303</x:f>
        <x:v>6825.5</x:v>
      </x:c>
      <x:c r="J1959" s="22" t="n">
        <x:f>'参数'!$B$9</x:f>
        <x:v>300</x:v>
      </x:c>
      <x:c r="K1959" s="26" t="n">
        <x:f>J1959*(G1959-H1959)-I1959*ROUNDUP(J1959/F1959,0)</x:f>
        <x:v>-390534.8735468332</x:v>
      </x:c>
      <x:c r="L1959" s="10" t="str">
        <x:f>IF(G1959-H1959&lt;=0,"未回本",IF(ROUNDUP(I1959/(G1959-H1959),0)&gt;MIN(F1959,J1959),"未回本",MAX(1,ROUNDUP(I1959/(G1959-H1959),0))))</x:f>
        <x:v>未回本</x:v>
      </x:c>
    </x:row>
    <x:row r="1960" ht="22" customHeight="1">
      <x:c r="A1960" s="11" t="str">
        <x:v>lade_0828_20aoi</x:v>
      </x:c>
      <x:c r="B1960" s="10" t="n">
        <x:v>20</x:v>
      </x:c>
      <x:c r="C1960" s="10" t="n">
        <x:v>42</x:v>
      </x:c>
      <x:c r="D1960" s="10" t="str">
        <x:v>M1 / M3</x:v>
      </x:c>
      <x:c r="E1960" s="16" t="n">
        <x:v>5</x:v>
      </x:c>
      <x:c r="F1960" s="14" t="n">
        <x:v>20</x:v>
      </x:c>
      <x:c r="G1960" s="26" t="n">
        <x:f>'成本明细'!U294+'成本明细'!G294*(E1960-'参数'!$B$6)</x:f>
        <x:v>3513.433337905</x:v>
      </x:c>
      <x:c r="H1960" s="26" t="n">
        <x:f>'成本明细'!U300</x:f>
        <x:v>3672.769739562222</x:v>
      </x:c>
      <x:c r="I1960" s="26" t="n">
        <x:f>'成本明细'!V300</x:f>
        <x:v>6825.5</x:v>
      </x:c>
      <x:c r="J1960" s="22" t="n">
        <x:f>'参数'!$B$9</x:f>
        <x:v>300</x:v>
      </x:c>
      <x:c r="K1960" s="26" t="n">
        <x:f>J1960*(G1960-H1960)-I1960*ROUNDUP(J1960/F1960,0)</x:f>
        <x:v>-150183.4204971667</x:v>
      </x:c>
      <x:c r="L1960" s="10" t="str">
        <x:f>IF(G1960-H1960&lt;=0,"未回本",IF(ROUNDUP(I1960/(G1960-H1960),0)&gt;MIN(F1960,J1960),"未回本",MAX(1,ROUNDUP(I1960/(G1960-H1960),0))))</x:f>
        <x:v>未回本</x:v>
      </x:c>
    </x:row>
    <x:row r="1961" ht="22" customHeight="1">
      <x:c r="A1961" s="11" t="str">
        <x:v>lade_0828_20aoi</x:v>
      </x:c>
      <x:c r="B1961" s="10" t="n">
        <x:v>20</x:v>
      </x:c>
      <x:c r="C1961" s="10" t="n">
        <x:v>42</x:v>
      </x:c>
      <x:c r="D1961" s="10" t="str">
        <x:v>M2 / M4</x:v>
      </x:c>
      <x:c r="E1961" s="16" t="n">
        <x:v>5</x:v>
      </x:c>
      <x:c r="F1961" s="14" t="n">
        <x:v>20</x:v>
      </x:c>
      <x:c r="G1961" s="26" t="n">
        <x:f>'成本明细'!U297+'成本明细'!G297*(E1961-'参数'!$B$6)</x:f>
        <x:v>2926.6958042244446</x:v>
      </x:c>
      <x:c r="H1961" s="26" t="n">
        <x:f>'成本明细'!U303</x:f>
        <x:v>3545.9287160472218</x:v>
      </x:c>
      <x:c r="I1961" s="26" t="n">
        <x:f>'成本明细'!V303</x:f>
        <x:v>6825.5</x:v>
      </x:c>
      <x:c r="J1961" s="22" t="n">
        <x:f>'参数'!$B$9</x:f>
        <x:v>300</x:v>
      </x:c>
      <x:c r="K1961" s="26" t="n">
        <x:f>J1961*(G1961-H1961)-I1961*ROUNDUP(J1961/F1961,0)</x:f>
        <x:v>-288152.3735468332</x:v>
      </x:c>
      <x:c r="L1961" s="10" t="str">
        <x:f>IF(G1961-H1961&lt;=0,"未回本",IF(ROUNDUP(I1961/(G1961-H1961),0)&gt;MIN(F1961,J1961),"未回本",MAX(1,ROUNDUP(I1961/(G1961-H1961),0))))</x:f>
        <x:v>未回本</x:v>
      </x:c>
    </x:row>
    <x:row r="1962" ht="22" customHeight="1">
      <x:c r="A1962" s="11" t="str">
        <x:v>lade_0828_20aoi</x:v>
      </x:c>
      <x:c r="B1962" s="10" t="n">
        <x:v>20</x:v>
      </x:c>
      <x:c r="C1962" s="10" t="n">
        <x:v>42</x:v>
      </x:c>
      <x:c r="D1962" s="10" t="str">
        <x:v>M1 / M3</x:v>
      </x:c>
      <x:c r="E1962" s="16" t="n">
        <x:v>5</x:v>
      </x:c>
      <x:c r="F1962" s="14" t="n">
        <x:v>30</x:v>
      </x:c>
      <x:c r="G1962" s="26" t="n">
        <x:f>'成本明细'!U294+'成本明细'!G294*(E1962-'参数'!$B$6)</x:f>
        <x:v>3513.433337905</x:v>
      </x:c>
      <x:c r="H1962" s="26" t="n">
        <x:f>'成本明细'!U300</x:f>
        <x:v>3672.769739562222</x:v>
      </x:c>
      <x:c r="I1962" s="26" t="n">
        <x:f>'成本明细'!V300</x:f>
        <x:v>6825.5</x:v>
      </x:c>
      <x:c r="J1962" s="22" t="n">
        <x:f>'参数'!$B$9</x:f>
        <x:v>300</x:v>
      </x:c>
      <x:c r="K1962" s="26" t="n">
        <x:f>J1962*(G1962-H1962)-I1962*ROUNDUP(J1962/F1962,0)</x:f>
        <x:v>-116055.92049716668</x:v>
      </x:c>
      <x:c r="L1962" s="10" t="str">
        <x:f>IF(G1962-H1962&lt;=0,"未回本",IF(ROUNDUP(I1962/(G1962-H1962),0)&gt;MIN(F1962,J1962),"未回本",MAX(1,ROUNDUP(I1962/(G1962-H1962),0))))</x:f>
        <x:v>未回本</x:v>
      </x:c>
    </x:row>
    <x:row r="1963" ht="22" customHeight="1">
      <x:c r="A1963" s="11" t="str">
        <x:v>lade_0828_20aoi</x:v>
      </x:c>
      <x:c r="B1963" s="10" t="n">
        <x:v>20</x:v>
      </x:c>
      <x:c r="C1963" s="10" t="n">
        <x:v>42</x:v>
      </x:c>
      <x:c r="D1963" s="10" t="str">
        <x:v>M2 / M4</x:v>
      </x:c>
      <x:c r="E1963" s="16" t="n">
        <x:v>5</x:v>
      </x:c>
      <x:c r="F1963" s="14" t="n">
        <x:v>30</x:v>
      </x:c>
      <x:c r="G1963" s="26" t="n">
        <x:f>'成本明细'!U297+'成本明细'!G297*(E1963-'参数'!$B$6)</x:f>
        <x:v>2926.6958042244446</x:v>
      </x:c>
      <x:c r="H1963" s="26" t="n">
        <x:f>'成本明细'!U303</x:f>
        <x:v>3545.9287160472218</x:v>
      </x:c>
      <x:c r="I1963" s="26" t="n">
        <x:f>'成本明细'!V303</x:f>
        <x:v>6825.5</x:v>
      </x:c>
      <x:c r="J1963" s="22" t="n">
        <x:f>'参数'!$B$9</x:f>
        <x:v>300</x:v>
      </x:c>
      <x:c r="K1963" s="26" t="n">
        <x:f>J1963*(G1963-H1963)-I1963*ROUNDUP(J1963/F1963,0)</x:f>
        <x:v>-254024.87354683314</x:v>
      </x:c>
      <x:c r="L1963" s="10" t="str">
        <x:f>IF(G1963-H1963&lt;=0,"未回本",IF(ROUNDUP(I1963/(G1963-H1963),0)&gt;MIN(F1963,J1963),"未回本",MAX(1,ROUNDUP(I1963/(G1963-H1963),0))))</x:f>
        <x:v>未回本</x:v>
      </x:c>
    </x:row>
    <x:row r="1964" ht="22" customHeight="1">
      <x:c r="A1964" s="11" t="str">
        <x:v>lade_0828_20aoi</x:v>
      </x:c>
      <x:c r="B1964" s="10" t="n">
        <x:v>20</x:v>
      </x:c>
      <x:c r="C1964" s="10" t="n">
        <x:v>42</x:v>
      </x:c>
      <x:c r="D1964" s="10" t="str">
        <x:v>M1 / M3</x:v>
      </x:c>
      <x:c r="E1964" s="16" t="n">
        <x:v>5</x:v>
      </x:c>
      <x:c r="F1964" s="14" t="n">
        <x:v>50</x:v>
      </x:c>
      <x:c r="G1964" s="26" t="n">
        <x:f>'成本明细'!U294+'成本明细'!G294*(E1964-'参数'!$B$6)</x:f>
        <x:v>3513.433337905</x:v>
      </x:c>
      <x:c r="H1964" s="26" t="n">
        <x:f>'成本明细'!U300</x:f>
        <x:v>3672.769739562222</x:v>
      </x:c>
      <x:c r="I1964" s="26" t="n">
        <x:f>'成本明细'!V300</x:f>
        <x:v>6825.5</x:v>
      </x:c>
      <x:c r="J1964" s="22" t="n">
        <x:f>'参数'!$B$9</x:f>
        <x:v>300</x:v>
      </x:c>
      <x:c r="K1964" s="26" t="n">
        <x:f>J1964*(G1964-H1964)-I1964*ROUNDUP(J1964/F1964,0)</x:f>
        <x:v>-88753.92049716668</x:v>
      </x:c>
      <x:c r="L1964" s="10" t="str">
        <x:f>IF(G1964-H1964&lt;=0,"未回本",IF(ROUNDUP(I1964/(G1964-H1964),0)&gt;MIN(F1964,J1964),"未回本",MAX(1,ROUNDUP(I1964/(G1964-H1964),0))))</x:f>
        <x:v>未回本</x:v>
      </x:c>
    </x:row>
    <x:row r="1965" ht="22" customHeight="1">
      <x:c r="A1965" s="11" t="str">
        <x:v>lade_0828_20aoi</x:v>
      </x:c>
      <x:c r="B1965" s="10" t="n">
        <x:v>20</x:v>
      </x:c>
      <x:c r="C1965" s="10" t="n">
        <x:v>42</x:v>
      </x:c>
      <x:c r="D1965" s="10" t="str">
        <x:v>M2 / M4</x:v>
      </x:c>
      <x:c r="E1965" s="16" t="n">
        <x:v>5</x:v>
      </x:c>
      <x:c r="F1965" s="14" t="n">
        <x:v>50</x:v>
      </x:c>
      <x:c r="G1965" s="26" t="n">
        <x:f>'成本明细'!U297+'成本明细'!G297*(E1965-'参数'!$B$6)</x:f>
        <x:v>2926.6958042244446</x:v>
      </x:c>
      <x:c r="H1965" s="26" t="n">
        <x:f>'成本明细'!U303</x:f>
        <x:v>3545.9287160472218</x:v>
      </x:c>
      <x:c r="I1965" s="26" t="n">
        <x:f>'成本明细'!V303</x:f>
        <x:v>6825.5</x:v>
      </x:c>
      <x:c r="J1965" s="22" t="n">
        <x:f>'参数'!$B$9</x:f>
        <x:v>300</x:v>
      </x:c>
      <x:c r="K1965" s="26" t="n">
        <x:f>J1965*(G1965-H1965)-I1965*ROUNDUP(J1965/F1965,0)</x:f>
        <x:v>-226722.87354683314</x:v>
      </x:c>
      <x:c r="L1965" s="10" t="str">
        <x:f>IF(G1965-H1965&lt;=0,"未回本",IF(ROUNDUP(I1965/(G1965-H1965),0)&gt;MIN(F1965,J1965),"未回本",MAX(1,ROUNDUP(I1965/(G1965-H1965),0))))</x:f>
        <x:v>未回本</x:v>
      </x:c>
    </x:row>
    <x:row r="1966" ht="22" customHeight="1">
      <x:c r="A1966" s="11" t="str">
        <x:v>lade_0828_20aoi</x:v>
      </x:c>
      <x:c r="B1966" s="10" t="n">
        <x:v>20</x:v>
      </x:c>
      <x:c r="C1966" s="10" t="n">
        <x:v>43</x:v>
      </x:c>
      <x:c r="D1966" s="10" t="str">
        <x:v>M1 / M3</x:v>
      </x:c>
      <x:c r="E1966" s="16" t="n">
        <x:v>1</x:v>
      </x:c>
      <x:c r="F1966" s="14" t="n">
        <x:v>10</x:v>
      </x:c>
      <x:c r="G1966" s="26" t="n">
        <x:f>'成本明细'!U295+'成本明细'!G295*(E1966-'参数'!$B$6)</x:f>
        <x:v>2765.433337905</x:v>
      </x:c>
      <x:c r="H1966" s="26" t="n">
        <x:f>'成本明细'!U301</x:f>
        <x:v>3672.769739562222</x:v>
      </x:c>
      <x:c r="I1966" s="26" t="n">
        <x:f>'成本明细'!V301</x:f>
        <x:v>6825.5</x:v>
      </x:c>
      <x:c r="J1966" s="22" t="n">
        <x:f>'参数'!$B$9</x:f>
        <x:v>300</x:v>
      </x:c>
      <x:c r="K1966" s="26" t="n">
        <x:f>J1966*(G1966-H1966)-I1966*ROUNDUP(J1966/F1966,0)</x:f>
        <x:v>-476965.9204971667</x:v>
      </x:c>
      <x:c r="L1966" s="10" t="str">
        <x:f>IF(G1966-H1966&lt;=0,"未回本",IF(ROUNDUP(I1966/(G1966-H1966),0)&gt;MIN(F1966,J1966),"未回本",MAX(1,ROUNDUP(I1966/(G1966-H1966),0))))</x:f>
        <x:v>未回本</x:v>
      </x:c>
    </x:row>
    <x:row r="1967" ht="22" customHeight="1">
      <x:c r="A1967" s="11" t="str">
        <x:v>lade_0828_20aoi</x:v>
      </x:c>
      <x:c r="B1967" s="10" t="n">
        <x:v>20</x:v>
      </x:c>
      <x:c r="C1967" s="10" t="n">
        <x:v>43</x:v>
      </x:c>
      <x:c r="D1967" s="10" t="str">
        <x:v>M2 / M4</x:v>
      </x:c>
      <x:c r="E1967" s="16" t="n">
        <x:v>1</x:v>
      </x:c>
      <x:c r="F1967" s="14" t="n">
        <x:v>10</x:v>
      </x:c>
      <x:c r="G1967" s="26" t="n">
        <x:f>'成本明细'!U298+'成本明细'!G298*(E1967-'参数'!$B$6)</x:f>
        <x:v>2011.1971788833334</x:v>
      </x:c>
      <x:c r="H1967" s="26" t="n">
        <x:f>'成本明细'!U304</x:f>
        <x:v>3568.919740878333</x:v>
      </x:c>
      <x:c r="I1967" s="26" t="n">
        <x:f>'成本明细'!V304</x:f>
        <x:v>6825.5</x:v>
      </x:c>
      <x:c r="J1967" s="22" t="n">
        <x:f>'参数'!$B$9</x:f>
        <x:v>300</x:v>
      </x:c>
      <x:c r="K1967" s="26" t="n">
        <x:f>J1967*(G1967-H1967)-I1967*ROUNDUP(J1967/F1967,0)</x:f>
        <x:v>-672081.7685984999</x:v>
      </x:c>
      <x:c r="L1967" s="10" t="str">
        <x:f>IF(G1967-H1967&lt;=0,"未回本",IF(ROUNDUP(I1967/(G1967-H1967),0)&gt;MIN(F1967,J1967),"未回本",MAX(1,ROUNDUP(I1967/(G1967-H1967),0))))</x:f>
        <x:v>未回本</x:v>
      </x:c>
    </x:row>
    <x:row r="1968" ht="22" customHeight="1">
      <x:c r="A1968" s="11" t="str">
        <x:v>lade_0828_20aoi</x:v>
      </x:c>
      <x:c r="B1968" s="10" t="n">
        <x:v>20</x:v>
      </x:c>
      <x:c r="C1968" s="10" t="n">
        <x:v>43</x:v>
      </x:c>
      <x:c r="D1968" s="10" t="str">
        <x:v>M1 / M3</x:v>
      </x:c>
      <x:c r="E1968" s="16" t="n">
        <x:v>1</x:v>
      </x:c>
      <x:c r="F1968" s="14" t="n">
        <x:v>20</x:v>
      </x:c>
      <x:c r="G1968" s="26" t="n">
        <x:f>'成本明细'!U295+'成本明细'!G295*(E1968-'参数'!$B$6)</x:f>
        <x:v>2765.433337905</x:v>
      </x:c>
      <x:c r="H1968" s="26" t="n">
        <x:f>'成本明细'!U301</x:f>
        <x:v>3672.769739562222</x:v>
      </x:c>
      <x:c r="I1968" s="26" t="n">
        <x:f>'成本明细'!V301</x:f>
        <x:v>6825.5</x:v>
      </x:c>
      <x:c r="J1968" s="22" t="n">
        <x:f>'参数'!$B$9</x:f>
        <x:v>300</x:v>
      </x:c>
      <x:c r="K1968" s="26" t="n">
        <x:f>J1968*(G1968-H1968)-I1968*ROUNDUP(J1968/F1968,0)</x:f>
        <x:v>-374583.4204971667</x:v>
      </x:c>
      <x:c r="L1968" s="10" t="str">
        <x:f>IF(G1968-H1968&lt;=0,"未回本",IF(ROUNDUP(I1968/(G1968-H1968),0)&gt;MIN(F1968,J1968),"未回本",MAX(1,ROUNDUP(I1968/(G1968-H1968),0))))</x:f>
        <x:v>未回本</x:v>
      </x:c>
    </x:row>
    <x:row r="1969" ht="22" customHeight="1">
      <x:c r="A1969" s="11" t="str">
        <x:v>lade_0828_20aoi</x:v>
      </x:c>
      <x:c r="B1969" s="10" t="n">
        <x:v>20</x:v>
      </x:c>
      <x:c r="C1969" s="10" t="n">
        <x:v>43</x:v>
      </x:c>
      <x:c r="D1969" s="10" t="str">
        <x:v>M2 / M4</x:v>
      </x:c>
      <x:c r="E1969" s="16" t="n">
        <x:v>1</x:v>
      </x:c>
      <x:c r="F1969" s="14" t="n">
        <x:v>20</x:v>
      </x:c>
      <x:c r="G1969" s="26" t="n">
        <x:f>'成本明细'!U298+'成本明细'!G298*(E1969-'参数'!$B$6)</x:f>
        <x:v>2011.1971788833334</x:v>
      </x:c>
      <x:c r="H1969" s="26" t="n">
        <x:f>'成本明细'!U304</x:f>
        <x:v>3568.919740878333</x:v>
      </x:c>
      <x:c r="I1969" s="26" t="n">
        <x:f>'成本明细'!V304</x:f>
        <x:v>6825.5</x:v>
      </x:c>
      <x:c r="J1969" s="22" t="n">
        <x:f>'参数'!$B$9</x:f>
        <x:v>300</x:v>
      </x:c>
      <x:c r="K1969" s="26" t="n">
        <x:f>J1969*(G1969-H1969)-I1969*ROUNDUP(J1969/F1969,0)</x:f>
        <x:v>-569699.2685984999</x:v>
      </x:c>
      <x:c r="L1969" s="10" t="str">
        <x:f>IF(G1969-H1969&lt;=0,"未回本",IF(ROUNDUP(I1969/(G1969-H1969),0)&gt;MIN(F1969,J1969),"未回本",MAX(1,ROUNDUP(I1969/(G1969-H1969),0))))</x:f>
        <x:v>未回本</x:v>
      </x:c>
    </x:row>
    <x:row r="1970" ht="22" customHeight="1">
      <x:c r="A1970" s="11" t="str">
        <x:v>lade_0828_20aoi</x:v>
      </x:c>
      <x:c r="B1970" s="10" t="n">
        <x:v>20</x:v>
      </x:c>
      <x:c r="C1970" s="10" t="n">
        <x:v>43</x:v>
      </x:c>
      <x:c r="D1970" s="10" t="str">
        <x:v>M1 / M3</x:v>
      </x:c>
      <x:c r="E1970" s="16" t="n">
        <x:v>1</x:v>
      </x:c>
      <x:c r="F1970" s="14" t="n">
        <x:v>30</x:v>
      </x:c>
      <x:c r="G1970" s="26" t="n">
        <x:f>'成本明细'!U295+'成本明细'!G295*(E1970-'参数'!$B$6)</x:f>
        <x:v>2765.433337905</x:v>
      </x:c>
      <x:c r="H1970" s="26" t="n">
        <x:f>'成本明细'!U301</x:f>
        <x:v>3672.769739562222</x:v>
      </x:c>
      <x:c r="I1970" s="26" t="n">
        <x:f>'成本明细'!V301</x:f>
        <x:v>6825.5</x:v>
      </x:c>
      <x:c r="J1970" s="22" t="n">
        <x:f>'参数'!$B$9</x:f>
        <x:v>300</x:v>
      </x:c>
      <x:c r="K1970" s="26" t="n">
        <x:f>J1970*(G1970-H1970)-I1970*ROUNDUP(J1970/F1970,0)</x:f>
        <x:v>-340455.9204971667</x:v>
      </x:c>
      <x:c r="L1970" s="10" t="str">
        <x:f>IF(G1970-H1970&lt;=0,"未回本",IF(ROUNDUP(I1970/(G1970-H1970),0)&gt;MIN(F1970,J1970),"未回本",MAX(1,ROUNDUP(I1970/(G1970-H1970),0))))</x:f>
        <x:v>未回本</x:v>
      </x:c>
    </x:row>
    <x:row r="1971" ht="22" customHeight="1">
      <x:c r="A1971" s="11" t="str">
        <x:v>lade_0828_20aoi</x:v>
      </x:c>
      <x:c r="B1971" s="10" t="n">
        <x:v>20</x:v>
      </x:c>
      <x:c r="C1971" s="10" t="n">
        <x:v>43</x:v>
      </x:c>
      <x:c r="D1971" s="10" t="str">
        <x:v>M2 / M4</x:v>
      </x:c>
      <x:c r="E1971" s="16" t="n">
        <x:v>1</x:v>
      </x:c>
      <x:c r="F1971" s="14" t="n">
        <x:v>30</x:v>
      </x:c>
      <x:c r="G1971" s="26" t="n">
        <x:f>'成本明细'!U298+'成本明细'!G298*(E1971-'参数'!$B$6)</x:f>
        <x:v>2011.1971788833334</x:v>
      </x:c>
      <x:c r="H1971" s="26" t="n">
        <x:f>'成本明细'!U304</x:f>
        <x:v>3568.919740878333</x:v>
      </x:c>
      <x:c r="I1971" s="26" t="n">
        <x:f>'成本明细'!V304</x:f>
        <x:v>6825.5</x:v>
      </x:c>
      <x:c r="J1971" s="22" t="n">
        <x:f>'参数'!$B$9</x:f>
        <x:v>300</x:v>
      </x:c>
      <x:c r="K1971" s="26" t="n">
        <x:f>J1971*(G1971-H1971)-I1971*ROUNDUP(J1971/F1971,0)</x:f>
        <x:v>-535571.7685984999</x:v>
      </x:c>
      <x:c r="L1971" s="10" t="str">
        <x:f>IF(G1971-H1971&lt;=0,"未回本",IF(ROUNDUP(I1971/(G1971-H1971),0)&gt;MIN(F1971,J1971),"未回本",MAX(1,ROUNDUP(I1971/(G1971-H1971),0))))</x:f>
        <x:v>未回本</x:v>
      </x:c>
    </x:row>
    <x:row r="1972" ht="22" customHeight="1">
      <x:c r="A1972" s="11" t="str">
        <x:v>lade_0828_20aoi</x:v>
      </x:c>
      <x:c r="B1972" s="10" t="n">
        <x:v>20</x:v>
      </x:c>
      <x:c r="C1972" s="10" t="n">
        <x:v>43</x:v>
      </x:c>
      <x:c r="D1972" s="10" t="str">
        <x:v>M1 / M3</x:v>
      </x:c>
      <x:c r="E1972" s="16" t="n">
        <x:v>1</x:v>
      </x:c>
      <x:c r="F1972" s="14" t="n">
        <x:v>50</x:v>
      </x:c>
      <x:c r="G1972" s="26" t="n">
        <x:f>'成本明细'!U295+'成本明细'!G295*(E1972-'参数'!$B$6)</x:f>
        <x:v>2765.433337905</x:v>
      </x:c>
      <x:c r="H1972" s="26" t="n">
        <x:f>'成本明细'!U301</x:f>
        <x:v>3672.769739562222</x:v>
      </x:c>
      <x:c r="I1972" s="26" t="n">
        <x:f>'成本明细'!V301</x:f>
        <x:v>6825.5</x:v>
      </x:c>
      <x:c r="J1972" s="22" t="n">
        <x:f>'参数'!$B$9</x:f>
        <x:v>300</x:v>
      </x:c>
      <x:c r="K1972" s="26" t="n">
        <x:f>J1972*(G1972-H1972)-I1972*ROUNDUP(J1972/F1972,0)</x:f>
        <x:v>-313153.9204971667</x:v>
      </x:c>
      <x:c r="L1972" s="10" t="str">
        <x:f>IF(G1972-H1972&lt;=0,"未回本",IF(ROUNDUP(I1972/(G1972-H1972),0)&gt;MIN(F1972,J1972),"未回本",MAX(1,ROUNDUP(I1972/(G1972-H1972),0))))</x:f>
        <x:v>未回本</x:v>
      </x:c>
    </x:row>
    <x:row r="1973" ht="22" customHeight="1">
      <x:c r="A1973" s="11" t="str">
        <x:v>lade_0828_20aoi</x:v>
      </x:c>
      <x:c r="B1973" s="10" t="n">
        <x:v>20</x:v>
      </x:c>
      <x:c r="C1973" s="10" t="n">
        <x:v>43</x:v>
      </x:c>
      <x:c r="D1973" s="10" t="str">
        <x:v>M2 / M4</x:v>
      </x:c>
      <x:c r="E1973" s="16" t="n">
        <x:v>1</x:v>
      </x:c>
      <x:c r="F1973" s="14" t="n">
        <x:v>50</x:v>
      </x:c>
      <x:c r="G1973" s="26" t="n">
        <x:f>'成本明细'!U298+'成本明细'!G298*(E1973-'参数'!$B$6)</x:f>
        <x:v>2011.1971788833334</x:v>
      </x:c>
      <x:c r="H1973" s="26" t="n">
        <x:f>'成本明细'!U304</x:f>
        <x:v>3568.919740878333</x:v>
      </x:c>
      <x:c r="I1973" s="26" t="n">
        <x:f>'成本明细'!V304</x:f>
        <x:v>6825.5</x:v>
      </x:c>
      <x:c r="J1973" s="22" t="n">
        <x:f>'参数'!$B$9</x:f>
        <x:v>300</x:v>
      </x:c>
      <x:c r="K1973" s="26" t="n">
        <x:f>J1973*(G1973-H1973)-I1973*ROUNDUP(J1973/F1973,0)</x:f>
        <x:v>-508269.7685984999</x:v>
      </x:c>
      <x:c r="L1973" s="10" t="str">
        <x:f>IF(G1973-H1973&lt;=0,"未回本",IF(ROUNDUP(I1973/(G1973-H1973),0)&gt;MIN(F1973,J1973),"未回本",MAX(1,ROUNDUP(I1973/(G1973-H1973),0))))</x:f>
        <x:v>未回本</x:v>
      </x:c>
    </x:row>
    <x:row r="1974" ht="22" customHeight="1">
      <x:c r="A1974" s="11" t="str">
        <x:v>lade_0828_20aoi</x:v>
      </x:c>
      <x:c r="B1974" s="10" t="n">
        <x:v>20</x:v>
      </x:c>
      <x:c r="C1974" s="10" t="n">
        <x:v>43</x:v>
      </x:c>
      <x:c r="D1974" s="10" t="str">
        <x:v>M1 / M3</x:v>
      </x:c>
      <x:c r="E1974" s="16" t="n">
        <x:v>2</x:v>
      </x:c>
      <x:c r="F1974" s="14" t="n">
        <x:v>10</x:v>
      </x:c>
      <x:c r="G1974" s="26" t="n">
        <x:f>'成本明细'!U295+'成本明细'!G295*(E1974-'参数'!$B$6)</x:f>
        <x:v>2952.433337905</x:v>
      </x:c>
      <x:c r="H1974" s="26" t="n">
        <x:f>'成本明细'!U301</x:f>
        <x:v>3672.769739562222</x:v>
      </x:c>
      <x:c r="I1974" s="26" t="n">
        <x:f>'成本明细'!V301</x:f>
        <x:v>6825.5</x:v>
      </x:c>
      <x:c r="J1974" s="22" t="n">
        <x:f>'参数'!$B$9</x:f>
        <x:v>300</x:v>
      </x:c>
      <x:c r="K1974" s="26" t="n">
        <x:f>J1974*(G1974-H1974)-I1974*ROUNDUP(J1974/F1974,0)</x:f>
        <x:v>-420865.9204971667</x:v>
      </x:c>
      <x:c r="L1974" s="10" t="str">
        <x:f>IF(G1974-H1974&lt;=0,"未回本",IF(ROUNDUP(I1974/(G1974-H1974),0)&gt;MIN(F1974,J1974),"未回本",MAX(1,ROUNDUP(I1974/(G1974-H1974),0))))</x:f>
        <x:v>未回本</x:v>
      </x:c>
    </x:row>
    <x:row r="1975" ht="22" customHeight="1">
      <x:c r="A1975" s="11" t="str">
        <x:v>lade_0828_20aoi</x:v>
      </x:c>
      <x:c r="B1975" s="10" t="n">
        <x:v>20</x:v>
      </x:c>
      <x:c r="C1975" s="10" t="n">
        <x:v>43</x:v>
      </x:c>
      <x:c r="D1975" s="10" t="str">
        <x:v>M2 / M4</x:v>
      </x:c>
      <x:c r="E1975" s="16" t="n">
        <x:v>2</x:v>
      </x:c>
      <x:c r="F1975" s="14" t="n">
        <x:v>10</x:v>
      </x:c>
      <x:c r="G1975" s="26" t="n">
        <x:f>'成本明细'!U298+'成本明细'!G298*(E1975-'参数'!$B$6)</x:f>
        <x:v>2198.1971788833334</x:v>
      </x:c>
      <x:c r="H1975" s="26" t="n">
        <x:f>'成本明细'!U304</x:f>
        <x:v>3568.919740878333</x:v>
      </x:c>
      <x:c r="I1975" s="26" t="n">
        <x:f>'成本明细'!V304</x:f>
        <x:v>6825.5</x:v>
      </x:c>
      <x:c r="J1975" s="22" t="n">
        <x:f>'参数'!$B$9</x:f>
        <x:v>300</x:v>
      </x:c>
      <x:c r="K1975" s="26" t="n">
        <x:f>J1975*(G1975-H1975)-I1975*ROUNDUP(J1975/F1975,0)</x:f>
        <x:v>-615981.7685984999</x:v>
      </x:c>
      <x:c r="L1975" s="10" t="str">
        <x:f>IF(G1975-H1975&lt;=0,"未回本",IF(ROUNDUP(I1975/(G1975-H1975),0)&gt;MIN(F1975,J1975),"未回本",MAX(1,ROUNDUP(I1975/(G1975-H1975),0))))</x:f>
        <x:v>未回本</x:v>
      </x:c>
    </x:row>
    <x:row r="1976" ht="22" customHeight="1">
      <x:c r="A1976" s="11" t="str">
        <x:v>lade_0828_20aoi</x:v>
      </x:c>
      <x:c r="B1976" s="10" t="n">
        <x:v>20</x:v>
      </x:c>
      <x:c r="C1976" s="10" t="n">
        <x:v>43</x:v>
      </x:c>
      <x:c r="D1976" s="10" t="str">
        <x:v>M1 / M3</x:v>
      </x:c>
      <x:c r="E1976" s="16" t="n">
        <x:v>2</x:v>
      </x:c>
      <x:c r="F1976" s="14" t="n">
        <x:v>20</x:v>
      </x:c>
      <x:c r="G1976" s="26" t="n">
        <x:f>'成本明细'!U295+'成本明细'!G295*(E1976-'参数'!$B$6)</x:f>
        <x:v>2952.433337905</x:v>
      </x:c>
      <x:c r="H1976" s="26" t="n">
        <x:f>'成本明细'!U301</x:f>
        <x:v>3672.769739562222</x:v>
      </x:c>
      <x:c r="I1976" s="26" t="n">
        <x:f>'成本明细'!V301</x:f>
        <x:v>6825.5</x:v>
      </x:c>
      <x:c r="J1976" s="22" t="n">
        <x:f>'参数'!$B$9</x:f>
        <x:v>300</x:v>
      </x:c>
      <x:c r="K1976" s="26" t="n">
        <x:f>J1976*(G1976-H1976)-I1976*ROUNDUP(J1976/F1976,0)</x:f>
        <x:v>-318483.4204971667</x:v>
      </x:c>
      <x:c r="L1976" s="10" t="str">
        <x:f>IF(G1976-H1976&lt;=0,"未回本",IF(ROUNDUP(I1976/(G1976-H1976),0)&gt;MIN(F1976,J1976),"未回本",MAX(1,ROUNDUP(I1976/(G1976-H1976),0))))</x:f>
        <x:v>未回本</x:v>
      </x:c>
    </x:row>
    <x:row r="1977" ht="22" customHeight="1">
      <x:c r="A1977" s="11" t="str">
        <x:v>lade_0828_20aoi</x:v>
      </x:c>
      <x:c r="B1977" s="10" t="n">
        <x:v>20</x:v>
      </x:c>
      <x:c r="C1977" s="10" t="n">
        <x:v>43</x:v>
      </x:c>
      <x:c r="D1977" s="10" t="str">
        <x:v>M2 / M4</x:v>
      </x:c>
      <x:c r="E1977" s="16" t="n">
        <x:v>2</x:v>
      </x:c>
      <x:c r="F1977" s="14" t="n">
        <x:v>20</x:v>
      </x:c>
      <x:c r="G1977" s="26" t="n">
        <x:f>'成本明细'!U298+'成本明细'!G298*(E1977-'参数'!$B$6)</x:f>
        <x:v>2198.1971788833334</x:v>
      </x:c>
      <x:c r="H1977" s="26" t="n">
        <x:f>'成本明细'!U304</x:f>
        <x:v>3568.919740878333</x:v>
      </x:c>
      <x:c r="I1977" s="26" t="n">
        <x:f>'成本明细'!V304</x:f>
        <x:v>6825.5</x:v>
      </x:c>
      <x:c r="J1977" s="22" t="n">
        <x:f>'参数'!$B$9</x:f>
        <x:v>300</x:v>
      </x:c>
      <x:c r="K1977" s="26" t="n">
        <x:f>J1977*(G1977-H1977)-I1977*ROUNDUP(J1977/F1977,0)</x:f>
        <x:v>-513599.2685984999</x:v>
      </x:c>
      <x:c r="L1977" s="10" t="str">
        <x:f>IF(G1977-H1977&lt;=0,"未回本",IF(ROUNDUP(I1977/(G1977-H1977),0)&gt;MIN(F1977,J1977),"未回本",MAX(1,ROUNDUP(I1977/(G1977-H1977),0))))</x:f>
        <x:v>未回本</x:v>
      </x:c>
    </x:row>
    <x:row r="1978" ht="22" customHeight="1">
      <x:c r="A1978" s="11" t="str">
        <x:v>lade_0828_20aoi</x:v>
      </x:c>
      <x:c r="B1978" s="10" t="n">
        <x:v>20</x:v>
      </x:c>
      <x:c r="C1978" s="10" t="n">
        <x:v>43</x:v>
      </x:c>
      <x:c r="D1978" s="10" t="str">
        <x:v>M1 / M3</x:v>
      </x:c>
      <x:c r="E1978" s="16" t="n">
        <x:v>2</x:v>
      </x:c>
      <x:c r="F1978" s="14" t="n">
        <x:v>30</x:v>
      </x:c>
      <x:c r="G1978" s="26" t="n">
        <x:f>'成本明细'!U295+'成本明细'!G295*(E1978-'参数'!$B$6)</x:f>
        <x:v>2952.433337905</x:v>
      </x:c>
      <x:c r="H1978" s="26" t="n">
        <x:f>'成本明细'!U301</x:f>
        <x:v>3672.769739562222</x:v>
      </x:c>
      <x:c r="I1978" s="26" t="n">
        <x:f>'成本明细'!V301</x:f>
        <x:v>6825.5</x:v>
      </x:c>
      <x:c r="J1978" s="22" t="n">
        <x:f>'参数'!$B$9</x:f>
        <x:v>300</x:v>
      </x:c>
      <x:c r="K1978" s="26" t="n">
        <x:f>J1978*(G1978-H1978)-I1978*ROUNDUP(J1978/F1978,0)</x:f>
        <x:v>-284355.9204971667</x:v>
      </x:c>
      <x:c r="L1978" s="10" t="str">
        <x:f>IF(G1978-H1978&lt;=0,"未回本",IF(ROUNDUP(I1978/(G1978-H1978),0)&gt;MIN(F1978,J1978),"未回本",MAX(1,ROUNDUP(I1978/(G1978-H1978),0))))</x:f>
        <x:v>未回本</x:v>
      </x:c>
    </x:row>
    <x:row r="1979" ht="22" customHeight="1">
      <x:c r="A1979" s="11" t="str">
        <x:v>lade_0828_20aoi</x:v>
      </x:c>
      <x:c r="B1979" s="10" t="n">
        <x:v>20</x:v>
      </x:c>
      <x:c r="C1979" s="10" t="n">
        <x:v>43</x:v>
      </x:c>
      <x:c r="D1979" s="10" t="str">
        <x:v>M2 / M4</x:v>
      </x:c>
      <x:c r="E1979" s="16" t="n">
        <x:v>2</x:v>
      </x:c>
      <x:c r="F1979" s="14" t="n">
        <x:v>30</x:v>
      </x:c>
      <x:c r="G1979" s="26" t="n">
        <x:f>'成本明细'!U298+'成本明细'!G298*(E1979-'参数'!$B$6)</x:f>
        <x:v>2198.1971788833334</x:v>
      </x:c>
      <x:c r="H1979" s="26" t="n">
        <x:f>'成本明细'!U304</x:f>
        <x:v>3568.919740878333</x:v>
      </x:c>
      <x:c r="I1979" s="26" t="n">
        <x:f>'成本明细'!V304</x:f>
        <x:v>6825.5</x:v>
      </x:c>
      <x:c r="J1979" s="22" t="n">
        <x:f>'参数'!$B$9</x:f>
        <x:v>300</x:v>
      </x:c>
      <x:c r="K1979" s="26" t="n">
        <x:f>J1979*(G1979-H1979)-I1979*ROUNDUP(J1979/F1979,0)</x:f>
        <x:v>-479471.7685984999</x:v>
      </x:c>
      <x:c r="L1979" s="10" t="str">
        <x:f>IF(G1979-H1979&lt;=0,"未回本",IF(ROUNDUP(I1979/(G1979-H1979),0)&gt;MIN(F1979,J1979),"未回本",MAX(1,ROUNDUP(I1979/(G1979-H1979),0))))</x:f>
        <x:v>未回本</x:v>
      </x:c>
    </x:row>
    <x:row r="1980" ht="22" customHeight="1">
      <x:c r="A1980" s="11" t="str">
        <x:v>lade_0828_20aoi</x:v>
      </x:c>
      <x:c r="B1980" s="10" t="n">
        <x:v>20</x:v>
      </x:c>
      <x:c r="C1980" s="10" t="n">
        <x:v>43</x:v>
      </x:c>
      <x:c r="D1980" s="10" t="str">
        <x:v>M1 / M3</x:v>
      </x:c>
      <x:c r="E1980" s="16" t="n">
        <x:v>2</x:v>
      </x:c>
      <x:c r="F1980" s="14" t="n">
        <x:v>50</x:v>
      </x:c>
      <x:c r="G1980" s="26" t="n">
        <x:f>'成本明细'!U295+'成本明细'!G295*(E1980-'参数'!$B$6)</x:f>
        <x:v>2952.433337905</x:v>
      </x:c>
      <x:c r="H1980" s="26" t="n">
        <x:f>'成本明细'!U301</x:f>
        <x:v>3672.769739562222</x:v>
      </x:c>
      <x:c r="I1980" s="26" t="n">
        <x:f>'成本明细'!V301</x:f>
        <x:v>6825.5</x:v>
      </x:c>
      <x:c r="J1980" s="22" t="n">
        <x:f>'参数'!$B$9</x:f>
        <x:v>300</x:v>
      </x:c>
      <x:c r="K1980" s="26" t="n">
        <x:f>J1980*(G1980-H1980)-I1980*ROUNDUP(J1980/F1980,0)</x:f>
        <x:v>-257053.9204971667</x:v>
      </x:c>
      <x:c r="L1980" s="10" t="str">
        <x:f>IF(G1980-H1980&lt;=0,"未回本",IF(ROUNDUP(I1980/(G1980-H1980),0)&gt;MIN(F1980,J1980),"未回本",MAX(1,ROUNDUP(I1980/(G1980-H1980),0))))</x:f>
        <x:v>未回本</x:v>
      </x:c>
    </x:row>
    <x:row r="1981" ht="22" customHeight="1">
      <x:c r="A1981" s="11" t="str">
        <x:v>lade_0828_20aoi</x:v>
      </x:c>
      <x:c r="B1981" s="10" t="n">
        <x:v>20</x:v>
      </x:c>
      <x:c r="C1981" s="10" t="n">
        <x:v>43</x:v>
      </x:c>
      <x:c r="D1981" s="10" t="str">
        <x:v>M2 / M4</x:v>
      </x:c>
      <x:c r="E1981" s="16" t="n">
        <x:v>2</x:v>
      </x:c>
      <x:c r="F1981" s="14" t="n">
        <x:v>50</x:v>
      </x:c>
      <x:c r="G1981" s="26" t="n">
        <x:f>'成本明细'!U298+'成本明细'!G298*(E1981-'参数'!$B$6)</x:f>
        <x:v>2198.1971788833334</x:v>
      </x:c>
      <x:c r="H1981" s="26" t="n">
        <x:f>'成本明细'!U304</x:f>
        <x:v>3568.919740878333</x:v>
      </x:c>
      <x:c r="I1981" s="26" t="n">
        <x:f>'成本明细'!V304</x:f>
        <x:v>6825.5</x:v>
      </x:c>
      <x:c r="J1981" s="22" t="n">
        <x:f>'参数'!$B$9</x:f>
        <x:v>300</x:v>
      </x:c>
      <x:c r="K1981" s="26" t="n">
        <x:f>J1981*(G1981-H1981)-I1981*ROUNDUP(J1981/F1981,0)</x:f>
        <x:v>-452169.7685984999</x:v>
      </x:c>
      <x:c r="L1981" s="10" t="str">
        <x:f>IF(G1981-H1981&lt;=0,"未回本",IF(ROUNDUP(I1981/(G1981-H1981),0)&gt;MIN(F1981,J1981),"未回本",MAX(1,ROUNDUP(I1981/(G1981-H1981),0))))</x:f>
        <x:v>未回本</x:v>
      </x:c>
    </x:row>
    <x:row r="1982" ht="22" customHeight="1">
      <x:c r="A1982" s="11" t="str">
        <x:v>lade_0828_20aoi</x:v>
      </x:c>
      <x:c r="B1982" s="10" t="n">
        <x:v>20</x:v>
      </x:c>
      <x:c r="C1982" s="10" t="n">
        <x:v>43</x:v>
      </x:c>
      <x:c r="D1982" s="10" t="str">
        <x:v>M1 / M3</x:v>
      </x:c>
      <x:c r="E1982" s="16" t="n">
        <x:v>3</x:v>
      </x:c>
      <x:c r="F1982" s="14" t="n">
        <x:v>10</x:v>
      </x:c>
      <x:c r="G1982" s="26" t="n">
        <x:f>'成本明细'!U295+'成本明细'!G295*(E1982-'参数'!$B$6)</x:f>
        <x:v>3139.433337905</x:v>
      </x:c>
      <x:c r="H1982" s="26" t="n">
        <x:f>'成本明细'!U301</x:f>
        <x:v>3672.769739562222</x:v>
      </x:c>
      <x:c r="I1982" s="26" t="n">
        <x:f>'成本明细'!V301</x:f>
        <x:v>6825.5</x:v>
      </x:c>
      <x:c r="J1982" s="22" t="n">
        <x:f>'参数'!$B$9</x:f>
        <x:v>300</x:v>
      </x:c>
      <x:c r="K1982" s="26" t="n">
        <x:f>J1982*(G1982-H1982)-I1982*ROUNDUP(J1982/F1982,0)</x:f>
        <x:v>-364765.9204971667</x:v>
      </x:c>
      <x:c r="L1982" s="10" t="str">
        <x:f>IF(G1982-H1982&lt;=0,"未回本",IF(ROUNDUP(I1982/(G1982-H1982),0)&gt;MIN(F1982,J1982),"未回本",MAX(1,ROUNDUP(I1982/(G1982-H1982),0))))</x:f>
        <x:v>未回本</x:v>
      </x:c>
    </x:row>
    <x:row r="1983" ht="22" customHeight="1">
      <x:c r="A1983" s="11" t="str">
        <x:v>lade_0828_20aoi</x:v>
      </x:c>
      <x:c r="B1983" s="10" t="n">
        <x:v>20</x:v>
      </x:c>
      <x:c r="C1983" s="10" t="n">
        <x:v>43</x:v>
      </x:c>
      <x:c r="D1983" s="10" t="str">
        <x:v>M2 / M4</x:v>
      </x:c>
      <x:c r="E1983" s="16" t="n">
        <x:v>3</x:v>
      </x:c>
      <x:c r="F1983" s="14" t="n">
        <x:v>10</x:v>
      </x:c>
      <x:c r="G1983" s="26" t="n">
        <x:f>'成本明细'!U298+'成本明细'!G298*(E1983-'参数'!$B$6)</x:f>
        <x:v>2385.1971788833334</x:v>
      </x:c>
      <x:c r="H1983" s="26" t="n">
        <x:f>'成本明细'!U304</x:f>
        <x:v>3568.919740878333</x:v>
      </x:c>
      <x:c r="I1983" s="26" t="n">
        <x:f>'成本明细'!V304</x:f>
        <x:v>6825.5</x:v>
      </x:c>
      <x:c r="J1983" s="22" t="n">
        <x:f>'参数'!$B$9</x:f>
        <x:v>300</x:v>
      </x:c>
      <x:c r="K1983" s="26" t="n">
        <x:f>J1983*(G1983-H1983)-I1983*ROUNDUP(J1983/F1983,0)</x:f>
        <x:v>-559881.7685984999</x:v>
      </x:c>
      <x:c r="L1983" s="10" t="str">
        <x:f>IF(G1983-H1983&lt;=0,"未回本",IF(ROUNDUP(I1983/(G1983-H1983),0)&gt;MIN(F1983,J1983),"未回本",MAX(1,ROUNDUP(I1983/(G1983-H1983),0))))</x:f>
        <x:v>未回本</x:v>
      </x:c>
    </x:row>
    <x:row r="1984" ht="22" customHeight="1">
      <x:c r="A1984" s="11" t="str">
        <x:v>lade_0828_20aoi</x:v>
      </x:c>
      <x:c r="B1984" s="10" t="n">
        <x:v>20</x:v>
      </x:c>
      <x:c r="C1984" s="10" t="n">
        <x:v>43</x:v>
      </x:c>
      <x:c r="D1984" s="10" t="str">
        <x:v>M1 / M3</x:v>
      </x:c>
      <x:c r="E1984" s="16" t="n">
        <x:v>3</x:v>
      </x:c>
      <x:c r="F1984" s="14" t="n">
        <x:v>20</x:v>
      </x:c>
      <x:c r="G1984" s="26" t="n">
        <x:f>'成本明细'!U295+'成本明细'!G295*(E1984-'参数'!$B$6)</x:f>
        <x:v>3139.433337905</x:v>
      </x:c>
      <x:c r="H1984" s="26" t="n">
        <x:f>'成本明细'!U301</x:f>
        <x:v>3672.769739562222</x:v>
      </x:c>
      <x:c r="I1984" s="26" t="n">
        <x:f>'成本明细'!V301</x:f>
        <x:v>6825.5</x:v>
      </x:c>
      <x:c r="J1984" s="22" t="n">
        <x:f>'参数'!$B$9</x:f>
        <x:v>300</x:v>
      </x:c>
      <x:c r="K1984" s="26" t="n">
        <x:f>J1984*(G1984-H1984)-I1984*ROUNDUP(J1984/F1984,0)</x:f>
        <x:v>-262383.4204971667</x:v>
      </x:c>
      <x:c r="L1984" s="10" t="str">
        <x:f>IF(G1984-H1984&lt;=0,"未回本",IF(ROUNDUP(I1984/(G1984-H1984),0)&gt;MIN(F1984,J1984),"未回本",MAX(1,ROUNDUP(I1984/(G1984-H1984),0))))</x:f>
        <x:v>未回本</x:v>
      </x:c>
    </x:row>
    <x:row r="1985" ht="22" customHeight="1">
      <x:c r="A1985" s="11" t="str">
        <x:v>lade_0828_20aoi</x:v>
      </x:c>
      <x:c r="B1985" s="10" t="n">
        <x:v>20</x:v>
      </x:c>
      <x:c r="C1985" s="10" t="n">
        <x:v>43</x:v>
      </x:c>
      <x:c r="D1985" s="10" t="str">
        <x:v>M2 / M4</x:v>
      </x:c>
      <x:c r="E1985" s="16" t="n">
        <x:v>3</x:v>
      </x:c>
      <x:c r="F1985" s="14" t="n">
        <x:v>20</x:v>
      </x:c>
      <x:c r="G1985" s="26" t="n">
        <x:f>'成本明细'!U298+'成本明细'!G298*(E1985-'参数'!$B$6)</x:f>
        <x:v>2385.1971788833334</x:v>
      </x:c>
      <x:c r="H1985" s="26" t="n">
        <x:f>'成本明细'!U304</x:f>
        <x:v>3568.919740878333</x:v>
      </x:c>
      <x:c r="I1985" s="26" t="n">
        <x:f>'成本明细'!V304</x:f>
        <x:v>6825.5</x:v>
      </x:c>
      <x:c r="J1985" s="22" t="n">
        <x:f>'参数'!$B$9</x:f>
        <x:v>300</x:v>
      </x:c>
      <x:c r="K1985" s="26" t="n">
        <x:f>J1985*(G1985-H1985)-I1985*ROUNDUP(J1985/F1985,0)</x:f>
        <x:v>-457499.2685984999</x:v>
      </x:c>
      <x:c r="L1985" s="10" t="str">
        <x:f>IF(G1985-H1985&lt;=0,"未回本",IF(ROUNDUP(I1985/(G1985-H1985),0)&gt;MIN(F1985,J1985),"未回本",MAX(1,ROUNDUP(I1985/(G1985-H1985),0))))</x:f>
        <x:v>未回本</x:v>
      </x:c>
    </x:row>
    <x:row r="1986" ht="22" customHeight="1">
      <x:c r="A1986" s="11" t="str">
        <x:v>lade_0828_20aoi</x:v>
      </x:c>
      <x:c r="B1986" s="10" t="n">
        <x:v>20</x:v>
      </x:c>
      <x:c r="C1986" s="10" t="n">
        <x:v>43</x:v>
      </x:c>
      <x:c r="D1986" s="10" t="str">
        <x:v>M1 / M3</x:v>
      </x:c>
      <x:c r="E1986" s="16" t="n">
        <x:v>3</x:v>
      </x:c>
      <x:c r="F1986" s="14" t="n">
        <x:v>30</x:v>
      </x:c>
      <x:c r="G1986" s="26" t="n">
        <x:f>'成本明细'!U295+'成本明细'!G295*(E1986-'参数'!$B$6)</x:f>
        <x:v>3139.433337905</x:v>
      </x:c>
      <x:c r="H1986" s="26" t="n">
        <x:f>'成本明细'!U301</x:f>
        <x:v>3672.769739562222</x:v>
      </x:c>
      <x:c r="I1986" s="26" t="n">
        <x:f>'成本明细'!V301</x:f>
        <x:v>6825.5</x:v>
      </x:c>
      <x:c r="J1986" s="22" t="n">
        <x:f>'参数'!$B$9</x:f>
        <x:v>300</x:v>
      </x:c>
      <x:c r="K1986" s="26" t="n">
        <x:f>J1986*(G1986-H1986)-I1986*ROUNDUP(J1986/F1986,0)</x:f>
        <x:v>-228255.9204971667</x:v>
      </x:c>
      <x:c r="L1986" s="10" t="str">
        <x:f>IF(G1986-H1986&lt;=0,"未回本",IF(ROUNDUP(I1986/(G1986-H1986),0)&gt;MIN(F1986,J1986),"未回本",MAX(1,ROUNDUP(I1986/(G1986-H1986),0))))</x:f>
        <x:v>未回本</x:v>
      </x:c>
    </x:row>
    <x:row r="1987" ht="22" customHeight="1">
      <x:c r="A1987" s="11" t="str">
        <x:v>lade_0828_20aoi</x:v>
      </x:c>
      <x:c r="B1987" s="10" t="n">
        <x:v>20</x:v>
      </x:c>
      <x:c r="C1987" s="10" t="n">
        <x:v>43</x:v>
      </x:c>
      <x:c r="D1987" s="10" t="str">
        <x:v>M2 / M4</x:v>
      </x:c>
      <x:c r="E1987" s="16" t="n">
        <x:v>3</x:v>
      </x:c>
      <x:c r="F1987" s="14" t="n">
        <x:v>30</x:v>
      </x:c>
      <x:c r="G1987" s="26" t="n">
        <x:f>'成本明细'!U298+'成本明细'!G298*(E1987-'参数'!$B$6)</x:f>
        <x:v>2385.1971788833334</x:v>
      </x:c>
      <x:c r="H1987" s="26" t="n">
        <x:f>'成本明细'!U304</x:f>
        <x:v>3568.919740878333</x:v>
      </x:c>
      <x:c r="I1987" s="26" t="n">
        <x:f>'成本明细'!V304</x:f>
        <x:v>6825.5</x:v>
      </x:c>
      <x:c r="J1987" s="22" t="n">
        <x:f>'参数'!$B$9</x:f>
        <x:v>300</x:v>
      </x:c>
      <x:c r="K1987" s="26" t="n">
        <x:f>J1987*(G1987-H1987)-I1987*ROUNDUP(J1987/F1987,0)</x:f>
        <x:v>-423371.7685984999</x:v>
      </x:c>
      <x:c r="L1987" s="10" t="str">
        <x:f>IF(G1987-H1987&lt;=0,"未回本",IF(ROUNDUP(I1987/(G1987-H1987),0)&gt;MIN(F1987,J1987),"未回本",MAX(1,ROUNDUP(I1987/(G1987-H1987),0))))</x:f>
        <x:v>未回本</x:v>
      </x:c>
    </x:row>
    <x:row r="1988" ht="22" customHeight="1">
      <x:c r="A1988" s="11" t="str">
        <x:v>lade_0828_20aoi</x:v>
      </x:c>
      <x:c r="B1988" s="10" t="n">
        <x:v>20</x:v>
      </x:c>
      <x:c r="C1988" s="10" t="n">
        <x:v>43</x:v>
      </x:c>
      <x:c r="D1988" s="10" t="str">
        <x:v>M1 / M3</x:v>
      </x:c>
      <x:c r="E1988" s="16" t="n">
        <x:v>3</x:v>
      </x:c>
      <x:c r="F1988" s="14" t="n">
        <x:v>50</x:v>
      </x:c>
      <x:c r="G1988" s="26" t="n">
        <x:f>'成本明细'!U295+'成本明细'!G295*(E1988-'参数'!$B$6)</x:f>
        <x:v>3139.433337905</x:v>
      </x:c>
      <x:c r="H1988" s="26" t="n">
        <x:f>'成本明细'!U301</x:f>
        <x:v>3672.769739562222</x:v>
      </x:c>
      <x:c r="I1988" s="26" t="n">
        <x:f>'成本明细'!V301</x:f>
        <x:v>6825.5</x:v>
      </x:c>
      <x:c r="J1988" s="22" t="n">
        <x:f>'参数'!$B$9</x:f>
        <x:v>300</x:v>
      </x:c>
      <x:c r="K1988" s="26" t="n">
        <x:f>J1988*(G1988-H1988)-I1988*ROUNDUP(J1988/F1988,0)</x:f>
        <x:v>-200953.9204971667</x:v>
      </x:c>
      <x:c r="L1988" s="10" t="str">
        <x:f>IF(G1988-H1988&lt;=0,"未回本",IF(ROUNDUP(I1988/(G1988-H1988),0)&gt;MIN(F1988,J1988),"未回本",MAX(1,ROUNDUP(I1988/(G1988-H1988),0))))</x:f>
        <x:v>未回本</x:v>
      </x:c>
    </x:row>
    <x:row r="1989" ht="22" customHeight="1">
      <x:c r="A1989" s="11" t="str">
        <x:v>lade_0828_20aoi</x:v>
      </x:c>
      <x:c r="B1989" s="10" t="n">
        <x:v>20</x:v>
      </x:c>
      <x:c r="C1989" s="10" t="n">
        <x:v>43</x:v>
      </x:c>
      <x:c r="D1989" s="10" t="str">
        <x:v>M2 / M4</x:v>
      </x:c>
      <x:c r="E1989" s="16" t="n">
        <x:v>3</x:v>
      </x:c>
      <x:c r="F1989" s="14" t="n">
        <x:v>50</x:v>
      </x:c>
      <x:c r="G1989" s="26" t="n">
        <x:f>'成本明细'!U298+'成本明细'!G298*(E1989-'参数'!$B$6)</x:f>
        <x:v>2385.1971788833334</x:v>
      </x:c>
      <x:c r="H1989" s="26" t="n">
        <x:f>'成本明细'!U304</x:f>
        <x:v>3568.919740878333</x:v>
      </x:c>
      <x:c r="I1989" s="26" t="n">
        <x:f>'成本明细'!V304</x:f>
        <x:v>6825.5</x:v>
      </x:c>
      <x:c r="J1989" s="22" t="n">
        <x:f>'参数'!$B$9</x:f>
        <x:v>300</x:v>
      </x:c>
      <x:c r="K1989" s="26" t="n">
        <x:f>J1989*(G1989-H1989)-I1989*ROUNDUP(J1989/F1989,0)</x:f>
        <x:v>-396069.7685984999</x:v>
      </x:c>
      <x:c r="L1989" s="10" t="str">
        <x:f>IF(G1989-H1989&lt;=0,"未回本",IF(ROUNDUP(I1989/(G1989-H1989),0)&gt;MIN(F1989,J1989),"未回本",MAX(1,ROUNDUP(I1989/(G1989-H1989),0))))</x:f>
        <x:v>未回本</x:v>
      </x:c>
    </x:row>
    <x:row r="1990" ht="22" customHeight="1">
      <x:c r="A1990" s="11" t="str">
        <x:v>lade_0828_20aoi</x:v>
      </x:c>
      <x:c r="B1990" s="10" t="n">
        <x:v>20</x:v>
      </x:c>
      <x:c r="C1990" s="10" t="n">
        <x:v>43</x:v>
      </x:c>
      <x:c r="D1990" s="10" t="str">
        <x:v>M1 / M3</x:v>
      </x:c>
      <x:c r="E1990" s="16" t="n">
        <x:v>4</x:v>
      </x:c>
      <x:c r="F1990" s="14" t="n">
        <x:v>10</x:v>
      </x:c>
      <x:c r="G1990" s="26" t="n">
        <x:f>'成本明细'!U295+'成本明细'!G295*(E1990-'参数'!$B$6)</x:f>
        <x:v>3326.433337905</x:v>
      </x:c>
      <x:c r="H1990" s="26" t="n">
        <x:f>'成本明细'!U301</x:f>
        <x:v>3672.769739562222</x:v>
      </x:c>
      <x:c r="I1990" s="26" t="n">
        <x:f>'成本明细'!V301</x:f>
        <x:v>6825.5</x:v>
      </x:c>
      <x:c r="J1990" s="22" t="n">
        <x:f>'参数'!$B$9</x:f>
        <x:v>300</x:v>
      </x:c>
      <x:c r="K1990" s="26" t="n">
        <x:f>J1990*(G1990-H1990)-I1990*ROUNDUP(J1990/F1990,0)</x:f>
        <x:v>-308665.9204971667</x:v>
      </x:c>
      <x:c r="L1990" s="10" t="str">
        <x:f>IF(G1990-H1990&lt;=0,"未回本",IF(ROUNDUP(I1990/(G1990-H1990),0)&gt;MIN(F1990,J1990),"未回本",MAX(1,ROUNDUP(I1990/(G1990-H1990),0))))</x:f>
        <x:v>未回本</x:v>
      </x:c>
    </x:row>
    <x:row r="1991" ht="22" customHeight="1">
      <x:c r="A1991" s="11" t="str">
        <x:v>lade_0828_20aoi</x:v>
      </x:c>
      <x:c r="B1991" s="10" t="n">
        <x:v>20</x:v>
      </x:c>
      <x:c r="C1991" s="10" t="n">
        <x:v>43</x:v>
      </x:c>
      <x:c r="D1991" s="10" t="str">
        <x:v>M2 / M4</x:v>
      </x:c>
      <x:c r="E1991" s="16" t="n">
        <x:v>4</x:v>
      </x:c>
      <x:c r="F1991" s="14" t="n">
        <x:v>10</x:v>
      </x:c>
      <x:c r="G1991" s="26" t="n">
        <x:f>'成本明细'!U298+'成本明细'!G298*(E1991-'参数'!$B$6)</x:f>
        <x:v>2572.1971788833334</x:v>
      </x:c>
      <x:c r="H1991" s="26" t="n">
        <x:f>'成本明细'!U304</x:f>
        <x:v>3568.919740878333</x:v>
      </x:c>
      <x:c r="I1991" s="26" t="n">
        <x:f>'成本明细'!V304</x:f>
        <x:v>6825.5</x:v>
      </x:c>
      <x:c r="J1991" s="22" t="n">
        <x:f>'参数'!$B$9</x:f>
        <x:v>300</x:v>
      </x:c>
      <x:c r="K1991" s="26" t="n">
        <x:f>J1991*(G1991-H1991)-I1991*ROUNDUP(J1991/F1991,0)</x:f>
        <x:v>-503781.7685984999</x:v>
      </x:c>
      <x:c r="L1991" s="10" t="str">
        <x:f>IF(G1991-H1991&lt;=0,"未回本",IF(ROUNDUP(I1991/(G1991-H1991),0)&gt;MIN(F1991,J1991),"未回本",MAX(1,ROUNDUP(I1991/(G1991-H1991),0))))</x:f>
        <x:v>未回本</x:v>
      </x:c>
    </x:row>
    <x:row r="1992" ht="22" customHeight="1">
      <x:c r="A1992" s="11" t="str">
        <x:v>lade_0828_20aoi</x:v>
      </x:c>
      <x:c r="B1992" s="10" t="n">
        <x:v>20</x:v>
      </x:c>
      <x:c r="C1992" s="10" t="n">
        <x:v>43</x:v>
      </x:c>
      <x:c r="D1992" s="10" t="str">
        <x:v>M1 / M3</x:v>
      </x:c>
      <x:c r="E1992" s="16" t="n">
        <x:v>4</x:v>
      </x:c>
      <x:c r="F1992" s="14" t="n">
        <x:v>20</x:v>
      </x:c>
      <x:c r="G1992" s="26" t="n">
        <x:f>'成本明细'!U295+'成本明细'!G295*(E1992-'参数'!$B$6)</x:f>
        <x:v>3326.433337905</x:v>
      </x:c>
      <x:c r="H1992" s="26" t="n">
        <x:f>'成本明细'!U301</x:f>
        <x:v>3672.769739562222</x:v>
      </x:c>
      <x:c r="I1992" s="26" t="n">
        <x:f>'成本明细'!V301</x:f>
        <x:v>6825.5</x:v>
      </x:c>
      <x:c r="J1992" s="22" t="n">
        <x:f>'参数'!$B$9</x:f>
        <x:v>300</x:v>
      </x:c>
      <x:c r="K1992" s="26" t="n">
        <x:f>J1992*(G1992-H1992)-I1992*ROUNDUP(J1992/F1992,0)</x:f>
        <x:v>-206283.4204971667</x:v>
      </x:c>
      <x:c r="L1992" s="10" t="str">
        <x:f>IF(G1992-H1992&lt;=0,"未回本",IF(ROUNDUP(I1992/(G1992-H1992),0)&gt;MIN(F1992,J1992),"未回本",MAX(1,ROUNDUP(I1992/(G1992-H1992),0))))</x:f>
        <x:v>未回本</x:v>
      </x:c>
    </x:row>
    <x:row r="1993" ht="22" customHeight="1">
      <x:c r="A1993" s="11" t="str">
        <x:v>lade_0828_20aoi</x:v>
      </x:c>
      <x:c r="B1993" s="10" t="n">
        <x:v>20</x:v>
      </x:c>
      <x:c r="C1993" s="10" t="n">
        <x:v>43</x:v>
      </x:c>
      <x:c r="D1993" s="10" t="str">
        <x:v>M2 / M4</x:v>
      </x:c>
      <x:c r="E1993" s="16" t="n">
        <x:v>4</x:v>
      </x:c>
      <x:c r="F1993" s="14" t="n">
        <x:v>20</x:v>
      </x:c>
      <x:c r="G1993" s="26" t="n">
        <x:f>'成本明细'!U298+'成本明细'!G298*(E1993-'参数'!$B$6)</x:f>
        <x:v>2572.1971788833334</x:v>
      </x:c>
      <x:c r="H1993" s="26" t="n">
        <x:f>'成本明细'!U304</x:f>
        <x:v>3568.919740878333</x:v>
      </x:c>
      <x:c r="I1993" s="26" t="n">
        <x:f>'成本明细'!V304</x:f>
        <x:v>6825.5</x:v>
      </x:c>
      <x:c r="J1993" s="22" t="n">
        <x:f>'参数'!$B$9</x:f>
        <x:v>300</x:v>
      </x:c>
      <x:c r="K1993" s="26" t="n">
        <x:f>J1993*(G1993-H1993)-I1993*ROUNDUP(J1993/F1993,0)</x:f>
        <x:v>-401399.2685984999</x:v>
      </x:c>
      <x:c r="L1993" s="10" t="str">
        <x:f>IF(G1993-H1993&lt;=0,"未回本",IF(ROUNDUP(I1993/(G1993-H1993),0)&gt;MIN(F1993,J1993),"未回本",MAX(1,ROUNDUP(I1993/(G1993-H1993),0))))</x:f>
        <x:v>未回本</x:v>
      </x:c>
    </x:row>
    <x:row r="1994" ht="22" customHeight="1">
      <x:c r="A1994" s="11" t="str">
        <x:v>lade_0828_20aoi</x:v>
      </x:c>
      <x:c r="B1994" s="10" t="n">
        <x:v>20</x:v>
      </x:c>
      <x:c r="C1994" s="10" t="n">
        <x:v>43</x:v>
      </x:c>
      <x:c r="D1994" s="10" t="str">
        <x:v>M1 / M3</x:v>
      </x:c>
      <x:c r="E1994" s="16" t="n">
        <x:v>4</x:v>
      </x:c>
      <x:c r="F1994" s="14" t="n">
        <x:v>30</x:v>
      </x:c>
      <x:c r="G1994" s="26" t="n">
        <x:f>'成本明细'!U295+'成本明细'!G295*(E1994-'参数'!$B$6)</x:f>
        <x:v>3326.433337905</x:v>
      </x:c>
      <x:c r="H1994" s="26" t="n">
        <x:f>'成本明细'!U301</x:f>
        <x:v>3672.769739562222</x:v>
      </x:c>
      <x:c r="I1994" s="26" t="n">
        <x:f>'成本明细'!V301</x:f>
        <x:v>6825.5</x:v>
      </x:c>
      <x:c r="J1994" s="22" t="n">
        <x:f>'参数'!$B$9</x:f>
        <x:v>300</x:v>
      </x:c>
      <x:c r="K1994" s="26" t="n">
        <x:f>J1994*(G1994-H1994)-I1994*ROUNDUP(J1994/F1994,0)</x:f>
        <x:v>-172155.9204971667</x:v>
      </x:c>
      <x:c r="L1994" s="10" t="str">
        <x:f>IF(G1994-H1994&lt;=0,"未回本",IF(ROUNDUP(I1994/(G1994-H1994),0)&gt;MIN(F1994,J1994),"未回本",MAX(1,ROUNDUP(I1994/(G1994-H1994),0))))</x:f>
        <x:v>未回本</x:v>
      </x:c>
    </x:row>
    <x:row r="1995" ht="22" customHeight="1">
      <x:c r="A1995" s="11" t="str">
        <x:v>lade_0828_20aoi</x:v>
      </x:c>
      <x:c r="B1995" s="10" t="n">
        <x:v>20</x:v>
      </x:c>
      <x:c r="C1995" s="10" t="n">
        <x:v>43</x:v>
      </x:c>
      <x:c r="D1995" s="10" t="str">
        <x:v>M2 / M4</x:v>
      </x:c>
      <x:c r="E1995" s="16" t="n">
        <x:v>4</x:v>
      </x:c>
      <x:c r="F1995" s="14" t="n">
        <x:v>30</x:v>
      </x:c>
      <x:c r="G1995" s="26" t="n">
        <x:f>'成本明细'!U298+'成本明细'!G298*(E1995-'参数'!$B$6)</x:f>
        <x:v>2572.1971788833334</x:v>
      </x:c>
      <x:c r="H1995" s="26" t="n">
        <x:f>'成本明细'!U304</x:f>
        <x:v>3568.919740878333</x:v>
      </x:c>
      <x:c r="I1995" s="26" t="n">
        <x:f>'成本明细'!V304</x:f>
        <x:v>6825.5</x:v>
      </x:c>
      <x:c r="J1995" s="22" t="n">
        <x:f>'参数'!$B$9</x:f>
        <x:v>300</x:v>
      </x:c>
      <x:c r="K1995" s="26" t="n">
        <x:f>J1995*(G1995-H1995)-I1995*ROUNDUP(J1995/F1995,0)</x:f>
        <x:v>-367271.7685984999</x:v>
      </x:c>
      <x:c r="L1995" s="10" t="str">
        <x:f>IF(G1995-H1995&lt;=0,"未回本",IF(ROUNDUP(I1995/(G1995-H1995),0)&gt;MIN(F1995,J1995),"未回本",MAX(1,ROUNDUP(I1995/(G1995-H1995),0))))</x:f>
        <x:v>未回本</x:v>
      </x:c>
    </x:row>
    <x:row r="1996" ht="22" customHeight="1">
      <x:c r="A1996" s="11" t="str">
        <x:v>lade_0828_20aoi</x:v>
      </x:c>
      <x:c r="B1996" s="10" t="n">
        <x:v>20</x:v>
      </x:c>
      <x:c r="C1996" s="10" t="n">
        <x:v>43</x:v>
      </x:c>
      <x:c r="D1996" s="10" t="str">
        <x:v>M1 / M3</x:v>
      </x:c>
      <x:c r="E1996" s="16" t="n">
        <x:v>4</x:v>
      </x:c>
      <x:c r="F1996" s="14" t="n">
        <x:v>50</x:v>
      </x:c>
      <x:c r="G1996" s="26" t="n">
        <x:f>'成本明细'!U295+'成本明细'!G295*(E1996-'参数'!$B$6)</x:f>
        <x:v>3326.433337905</x:v>
      </x:c>
      <x:c r="H1996" s="26" t="n">
        <x:f>'成本明细'!U301</x:f>
        <x:v>3672.769739562222</x:v>
      </x:c>
      <x:c r="I1996" s="26" t="n">
        <x:f>'成本明细'!V301</x:f>
        <x:v>6825.5</x:v>
      </x:c>
      <x:c r="J1996" s="22" t="n">
        <x:f>'参数'!$B$9</x:f>
        <x:v>300</x:v>
      </x:c>
      <x:c r="K1996" s="26" t="n">
        <x:f>J1996*(G1996-H1996)-I1996*ROUNDUP(J1996/F1996,0)</x:f>
        <x:v>-144853.9204971667</x:v>
      </x:c>
      <x:c r="L1996" s="10" t="str">
        <x:f>IF(G1996-H1996&lt;=0,"未回本",IF(ROUNDUP(I1996/(G1996-H1996),0)&gt;MIN(F1996,J1996),"未回本",MAX(1,ROUNDUP(I1996/(G1996-H1996),0))))</x:f>
        <x:v>未回本</x:v>
      </x:c>
    </x:row>
    <x:row r="1997" ht="22" customHeight="1">
      <x:c r="A1997" s="11" t="str">
        <x:v>lade_0828_20aoi</x:v>
      </x:c>
      <x:c r="B1997" s="10" t="n">
        <x:v>20</x:v>
      </x:c>
      <x:c r="C1997" s="10" t="n">
        <x:v>43</x:v>
      </x:c>
      <x:c r="D1997" s="10" t="str">
        <x:v>M2 / M4</x:v>
      </x:c>
      <x:c r="E1997" s="16" t="n">
        <x:v>4</x:v>
      </x:c>
      <x:c r="F1997" s="14" t="n">
        <x:v>50</x:v>
      </x:c>
      <x:c r="G1997" s="26" t="n">
        <x:f>'成本明细'!U298+'成本明细'!G298*(E1997-'参数'!$B$6)</x:f>
        <x:v>2572.1971788833334</x:v>
      </x:c>
      <x:c r="H1997" s="26" t="n">
        <x:f>'成本明细'!U304</x:f>
        <x:v>3568.919740878333</x:v>
      </x:c>
      <x:c r="I1997" s="26" t="n">
        <x:f>'成本明细'!V304</x:f>
        <x:v>6825.5</x:v>
      </x:c>
      <x:c r="J1997" s="22" t="n">
        <x:f>'参数'!$B$9</x:f>
        <x:v>300</x:v>
      </x:c>
      <x:c r="K1997" s="26" t="n">
        <x:f>J1997*(G1997-H1997)-I1997*ROUNDUP(J1997/F1997,0)</x:f>
        <x:v>-339969.7685984999</x:v>
      </x:c>
      <x:c r="L1997" s="10" t="str">
        <x:f>IF(G1997-H1997&lt;=0,"未回本",IF(ROUNDUP(I1997/(G1997-H1997),0)&gt;MIN(F1997,J1997),"未回本",MAX(1,ROUNDUP(I1997/(G1997-H1997),0))))</x:f>
        <x:v>未回本</x:v>
      </x:c>
    </x:row>
    <x:row r="1998" ht="22" customHeight="1">
      <x:c r="A1998" s="11" t="str">
        <x:v>lade_0828_20aoi</x:v>
      </x:c>
      <x:c r="B1998" s="10" t="n">
        <x:v>20</x:v>
      </x:c>
      <x:c r="C1998" s="10" t="n">
        <x:v>43</x:v>
      </x:c>
      <x:c r="D1998" s="10" t="str">
        <x:v>M1 / M3</x:v>
      </x:c>
      <x:c r="E1998" s="16" t="n">
        <x:v>5</x:v>
      </x:c>
      <x:c r="F1998" s="14" t="n">
        <x:v>10</x:v>
      </x:c>
      <x:c r="G1998" s="26" t="n">
        <x:f>'成本明细'!U295+'成本明细'!G295*(E1998-'参数'!$B$6)</x:f>
        <x:v>3513.433337905</x:v>
      </x:c>
      <x:c r="H1998" s="26" t="n">
        <x:f>'成本明细'!U301</x:f>
        <x:v>3672.769739562222</x:v>
      </x:c>
      <x:c r="I1998" s="26" t="n">
        <x:f>'成本明细'!V301</x:f>
        <x:v>6825.5</x:v>
      </x:c>
      <x:c r="J1998" s="22" t="n">
        <x:f>'参数'!$B$9</x:f>
        <x:v>300</x:v>
      </x:c>
      <x:c r="K1998" s="26" t="n">
        <x:f>J1998*(G1998-H1998)-I1998*ROUNDUP(J1998/F1998,0)</x:f>
        <x:v>-252565.9204971667</x:v>
      </x:c>
      <x:c r="L1998" s="10" t="str">
        <x:f>IF(G1998-H1998&lt;=0,"未回本",IF(ROUNDUP(I1998/(G1998-H1998),0)&gt;MIN(F1998,J1998),"未回本",MAX(1,ROUNDUP(I1998/(G1998-H1998),0))))</x:f>
        <x:v>未回本</x:v>
      </x:c>
    </x:row>
    <x:row r="1999" ht="22" customHeight="1">
      <x:c r="A1999" s="11" t="str">
        <x:v>lade_0828_20aoi</x:v>
      </x:c>
      <x:c r="B1999" s="10" t="n">
        <x:v>20</x:v>
      </x:c>
      <x:c r="C1999" s="10" t="n">
        <x:v>43</x:v>
      </x:c>
      <x:c r="D1999" s="10" t="str">
        <x:v>M2 / M4</x:v>
      </x:c>
      <x:c r="E1999" s="16" t="n">
        <x:v>5</x:v>
      </x:c>
      <x:c r="F1999" s="14" t="n">
        <x:v>10</x:v>
      </x:c>
      <x:c r="G1999" s="26" t="n">
        <x:f>'成本明细'!U298+'成本明细'!G298*(E1999-'参数'!$B$6)</x:f>
        <x:v>2759.1971788833334</x:v>
      </x:c>
      <x:c r="H1999" s="26" t="n">
        <x:f>'成本明细'!U304</x:f>
        <x:v>3568.919740878333</x:v>
      </x:c>
      <x:c r="I1999" s="26" t="n">
        <x:f>'成本明细'!V304</x:f>
        <x:v>6825.5</x:v>
      </x:c>
      <x:c r="J1999" s="22" t="n">
        <x:f>'参数'!$B$9</x:f>
        <x:v>300</x:v>
      </x:c>
      <x:c r="K1999" s="26" t="n">
        <x:f>J1999*(G1999-H1999)-I1999*ROUNDUP(J1999/F1999,0)</x:f>
        <x:v>-447681.7685984998</x:v>
      </x:c>
      <x:c r="L1999" s="10" t="str">
        <x:f>IF(G1999-H1999&lt;=0,"未回本",IF(ROUNDUP(I1999/(G1999-H1999),0)&gt;MIN(F1999,J1999),"未回本",MAX(1,ROUNDUP(I1999/(G1999-H1999),0))))</x:f>
        <x:v>未回本</x:v>
      </x:c>
    </x:row>
    <x:row r="2000" ht="22" customHeight="1">
      <x:c r="A2000" s="11" t="str">
        <x:v>lade_0828_20aoi</x:v>
      </x:c>
      <x:c r="B2000" s="10" t="n">
        <x:v>20</x:v>
      </x:c>
      <x:c r="C2000" s="10" t="n">
        <x:v>43</x:v>
      </x:c>
      <x:c r="D2000" s="10" t="str">
        <x:v>M1 / M3</x:v>
      </x:c>
      <x:c r="E2000" s="16" t="n">
        <x:v>5</x:v>
      </x:c>
      <x:c r="F2000" s="14" t="n">
        <x:v>20</x:v>
      </x:c>
      <x:c r="G2000" s="26" t="n">
        <x:f>'成本明细'!U295+'成本明细'!G295*(E2000-'参数'!$B$6)</x:f>
        <x:v>3513.433337905</x:v>
      </x:c>
      <x:c r="H2000" s="26" t="n">
        <x:f>'成本明细'!U301</x:f>
        <x:v>3672.769739562222</x:v>
      </x:c>
      <x:c r="I2000" s="26" t="n">
        <x:f>'成本明细'!V301</x:f>
        <x:v>6825.5</x:v>
      </x:c>
      <x:c r="J2000" s="22" t="n">
        <x:f>'参数'!$B$9</x:f>
        <x:v>300</x:v>
      </x:c>
      <x:c r="K2000" s="26" t="n">
        <x:f>J2000*(G2000-H2000)-I2000*ROUNDUP(J2000/F2000,0)</x:f>
        <x:v>-150183.4204971667</x:v>
      </x:c>
      <x:c r="L2000" s="10" t="str">
        <x:f>IF(G2000-H2000&lt;=0,"未回本",IF(ROUNDUP(I2000/(G2000-H2000),0)&gt;MIN(F2000,J2000),"未回本",MAX(1,ROUNDUP(I2000/(G2000-H2000),0))))</x:f>
        <x:v>未回本</x:v>
      </x:c>
    </x:row>
    <x:row r="2001" ht="22" customHeight="1">
      <x:c r="A2001" s="11" t="str">
        <x:v>lade_0828_20aoi</x:v>
      </x:c>
      <x:c r="B2001" s="10" t="n">
        <x:v>20</x:v>
      </x:c>
      <x:c r="C2001" s="10" t="n">
        <x:v>43</x:v>
      </x:c>
      <x:c r="D2001" s="10" t="str">
        <x:v>M2 / M4</x:v>
      </x:c>
      <x:c r="E2001" s="16" t="n">
        <x:v>5</x:v>
      </x:c>
      <x:c r="F2001" s="14" t="n">
        <x:v>20</x:v>
      </x:c>
      <x:c r="G2001" s="26" t="n">
        <x:f>'成本明细'!U298+'成本明细'!G298*(E2001-'参数'!$B$6)</x:f>
        <x:v>2759.1971788833334</x:v>
      </x:c>
      <x:c r="H2001" s="26" t="n">
        <x:f>'成本明细'!U304</x:f>
        <x:v>3568.919740878333</x:v>
      </x:c>
      <x:c r="I2001" s="26" t="n">
        <x:f>'成本明细'!V304</x:f>
        <x:v>6825.5</x:v>
      </x:c>
      <x:c r="J2001" s="22" t="n">
        <x:f>'参数'!$B$9</x:f>
        <x:v>300</x:v>
      </x:c>
      <x:c r="K2001" s="26" t="n">
        <x:f>J2001*(G2001-H2001)-I2001*ROUNDUP(J2001/F2001,0)</x:f>
        <x:v>-345299.2685984998</x:v>
      </x:c>
      <x:c r="L2001" s="10" t="str">
        <x:f>IF(G2001-H2001&lt;=0,"未回本",IF(ROUNDUP(I2001/(G2001-H2001),0)&gt;MIN(F2001,J2001),"未回本",MAX(1,ROUNDUP(I2001/(G2001-H2001),0))))</x:f>
        <x:v>未回本</x:v>
      </x:c>
    </x:row>
    <x:row r="2002" ht="22" customHeight="1">
      <x:c r="A2002" s="11" t="str">
        <x:v>lade_0828_20aoi</x:v>
      </x:c>
      <x:c r="B2002" s="10" t="n">
        <x:v>20</x:v>
      </x:c>
      <x:c r="C2002" s="10" t="n">
        <x:v>43</x:v>
      </x:c>
      <x:c r="D2002" s="10" t="str">
        <x:v>M1 / M3</x:v>
      </x:c>
      <x:c r="E2002" s="16" t="n">
        <x:v>5</x:v>
      </x:c>
      <x:c r="F2002" s="14" t="n">
        <x:v>30</x:v>
      </x:c>
      <x:c r="G2002" s="26" t="n">
        <x:f>'成本明细'!U295+'成本明细'!G295*(E2002-'参数'!$B$6)</x:f>
        <x:v>3513.433337905</x:v>
      </x:c>
      <x:c r="H2002" s="26" t="n">
        <x:f>'成本明细'!U301</x:f>
        <x:v>3672.769739562222</x:v>
      </x:c>
      <x:c r="I2002" s="26" t="n">
        <x:f>'成本明细'!V301</x:f>
        <x:v>6825.5</x:v>
      </x:c>
      <x:c r="J2002" s="22" t="n">
        <x:f>'参数'!$B$9</x:f>
        <x:v>300</x:v>
      </x:c>
      <x:c r="K2002" s="26" t="n">
        <x:f>J2002*(G2002-H2002)-I2002*ROUNDUP(J2002/F2002,0)</x:f>
        <x:v>-116055.92049716668</x:v>
      </x:c>
      <x:c r="L2002" s="10" t="str">
        <x:f>IF(G2002-H2002&lt;=0,"未回本",IF(ROUNDUP(I2002/(G2002-H2002),0)&gt;MIN(F2002,J2002),"未回本",MAX(1,ROUNDUP(I2002/(G2002-H2002),0))))</x:f>
        <x:v>未回本</x:v>
      </x:c>
    </x:row>
    <x:row r="2003" ht="22" customHeight="1">
      <x:c r="A2003" s="11" t="str">
        <x:v>lade_0828_20aoi</x:v>
      </x:c>
      <x:c r="B2003" s="10" t="n">
        <x:v>20</x:v>
      </x:c>
      <x:c r="C2003" s="10" t="n">
        <x:v>43</x:v>
      </x:c>
      <x:c r="D2003" s="10" t="str">
        <x:v>M2 / M4</x:v>
      </x:c>
      <x:c r="E2003" s="16" t="n">
        <x:v>5</x:v>
      </x:c>
      <x:c r="F2003" s="14" t="n">
        <x:v>30</x:v>
      </x:c>
      <x:c r="G2003" s="26" t="n">
        <x:f>'成本明细'!U298+'成本明细'!G298*(E2003-'参数'!$B$6)</x:f>
        <x:v>2759.1971788833334</x:v>
      </x:c>
      <x:c r="H2003" s="26" t="n">
        <x:f>'成本明细'!U304</x:f>
        <x:v>3568.919740878333</x:v>
      </x:c>
      <x:c r="I2003" s="26" t="n">
        <x:f>'成本明细'!V304</x:f>
        <x:v>6825.5</x:v>
      </x:c>
      <x:c r="J2003" s="22" t="n">
        <x:f>'参数'!$B$9</x:f>
        <x:v>300</x:v>
      </x:c>
      <x:c r="K2003" s="26" t="n">
        <x:f>J2003*(G2003-H2003)-I2003*ROUNDUP(J2003/F2003,0)</x:f>
        <x:v>-311171.7685984998</x:v>
      </x:c>
      <x:c r="L2003" s="10" t="str">
        <x:f>IF(G2003-H2003&lt;=0,"未回本",IF(ROUNDUP(I2003/(G2003-H2003),0)&gt;MIN(F2003,J2003),"未回本",MAX(1,ROUNDUP(I2003/(G2003-H2003),0))))</x:f>
        <x:v>未回本</x:v>
      </x:c>
    </x:row>
    <x:row r="2004" ht="22" customHeight="1">
      <x:c r="A2004" s="11" t="str">
        <x:v>lade_0828_20aoi</x:v>
      </x:c>
      <x:c r="B2004" s="10" t="n">
        <x:v>20</x:v>
      </x:c>
      <x:c r="C2004" s="10" t="n">
        <x:v>43</x:v>
      </x:c>
      <x:c r="D2004" s="10" t="str">
        <x:v>M1 / M3</x:v>
      </x:c>
      <x:c r="E2004" s="16" t="n">
        <x:v>5</x:v>
      </x:c>
      <x:c r="F2004" s="14" t="n">
        <x:v>50</x:v>
      </x:c>
      <x:c r="G2004" s="26" t="n">
        <x:f>'成本明细'!U295+'成本明细'!G295*(E2004-'参数'!$B$6)</x:f>
        <x:v>3513.433337905</x:v>
      </x:c>
      <x:c r="H2004" s="26" t="n">
        <x:f>'成本明细'!U301</x:f>
        <x:v>3672.769739562222</x:v>
      </x:c>
      <x:c r="I2004" s="26" t="n">
        <x:f>'成本明细'!V301</x:f>
        <x:v>6825.5</x:v>
      </x:c>
      <x:c r="J2004" s="22" t="n">
        <x:f>'参数'!$B$9</x:f>
        <x:v>300</x:v>
      </x:c>
      <x:c r="K2004" s="26" t="n">
        <x:f>J2004*(G2004-H2004)-I2004*ROUNDUP(J2004/F2004,0)</x:f>
        <x:v>-88753.92049716668</x:v>
      </x:c>
      <x:c r="L2004" s="10" t="str">
        <x:f>IF(G2004-H2004&lt;=0,"未回本",IF(ROUNDUP(I2004/(G2004-H2004),0)&gt;MIN(F2004,J2004),"未回本",MAX(1,ROUNDUP(I2004/(G2004-H2004),0))))</x:f>
        <x:v>未回本</x:v>
      </x:c>
    </x:row>
    <x:row r="2005" ht="22" customHeight="1">
      <x:c r="A2005" s="11" t="str">
        <x:v>lade_0828_20aoi</x:v>
      </x:c>
      <x:c r="B2005" s="10" t="n">
        <x:v>20</x:v>
      </x:c>
      <x:c r="C2005" s="10" t="n">
        <x:v>43</x:v>
      </x:c>
      <x:c r="D2005" s="10" t="str">
        <x:v>M2 / M4</x:v>
      </x:c>
      <x:c r="E2005" s="16" t="n">
        <x:v>5</x:v>
      </x:c>
      <x:c r="F2005" s="14" t="n">
        <x:v>50</x:v>
      </x:c>
      <x:c r="G2005" s="26" t="n">
        <x:f>'成本明细'!U298+'成本明细'!G298*(E2005-'参数'!$B$6)</x:f>
        <x:v>2759.1971788833334</x:v>
      </x:c>
      <x:c r="H2005" s="26" t="n">
        <x:f>'成本明细'!U304</x:f>
        <x:v>3568.919740878333</x:v>
      </x:c>
      <x:c r="I2005" s="26" t="n">
        <x:f>'成本明细'!V304</x:f>
        <x:v>6825.5</x:v>
      </x:c>
      <x:c r="J2005" s="22" t="n">
        <x:f>'参数'!$B$9</x:f>
        <x:v>300</x:v>
      </x:c>
      <x:c r="K2005" s="26" t="n">
        <x:f>J2005*(G2005-H2005)-I2005*ROUNDUP(J2005/F2005,0)</x:f>
        <x:v>-283869.7685984998</x:v>
      </x:c>
      <x:c r="L2005" s="10" t="str">
        <x:f>IF(G2005-H2005&lt;=0,"未回本",IF(ROUNDUP(I2005/(G2005-H2005),0)&gt;MIN(F2005,J2005),"未回本",MAX(1,ROUNDUP(I2005/(G2005-H2005),0))))</x:f>
        <x:v>未回本</x:v>
      </x:c>
    </x:row>
    <x:row r="2006" ht="22" customHeight="1">
      <x:c r="A2006" s="11" t="str">
        <x:v>lade_0828_20aoi</x:v>
      </x:c>
      <x:c r="B2006" s="10" t="n">
        <x:v>20</x:v>
      </x:c>
      <x:c r="C2006" s="10" t="n">
        <x:v>44</x:v>
      </x:c>
      <x:c r="D2006" s="10" t="str">
        <x:v>M1 / M3</x:v>
      </x:c>
      <x:c r="E2006" s="16" t="n">
        <x:v>1</x:v>
      </x:c>
      <x:c r="F2006" s="14" t="n">
        <x:v>10</x:v>
      </x:c>
      <x:c r="G2006" s="26" t="n">
        <x:f>'成本明细'!U296+'成本明细'!G296*(E2006-'参数'!$B$6)</x:f>
        <x:v>2765.433337905</x:v>
      </x:c>
      <x:c r="H2006" s="26" t="n">
        <x:f>'成本明细'!U302</x:f>
        <x:v>3672.7697395622217</x:v>
      </x:c>
      <x:c r="I2006" s="26" t="n">
        <x:f>'成本明细'!V302</x:f>
        <x:v>6825.5</x:v>
      </x:c>
      <x:c r="J2006" s="22" t="n">
        <x:f>'参数'!$B$9</x:f>
        <x:v>300</x:v>
      </x:c>
      <x:c r="K2006" s="26" t="n">
        <x:f>J2006*(G2006-H2006)-I2006*ROUNDUP(J2006/F2006,0)</x:f>
        <x:v>-476965.9204971665</x:v>
      </x:c>
      <x:c r="L2006" s="10" t="str">
        <x:f>IF(G2006-H2006&lt;=0,"未回本",IF(ROUNDUP(I2006/(G2006-H2006),0)&gt;MIN(F2006,J2006),"未回本",MAX(1,ROUNDUP(I2006/(G2006-H2006),0))))</x:f>
        <x:v>未回本</x:v>
      </x:c>
    </x:row>
    <x:row r="2007" ht="22" customHeight="1">
      <x:c r="A2007" s="11" t="str">
        <x:v>lade_0828_20aoi</x:v>
      </x:c>
      <x:c r="B2007" s="10" t="n">
        <x:v>20</x:v>
      </x:c>
      <x:c r="C2007" s="10" t="n">
        <x:v>44</x:v>
      </x:c>
      <x:c r="D2007" s="10" t="str">
        <x:v>M2 / M4</x:v>
      </x:c>
      <x:c r="E2007" s="16" t="n">
        <x:v>1</x:v>
      </x:c>
      <x:c r="F2007" s="14" t="n">
        <x:v>10</x:v>
      </x:c>
      <x:c r="G2007" s="26" t="n">
        <x:f>'成本明细'!U299+'成本明细'!G299*(E2007-'参数'!$B$6)</x:f>
        <x:v>2007.2375642205557</x:v>
      </x:c>
      <x:c r="H2007" s="26" t="n">
        <x:f>'成本明细'!U305</x:f>
        <x:v>3561.9963269894442</x:v>
      </x:c>
      <x:c r="I2007" s="26" t="n">
        <x:f>'成本明细'!V305</x:f>
        <x:v>6825.5</x:v>
      </x:c>
      <x:c r="J2007" s="22" t="n">
        <x:f>'参数'!$B$9</x:f>
        <x:v>300</x:v>
      </x:c>
      <x:c r="K2007" s="26" t="n">
        <x:f>J2007*(G2007-H2007)-I2007*ROUNDUP(J2007/F2007,0)</x:f>
        <x:v>-671192.6288306667</x:v>
      </x:c>
      <x:c r="L2007" s="10" t="str">
        <x:f>IF(G2007-H2007&lt;=0,"未回本",IF(ROUNDUP(I2007/(G2007-H2007),0)&gt;MIN(F2007,J2007),"未回本",MAX(1,ROUNDUP(I2007/(G2007-H2007),0))))</x:f>
        <x:v>未回本</x:v>
      </x:c>
    </x:row>
    <x:row r="2008" ht="22" customHeight="1">
      <x:c r="A2008" s="11" t="str">
        <x:v>lade_0828_20aoi</x:v>
      </x:c>
      <x:c r="B2008" s="10" t="n">
        <x:v>20</x:v>
      </x:c>
      <x:c r="C2008" s="10" t="n">
        <x:v>44</x:v>
      </x:c>
      <x:c r="D2008" s="10" t="str">
        <x:v>M1 / M3</x:v>
      </x:c>
      <x:c r="E2008" s="16" t="n">
        <x:v>1</x:v>
      </x:c>
      <x:c r="F2008" s="14" t="n">
        <x:v>20</x:v>
      </x:c>
      <x:c r="G2008" s="26" t="n">
        <x:f>'成本明细'!U296+'成本明细'!G296*(E2008-'参数'!$B$6)</x:f>
        <x:v>2765.433337905</x:v>
      </x:c>
      <x:c r="H2008" s="26" t="n">
        <x:f>'成本明细'!U302</x:f>
        <x:v>3672.7697395622217</x:v>
      </x:c>
      <x:c r="I2008" s="26" t="n">
        <x:f>'成本明细'!V302</x:f>
        <x:v>6825.5</x:v>
      </x:c>
      <x:c r="J2008" s="22" t="n">
        <x:f>'参数'!$B$9</x:f>
        <x:v>300</x:v>
      </x:c>
      <x:c r="K2008" s="26" t="n">
        <x:f>J2008*(G2008-H2008)-I2008*ROUNDUP(J2008/F2008,0)</x:f>
        <x:v>-374583.4204971665</x:v>
      </x:c>
      <x:c r="L2008" s="10" t="str">
        <x:f>IF(G2008-H2008&lt;=0,"未回本",IF(ROUNDUP(I2008/(G2008-H2008),0)&gt;MIN(F2008,J2008),"未回本",MAX(1,ROUNDUP(I2008/(G2008-H2008),0))))</x:f>
        <x:v>未回本</x:v>
      </x:c>
    </x:row>
    <x:row r="2009" ht="22" customHeight="1">
      <x:c r="A2009" s="11" t="str">
        <x:v>lade_0828_20aoi</x:v>
      </x:c>
      <x:c r="B2009" s="10" t="n">
        <x:v>20</x:v>
      </x:c>
      <x:c r="C2009" s="10" t="n">
        <x:v>44</x:v>
      </x:c>
      <x:c r="D2009" s="10" t="str">
        <x:v>M2 / M4</x:v>
      </x:c>
      <x:c r="E2009" s="16" t="n">
        <x:v>1</x:v>
      </x:c>
      <x:c r="F2009" s="14" t="n">
        <x:v>20</x:v>
      </x:c>
      <x:c r="G2009" s="26" t="n">
        <x:f>'成本明细'!U299+'成本明细'!G299*(E2009-'参数'!$B$6)</x:f>
        <x:v>2007.2375642205557</x:v>
      </x:c>
      <x:c r="H2009" s="26" t="n">
        <x:f>'成本明细'!U305</x:f>
        <x:v>3561.9963269894442</x:v>
      </x:c>
      <x:c r="I2009" s="26" t="n">
        <x:f>'成本明细'!V305</x:f>
        <x:v>6825.5</x:v>
      </x:c>
      <x:c r="J2009" s="22" t="n">
        <x:f>'参数'!$B$9</x:f>
        <x:v>300</x:v>
      </x:c>
      <x:c r="K2009" s="26" t="n">
        <x:f>J2009*(G2009-H2009)-I2009*ROUNDUP(J2009/F2009,0)</x:f>
        <x:v>-568810.1288306667</x:v>
      </x:c>
      <x:c r="L2009" s="10" t="str">
        <x:f>IF(G2009-H2009&lt;=0,"未回本",IF(ROUNDUP(I2009/(G2009-H2009),0)&gt;MIN(F2009,J2009),"未回本",MAX(1,ROUNDUP(I2009/(G2009-H2009),0))))</x:f>
        <x:v>未回本</x:v>
      </x:c>
    </x:row>
    <x:row r="2010" ht="22" customHeight="1">
      <x:c r="A2010" s="11" t="str">
        <x:v>lade_0828_20aoi</x:v>
      </x:c>
      <x:c r="B2010" s="10" t="n">
        <x:v>20</x:v>
      </x:c>
      <x:c r="C2010" s="10" t="n">
        <x:v>44</x:v>
      </x:c>
      <x:c r="D2010" s="10" t="str">
        <x:v>M1 / M3</x:v>
      </x:c>
      <x:c r="E2010" s="16" t="n">
        <x:v>1</x:v>
      </x:c>
      <x:c r="F2010" s="14" t="n">
        <x:v>30</x:v>
      </x:c>
      <x:c r="G2010" s="26" t="n">
        <x:f>'成本明细'!U296+'成本明细'!G296*(E2010-'参数'!$B$6)</x:f>
        <x:v>2765.433337905</x:v>
      </x:c>
      <x:c r="H2010" s="26" t="n">
        <x:f>'成本明细'!U302</x:f>
        <x:v>3672.7697395622217</x:v>
      </x:c>
      <x:c r="I2010" s="26" t="n">
        <x:f>'成本明细'!V302</x:f>
        <x:v>6825.5</x:v>
      </x:c>
      <x:c r="J2010" s="22" t="n">
        <x:f>'参数'!$B$9</x:f>
        <x:v>300</x:v>
      </x:c>
      <x:c r="K2010" s="26" t="n">
        <x:f>J2010*(G2010-H2010)-I2010*ROUNDUP(J2010/F2010,0)</x:f>
        <x:v>-340455.9204971665</x:v>
      </x:c>
      <x:c r="L2010" s="10" t="str">
        <x:f>IF(G2010-H2010&lt;=0,"未回本",IF(ROUNDUP(I2010/(G2010-H2010),0)&gt;MIN(F2010,J2010),"未回本",MAX(1,ROUNDUP(I2010/(G2010-H2010),0))))</x:f>
        <x:v>未回本</x:v>
      </x:c>
    </x:row>
    <x:row r="2011" ht="22" customHeight="1">
      <x:c r="A2011" s="11" t="str">
        <x:v>lade_0828_20aoi</x:v>
      </x:c>
      <x:c r="B2011" s="10" t="n">
        <x:v>20</x:v>
      </x:c>
      <x:c r="C2011" s="10" t="n">
        <x:v>44</x:v>
      </x:c>
      <x:c r="D2011" s="10" t="str">
        <x:v>M2 / M4</x:v>
      </x:c>
      <x:c r="E2011" s="16" t="n">
        <x:v>1</x:v>
      </x:c>
      <x:c r="F2011" s="14" t="n">
        <x:v>30</x:v>
      </x:c>
      <x:c r="G2011" s="26" t="n">
        <x:f>'成本明细'!U299+'成本明细'!G299*(E2011-'参数'!$B$6)</x:f>
        <x:v>2007.2375642205557</x:v>
      </x:c>
      <x:c r="H2011" s="26" t="n">
        <x:f>'成本明细'!U305</x:f>
        <x:v>3561.9963269894442</x:v>
      </x:c>
      <x:c r="I2011" s="26" t="n">
        <x:f>'成本明细'!V305</x:f>
        <x:v>6825.5</x:v>
      </x:c>
      <x:c r="J2011" s="22" t="n">
        <x:f>'参数'!$B$9</x:f>
        <x:v>300</x:v>
      </x:c>
      <x:c r="K2011" s="26" t="n">
        <x:f>J2011*(G2011-H2011)-I2011*ROUNDUP(J2011/F2011,0)</x:f>
        <x:v>-534682.6288306667</x:v>
      </x:c>
      <x:c r="L2011" s="10" t="str">
        <x:f>IF(G2011-H2011&lt;=0,"未回本",IF(ROUNDUP(I2011/(G2011-H2011),0)&gt;MIN(F2011,J2011),"未回本",MAX(1,ROUNDUP(I2011/(G2011-H2011),0))))</x:f>
        <x:v>未回本</x:v>
      </x:c>
    </x:row>
    <x:row r="2012" ht="22" customHeight="1">
      <x:c r="A2012" s="11" t="str">
        <x:v>lade_0828_20aoi</x:v>
      </x:c>
      <x:c r="B2012" s="10" t="n">
        <x:v>20</x:v>
      </x:c>
      <x:c r="C2012" s="10" t="n">
        <x:v>44</x:v>
      </x:c>
      <x:c r="D2012" s="10" t="str">
        <x:v>M1 / M3</x:v>
      </x:c>
      <x:c r="E2012" s="16" t="n">
        <x:v>1</x:v>
      </x:c>
      <x:c r="F2012" s="14" t="n">
        <x:v>50</x:v>
      </x:c>
      <x:c r="G2012" s="26" t="n">
        <x:f>'成本明细'!U296+'成本明细'!G296*(E2012-'参数'!$B$6)</x:f>
        <x:v>2765.433337905</x:v>
      </x:c>
      <x:c r="H2012" s="26" t="n">
        <x:f>'成本明细'!U302</x:f>
        <x:v>3672.7697395622217</x:v>
      </x:c>
      <x:c r="I2012" s="26" t="n">
        <x:f>'成本明细'!V302</x:f>
        <x:v>6825.5</x:v>
      </x:c>
      <x:c r="J2012" s="22" t="n">
        <x:f>'参数'!$B$9</x:f>
        <x:v>300</x:v>
      </x:c>
      <x:c r="K2012" s="26" t="n">
        <x:f>J2012*(G2012-H2012)-I2012*ROUNDUP(J2012/F2012,0)</x:f>
        <x:v>-313153.9204971665</x:v>
      </x:c>
      <x:c r="L2012" s="10" t="str">
        <x:f>IF(G2012-H2012&lt;=0,"未回本",IF(ROUNDUP(I2012/(G2012-H2012),0)&gt;MIN(F2012,J2012),"未回本",MAX(1,ROUNDUP(I2012/(G2012-H2012),0))))</x:f>
        <x:v>未回本</x:v>
      </x:c>
    </x:row>
    <x:row r="2013" ht="22" customHeight="1">
      <x:c r="A2013" s="11" t="str">
        <x:v>lade_0828_20aoi</x:v>
      </x:c>
      <x:c r="B2013" s="10" t="n">
        <x:v>20</x:v>
      </x:c>
      <x:c r="C2013" s="10" t="n">
        <x:v>44</x:v>
      </x:c>
      <x:c r="D2013" s="10" t="str">
        <x:v>M2 / M4</x:v>
      </x:c>
      <x:c r="E2013" s="16" t="n">
        <x:v>1</x:v>
      </x:c>
      <x:c r="F2013" s="14" t="n">
        <x:v>50</x:v>
      </x:c>
      <x:c r="G2013" s="26" t="n">
        <x:f>'成本明细'!U299+'成本明细'!G299*(E2013-'参数'!$B$6)</x:f>
        <x:v>2007.2375642205557</x:v>
      </x:c>
      <x:c r="H2013" s="26" t="n">
        <x:f>'成本明细'!U305</x:f>
        <x:v>3561.9963269894442</x:v>
      </x:c>
      <x:c r="I2013" s="26" t="n">
        <x:f>'成本明细'!V305</x:f>
        <x:v>6825.5</x:v>
      </x:c>
      <x:c r="J2013" s="22" t="n">
        <x:f>'参数'!$B$9</x:f>
        <x:v>300</x:v>
      </x:c>
      <x:c r="K2013" s="26" t="n">
        <x:f>J2013*(G2013-H2013)-I2013*ROUNDUP(J2013/F2013,0)</x:f>
        <x:v>-507380.6288306666</x:v>
      </x:c>
      <x:c r="L2013" s="10" t="str">
        <x:f>IF(G2013-H2013&lt;=0,"未回本",IF(ROUNDUP(I2013/(G2013-H2013),0)&gt;MIN(F2013,J2013),"未回本",MAX(1,ROUNDUP(I2013/(G2013-H2013),0))))</x:f>
        <x:v>未回本</x:v>
      </x:c>
    </x:row>
    <x:row r="2014" ht="22" customHeight="1">
      <x:c r="A2014" s="11" t="str">
        <x:v>lade_0828_20aoi</x:v>
      </x:c>
      <x:c r="B2014" s="10" t="n">
        <x:v>20</x:v>
      </x:c>
      <x:c r="C2014" s="10" t="n">
        <x:v>44</x:v>
      </x:c>
      <x:c r="D2014" s="10" t="str">
        <x:v>M1 / M3</x:v>
      </x:c>
      <x:c r="E2014" s="16" t="n">
        <x:v>2</x:v>
      </x:c>
      <x:c r="F2014" s="14" t="n">
        <x:v>10</x:v>
      </x:c>
      <x:c r="G2014" s="26" t="n">
        <x:f>'成本明细'!U296+'成本明细'!G296*(E2014-'参数'!$B$6)</x:f>
        <x:v>2952.433337905</x:v>
      </x:c>
      <x:c r="H2014" s="26" t="n">
        <x:f>'成本明细'!U302</x:f>
        <x:v>3672.7697395622217</x:v>
      </x:c>
      <x:c r="I2014" s="26" t="n">
        <x:f>'成本明细'!V302</x:f>
        <x:v>6825.5</x:v>
      </x:c>
      <x:c r="J2014" s="22" t="n">
        <x:f>'参数'!$B$9</x:f>
        <x:v>300</x:v>
      </x:c>
      <x:c r="K2014" s="26" t="n">
        <x:f>J2014*(G2014-H2014)-I2014*ROUNDUP(J2014/F2014,0)</x:f>
        <x:v>-420865.9204971666</x:v>
      </x:c>
      <x:c r="L2014" s="10" t="str">
        <x:f>IF(G2014-H2014&lt;=0,"未回本",IF(ROUNDUP(I2014/(G2014-H2014),0)&gt;MIN(F2014,J2014),"未回本",MAX(1,ROUNDUP(I2014/(G2014-H2014),0))))</x:f>
        <x:v>未回本</x:v>
      </x:c>
    </x:row>
    <x:row r="2015" ht="22" customHeight="1">
      <x:c r="A2015" s="11" t="str">
        <x:v>lade_0828_20aoi</x:v>
      </x:c>
      <x:c r="B2015" s="10" t="n">
        <x:v>20</x:v>
      </x:c>
      <x:c r="C2015" s="10" t="n">
        <x:v>44</x:v>
      </x:c>
      <x:c r="D2015" s="10" t="str">
        <x:v>M2 / M4</x:v>
      </x:c>
      <x:c r="E2015" s="16" t="n">
        <x:v>2</x:v>
      </x:c>
      <x:c r="F2015" s="14" t="n">
        <x:v>10</x:v>
      </x:c>
      <x:c r="G2015" s="26" t="n">
        <x:f>'成本明细'!U299+'成本明细'!G299*(E2015-'参数'!$B$6)</x:f>
        <x:v>2194.2375642205557</x:v>
      </x:c>
      <x:c r="H2015" s="26" t="n">
        <x:f>'成本明细'!U305</x:f>
        <x:v>3561.9963269894442</x:v>
      </x:c>
      <x:c r="I2015" s="26" t="n">
        <x:f>'成本明细'!V305</x:f>
        <x:v>6825.5</x:v>
      </x:c>
      <x:c r="J2015" s="22" t="n">
        <x:f>'参数'!$B$9</x:f>
        <x:v>300</x:v>
      </x:c>
      <x:c r="K2015" s="26" t="n">
        <x:f>J2015*(G2015-H2015)-I2015*ROUNDUP(J2015/F2015,0)</x:f>
        <x:v>-615092.6288306667</x:v>
      </x:c>
      <x:c r="L2015" s="10" t="str">
        <x:f>IF(G2015-H2015&lt;=0,"未回本",IF(ROUNDUP(I2015/(G2015-H2015),0)&gt;MIN(F2015,J2015),"未回本",MAX(1,ROUNDUP(I2015/(G2015-H2015),0))))</x:f>
        <x:v>未回本</x:v>
      </x:c>
    </x:row>
    <x:row r="2016" ht="22" customHeight="1">
      <x:c r="A2016" s="11" t="str">
        <x:v>lade_0828_20aoi</x:v>
      </x:c>
      <x:c r="B2016" s="10" t="n">
        <x:v>20</x:v>
      </x:c>
      <x:c r="C2016" s="10" t="n">
        <x:v>44</x:v>
      </x:c>
      <x:c r="D2016" s="10" t="str">
        <x:v>M1 / M3</x:v>
      </x:c>
      <x:c r="E2016" s="16" t="n">
        <x:v>2</x:v>
      </x:c>
      <x:c r="F2016" s="14" t="n">
        <x:v>20</x:v>
      </x:c>
      <x:c r="G2016" s="26" t="n">
        <x:f>'成本明细'!U296+'成本明细'!G296*(E2016-'参数'!$B$6)</x:f>
        <x:v>2952.433337905</x:v>
      </x:c>
      <x:c r="H2016" s="26" t="n">
        <x:f>'成本明细'!U302</x:f>
        <x:v>3672.7697395622217</x:v>
      </x:c>
      <x:c r="I2016" s="26" t="n">
        <x:f>'成本明细'!V302</x:f>
        <x:v>6825.5</x:v>
      </x:c>
      <x:c r="J2016" s="22" t="n">
        <x:f>'参数'!$B$9</x:f>
        <x:v>300</x:v>
      </x:c>
      <x:c r="K2016" s="26" t="n">
        <x:f>J2016*(G2016-H2016)-I2016*ROUNDUP(J2016/F2016,0)</x:f>
        <x:v>-318483.4204971666</x:v>
      </x:c>
      <x:c r="L2016" s="10" t="str">
        <x:f>IF(G2016-H2016&lt;=0,"未回本",IF(ROUNDUP(I2016/(G2016-H2016),0)&gt;MIN(F2016,J2016),"未回本",MAX(1,ROUNDUP(I2016/(G2016-H2016),0))))</x:f>
        <x:v>未回本</x:v>
      </x:c>
    </x:row>
    <x:row r="2017" ht="22" customHeight="1">
      <x:c r="A2017" s="11" t="str">
        <x:v>lade_0828_20aoi</x:v>
      </x:c>
      <x:c r="B2017" s="10" t="n">
        <x:v>20</x:v>
      </x:c>
      <x:c r="C2017" s="10" t="n">
        <x:v>44</x:v>
      </x:c>
      <x:c r="D2017" s="10" t="str">
        <x:v>M2 / M4</x:v>
      </x:c>
      <x:c r="E2017" s="16" t="n">
        <x:v>2</x:v>
      </x:c>
      <x:c r="F2017" s="14" t="n">
        <x:v>20</x:v>
      </x:c>
      <x:c r="G2017" s="26" t="n">
        <x:f>'成本明细'!U299+'成本明细'!G299*(E2017-'参数'!$B$6)</x:f>
        <x:v>2194.2375642205557</x:v>
      </x:c>
      <x:c r="H2017" s="26" t="n">
        <x:f>'成本明细'!U305</x:f>
        <x:v>3561.9963269894442</x:v>
      </x:c>
      <x:c r="I2017" s="26" t="n">
        <x:f>'成本明细'!V305</x:f>
        <x:v>6825.5</x:v>
      </x:c>
      <x:c r="J2017" s="22" t="n">
        <x:f>'参数'!$B$9</x:f>
        <x:v>300</x:v>
      </x:c>
      <x:c r="K2017" s="26" t="n">
        <x:f>J2017*(G2017-H2017)-I2017*ROUNDUP(J2017/F2017,0)</x:f>
        <x:v>-512710.1288306666</x:v>
      </x:c>
      <x:c r="L2017" s="10" t="str">
        <x:f>IF(G2017-H2017&lt;=0,"未回本",IF(ROUNDUP(I2017/(G2017-H2017),0)&gt;MIN(F2017,J2017),"未回本",MAX(1,ROUNDUP(I2017/(G2017-H2017),0))))</x:f>
        <x:v>未回本</x:v>
      </x:c>
    </x:row>
    <x:row r="2018" ht="22" customHeight="1">
      <x:c r="A2018" s="11" t="str">
        <x:v>lade_0828_20aoi</x:v>
      </x:c>
      <x:c r="B2018" s="10" t="n">
        <x:v>20</x:v>
      </x:c>
      <x:c r="C2018" s="10" t="n">
        <x:v>44</x:v>
      </x:c>
      <x:c r="D2018" s="10" t="str">
        <x:v>M1 / M3</x:v>
      </x:c>
      <x:c r="E2018" s="16" t="n">
        <x:v>2</x:v>
      </x:c>
      <x:c r="F2018" s="14" t="n">
        <x:v>30</x:v>
      </x:c>
      <x:c r="G2018" s="26" t="n">
        <x:f>'成本明细'!U296+'成本明细'!G296*(E2018-'参数'!$B$6)</x:f>
        <x:v>2952.433337905</x:v>
      </x:c>
      <x:c r="H2018" s="26" t="n">
        <x:f>'成本明细'!U302</x:f>
        <x:v>3672.7697395622217</x:v>
      </x:c>
      <x:c r="I2018" s="26" t="n">
        <x:f>'成本明细'!V302</x:f>
        <x:v>6825.5</x:v>
      </x:c>
      <x:c r="J2018" s="22" t="n">
        <x:f>'参数'!$B$9</x:f>
        <x:v>300</x:v>
      </x:c>
      <x:c r="K2018" s="26" t="n">
        <x:f>J2018*(G2018-H2018)-I2018*ROUNDUP(J2018/F2018,0)</x:f>
        <x:v>-284355.9204971666</x:v>
      </x:c>
      <x:c r="L2018" s="10" t="str">
        <x:f>IF(G2018-H2018&lt;=0,"未回本",IF(ROUNDUP(I2018/(G2018-H2018),0)&gt;MIN(F2018,J2018),"未回本",MAX(1,ROUNDUP(I2018/(G2018-H2018),0))))</x:f>
        <x:v>未回本</x:v>
      </x:c>
    </x:row>
    <x:row r="2019" ht="22" customHeight="1">
      <x:c r="A2019" s="11" t="str">
        <x:v>lade_0828_20aoi</x:v>
      </x:c>
      <x:c r="B2019" s="10" t="n">
        <x:v>20</x:v>
      </x:c>
      <x:c r="C2019" s="10" t="n">
        <x:v>44</x:v>
      </x:c>
      <x:c r="D2019" s="10" t="str">
        <x:v>M2 / M4</x:v>
      </x:c>
      <x:c r="E2019" s="16" t="n">
        <x:v>2</x:v>
      </x:c>
      <x:c r="F2019" s="14" t="n">
        <x:v>30</x:v>
      </x:c>
      <x:c r="G2019" s="26" t="n">
        <x:f>'成本明细'!U299+'成本明细'!G299*(E2019-'参数'!$B$6)</x:f>
        <x:v>2194.2375642205557</x:v>
      </x:c>
      <x:c r="H2019" s="26" t="n">
        <x:f>'成本明细'!U305</x:f>
        <x:v>3561.9963269894442</x:v>
      </x:c>
      <x:c r="I2019" s="26" t="n">
        <x:f>'成本明细'!V305</x:f>
        <x:v>6825.5</x:v>
      </x:c>
      <x:c r="J2019" s="22" t="n">
        <x:f>'参数'!$B$9</x:f>
        <x:v>300</x:v>
      </x:c>
      <x:c r="K2019" s="26" t="n">
        <x:f>J2019*(G2019-H2019)-I2019*ROUNDUP(J2019/F2019,0)</x:f>
        <x:v>-478582.6288306666</x:v>
      </x:c>
      <x:c r="L2019" s="10" t="str">
        <x:f>IF(G2019-H2019&lt;=0,"未回本",IF(ROUNDUP(I2019/(G2019-H2019),0)&gt;MIN(F2019,J2019),"未回本",MAX(1,ROUNDUP(I2019/(G2019-H2019),0))))</x:f>
        <x:v>未回本</x:v>
      </x:c>
    </x:row>
    <x:row r="2020" ht="22" customHeight="1">
      <x:c r="A2020" s="11" t="str">
        <x:v>lade_0828_20aoi</x:v>
      </x:c>
      <x:c r="B2020" s="10" t="n">
        <x:v>20</x:v>
      </x:c>
      <x:c r="C2020" s="10" t="n">
        <x:v>44</x:v>
      </x:c>
      <x:c r="D2020" s="10" t="str">
        <x:v>M1 / M3</x:v>
      </x:c>
      <x:c r="E2020" s="16" t="n">
        <x:v>2</x:v>
      </x:c>
      <x:c r="F2020" s="14" t="n">
        <x:v>50</x:v>
      </x:c>
      <x:c r="G2020" s="26" t="n">
        <x:f>'成本明细'!U296+'成本明细'!G296*(E2020-'参数'!$B$6)</x:f>
        <x:v>2952.433337905</x:v>
      </x:c>
      <x:c r="H2020" s="26" t="n">
        <x:f>'成本明细'!U302</x:f>
        <x:v>3672.7697395622217</x:v>
      </x:c>
      <x:c r="I2020" s="26" t="n">
        <x:f>'成本明细'!V302</x:f>
        <x:v>6825.5</x:v>
      </x:c>
      <x:c r="J2020" s="22" t="n">
        <x:f>'参数'!$B$9</x:f>
        <x:v>300</x:v>
      </x:c>
      <x:c r="K2020" s="26" t="n">
        <x:f>J2020*(G2020-H2020)-I2020*ROUNDUP(J2020/F2020,0)</x:f>
        <x:v>-257053.92049716655</x:v>
      </x:c>
      <x:c r="L2020" s="10" t="str">
        <x:f>IF(G2020-H2020&lt;=0,"未回本",IF(ROUNDUP(I2020/(G2020-H2020),0)&gt;MIN(F2020,J2020),"未回本",MAX(1,ROUNDUP(I2020/(G2020-H2020),0))))</x:f>
        <x:v>未回本</x:v>
      </x:c>
    </x:row>
    <x:row r="2021" ht="22" customHeight="1">
      <x:c r="A2021" s="11" t="str">
        <x:v>lade_0828_20aoi</x:v>
      </x:c>
      <x:c r="B2021" s="10" t="n">
        <x:v>20</x:v>
      </x:c>
      <x:c r="C2021" s="10" t="n">
        <x:v>44</x:v>
      </x:c>
      <x:c r="D2021" s="10" t="str">
        <x:v>M2 / M4</x:v>
      </x:c>
      <x:c r="E2021" s="16" t="n">
        <x:v>2</x:v>
      </x:c>
      <x:c r="F2021" s="14" t="n">
        <x:v>50</x:v>
      </x:c>
      <x:c r="G2021" s="26" t="n">
        <x:f>'成本明细'!U299+'成本明细'!G299*(E2021-'参数'!$B$6)</x:f>
        <x:v>2194.2375642205557</x:v>
      </x:c>
      <x:c r="H2021" s="26" t="n">
        <x:f>'成本明细'!U305</x:f>
        <x:v>3561.9963269894442</x:v>
      </x:c>
      <x:c r="I2021" s="26" t="n">
        <x:f>'成本明细'!V305</x:f>
        <x:v>6825.5</x:v>
      </x:c>
      <x:c r="J2021" s="22" t="n">
        <x:f>'参数'!$B$9</x:f>
        <x:v>300</x:v>
      </x:c>
      <x:c r="K2021" s="26" t="n">
        <x:f>J2021*(G2021-H2021)-I2021*ROUNDUP(J2021/F2021,0)</x:f>
        <x:v>-451280.6288306666</x:v>
      </x:c>
      <x:c r="L2021" s="10" t="str">
        <x:f>IF(G2021-H2021&lt;=0,"未回本",IF(ROUNDUP(I2021/(G2021-H2021),0)&gt;MIN(F2021,J2021),"未回本",MAX(1,ROUNDUP(I2021/(G2021-H2021),0))))</x:f>
        <x:v>未回本</x:v>
      </x:c>
    </x:row>
    <x:row r="2022" ht="22" customHeight="1">
      <x:c r="A2022" s="11" t="str">
        <x:v>lade_0828_20aoi</x:v>
      </x:c>
      <x:c r="B2022" s="10" t="n">
        <x:v>20</x:v>
      </x:c>
      <x:c r="C2022" s="10" t="n">
        <x:v>44</x:v>
      </x:c>
      <x:c r="D2022" s="10" t="str">
        <x:v>M1 / M3</x:v>
      </x:c>
      <x:c r="E2022" s="16" t="n">
        <x:v>3</x:v>
      </x:c>
      <x:c r="F2022" s="14" t="n">
        <x:v>10</x:v>
      </x:c>
      <x:c r="G2022" s="26" t="n">
        <x:f>'成本明细'!U296+'成本明细'!G296*(E2022-'参数'!$B$6)</x:f>
        <x:v>3139.433337905</x:v>
      </x:c>
      <x:c r="H2022" s="26" t="n">
        <x:f>'成本明细'!U302</x:f>
        <x:v>3672.7697395622217</x:v>
      </x:c>
      <x:c r="I2022" s="26" t="n">
        <x:f>'成本明细'!V302</x:f>
        <x:v>6825.5</x:v>
      </x:c>
      <x:c r="J2022" s="22" t="n">
        <x:f>'参数'!$B$9</x:f>
        <x:v>300</x:v>
      </x:c>
      <x:c r="K2022" s="26" t="n">
        <x:f>J2022*(G2022-H2022)-I2022*ROUNDUP(J2022/F2022,0)</x:f>
        <x:v>-364765.9204971666</x:v>
      </x:c>
      <x:c r="L2022" s="10" t="str">
        <x:f>IF(G2022-H2022&lt;=0,"未回本",IF(ROUNDUP(I2022/(G2022-H2022),0)&gt;MIN(F2022,J2022),"未回本",MAX(1,ROUNDUP(I2022/(G2022-H2022),0))))</x:f>
        <x:v>未回本</x:v>
      </x:c>
    </x:row>
    <x:row r="2023" ht="22" customHeight="1">
      <x:c r="A2023" s="11" t="str">
        <x:v>lade_0828_20aoi</x:v>
      </x:c>
      <x:c r="B2023" s="10" t="n">
        <x:v>20</x:v>
      </x:c>
      <x:c r="C2023" s="10" t="n">
        <x:v>44</x:v>
      </x:c>
      <x:c r="D2023" s="10" t="str">
        <x:v>M2 / M4</x:v>
      </x:c>
      <x:c r="E2023" s="16" t="n">
        <x:v>3</x:v>
      </x:c>
      <x:c r="F2023" s="14" t="n">
        <x:v>10</x:v>
      </x:c>
      <x:c r="G2023" s="26" t="n">
        <x:f>'成本明细'!U299+'成本明细'!G299*(E2023-'参数'!$B$6)</x:f>
        <x:v>2381.2375642205557</x:v>
      </x:c>
      <x:c r="H2023" s="26" t="n">
        <x:f>'成本明细'!U305</x:f>
        <x:v>3561.9963269894442</x:v>
      </x:c>
      <x:c r="I2023" s="26" t="n">
        <x:f>'成本明细'!V305</x:f>
        <x:v>6825.5</x:v>
      </x:c>
      <x:c r="J2023" s="22" t="n">
        <x:f>'参数'!$B$9</x:f>
        <x:v>300</x:v>
      </x:c>
      <x:c r="K2023" s="26" t="n">
        <x:f>J2023*(G2023-H2023)-I2023*ROUNDUP(J2023/F2023,0)</x:f>
        <x:v>-558992.6288306667</x:v>
      </x:c>
      <x:c r="L2023" s="10" t="str">
        <x:f>IF(G2023-H2023&lt;=0,"未回本",IF(ROUNDUP(I2023/(G2023-H2023),0)&gt;MIN(F2023,J2023),"未回本",MAX(1,ROUNDUP(I2023/(G2023-H2023),0))))</x:f>
        <x:v>未回本</x:v>
      </x:c>
    </x:row>
    <x:row r="2024" ht="22" customHeight="1">
      <x:c r="A2024" s="11" t="str">
        <x:v>lade_0828_20aoi</x:v>
      </x:c>
      <x:c r="B2024" s="10" t="n">
        <x:v>20</x:v>
      </x:c>
      <x:c r="C2024" s="10" t="n">
        <x:v>44</x:v>
      </x:c>
      <x:c r="D2024" s="10" t="str">
        <x:v>M1 / M3</x:v>
      </x:c>
      <x:c r="E2024" s="16" t="n">
        <x:v>3</x:v>
      </x:c>
      <x:c r="F2024" s="14" t="n">
        <x:v>20</x:v>
      </x:c>
      <x:c r="G2024" s="26" t="n">
        <x:f>'成本明细'!U296+'成本明细'!G296*(E2024-'参数'!$B$6)</x:f>
        <x:v>3139.433337905</x:v>
      </x:c>
      <x:c r="H2024" s="26" t="n">
        <x:f>'成本明细'!U302</x:f>
        <x:v>3672.7697395622217</x:v>
      </x:c>
      <x:c r="I2024" s="26" t="n">
        <x:f>'成本明细'!V302</x:f>
        <x:v>6825.5</x:v>
      </x:c>
      <x:c r="J2024" s="22" t="n">
        <x:f>'参数'!$B$9</x:f>
        <x:v>300</x:v>
      </x:c>
      <x:c r="K2024" s="26" t="n">
        <x:f>J2024*(G2024-H2024)-I2024*ROUNDUP(J2024/F2024,0)</x:f>
        <x:v>-262383.4204971666</x:v>
      </x:c>
      <x:c r="L2024" s="10" t="str">
        <x:f>IF(G2024-H2024&lt;=0,"未回本",IF(ROUNDUP(I2024/(G2024-H2024),0)&gt;MIN(F2024,J2024),"未回本",MAX(1,ROUNDUP(I2024/(G2024-H2024),0))))</x:f>
        <x:v>未回本</x:v>
      </x:c>
    </x:row>
    <x:row r="2025" ht="22" customHeight="1">
      <x:c r="A2025" s="11" t="str">
        <x:v>lade_0828_20aoi</x:v>
      </x:c>
      <x:c r="B2025" s="10" t="n">
        <x:v>20</x:v>
      </x:c>
      <x:c r="C2025" s="10" t="n">
        <x:v>44</x:v>
      </x:c>
      <x:c r="D2025" s="10" t="str">
        <x:v>M2 / M4</x:v>
      </x:c>
      <x:c r="E2025" s="16" t="n">
        <x:v>3</x:v>
      </x:c>
      <x:c r="F2025" s="14" t="n">
        <x:v>20</x:v>
      </x:c>
      <x:c r="G2025" s="26" t="n">
        <x:f>'成本明细'!U299+'成本明细'!G299*(E2025-'参数'!$B$6)</x:f>
        <x:v>2381.2375642205557</x:v>
      </x:c>
      <x:c r="H2025" s="26" t="n">
        <x:f>'成本明细'!U305</x:f>
        <x:v>3561.9963269894442</x:v>
      </x:c>
      <x:c r="I2025" s="26" t="n">
        <x:f>'成本明细'!V305</x:f>
        <x:v>6825.5</x:v>
      </x:c>
      <x:c r="J2025" s="22" t="n">
        <x:f>'参数'!$B$9</x:f>
        <x:v>300</x:v>
      </x:c>
      <x:c r="K2025" s="26" t="n">
        <x:f>J2025*(G2025-H2025)-I2025*ROUNDUP(J2025/F2025,0)</x:f>
        <x:v>-456610.1288306666</x:v>
      </x:c>
      <x:c r="L2025" s="10" t="str">
        <x:f>IF(G2025-H2025&lt;=0,"未回本",IF(ROUNDUP(I2025/(G2025-H2025),0)&gt;MIN(F2025,J2025),"未回本",MAX(1,ROUNDUP(I2025/(G2025-H2025),0))))</x:f>
        <x:v>未回本</x:v>
      </x:c>
    </x:row>
    <x:row r="2026" ht="22" customHeight="1">
      <x:c r="A2026" s="11" t="str">
        <x:v>lade_0828_20aoi</x:v>
      </x:c>
      <x:c r="B2026" s="10" t="n">
        <x:v>20</x:v>
      </x:c>
      <x:c r="C2026" s="10" t="n">
        <x:v>44</x:v>
      </x:c>
      <x:c r="D2026" s="10" t="str">
        <x:v>M1 / M3</x:v>
      </x:c>
      <x:c r="E2026" s="16" t="n">
        <x:v>3</x:v>
      </x:c>
      <x:c r="F2026" s="14" t="n">
        <x:v>30</x:v>
      </x:c>
      <x:c r="G2026" s="26" t="n">
        <x:f>'成本明细'!U296+'成本明细'!G296*(E2026-'参数'!$B$6)</x:f>
        <x:v>3139.433337905</x:v>
      </x:c>
      <x:c r="H2026" s="26" t="n">
        <x:f>'成本明细'!U302</x:f>
        <x:v>3672.7697395622217</x:v>
      </x:c>
      <x:c r="I2026" s="26" t="n">
        <x:f>'成本明细'!V302</x:f>
        <x:v>6825.5</x:v>
      </x:c>
      <x:c r="J2026" s="22" t="n">
        <x:f>'参数'!$B$9</x:f>
        <x:v>300</x:v>
      </x:c>
      <x:c r="K2026" s="26" t="n">
        <x:f>J2026*(G2026-H2026)-I2026*ROUNDUP(J2026/F2026,0)</x:f>
        <x:v>-228255.92049716655</x:v>
      </x:c>
      <x:c r="L2026" s="10" t="str">
        <x:f>IF(G2026-H2026&lt;=0,"未回本",IF(ROUNDUP(I2026/(G2026-H2026),0)&gt;MIN(F2026,J2026),"未回本",MAX(1,ROUNDUP(I2026/(G2026-H2026),0))))</x:f>
        <x:v>未回本</x:v>
      </x:c>
    </x:row>
    <x:row r="2027" ht="22" customHeight="1">
      <x:c r="A2027" s="11" t="str">
        <x:v>lade_0828_20aoi</x:v>
      </x:c>
      <x:c r="B2027" s="10" t="n">
        <x:v>20</x:v>
      </x:c>
      <x:c r="C2027" s="10" t="n">
        <x:v>44</x:v>
      </x:c>
      <x:c r="D2027" s="10" t="str">
        <x:v>M2 / M4</x:v>
      </x:c>
      <x:c r="E2027" s="16" t="n">
        <x:v>3</x:v>
      </x:c>
      <x:c r="F2027" s="14" t="n">
        <x:v>30</x:v>
      </x:c>
      <x:c r="G2027" s="26" t="n">
        <x:f>'成本明细'!U299+'成本明细'!G299*(E2027-'参数'!$B$6)</x:f>
        <x:v>2381.2375642205557</x:v>
      </x:c>
      <x:c r="H2027" s="26" t="n">
        <x:f>'成本明细'!U305</x:f>
        <x:v>3561.9963269894442</x:v>
      </x:c>
      <x:c r="I2027" s="26" t="n">
        <x:f>'成本明细'!V305</x:f>
        <x:v>6825.5</x:v>
      </x:c>
      <x:c r="J2027" s="22" t="n">
        <x:f>'参数'!$B$9</x:f>
        <x:v>300</x:v>
      </x:c>
      <x:c r="K2027" s="26" t="n">
        <x:f>J2027*(G2027-H2027)-I2027*ROUNDUP(J2027/F2027,0)</x:f>
        <x:v>-422482.6288306666</x:v>
      </x:c>
      <x:c r="L2027" s="10" t="str">
        <x:f>IF(G2027-H2027&lt;=0,"未回本",IF(ROUNDUP(I2027/(G2027-H2027),0)&gt;MIN(F2027,J2027),"未回本",MAX(1,ROUNDUP(I2027/(G2027-H2027),0))))</x:f>
        <x:v>未回本</x:v>
      </x:c>
    </x:row>
    <x:row r="2028" ht="22" customHeight="1">
      <x:c r="A2028" s="11" t="str">
        <x:v>lade_0828_20aoi</x:v>
      </x:c>
      <x:c r="B2028" s="10" t="n">
        <x:v>20</x:v>
      </x:c>
      <x:c r="C2028" s="10" t="n">
        <x:v>44</x:v>
      </x:c>
      <x:c r="D2028" s="10" t="str">
        <x:v>M1 / M3</x:v>
      </x:c>
      <x:c r="E2028" s="16" t="n">
        <x:v>3</x:v>
      </x:c>
      <x:c r="F2028" s="14" t="n">
        <x:v>50</x:v>
      </x:c>
      <x:c r="G2028" s="26" t="n">
        <x:f>'成本明细'!U296+'成本明细'!G296*(E2028-'参数'!$B$6)</x:f>
        <x:v>3139.433337905</x:v>
      </x:c>
      <x:c r="H2028" s="26" t="n">
        <x:f>'成本明细'!U302</x:f>
        <x:v>3672.7697395622217</x:v>
      </x:c>
      <x:c r="I2028" s="26" t="n">
        <x:f>'成本明细'!V302</x:f>
        <x:v>6825.5</x:v>
      </x:c>
      <x:c r="J2028" s="22" t="n">
        <x:f>'参数'!$B$9</x:f>
        <x:v>300</x:v>
      </x:c>
      <x:c r="K2028" s="26" t="n">
        <x:f>J2028*(G2028-H2028)-I2028*ROUNDUP(J2028/F2028,0)</x:f>
        <x:v>-200953.92049716655</x:v>
      </x:c>
      <x:c r="L2028" s="10" t="str">
        <x:f>IF(G2028-H2028&lt;=0,"未回本",IF(ROUNDUP(I2028/(G2028-H2028),0)&gt;MIN(F2028,J2028),"未回本",MAX(1,ROUNDUP(I2028/(G2028-H2028),0))))</x:f>
        <x:v>未回本</x:v>
      </x:c>
    </x:row>
    <x:row r="2029" ht="22" customHeight="1">
      <x:c r="A2029" s="11" t="str">
        <x:v>lade_0828_20aoi</x:v>
      </x:c>
      <x:c r="B2029" s="10" t="n">
        <x:v>20</x:v>
      </x:c>
      <x:c r="C2029" s="10" t="n">
        <x:v>44</x:v>
      </x:c>
      <x:c r="D2029" s="10" t="str">
        <x:v>M2 / M4</x:v>
      </x:c>
      <x:c r="E2029" s="16" t="n">
        <x:v>3</x:v>
      </x:c>
      <x:c r="F2029" s="14" t="n">
        <x:v>50</x:v>
      </x:c>
      <x:c r="G2029" s="26" t="n">
        <x:f>'成本明细'!U299+'成本明细'!G299*(E2029-'参数'!$B$6)</x:f>
        <x:v>2381.2375642205557</x:v>
      </x:c>
      <x:c r="H2029" s="26" t="n">
        <x:f>'成本明细'!U305</x:f>
        <x:v>3561.9963269894442</x:v>
      </x:c>
      <x:c r="I2029" s="26" t="n">
        <x:f>'成本明细'!V305</x:f>
        <x:v>6825.5</x:v>
      </x:c>
      <x:c r="J2029" s="22" t="n">
        <x:f>'参数'!$B$9</x:f>
        <x:v>300</x:v>
      </x:c>
      <x:c r="K2029" s="26" t="n">
        <x:f>J2029*(G2029-H2029)-I2029*ROUNDUP(J2029/F2029,0)</x:f>
        <x:v>-395180.6288306666</x:v>
      </x:c>
      <x:c r="L2029" s="10" t="str">
        <x:f>IF(G2029-H2029&lt;=0,"未回本",IF(ROUNDUP(I2029/(G2029-H2029),0)&gt;MIN(F2029,J2029),"未回本",MAX(1,ROUNDUP(I2029/(G2029-H2029),0))))</x:f>
        <x:v>未回本</x:v>
      </x:c>
    </x:row>
    <x:row r="2030" ht="22" customHeight="1">
      <x:c r="A2030" s="11" t="str">
        <x:v>lade_0828_20aoi</x:v>
      </x:c>
      <x:c r="B2030" s="10" t="n">
        <x:v>20</x:v>
      </x:c>
      <x:c r="C2030" s="10" t="n">
        <x:v>44</x:v>
      </x:c>
      <x:c r="D2030" s="10" t="str">
        <x:v>M1 / M3</x:v>
      </x:c>
      <x:c r="E2030" s="16" t="n">
        <x:v>4</x:v>
      </x:c>
      <x:c r="F2030" s="14" t="n">
        <x:v>10</x:v>
      </x:c>
      <x:c r="G2030" s="26" t="n">
        <x:f>'成本明细'!U296+'成本明细'!G296*(E2030-'参数'!$B$6)</x:f>
        <x:v>3326.433337905</x:v>
      </x:c>
      <x:c r="H2030" s="26" t="n">
        <x:f>'成本明细'!U302</x:f>
        <x:v>3672.7697395622217</x:v>
      </x:c>
      <x:c r="I2030" s="26" t="n">
        <x:f>'成本明细'!V302</x:f>
        <x:v>6825.5</x:v>
      </x:c>
      <x:c r="J2030" s="22" t="n">
        <x:f>'参数'!$B$9</x:f>
        <x:v>300</x:v>
      </x:c>
      <x:c r="K2030" s="26" t="n">
        <x:f>J2030*(G2030-H2030)-I2030*ROUNDUP(J2030/F2030,0)</x:f>
        <x:v>-308665.9204971666</x:v>
      </x:c>
      <x:c r="L2030" s="10" t="str">
        <x:f>IF(G2030-H2030&lt;=0,"未回本",IF(ROUNDUP(I2030/(G2030-H2030),0)&gt;MIN(F2030,J2030),"未回本",MAX(1,ROUNDUP(I2030/(G2030-H2030),0))))</x:f>
        <x:v>未回本</x:v>
      </x:c>
    </x:row>
    <x:row r="2031" ht="22" customHeight="1">
      <x:c r="A2031" s="11" t="str">
        <x:v>lade_0828_20aoi</x:v>
      </x:c>
      <x:c r="B2031" s="10" t="n">
        <x:v>20</x:v>
      </x:c>
      <x:c r="C2031" s="10" t="n">
        <x:v>44</x:v>
      </x:c>
      <x:c r="D2031" s="10" t="str">
        <x:v>M2 / M4</x:v>
      </x:c>
      <x:c r="E2031" s="16" t="n">
        <x:v>4</x:v>
      </x:c>
      <x:c r="F2031" s="14" t="n">
        <x:v>10</x:v>
      </x:c>
      <x:c r="G2031" s="26" t="n">
        <x:f>'成本明细'!U299+'成本明细'!G299*(E2031-'参数'!$B$6)</x:f>
        <x:v>2568.2375642205557</x:v>
      </x:c>
      <x:c r="H2031" s="26" t="n">
        <x:f>'成本明细'!U305</x:f>
        <x:v>3561.9963269894442</x:v>
      </x:c>
      <x:c r="I2031" s="26" t="n">
        <x:f>'成本明细'!V305</x:f>
        <x:v>6825.5</x:v>
      </x:c>
      <x:c r="J2031" s="22" t="n">
        <x:f>'参数'!$B$9</x:f>
        <x:v>300</x:v>
      </x:c>
      <x:c r="K2031" s="26" t="n">
        <x:f>J2031*(G2031-H2031)-I2031*ROUNDUP(J2031/F2031,0)</x:f>
        <x:v>-502892.6288306666</x:v>
      </x:c>
      <x:c r="L2031" s="10" t="str">
        <x:f>IF(G2031-H2031&lt;=0,"未回本",IF(ROUNDUP(I2031/(G2031-H2031),0)&gt;MIN(F2031,J2031),"未回本",MAX(1,ROUNDUP(I2031/(G2031-H2031),0))))</x:f>
        <x:v>未回本</x:v>
      </x:c>
    </x:row>
    <x:row r="2032" ht="22" customHeight="1">
      <x:c r="A2032" s="11" t="str">
        <x:v>lade_0828_20aoi</x:v>
      </x:c>
      <x:c r="B2032" s="10" t="n">
        <x:v>20</x:v>
      </x:c>
      <x:c r="C2032" s="10" t="n">
        <x:v>44</x:v>
      </x:c>
      <x:c r="D2032" s="10" t="str">
        <x:v>M1 / M3</x:v>
      </x:c>
      <x:c r="E2032" s="16" t="n">
        <x:v>4</x:v>
      </x:c>
      <x:c r="F2032" s="14" t="n">
        <x:v>20</x:v>
      </x:c>
      <x:c r="G2032" s="26" t="n">
        <x:f>'成本明细'!U296+'成本明细'!G296*(E2032-'参数'!$B$6)</x:f>
        <x:v>3326.433337905</x:v>
      </x:c>
      <x:c r="H2032" s="26" t="n">
        <x:f>'成本明细'!U302</x:f>
        <x:v>3672.7697395622217</x:v>
      </x:c>
      <x:c r="I2032" s="26" t="n">
        <x:f>'成本明细'!V302</x:f>
        <x:v>6825.5</x:v>
      </x:c>
      <x:c r="J2032" s="22" t="n">
        <x:f>'参数'!$B$9</x:f>
        <x:v>300</x:v>
      </x:c>
      <x:c r="K2032" s="26" t="n">
        <x:f>J2032*(G2032-H2032)-I2032*ROUNDUP(J2032/F2032,0)</x:f>
        <x:v>-206283.42049716655</x:v>
      </x:c>
      <x:c r="L2032" s="10" t="str">
        <x:f>IF(G2032-H2032&lt;=0,"未回本",IF(ROUNDUP(I2032/(G2032-H2032),0)&gt;MIN(F2032,J2032),"未回本",MAX(1,ROUNDUP(I2032/(G2032-H2032),0))))</x:f>
        <x:v>未回本</x:v>
      </x:c>
    </x:row>
    <x:row r="2033" ht="22" customHeight="1">
      <x:c r="A2033" s="11" t="str">
        <x:v>lade_0828_20aoi</x:v>
      </x:c>
      <x:c r="B2033" s="10" t="n">
        <x:v>20</x:v>
      </x:c>
      <x:c r="C2033" s="10" t="n">
        <x:v>44</x:v>
      </x:c>
      <x:c r="D2033" s="10" t="str">
        <x:v>M2 / M4</x:v>
      </x:c>
      <x:c r="E2033" s="16" t="n">
        <x:v>4</x:v>
      </x:c>
      <x:c r="F2033" s="14" t="n">
        <x:v>20</x:v>
      </x:c>
      <x:c r="G2033" s="26" t="n">
        <x:f>'成本明细'!U299+'成本明细'!G299*(E2033-'参数'!$B$6)</x:f>
        <x:v>2568.2375642205557</x:v>
      </x:c>
      <x:c r="H2033" s="26" t="n">
        <x:f>'成本明细'!U305</x:f>
        <x:v>3561.9963269894442</x:v>
      </x:c>
      <x:c r="I2033" s="26" t="n">
        <x:f>'成本明细'!V305</x:f>
        <x:v>6825.5</x:v>
      </x:c>
      <x:c r="J2033" s="22" t="n">
        <x:f>'参数'!$B$9</x:f>
        <x:v>300</x:v>
      </x:c>
      <x:c r="K2033" s="26" t="n">
        <x:f>J2033*(G2033-H2033)-I2033*ROUNDUP(J2033/F2033,0)</x:f>
        <x:v>-400510.1288306666</x:v>
      </x:c>
      <x:c r="L2033" s="10" t="str">
        <x:f>IF(G2033-H2033&lt;=0,"未回本",IF(ROUNDUP(I2033/(G2033-H2033),0)&gt;MIN(F2033,J2033),"未回本",MAX(1,ROUNDUP(I2033/(G2033-H2033),0))))</x:f>
        <x:v>未回本</x:v>
      </x:c>
    </x:row>
    <x:row r="2034" ht="22" customHeight="1">
      <x:c r="A2034" s="11" t="str">
        <x:v>lade_0828_20aoi</x:v>
      </x:c>
      <x:c r="B2034" s="10" t="n">
        <x:v>20</x:v>
      </x:c>
      <x:c r="C2034" s="10" t="n">
        <x:v>44</x:v>
      </x:c>
      <x:c r="D2034" s="10" t="str">
        <x:v>M1 / M3</x:v>
      </x:c>
      <x:c r="E2034" s="16" t="n">
        <x:v>4</x:v>
      </x:c>
      <x:c r="F2034" s="14" t="n">
        <x:v>30</x:v>
      </x:c>
      <x:c r="G2034" s="26" t="n">
        <x:f>'成本明细'!U296+'成本明细'!G296*(E2034-'参数'!$B$6)</x:f>
        <x:v>3326.433337905</x:v>
      </x:c>
      <x:c r="H2034" s="26" t="n">
        <x:f>'成本明细'!U302</x:f>
        <x:v>3672.7697395622217</x:v>
      </x:c>
      <x:c r="I2034" s="26" t="n">
        <x:f>'成本明细'!V302</x:f>
        <x:v>6825.5</x:v>
      </x:c>
      <x:c r="J2034" s="22" t="n">
        <x:f>'参数'!$B$9</x:f>
        <x:v>300</x:v>
      </x:c>
      <x:c r="K2034" s="26" t="n">
        <x:f>J2034*(G2034-H2034)-I2034*ROUNDUP(J2034/F2034,0)</x:f>
        <x:v>-172155.92049716655</x:v>
      </x:c>
      <x:c r="L2034" s="10" t="str">
        <x:f>IF(G2034-H2034&lt;=0,"未回本",IF(ROUNDUP(I2034/(G2034-H2034),0)&gt;MIN(F2034,J2034),"未回本",MAX(1,ROUNDUP(I2034/(G2034-H2034),0))))</x:f>
        <x:v>未回本</x:v>
      </x:c>
    </x:row>
    <x:row r="2035" ht="22" customHeight="1">
      <x:c r="A2035" s="11" t="str">
        <x:v>lade_0828_20aoi</x:v>
      </x:c>
      <x:c r="B2035" s="10" t="n">
        <x:v>20</x:v>
      </x:c>
      <x:c r="C2035" s="10" t="n">
        <x:v>44</x:v>
      </x:c>
      <x:c r="D2035" s="10" t="str">
        <x:v>M2 / M4</x:v>
      </x:c>
      <x:c r="E2035" s="16" t="n">
        <x:v>4</x:v>
      </x:c>
      <x:c r="F2035" s="14" t="n">
        <x:v>30</x:v>
      </x:c>
      <x:c r="G2035" s="26" t="n">
        <x:f>'成本明细'!U299+'成本明细'!G299*(E2035-'参数'!$B$6)</x:f>
        <x:v>2568.2375642205557</x:v>
      </x:c>
      <x:c r="H2035" s="26" t="n">
        <x:f>'成本明细'!U305</x:f>
        <x:v>3561.9963269894442</x:v>
      </x:c>
      <x:c r="I2035" s="26" t="n">
        <x:f>'成本明细'!V305</x:f>
        <x:v>6825.5</x:v>
      </x:c>
      <x:c r="J2035" s="22" t="n">
        <x:f>'参数'!$B$9</x:f>
        <x:v>300</x:v>
      </x:c>
      <x:c r="K2035" s="26" t="n">
        <x:f>J2035*(G2035-H2035)-I2035*ROUNDUP(J2035/F2035,0)</x:f>
        <x:v>-366382.6288306666</x:v>
      </x:c>
      <x:c r="L2035" s="10" t="str">
        <x:f>IF(G2035-H2035&lt;=0,"未回本",IF(ROUNDUP(I2035/(G2035-H2035),0)&gt;MIN(F2035,J2035),"未回本",MAX(1,ROUNDUP(I2035/(G2035-H2035),0))))</x:f>
        <x:v>未回本</x:v>
      </x:c>
    </x:row>
    <x:row r="2036" ht="22" customHeight="1">
      <x:c r="A2036" s="11" t="str">
        <x:v>lade_0828_20aoi</x:v>
      </x:c>
      <x:c r="B2036" s="10" t="n">
        <x:v>20</x:v>
      </x:c>
      <x:c r="C2036" s="10" t="n">
        <x:v>44</x:v>
      </x:c>
      <x:c r="D2036" s="10" t="str">
        <x:v>M1 / M3</x:v>
      </x:c>
      <x:c r="E2036" s="16" t="n">
        <x:v>4</x:v>
      </x:c>
      <x:c r="F2036" s="14" t="n">
        <x:v>50</x:v>
      </x:c>
      <x:c r="G2036" s="26" t="n">
        <x:f>'成本明细'!U296+'成本明细'!G296*(E2036-'参数'!$B$6)</x:f>
        <x:v>3326.433337905</x:v>
      </x:c>
      <x:c r="H2036" s="26" t="n">
        <x:f>'成本明细'!U302</x:f>
        <x:v>3672.7697395622217</x:v>
      </x:c>
      <x:c r="I2036" s="26" t="n">
        <x:f>'成本明细'!V302</x:f>
        <x:v>6825.5</x:v>
      </x:c>
      <x:c r="J2036" s="22" t="n">
        <x:f>'参数'!$B$9</x:f>
        <x:v>300</x:v>
      </x:c>
      <x:c r="K2036" s="26" t="n">
        <x:f>J2036*(G2036-H2036)-I2036*ROUNDUP(J2036/F2036,0)</x:f>
        <x:v>-144853.92049716655</x:v>
      </x:c>
      <x:c r="L2036" s="10" t="str">
        <x:f>IF(G2036-H2036&lt;=0,"未回本",IF(ROUNDUP(I2036/(G2036-H2036),0)&gt;MIN(F2036,J2036),"未回本",MAX(1,ROUNDUP(I2036/(G2036-H2036),0))))</x:f>
        <x:v>未回本</x:v>
      </x:c>
    </x:row>
    <x:row r="2037" ht="22" customHeight="1">
      <x:c r="A2037" s="11" t="str">
        <x:v>lade_0828_20aoi</x:v>
      </x:c>
      <x:c r="B2037" s="10" t="n">
        <x:v>20</x:v>
      </x:c>
      <x:c r="C2037" s="10" t="n">
        <x:v>44</x:v>
      </x:c>
      <x:c r="D2037" s="10" t="str">
        <x:v>M2 / M4</x:v>
      </x:c>
      <x:c r="E2037" s="16" t="n">
        <x:v>4</x:v>
      </x:c>
      <x:c r="F2037" s="14" t="n">
        <x:v>50</x:v>
      </x:c>
      <x:c r="G2037" s="26" t="n">
        <x:f>'成本明细'!U299+'成本明细'!G299*(E2037-'参数'!$B$6)</x:f>
        <x:v>2568.2375642205557</x:v>
      </x:c>
      <x:c r="H2037" s="26" t="n">
        <x:f>'成本明细'!U305</x:f>
        <x:v>3561.9963269894442</x:v>
      </x:c>
      <x:c r="I2037" s="26" t="n">
        <x:f>'成本明细'!V305</x:f>
        <x:v>6825.5</x:v>
      </x:c>
      <x:c r="J2037" s="22" t="n">
        <x:f>'参数'!$B$9</x:f>
        <x:v>300</x:v>
      </x:c>
      <x:c r="K2037" s="26" t="n">
        <x:f>J2037*(G2037-H2037)-I2037*ROUNDUP(J2037/F2037,0)</x:f>
        <x:v>-339080.6288306666</x:v>
      </x:c>
      <x:c r="L2037" s="10" t="str">
        <x:f>IF(G2037-H2037&lt;=0,"未回本",IF(ROUNDUP(I2037/(G2037-H2037),0)&gt;MIN(F2037,J2037),"未回本",MAX(1,ROUNDUP(I2037/(G2037-H2037),0))))</x:f>
        <x:v>未回本</x:v>
      </x:c>
    </x:row>
    <x:row r="2038" ht="22" customHeight="1">
      <x:c r="A2038" s="11" t="str">
        <x:v>lade_0828_20aoi</x:v>
      </x:c>
      <x:c r="B2038" s="10" t="n">
        <x:v>20</x:v>
      </x:c>
      <x:c r="C2038" s="10" t="n">
        <x:v>44</x:v>
      </x:c>
      <x:c r="D2038" s="10" t="str">
        <x:v>M1 / M3</x:v>
      </x:c>
      <x:c r="E2038" s="16" t="n">
        <x:v>5</x:v>
      </x:c>
      <x:c r="F2038" s="14" t="n">
        <x:v>10</x:v>
      </x:c>
      <x:c r="G2038" s="26" t="n">
        <x:f>'成本明细'!U296+'成本明细'!G296*(E2038-'参数'!$B$6)</x:f>
        <x:v>3513.433337905</x:v>
      </x:c>
      <x:c r="H2038" s="26" t="n">
        <x:f>'成本明细'!U302</x:f>
        <x:v>3672.7697395622217</x:v>
      </x:c>
      <x:c r="I2038" s="26" t="n">
        <x:f>'成本明细'!V302</x:f>
        <x:v>6825.5</x:v>
      </x:c>
      <x:c r="J2038" s="22" t="n">
        <x:f>'参数'!$B$9</x:f>
        <x:v>300</x:v>
      </x:c>
      <x:c r="K2038" s="26" t="n">
        <x:f>J2038*(G2038-H2038)-I2038*ROUNDUP(J2038/F2038,0)</x:f>
        <x:v>-252565.92049716655</x:v>
      </x:c>
      <x:c r="L2038" s="10" t="str">
        <x:f>IF(G2038-H2038&lt;=0,"未回本",IF(ROUNDUP(I2038/(G2038-H2038),0)&gt;MIN(F2038,J2038),"未回本",MAX(1,ROUNDUP(I2038/(G2038-H2038),0))))</x:f>
        <x:v>未回本</x:v>
      </x:c>
    </x:row>
    <x:row r="2039" ht="22" customHeight="1">
      <x:c r="A2039" s="11" t="str">
        <x:v>lade_0828_20aoi</x:v>
      </x:c>
      <x:c r="B2039" s="10" t="n">
        <x:v>20</x:v>
      </x:c>
      <x:c r="C2039" s="10" t="n">
        <x:v>44</x:v>
      </x:c>
      <x:c r="D2039" s="10" t="str">
        <x:v>M2 / M4</x:v>
      </x:c>
      <x:c r="E2039" s="16" t="n">
        <x:v>5</x:v>
      </x:c>
      <x:c r="F2039" s="14" t="n">
        <x:v>10</x:v>
      </x:c>
      <x:c r="G2039" s="26" t="n">
        <x:f>'成本明细'!U299+'成本明细'!G299*(E2039-'参数'!$B$6)</x:f>
        <x:v>2755.2375642205557</x:v>
      </x:c>
      <x:c r="H2039" s="26" t="n">
        <x:f>'成本明细'!U305</x:f>
        <x:v>3561.9963269894442</x:v>
      </x:c>
      <x:c r="I2039" s="26" t="n">
        <x:f>'成本明细'!V305</x:f>
        <x:v>6825.5</x:v>
      </x:c>
      <x:c r="J2039" s="22" t="n">
        <x:f>'参数'!$B$9</x:f>
        <x:v>300</x:v>
      </x:c>
      <x:c r="K2039" s="26" t="n">
        <x:f>J2039*(G2039-H2039)-I2039*ROUNDUP(J2039/F2039,0)</x:f>
        <x:v>-446792.62883066654</x:v>
      </x:c>
      <x:c r="L2039" s="10" t="str">
        <x:f>IF(G2039-H2039&lt;=0,"未回本",IF(ROUNDUP(I2039/(G2039-H2039),0)&gt;MIN(F2039,J2039),"未回本",MAX(1,ROUNDUP(I2039/(G2039-H2039),0))))</x:f>
        <x:v>未回本</x:v>
      </x:c>
    </x:row>
    <x:row r="2040" ht="22" customHeight="1">
      <x:c r="A2040" s="11" t="str">
        <x:v>lade_0828_20aoi</x:v>
      </x:c>
      <x:c r="B2040" s="10" t="n">
        <x:v>20</x:v>
      </x:c>
      <x:c r="C2040" s="10" t="n">
        <x:v>44</x:v>
      </x:c>
      <x:c r="D2040" s="10" t="str">
        <x:v>M1 / M3</x:v>
      </x:c>
      <x:c r="E2040" s="16" t="n">
        <x:v>5</x:v>
      </x:c>
      <x:c r="F2040" s="14" t="n">
        <x:v>20</x:v>
      </x:c>
      <x:c r="G2040" s="26" t="n">
        <x:f>'成本明细'!U296+'成本明细'!G296*(E2040-'参数'!$B$6)</x:f>
        <x:v>3513.433337905</x:v>
      </x:c>
      <x:c r="H2040" s="26" t="n">
        <x:f>'成本明细'!U302</x:f>
        <x:v>3672.7697395622217</x:v>
      </x:c>
      <x:c r="I2040" s="26" t="n">
        <x:f>'成本明细'!V302</x:f>
        <x:v>6825.5</x:v>
      </x:c>
      <x:c r="J2040" s="22" t="n">
        <x:f>'参数'!$B$9</x:f>
        <x:v>300</x:v>
      </x:c>
      <x:c r="K2040" s="26" t="n">
        <x:f>J2040*(G2040-H2040)-I2040*ROUNDUP(J2040/F2040,0)</x:f>
        <x:v>-150183.42049716655</x:v>
      </x:c>
      <x:c r="L2040" s="10" t="str">
        <x:f>IF(G2040-H2040&lt;=0,"未回本",IF(ROUNDUP(I2040/(G2040-H2040),0)&gt;MIN(F2040,J2040),"未回本",MAX(1,ROUNDUP(I2040/(G2040-H2040),0))))</x:f>
        <x:v>未回本</x:v>
      </x:c>
    </x:row>
    <x:row r="2041" ht="22" customHeight="1">
      <x:c r="A2041" s="11" t="str">
        <x:v>lade_0828_20aoi</x:v>
      </x:c>
      <x:c r="B2041" s="10" t="n">
        <x:v>20</x:v>
      </x:c>
      <x:c r="C2041" s="10" t="n">
        <x:v>44</x:v>
      </x:c>
      <x:c r="D2041" s="10" t="str">
        <x:v>M2 / M4</x:v>
      </x:c>
      <x:c r="E2041" s="16" t="n">
        <x:v>5</x:v>
      </x:c>
      <x:c r="F2041" s="14" t="n">
        <x:v>20</x:v>
      </x:c>
      <x:c r="G2041" s="26" t="n">
        <x:f>'成本明细'!U299+'成本明细'!G299*(E2041-'参数'!$B$6)</x:f>
        <x:v>2755.2375642205557</x:v>
      </x:c>
      <x:c r="H2041" s="26" t="n">
        <x:f>'成本明细'!U305</x:f>
        <x:v>3561.9963269894442</x:v>
      </x:c>
      <x:c r="I2041" s="26" t="n">
        <x:f>'成本明细'!V305</x:f>
        <x:v>6825.5</x:v>
      </x:c>
      <x:c r="J2041" s="22" t="n">
        <x:f>'参数'!$B$9</x:f>
        <x:v>300</x:v>
      </x:c>
      <x:c r="K2041" s="26" t="n">
        <x:f>J2041*(G2041-H2041)-I2041*ROUNDUP(J2041/F2041,0)</x:f>
        <x:v>-344410.12883066654</x:v>
      </x:c>
      <x:c r="L2041" s="10" t="str">
        <x:f>IF(G2041-H2041&lt;=0,"未回本",IF(ROUNDUP(I2041/(G2041-H2041),0)&gt;MIN(F2041,J2041),"未回本",MAX(1,ROUNDUP(I2041/(G2041-H2041),0))))</x:f>
        <x:v>未回本</x:v>
      </x:c>
    </x:row>
    <x:row r="2042" ht="22" customHeight="1">
      <x:c r="A2042" s="11" t="str">
        <x:v>lade_0828_20aoi</x:v>
      </x:c>
      <x:c r="B2042" s="10" t="n">
        <x:v>20</x:v>
      </x:c>
      <x:c r="C2042" s="10" t="n">
        <x:v>44</x:v>
      </x:c>
      <x:c r="D2042" s="10" t="str">
        <x:v>M1 / M3</x:v>
      </x:c>
      <x:c r="E2042" s="16" t="n">
        <x:v>5</x:v>
      </x:c>
      <x:c r="F2042" s="14" t="n">
        <x:v>30</x:v>
      </x:c>
      <x:c r="G2042" s="26" t="n">
        <x:f>'成本明细'!U296+'成本明细'!G296*(E2042-'参数'!$B$6)</x:f>
        <x:v>3513.433337905</x:v>
      </x:c>
      <x:c r="H2042" s="26" t="n">
        <x:f>'成本明细'!U302</x:f>
        <x:v>3672.7697395622217</x:v>
      </x:c>
      <x:c r="I2042" s="26" t="n">
        <x:f>'成本明细'!V302</x:f>
        <x:v>6825.5</x:v>
      </x:c>
      <x:c r="J2042" s="22" t="n">
        <x:f>'参数'!$B$9</x:f>
        <x:v>300</x:v>
      </x:c>
      <x:c r="K2042" s="26" t="n">
        <x:f>J2042*(G2042-H2042)-I2042*ROUNDUP(J2042/F2042,0)</x:f>
        <x:v>-116055.92049716655</x:v>
      </x:c>
      <x:c r="L2042" s="10" t="str">
        <x:f>IF(G2042-H2042&lt;=0,"未回本",IF(ROUNDUP(I2042/(G2042-H2042),0)&gt;MIN(F2042,J2042),"未回本",MAX(1,ROUNDUP(I2042/(G2042-H2042),0))))</x:f>
        <x:v>未回本</x:v>
      </x:c>
    </x:row>
    <x:row r="2043" ht="22" customHeight="1">
      <x:c r="A2043" s="11" t="str">
        <x:v>lade_0828_20aoi</x:v>
      </x:c>
      <x:c r="B2043" s="10" t="n">
        <x:v>20</x:v>
      </x:c>
      <x:c r="C2043" s="10" t="n">
        <x:v>44</x:v>
      </x:c>
      <x:c r="D2043" s="10" t="str">
        <x:v>M2 / M4</x:v>
      </x:c>
      <x:c r="E2043" s="16" t="n">
        <x:v>5</x:v>
      </x:c>
      <x:c r="F2043" s="14" t="n">
        <x:v>30</x:v>
      </x:c>
      <x:c r="G2043" s="26" t="n">
        <x:f>'成本明细'!U299+'成本明细'!G299*(E2043-'参数'!$B$6)</x:f>
        <x:v>2755.2375642205557</x:v>
      </x:c>
      <x:c r="H2043" s="26" t="n">
        <x:f>'成本明细'!U305</x:f>
        <x:v>3561.9963269894442</x:v>
      </x:c>
      <x:c r="I2043" s="26" t="n">
        <x:f>'成本明细'!V305</x:f>
        <x:v>6825.5</x:v>
      </x:c>
      <x:c r="J2043" s="22" t="n">
        <x:f>'参数'!$B$9</x:f>
        <x:v>300</x:v>
      </x:c>
      <x:c r="K2043" s="26" t="n">
        <x:f>J2043*(G2043-H2043)-I2043*ROUNDUP(J2043/F2043,0)</x:f>
        <x:v>-310282.62883066654</x:v>
      </x:c>
      <x:c r="L2043" s="10" t="str">
        <x:f>IF(G2043-H2043&lt;=0,"未回本",IF(ROUNDUP(I2043/(G2043-H2043),0)&gt;MIN(F2043,J2043),"未回本",MAX(1,ROUNDUP(I2043/(G2043-H2043),0))))</x:f>
        <x:v>未回本</x:v>
      </x:c>
    </x:row>
    <x:row r="2044" ht="22" customHeight="1">
      <x:c r="A2044" s="11" t="str">
        <x:v>lade_0828_20aoi</x:v>
      </x:c>
      <x:c r="B2044" s="10" t="n">
        <x:v>20</x:v>
      </x:c>
      <x:c r="C2044" s="10" t="n">
        <x:v>44</x:v>
      </x:c>
      <x:c r="D2044" s="10" t="str">
        <x:v>M1 / M3</x:v>
      </x:c>
      <x:c r="E2044" s="16" t="n">
        <x:v>5</x:v>
      </x:c>
      <x:c r="F2044" s="14" t="n">
        <x:v>50</x:v>
      </x:c>
      <x:c r="G2044" s="26" t="n">
        <x:f>'成本明细'!U296+'成本明细'!G296*(E2044-'参数'!$B$6)</x:f>
        <x:v>3513.433337905</x:v>
      </x:c>
      <x:c r="H2044" s="26" t="n">
        <x:f>'成本明细'!U302</x:f>
        <x:v>3672.7697395622217</x:v>
      </x:c>
      <x:c r="I2044" s="26" t="n">
        <x:f>'成本明细'!V302</x:f>
        <x:v>6825.5</x:v>
      </x:c>
      <x:c r="J2044" s="22" t="n">
        <x:f>'参数'!$B$9</x:f>
        <x:v>300</x:v>
      </x:c>
      <x:c r="K2044" s="26" t="n">
        <x:f>J2044*(G2044-H2044)-I2044*ROUNDUP(J2044/F2044,0)</x:f>
        <x:v>-88753.92049716655</x:v>
      </x:c>
      <x:c r="L2044" s="10" t="str">
        <x:f>IF(G2044-H2044&lt;=0,"未回本",IF(ROUNDUP(I2044/(G2044-H2044),0)&gt;MIN(F2044,J2044),"未回本",MAX(1,ROUNDUP(I2044/(G2044-H2044),0))))</x:f>
        <x:v>未回本</x:v>
      </x:c>
    </x:row>
    <x:row r="2045" ht="22" customHeight="1">
      <x:c r="A2045" s="11" t="str">
        <x:v>lade_0828_20aoi</x:v>
      </x:c>
      <x:c r="B2045" s="10" t="n">
        <x:v>20</x:v>
      </x:c>
      <x:c r="C2045" s="10" t="n">
        <x:v>44</x:v>
      </x:c>
      <x:c r="D2045" s="10" t="str">
        <x:v>M2 / M4</x:v>
      </x:c>
      <x:c r="E2045" s="16" t="n">
        <x:v>5</x:v>
      </x:c>
      <x:c r="F2045" s="14" t="n">
        <x:v>50</x:v>
      </x:c>
      <x:c r="G2045" s="26" t="n">
        <x:f>'成本明细'!U299+'成本明细'!G299*(E2045-'参数'!$B$6)</x:f>
        <x:v>2755.2375642205557</x:v>
      </x:c>
      <x:c r="H2045" s="26" t="n">
        <x:f>'成本明细'!U305</x:f>
        <x:v>3561.9963269894442</x:v>
      </x:c>
      <x:c r="I2045" s="26" t="n">
        <x:f>'成本明细'!V305</x:f>
        <x:v>6825.5</x:v>
      </x:c>
      <x:c r="J2045" s="22" t="n">
        <x:f>'参数'!$B$9</x:f>
        <x:v>300</x:v>
      </x:c>
      <x:c r="K2045" s="26" t="n">
        <x:f>J2045*(G2045-H2045)-I2045*ROUNDUP(J2045/F2045,0)</x:f>
        <x:v>-282980.62883066654</x:v>
      </x:c>
      <x:c r="L2045" s="10" t="str">
        <x:f>IF(G2045-H2045&lt;=0,"未回本",IF(ROUNDUP(I2045/(G2045-H2045),0)&gt;MIN(F2045,J2045),"未回本",MAX(1,ROUNDUP(I2045/(G2045-H2045),0))))</x:f>
        <x:v>未回本</x:v>
      </x:c>
    </x:row>
    <x:row r="2046" ht="22" customHeight="1">
      <x:c r="A2046" s="11" t="str">
        <x:v>lade_0828_30aoi</x:v>
      </x:c>
      <x:c r="B2046" s="10" t="n">
        <x:v>30</x:v>
      </x:c>
      <x:c r="C2046" s="10" t="n">
        <x:v>42</x:v>
      </x:c>
      <x:c r="D2046" s="10" t="str">
        <x:v>M1 / M3</x:v>
      </x:c>
      <x:c r="E2046" s="16" t="n">
        <x:v>1</x:v>
      </x:c>
      <x:c r="F2046" s="14" t="n">
        <x:v>10</x:v>
      </x:c>
      <x:c r="G2046" s="26" t="n">
        <x:f>'成本明细'!U312+'成本明细'!G312*(E2046-'参数'!$B$6)</x:f>
        <x:v>2880.435462534445</x:v>
      </x:c>
      <x:c r="H2046" s="26" t="n">
        <x:f>'成本明细'!U318</x:f>
        <x:v>3970.6282375366673</x:v>
      </x:c>
      <x:c r="I2046" s="26" t="n">
        <x:f>'成本明细'!V318</x:f>
        <x:v>8687</x:v>
      </x:c>
      <x:c r="J2046" s="22" t="n">
        <x:f>'参数'!$B$9</x:f>
        <x:v>300</x:v>
      </x:c>
      <x:c r="K2046" s="26" t="n">
        <x:f>J2046*(G2046-H2046)-I2046*ROUNDUP(J2046/F2046,0)</x:f>
        <x:v>-587667.8325006667</x:v>
      </x:c>
      <x:c r="L2046" s="10" t="str">
        <x:f>IF(G2046-H2046&lt;=0,"未回本",IF(ROUNDUP(I2046/(G2046-H2046),0)&gt;MIN(F2046,J2046),"未回本",MAX(1,ROUNDUP(I2046/(G2046-H2046),0))))</x:f>
        <x:v>未回本</x:v>
      </x:c>
    </x:row>
    <x:row r="2047" ht="22" customHeight="1">
      <x:c r="A2047" s="11" t="str">
        <x:v>lade_0828_30aoi</x:v>
      </x:c>
      <x:c r="B2047" s="10" t="n">
        <x:v>30</x:v>
      </x:c>
      <x:c r="C2047" s="10" t="n">
        <x:v>42</x:v>
      </x:c>
      <x:c r="D2047" s="10" t="str">
        <x:v>M2 / M4</x:v>
      </x:c>
      <x:c r="E2047" s="16" t="n">
        <x:v>1</x:v>
      </x:c>
      <x:c r="F2047" s="14" t="n">
        <x:v>10</x:v>
      </x:c>
      <x:c r="G2047" s="26" t="n">
        <x:f>'成本明细'!U315+'成本明细'!G315*(E2047-'参数'!$B$6)</x:f>
        <x:v>2433.7717437255556</x:v>
      </x:c>
      <x:c r="H2047" s="26" t="n">
        <x:f>'成本明细'!U321</x:f>
        <x:v>3804.297403805556</x:v>
      </x:c>
      <x:c r="I2047" s="26" t="n">
        <x:f>'成本明细'!V321</x:f>
        <x:v>8687</x:v>
      </x:c>
      <x:c r="J2047" s="22" t="n">
        <x:f>'参数'!$B$9</x:f>
        <x:v>300</x:v>
      </x:c>
      <x:c r="K2047" s="26" t="n">
        <x:f>J2047*(G2047-H2047)-I2047*ROUNDUP(J2047/F2047,0)</x:f>
        <x:v>-671767.698024</x:v>
      </x:c>
      <x:c r="L2047" s="10" t="str">
        <x:f>IF(G2047-H2047&lt;=0,"未回本",IF(ROUNDUP(I2047/(G2047-H2047),0)&gt;MIN(F2047,J2047),"未回本",MAX(1,ROUNDUP(I2047/(G2047-H2047),0))))</x:f>
        <x:v>未回本</x:v>
      </x:c>
    </x:row>
    <x:row r="2048" ht="22" customHeight="1">
      <x:c r="A2048" s="11" t="str">
        <x:v>lade_0828_30aoi</x:v>
      </x:c>
      <x:c r="B2048" s="10" t="n">
        <x:v>30</x:v>
      </x:c>
      <x:c r="C2048" s="10" t="n">
        <x:v>42</x:v>
      </x:c>
      <x:c r="D2048" s="10" t="str">
        <x:v>M1 / M3</x:v>
      </x:c>
      <x:c r="E2048" s="16" t="n">
        <x:v>1</x:v>
      </x:c>
      <x:c r="F2048" s="14" t="n">
        <x:v>20</x:v>
      </x:c>
      <x:c r="G2048" s="26" t="n">
        <x:f>'成本明细'!U312+'成本明细'!G312*(E2048-'参数'!$B$6)</x:f>
        <x:v>2880.435462534445</x:v>
      </x:c>
      <x:c r="H2048" s="26" t="n">
        <x:f>'成本明细'!U318</x:f>
        <x:v>3970.6282375366673</x:v>
      </x:c>
      <x:c r="I2048" s="26" t="n">
        <x:f>'成本明细'!V318</x:f>
        <x:v>8687</x:v>
      </x:c>
      <x:c r="J2048" s="22" t="n">
        <x:f>'参数'!$B$9</x:f>
        <x:v>300</x:v>
      </x:c>
      <x:c r="K2048" s="26" t="n">
        <x:f>J2048*(G2048-H2048)-I2048*ROUNDUP(J2048/F2048,0)</x:f>
        <x:v>-457362.83250066673</x:v>
      </x:c>
      <x:c r="L2048" s="10" t="str">
        <x:f>IF(G2048-H2048&lt;=0,"未回本",IF(ROUNDUP(I2048/(G2048-H2048),0)&gt;MIN(F2048,J2048),"未回本",MAX(1,ROUNDUP(I2048/(G2048-H2048),0))))</x:f>
        <x:v>未回本</x:v>
      </x:c>
    </x:row>
    <x:row r="2049" ht="22" customHeight="1">
      <x:c r="A2049" s="11" t="str">
        <x:v>lade_0828_30aoi</x:v>
      </x:c>
      <x:c r="B2049" s="10" t="n">
        <x:v>30</x:v>
      </x:c>
      <x:c r="C2049" s="10" t="n">
        <x:v>42</x:v>
      </x:c>
      <x:c r="D2049" s="10" t="str">
        <x:v>M2 / M4</x:v>
      </x:c>
      <x:c r="E2049" s="16" t="n">
        <x:v>1</x:v>
      </x:c>
      <x:c r="F2049" s="14" t="n">
        <x:v>20</x:v>
      </x:c>
      <x:c r="G2049" s="26" t="n">
        <x:f>'成本明细'!U315+'成本明细'!G315*(E2049-'参数'!$B$6)</x:f>
        <x:v>2433.7717437255556</x:v>
      </x:c>
      <x:c r="H2049" s="26" t="n">
        <x:f>'成本明细'!U321</x:f>
        <x:v>3804.297403805556</x:v>
      </x:c>
      <x:c r="I2049" s="26" t="n">
        <x:f>'成本明细'!V321</x:f>
        <x:v>8687</x:v>
      </x:c>
      <x:c r="J2049" s="22" t="n">
        <x:f>'参数'!$B$9</x:f>
        <x:v>300</x:v>
      </x:c>
      <x:c r="K2049" s="26" t="n">
        <x:f>J2049*(G2049-H2049)-I2049*ROUNDUP(J2049/F2049,0)</x:f>
        <x:v>-541462.698024</x:v>
      </x:c>
      <x:c r="L2049" s="10" t="str">
        <x:f>IF(G2049-H2049&lt;=0,"未回本",IF(ROUNDUP(I2049/(G2049-H2049),0)&gt;MIN(F2049,J2049),"未回本",MAX(1,ROUNDUP(I2049/(G2049-H2049),0))))</x:f>
        <x:v>未回本</x:v>
      </x:c>
    </x:row>
    <x:row r="2050" ht="22" customHeight="1">
      <x:c r="A2050" s="11" t="str">
        <x:v>lade_0828_30aoi</x:v>
      </x:c>
      <x:c r="B2050" s="10" t="n">
        <x:v>30</x:v>
      </x:c>
      <x:c r="C2050" s="10" t="n">
        <x:v>42</x:v>
      </x:c>
      <x:c r="D2050" s="10" t="str">
        <x:v>M1 / M3</x:v>
      </x:c>
      <x:c r="E2050" s="16" t="n">
        <x:v>1</x:v>
      </x:c>
      <x:c r="F2050" s="14" t="n">
        <x:v>30</x:v>
      </x:c>
      <x:c r="G2050" s="26" t="n">
        <x:f>'成本明细'!U312+'成本明细'!G312*(E2050-'参数'!$B$6)</x:f>
        <x:v>2880.435462534445</x:v>
      </x:c>
      <x:c r="H2050" s="26" t="n">
        <x:f>'成本明细'!U318</x:f>
        <x:v>3970.6282375366673</x:v>
      </x:c>
      <x:c r="I2050" s="26" t="n">
        <x:f>'成本明细'!V318</x:f>
        <x:v>8687</x:v>
      </x:c>
      <x:c r="J2050" s="22" t="n">
        <x:f>'参数'!$B$9</x:f>
        <x:v>300</x:v>
      </x:c>
      <x:c r="K2050" s="26" t="n">
        <x:f>J2050*(G2050-H2050)-I2050*ROUNDUP(J2050/F2050,0)</x:f>
        <x:v>-413927.83250066673</x:v>
      </x:c>
      <x:c r="L2050" s="10" t="str">
        <x:f>IF(G2050-H2050&lt;=0,"未回本",IF(ROUNDUP(I2050/(G2050-H2050),0)&gt;MIN(F2050,J2050),"未回本",MAX(1,ROUNDUP(I2050/(G2050-H2050),0))))</x:f>
        <x:v>未回本</x:v>
      </x:c>
    </x:row>
    <x:row r="2051" ht="22" customHeight="1">
      <x:c r="A2051" s="11" t="str">
        <x:v>lade_0828_30aoi</x:v>
      </x:c>
      <x:c r="B2051" s="10" t="n">
        <x:v>30</x:v>
      </x:c>
      <x:c r="C2051" s="10" t="n">
        <x:v>42</x:v>
      </x:c>
      <x:c r="D2051" s="10" t="str">
        <x:v>M2 / M4</x:v>
      </x:c>
      <x:c r="E2051" s="16" t="n">
        <x:v>1</x:v>
      </x:c>
      <x:c r="F2051" s="14" t="n">
        <x:v>30</x:v>
      </x:c>
      <x:c r="G2051" s="26" t="n">
        <x:f>'成本明细'!U315+'成本明细'!G315*(E2051-'参数'!$B$6)</x:f>
        <x:v>2433.7717437255556</x:v>
      </x:c>
      <x:c r="H2051" s="26" t="n">
        <x:f>'成本明细'!U321</x:f>
        <x:v>3804.297403805556</x:v>
      </x:c>
      <x:c r="I2051" s="26" t="n">
        <x:f>'成本明细'!V321</x:f>
        <x:v>8687</x:v>
      </x:c>
      <x:c r="J2051" s="22" t="n">
        <x:f>'参数'!$B$9</x:f>
        <x:v>300</x:v>
      </x:c>
      <x:c r="K2051" s="26" t="n">
        <x:f>J2051*(G2051-H2051)-I2051*ROUNDUP(J2051/F2051,0)</x:f>
        <x:v>-498027.6980240001</x:v>
      </x:c>
      <x:c r="L2051" s="10" t="str">
        <x:f>IF(G2051-H2051&lt;=0,"未回本",IF(ROUNDUP(I2051/(G2051-H2051),0)&gt;MIN(F2051,J2051),"未回本",MAX(1,ROUNDUP(I2051/(G2051-H2051),0))))</x:f>
        <x:v>未回本</x:v>
      </x:c>
    </x:row>
    <x:row r="2052" ht="22" customHeight="1">
      <x:c r="A2052" s="11" t="str">
        <x:v>lade_0828_30aoi</x:v>
      </x:c>
      <x:c r="B2052" s="10" t="n">
        <x:v>30</x:v>
      </x:c>
      <x:c r="C2052" s="10" t="n">
        <x:v>42</x:v>
      </x:c>
      <x:c r="D2052" s="10" t="str">
        <x:v>M1 / M3</x:v>
      </x:c>
      <x:c r="E2052" s="16" t="n">
        <x:v>1</x:v>
      </x:c>
      <x:c r="F2052" s="14" t="n">
        <x:v>50</x:v>
      </x:c>
      <x:c r="G2052" s="26" t="n">
        <x:f>'成本明细'!U312+'成本明细'!G312*(E2052-'参数'!$B$6)</x:f>
        <x:v>2880.435462534445</x:v>
      </x:c>
      <x:c r="H2052" s="26" t="n">
        <x:f>'成本明细'!U318</x:f>
        <x:v>3970.6282375366673</x:v>
      </x:c>
      <x:c r="I2052" s="26" t="n">
        <x:f>'成本明细'!V318</x:f>
        <x:v>8687</x:v>
      </x:c>
      <x:c r="J2052" s="22" t="n">
        <x:f>'参数'!$B$9</x:f>
        <x:v>300</x:v>
      </x:c>
      <x:c r="K2052" s="26" t="n">
        <x:f>J2052*(G2052-H2052)-I2052*ROUNDUP(J2052/F2052,0)</x:f>
        <x:v>-379179.83250066673</x:v>
      </x:c>
      <x:c r="L2052" s="10" t="str">
        <x:f>IF(G2052-H2052&lt;=0,"未回本",IF(ROUNDUP(I2052/(G2052-H2052),0)&gt;MIN(F2052,J2052),"未回本",MAX(1,ROUNDUP(I2052/(G2052-H2052),0))))</x:f>
        <x:v>未回本</x:v>
      </x:c>
    </x:row>
    <x:row r="2053" ht="22" customHeight="1">
      <x:c r="A2053" s="11" t="str">
        <x:v>lade_0828_30aoi</x:v>
      </x:c>
      <x:c r="B2053" s="10" t="n">
        <x:v>30</x:v>
      </x:c>
      <x:c r="C2053" s="10" t="n">
        <x:v>42</x:v>
      </x:c>
      <x:c r="D2053" s="10" t="str">
        <x:v>M2 / M4</x:v>
      </x:c>
      <x:c r="E2053" s="16" t="n">
        <x:v>1</x:v>
      </x:c>
      <x:c r="F2053" s="14" t="n">
        <x:v>50</x:v>
      </x:c>
      <x:c r="G2053" s="26" t="n">
        <x:f>'成本明细'!U315+'成本明细'!G315*(E2053-'参数'!$B$6)</x:f>
        <x:v>2433.7717437255556</x:v>
      </x:c>
      <x:c r="H2053" s="26" t="n">
        <x:f>'成本明细'!U321</x:f>
        <x:v>3804.297403805556</x:v>
      </x:c>
      <x:c r="I2053" s="26" t="n">
        <x:f>'成本明细'!V321</x:f>
        <x:v>8687</x:v>
      </x:c>
      <x:c r="J2053" s="22" t="n">
        <x:f>'参数'!$B$9</x:f>
        <x:v>300</x:v>
      </x:c>
      <x:c r="K2053" s="26" t="n">
        <x:f>J2053*(G2053-H2053)-I2053*ROUNDUP(J2053/F2053,0)</x:f>
        <x:v>-463279.6980240001</x:v>
      </x:c>
      <x:c r="L2053" s="10" t="str">
        <x:f>IF(G2053-H2053&lt;=0,"未回本",IF(ROUNDUP(I2053/(G2053-H2053),0)&gt;MIN(F2053,J2053),"未回本",MAX(1,ROUNDUP(I2053/(G2053-H2053),0))))</x:f>
        <x:v>未回本</x:v>
      </x:c>
    </x:row>
    <x:row r="2054" ht="22" customHeight="1">
      <x:c r="A2054" s="11" t="str">
        <x:v>lade_0828_30aoi</x:v>
      </x:c>
      <x:c r="B2054" s="10" t="n">
        <x:v>30</x:v>
      </x:c>
      <x:c r="C2054" s="10" t="n">
        <x:v>42</x:v>
      </x:c>
      <x:c r="D2054" s="10" t="str">
        <x:v>M1 / M3</x:v>
      </x:c>
      <x:c r="E2054" s="16" t="n">
        <x:v>2</x:v>
      </x:c>
      <x:c r="F2054" s="14" t="n">
        <x:v>10</x:v>
      </x:c>
      <x:c r="G2054" s="26" t="n">
        <x:f>'成本明细'!U312+'成本明细'!G312*(E2054-'参数'!$B$6)</x:f>
        <x:v>3118.435462534445</x:v>
      </x:c>
      <x:c r="H2054" s="26" t="n">
        <x:f>'成本明细'!U318</x:f>
        <x:v>3970.6282375366673</x:v>
      </x:c>
      <x:c r="I2054" s="26" t="n">
        <x:f>'成本明细'!V318</x:f>
        <x:v>8687</x:v>
      </x:c>
      <x:c r="J2054" s="22" t="n">
        <x:f>'参数'!$B$9</x:f>
        <x:v>300</x:v>
      </x:c>
      <x:c r="K2054" s="26" t="n">
        <x:f>J2054*(G2054-H2054)-I2054*ROUNDUP(J2054/F2054,0)</x:f>
        <x:v>-516267.83250066673</x:v>
      </x:c>
      <x:c r="L2054" s="10" t="str">
        <x:f>IF(G2054-H2054&lt;=0,"未回本",IF(ROUNDUP(I2054/(G2054-H2054),0)&gt;MIN(F2054,J2054),"未回本",MAX(1,ROUNDUP(I2054/(G2054-H2054),0))))</x:f>
        <x:v>未回本</x:v>
      </x:c>
    </x:row>
    <x:row r="2055" ht="22" customHeight="1">
      <x:c r="A2055" s="11" t="str">
        <x:v>lade_0828_30aoi</x:v>
      </x:c>
      <x:c r="B2055" s="10" t="n">
        <x:v>30</x:v>
      </x:c>
      <x:c r="C2055" s="10" t="n">
        <x:v>42</x:v>
      </x:c>
      <x:c r="D2055" s="10" t="str">
        <x:v>M2 / M4</x:v>
      </x:c>
      <x:c r="E2055" s="16" t="n">
        <x:v>2</x:v>
      </x:c>
      <x:c r="F2055" s="14" t="n">
        <x:v>10</x:v>
      </x:c>
      <x:c r="G2055" s="26" t="n">
        <x:f>'成本明细'!U315+'成本明细'!G315*(E2055-'参数'!$B$6)</x:f>
        <x:v>2671.7717437255556</x:v>
      </x:c>
      <x:c r="H2055" s="26" t="n">
        <x:f>'成本明细'!U321</x:f>
        <x:v>3804.297403805556</x:v>
      </x:c>
      <x:c r="I2055" s="26" t="n">
        <x:f>'成本明细'!V321</x:f>
        <x:v>8687</x:v>
      </x:c>
      <x:c r="J2055" s="22" t="n">
        <x:f>'参数'!$B$9</x:f>
        <x:v>300</x:v>
      </x:c>
      <x:c r="K2055" s="26" t="n">
        <x:f>J2055*(G2055-H2055)-I2055*ROUNDUP(J2055/F2055,0)</x:f>
        <x:v>-600367.698024</x:v>
      </x:c>
      <x:c r="L2055" s="10" t="str">
        <x:f>IF(G2055-H2055&lt;=0,"未回本",IF(ROUNDUP(I2055/(G2055-H2055),0)&gt;MIN(F2055,J2055),"未回本",MAX(1,ROUNDUP(I2055/(G2055-H2055),0))))</x:f>
        <x:v>未回本</x:v>
      </x:c>
    </x:row>
    <x:row r="2056" ht="22" customHeight="1">
      <x:c r="A2056" s="11" t="str">
        <x:v>lade_0828_30aoi</x:v>
      </x:c>
      <x:c r="B2056" s="10" t="n">
        <x:v>30</x:v>
      </x:c>
      <x:c r="C2056" s="10" t="n">
        <x:v>42</x:v>
      </x:c>
      <x:c r="D2056" s="10" t="str">
        <x:v>M1 / M3</x:v>
      </x:c>
      <x:c r="E2056" s="16" t="n">
        <x:v>2</x:v>
      </x:c>
      <x:c r="F2056" s="14" t="n">
        <x:v>20</x:v>
      </x:c>
      <x:c r="G2056" s="26" t="n">
        <x:f>'成本明细'!U312+'成本明细'!G312*(E2056-'参数'!$B$6)</x:f>
        <x:v>3118.435462534445</x:v>
      </x:c>
      <x:c r="H2056" s="26" t="n">
        <x:f>'成本明细'!U318</x:f>
        <x:v>3970.6282375366673</x:v>
      </x:c>
      <x:c r="I2056" s="26" t="n">
        <x:f>'成本明细'!V318</x:f>
        <x:v>8687</x:v>
      </x:c>
      <x:c r="J2056" s="22" t="n">
        <x:f>'参数'!$B$9</x:f>
        <x:v>300</x:v>
      </x:c>
      <x:c r="K2056" s="26" t="n">
        <x:f>J2056*(G2056-H2056)-I2056*ROUNDUP(J2056/F2056,0)</x:f>
        <x:v>-385962.83250066673</x:v>
      </x:c>
      <x:c r="L2056" s="10" t="str">
        <x:f>IF(G2056-H2056&lt;=0,"未回本",IF(ROUNDUP(I2056/(G2056-H2056),0)&gt;MIN(F2056,J2056),"未回本",MAX(1,ROUNDUP(I2056/(G2056-H2056),0))))</x:f>
        <x:v>未回本</x:v>
      </x:c>
    </x:row>
    <x:row r="2057" ht="22" customHeight="1">
      <x:c r="A2057" s="11" t="str">
        <x:v>lade_0828_30aoi</x:v>
      </x:c>
      <x:c r="B2057" s="10" t="n">
        <x:v>30</x:v>
      </x:c>
      <x:c r="C2057" s="10" t="n">
        <x:v>42</x:v>
      </x:c>
      <x:c r="D2057" s="10" t="str">
        <x:v>M2 / M4</x:v>
      </x:c>
      <x:c r="E2057" s="16" t="n">
        <x:v>2</x:v>
      </x:c>
      <x:c r="F2057" s="14" t="n">
        <x:v>20</x:v>
      </x:c>
      <x:c r="G2057" s="26" t="n">
        <x:f>'成本明细'!U315+'成本明细'!G315*(E2057-'参数'!$B$6)</x:f>
        <x:v>2671.7717437255556</x:v>
      </x:c>
      <x:c r="H2057" s="26" t="n">
        <x:f>'成本明细'!U321</x:f>
        <x:v>3804.297403805556</x:v>
      </x:c>
      <x:c r="I2057" s="26" t="n">
        <x:f>'成本明细'!V321</x:f>
        <x:v>8687</x:v>
      </x:c>
      <x:c r="J2057" s="22" t="n">
        <x:f>'参数'!$B$9</x:f>
        <x:v>300</x:v>
      </x:c>
      <x:c r="K2057" s="26" t="n">
        <x:f>J2057*(G2057-H2057)-I2057*ROUNDUP(J2057/F2057,0)</x:f>
        <x:v>-470062.6980240001</x:v>
      </x:c>
      <x:c r="L2057" s="10" t="str">
        <x:f>IF(G2057-H2057&lt;=0,"未回本",IF(ROUNDUP(I2057/(G2057-H2057),0)&gt;MIN(F2057,J2057),"未回本",MAX(1,ROUNDUP(I2057/(G2057-H2057),0))))</x:f>
        <x:v>未回本</x:v>
      </x:c>
    </x:row>
    <x:row r="2058" ht="22" customHeight="1">
      <x:c r="A2058" s="11" t="str">
        <x:v>lade_0828_30aoi</x:v>
      </x:c>
      <x:c r="B2058" s="10" t="n">
        <x:v>30</x:v>
      </x:c>
      <x:c r="C2058" s="10" t="n">
        <x:v>42</x:v>
      </x:c>
      <x:c r="D2058" s="10" t="str">
        <x:v>M1 / M3</x:v>
      </x:c>
      <x:c r="E2058" s="16" t="n">
        <x:v>2</x:v>
      </x:c>
      <x:c r="F2058" s="14" t="n">
        <x:v>30</x:v>
      </x:c>
      <x:c r="G2058" s="26" t="n">
        <x:f>'成本明细'!U312+'成本明细'!G312*(E2058-'参数'!$B$6)</x:f>
        <x:v>3118.435462534445</x:v>
      </x:c>
      <x:c r="H2058" s="26" t="n">
        <x:f>'成本明细'!U318</x:f>
        <x:v>3970.6282375366673</x:v>
      </x:c>
      <x:c r="I2058" s="26" t="n">
        <x:f>'成本明细'!V318</x:f>
        <x:v>8687</x:v>
      </x:c>
      <x:c r="J2058" s="22" t="n">
        <x:f>'参数'!$B$9</x:f>
        <x:v>300</x:v>
      </x:c>
      <x:c r="K2058" s="26" t="n">
        <x:f>J2058*(G2058-H2058)-I2058*ROUNDUP(J2058/F2058,0)</x:f>
        <x:v>-342527.83250066673</x:v>
      </x:c>
      <x:c r="L2058" s="10" t="str">
        <x:f>IF(G2058-H2058&lt;=0,"未回本",IF(ROUNDUP(I2058/(G2058-H2058),0)&gt;MIN(F2058,J2058),"未回本",MAX(1,ROUNDUP(I2058/(G2058-H2058),0))))</x:f>
        <x:v>未回本</x:v>
      </x:c>
    </x:row>
    <x:row r="2059" ht="22" customHeight="1">
      <x:c r="A2059" s="11" t="str">
        <x:v>lade_0828_30aoi</x:v>
      </x:c>
      <x:c r="B2059" s="10" t="n">
        <x:v>30</x:v>
      </x:c>
      <x:c r="C2059" s="10" t="n">
        <x:v>42</x:v>
      </x:c>
      <x:c r="D2059" s="10" t="str">
        <x:v>M2 / M4</x:v>
      </x:c>
      <x:c r="E2059" s="16" t="n">
        <x:v>2</x:v>
      </x:c>
      <x:c r="F2059" s="14" t="n">
        <x:v>30</x:v>
      </x:c>
      <x:c r="G2059" s="26" t="n">
        <x:f>'成本明细'!U315+'成本明细'!G315*(E2059-'参数'!$B$6)</x:f>
        <x:v>2671.7717437255556</x:v>
      </x:c>
      <x:c r="H2059" s="26" t="n">
        <x:f>'成本明细'!U321</x:f>
        <x:v>3804.297403805556</x:v>
      </x:c>
      <x:c r="I2059" s="26" t="n">
        <x:f>'成本明细'!V321</x:f>
        <x:v>8687</x:v>
      </x:c>
      <x:c r="J2059" s="22" t="n">
        <x:f>'参数'!$B$9</x:f>
        <x:v>300</x:v>
      </x:c>
      <x:c r="K2059" s="26" t="n">
        <x:f>J2059*(G2059-H2059)-I2059*ROUNDUP(J2059/F2059,0)</x:f>
        <x:v>-426627.6980240001</x:v>
      </x:c>
      <x:c r="L2059" s="10" t="str">
        <x:f>IF(G2059-H2059&lt;=0,"未回本",IF(ROUNDUP(I2059/(G2059-H2059),0)&gt;MIN(F2059,J2059),"未回本",MAX(1,ROUNDUP(I2059/(G2059-H2059),0))))</x:f>
        <x:v>未回本</x:v>
      </x:c>
    </x:row>
    <x:row r="2060" ht="22" customHeight="1">
      <x:c r="A2060" s="11" t="str">
        <x:v>lade_0828_30aoi</x:v>
      </x:c>
      <x:c r="B2060" s="10" t="n">
        <x:v>30</x:v>
      </x:c>
      <x:c r="C2060" s="10" t="n">
        <x:v>42</x:v>
      </x:c>
      <x:c r="D2060" s="10" t="str">
        <x:v>M1 / M3</x:v>
      </x:c>
      <x:c r="E2060" s="16" t="n">
        <x:v>2</x:v>
      </x:c>
      <x:c r="F2060" s="14" t="n">
        <x:v>50</x:v>
      </x:c>
      <x:c r="G2060" s="26" t="n">
        <x:f>'成本明细'!U312+'成本明细'!G312*(E2060-'参数'!$B$6)</x:f>
        <x:v>3118.435462534445</x:v>
      </x:c>
      <x:c r="H2060" s="26" t="n">
        <x:f>'成本明细'!U318</x:f>
        <x:v>3970.6282375366673</x:v>
      </x:c>
      <x:c r="I2060" s="26" t="n">
        <x:f>'成本明细'!V318</x:f>
        <x:v>8687</x:v>
      </x:c>
      <x:c r="J2060" s="22" t="n">
        <x:f>'参数'!$B$9</x:f>
        <x:v>300</x:v>
      </x:c>
      <x:c r="K2060" s="26" t="n">
        <x:f>J2060*(G2060-H2060)-I2060*ROUNDUP(J2060/F2060,0)</x:f>
        <x:v>-307779.83250066673</x:v>
      </x:c>
      <x:c r="L2060" s="10" t="str">
        <x:f>IF(G2060-H2060&lt;=0,"未回本",IF(ROUNDUP(I2060/(G2060-H2060),0)&gt;MIN(F2060,J2060),"未回本",MAX(1,ROUNDUP(I2060/(G2060-H2060),0))))</x:f>
        <x:v>未回本</x:v>
      </x:c>
    </x:row>
    <x:row r="2061" ht="22" customHeight="1">
      <x:c r="A2061" s="11" t="str">
        <x:v>lade_0828_30aoi</x:v>
      </x:c>
      <x:c r="B2061" s="10" t="n">
        <x:v>30</x:v>
      </x:c>
      <x:c r="C2061" s="10" t="n">
        <x:v>42</x:v>
      </x:c>
      <x:c r="D2061" s="10" t="str">
        <x:v>M2 / M4</x:v>
      </x:c>
      <x:c r="E2061" s="16" t="n">
        <x:v>2</x:v>
      </x:c>
      <x:c r="F2061" s="14" t="n">
        <x:v>50</x:v>
      </x:c>
      <x:c r="G2061" s="26" t="n">
        <x:f>'成本明细'!U315+'成本明细'!G315*(E2061-'参数'!$B$6)</x:f>
        <x:v>2671.7717437255556</x:v>
      </x:c>
      <x:c r="H2061" s="26" t="n">
        <x:f>'成本明细'!U321</x:f>
        <x:v>3804.297403805556</x:v>
      </x:c>
      <x:c r="I2061" s="26" t="n">
        <x:f>'成本明细'!V321</x:f>
        <x:v>8687</x:v>
      </x:c>
      <x:c r="J2061" s="22" t="n">
        <x:f>'参数'!$B$9</x:f>
        <x:v>300</x:v>
      </x:c>
      <x:c r="K2061" s="26" t="n">
        <x:f>J2061*(G2061-H2061)-I2061*ROUNDUP(J2061/F2061,0)</x:f>
        <x:v>-391879.6980240001</x:v>
      </x:c>
      <x:c r="L2061" s="10" t="str">
        <x:f>IF(G2061-H2061&lt;=0,"未回本",IF(ROUNDUP(I2061/(G2061-H2061),0)&gt;MIN(F2061,J2061),"未回本",MAX(1,ROUNDUP(I2061/(G2061-H2061),0))))</x:f>
        <x:v>未回本</x:v>
      </x:c>
    </x:row>
    <x:row r="2062" ht="22" customHeight="1">
      <x:c r="A2062" s="11" t="str">
        <x:v>lade_0828_30aoi</x:v>
      </x:c>
      <x:c r="B2062" s="10" t="n">
        <x:v>30</x:v>
      </x:c>
      <x:c r="C2062" s="10" t="n">
        <x:v>42</x:v>
      </x:c>
      <x:c r="D2062" s="10" t="str">
        <x:v>M1 / M3</x:v>
      </x:c>
      <x:c r="E2062" s="16" t="n">
        <x:v>3</x:v>
      </x:c>
      <x:c r="F2062" s="14" t="n">
        <x:v>10</x:v>
      </x:c>
      <x:c r="G2062" s="26" t="n">
        <x:f>'成本明细'!U312+'成本明细'!G312*(E2062-'参数'!$B$6)</x:f>
        <x:v>3356.435462534445</x:v>
      </x:c>
      <x:c r="H2062" s="26" t="n">
        <x:f>'成本明细'!U318</x:f>
        <x:v>3970.6282375366673</x:v>
      </x:c>
      <x:c r="I2062" s="26" t="n">
        <x:f>'成本明细'!V318</x:f>
        <x:v>8687</x:v>
      </x:c>
      <x:c r="J2062" s="22" t="n">
        <x:f>'参数'!$B$9</x:f>
        <x:v>300</x:v>
      </x:c>
      <x:c r="K2062" s="26" t="n">
        <x:f>J2062*(G2062-H2062)-I2062*ROUNDUP(J2062/F2062,0)</x:f>
        <x:v>-444867.83250066673</x:v>
      </x:c>
      <x:c r="L2062" s="10" t="str">
        <x:f>IF(G2062-H2062&lt;=0,"未回本",IF(ROUNDUP(I2062/(G2062-H2062),0)&gt;MIN(F2062,J2062),"未回本",MAX(1,ROUNDUP(I2062/(G2062-H2062),0))))</x:f>
        <x:v>未回本</x:v>
      </x:c>
    </x:row>
    <x:row r="2063" ht="22" customHeight="1">
      <x:c r="A2063" s="11" t="str">
        <x:v>lade_0828_30aoi</x:v>
      </x:c>
      <x:c r="B2063" s="10" t="n">
        <x:v>30</x:v>
      </x:c>
      <x:c r="C2063" s="10" t="n">
        <x:v>42</x:v>
      </x:c>
      <x:c r="D2063" s="10" t="str">
        <x:v>M2 / M4</x:v>
      </x:c>
      <x:c r="E2063" s="16" t="n">
        <x:v>3</x:v>
      </x:c>
      <x:c r="F2063" s="14" t="n">
        <x:v>10</x:v>
      </x:c>
      <x:c r="G2063" s="26" t="n">
        <x:f>'成本明细'!U315+'成本明细'!G315*(E2063-'参数'!$B$6)</x:f>
        <x:v>2909.7717437255556</x:v>
      </x:c>
      <x:c r="H2063" s="26" t="n">
        <x:f>'成本明细'!U321</x:f>
        <x:v>3804.297403805556</x:v>
      </x:c>
      <x:c r="I2063" s="26" t="n">
        <x:f>'成本明细'!V321</x:f>
        <x:v>8687</x:v>
      </x:c>
      <x:c r="J2063" s="22" t="n">
        <x:f>'参数'!$B$9</x:f>
        <x:v>300</x:v>
      </x:c>
      <x:c r="K2063" s="26" t="n">
        <x:f>J2063*(G2063-H2063)-I2063*ROUNDUP(J2063/F2063,0)</x:f>
        <x:v>-528967.698024</x:v>
      </x:c>
      <x:c r="L2063" s="10" t="str">
        <x:f>IF(G2063-H2063&lt;=0,"未回本",IF(ROUNDUP(I2063/(G2063-H2063),0)&gt;MIN(F2063,J2063),"未回本",MAX(1,ROUNDUP(I2063/(G2063-H2063),0))))</x:f>
        <x:v>未回本</x:v>
      </x:c>
    </x:row>
    <x:row r="2064" ht="22" customHeight="1">
      <x:c r="A2064" s="11" t="str">
        <x:v>lade_0828_30aoi</x:v>
      </x:c>
      <x:c r="B2064" s="10" t="n">
        <x:v>30</x:v>
      </x:c>
      <x:c r="C2064" s="10" t="n">
        <x:v>42</x:v>
      </x:c>
      <x:c r="D2064" s="10" t="str">
        <x:v>M1 / M3</x:v>
      </x:c>
      <x:c r="E2064" s="16" t="n">
        <x:v>3</x:v>
      </x:c>
      <x:c r="F2064" s="14" t="n">
        <x:v>20</x:v>
      </x:c>
      <x:c r="G2064" s="26" t="n">
        <x:f>'成本明细'!U312+'成本明细'!G312*(E2064-'参数'!$B$6)</x:f>
        <x:v>3356.435462534445</x:v>
      </x:c>
      <x:c r="H2064" s="26" t="n">
        <x:f>'成本明细'!U318</x:f>
        <x:v>3970.6282375366673</x:v>
      </x:c>
      <x:c r="I2064" s="26" t="n">
        <x:f>'成本明细'!V318</x:f>
        <x:v>8687</x:v>
      </x:c>
      <x:c r="J2064" s="22" t="n">
        <x:f>'参数'!$B$9</x:f>
        <x:v>300</x:v>
      </x:c>
      <x:c r="K2064" s="26" t="n">
        <x:f>J2064*(G2064-H2064)-I2064*ROUNDUP(J2064/F2064,0)</x:f>
        <x:v>-314562.83250066673</x:v>
      </x:c>
      <x:c r="L2064" s="10" t="str">
        <x:f>IF(G2064-H2064&lt;=0,"未回本",IF(ROUNDUP(I2064/(G2064-H2064),0)&gt;MIN(F2064,J2064),"未回本",MAX(1,ROUNDUP(I2064/(G2064-H2064),0))))</x:f>
        <x:v>未回本</x:v>
      </x:c>
    </x:row>
    <x:row r="2065" ht="22" customHeight="1">
      <x:c r="A2065" s="11" t="str">
        <x:v>lade_0828_30aoi</x:v>
      </x:c>
      <x:c r="B2065" s="10" t="n">
        <x:v>30</x:v>
      </x:c>
      <x:c r="C2065" s="10" t="n">
        <x:v>42</x:v>
      </x:c>
      <x:c r="D2065" s="10" t="str">
        <x:v>M2 / M4</x:v>
      </x:c>
      <x:c r="E2065" s="16" t="n">
        <x:v>3</x:v>
      </x:c>
      <x:c r="F2065" s="14" t="n">
        <x:v>20</x:v>
      </x:c>
      <x:c r="G2065" s="26" t="n">
        <x:f>'成本明细'!U315+'成本明细'!G315*(E2065-'参数'!$B$6)</x:f>
        <x:v>2909.7717437255556</x:v>
      </x:c>
      <x:c r="H2065" s="26" t="n">
        <x:f>'成本明细'!U321</x:f>
        <x:v>3804.297403805556</x:v>
      </x:c>
      <x:c r="I2065" s="26" t="n">
        <x:f>'成本明细'!V321</x:f>
        <x:v>8687</x:v>
      </x:c>
      <x:c r="J2065" s="22" t="n">
        <x:f>'参数'!$B$9</x:f>
        <x:v>300</x:v>
      </x:c>
      <x:c r="K2065" s="26" t="n">
        <x:f>J2065*(G2065-H2065)-I2065*ROUNDUP(J2065/F2065,0)</x:f>
        <x:v>-398662.6980240001</x:v>
      </x:c>
      <x:c r="L2065" s="10" t="str">
        <x:f>IF(G2065-H2065&lt;=0,"未回本",IF(ROUNDUP(I2065/(G2065-H2065),0)&gt;MIN(F2065,J2065),"未回本",MAX(1,ROUNDUP(I2065/(G2065-H2065),0))))</x:f>
        <x:v>未回本</x:v>
      </x:c>
    </x:row>
    <x:row r="2066" ht="22" customHeight="1">
      <x:c r="A2066" s="11" t="str">
        <x:v>lade_0828_30aoi</x:v>
      </x:c>
      <x:c r="B2066" s="10" t="n">
        <x:v>30</x:v>
      </x:c>
      <x:c r="C2066" s="10" t="n">
        <x:v>42</x:v>
      </x:c>
      <x:c r="D2066" s="10" t="str">
        <x:v>M1 / M3</x:v>
      </x:c>
      <x:c r="E2066" s="16" t="n">
        <x:v>3</x:v>
      </x:c>
      <x:c r="F2066" s="14" t="n">
        <x:v>30</x:v>
      </x:c>
      <x:c r="G2066" s="26" t="n">
        <x:f>'成本明细'!U312+'成本明细'!G312*(E2066-'参数'!$B$6)</x:f>
        <x:v>3356.435462534445</x:v>
      </x:c>
      <x:c r="H2066" s="26" t="n">
        <x:f>'成本明细'!U318</x:f>
        <x:v>3970.6282375366673</x:v>
      </x:c>
      <x:c r="I2066" s="26" t="n">
        <x:f>'成本明细'!V318</x:f>
        <x:v>8687</x:v>
      </x:c>
      <x:c r="J2066" s="22" t="n">
        <x:f>'参数'!$B$9</x:f>
        <x:v>300</x:v>
      </x:c>
      <x:c r="K2066" s="26" t="n">
        <x:f>J2066*(G2066-H2066)-I2066*ROUNDUP(J2066/F2066,0)</x:f>
        <x:v>-271127.83250066673</x:v>
      </x:c>
      <x:c r="L2066" s="10" t="str">
        <x:f>IF(G2066-H2066&lt;=0,"未回本",IF(ROUNDUP(I2066/(G2066-H2066),0)&gt;MIN(F2066,J2066),"未回本",MAX(1,ROUNDUP(I2066/(G2066-H2066),0))))</x:f>
        <x:v>未回本</x:v>
      </x:c>
    </x:row>
    <x:row r="2067" ht="22" customHeight="1">
      <x:c r="A2067" s="11" t="str">
        <x:v>lade_0828_30aoi</x:v>
      </x:c>
      <x:c r="B2067" s="10" t="n">
        <x:v>30</x:v>
      </x:c>
      <x:c r="C2067" s="10" t="n">
        <x:v>42</x:v>
      </x:c>
      <x:c r="D2067" s="10" t="str">
        <x:v>M2 / M4</x:v>
      </x:c>
      <x:c r="E2067" s="16" t="n">
        <x:v>3</x:v>
      </x:c>
      <x:c r="F2067" s="14" t="n">
        <x:v>30</x:v>
      </x:c>
      <x:c r="G2067" s="26" t="n">
        <x:f>'成本明细'!U315+'成本明细'!G315*(E2067-'参数'!$B$6)</x:f>
        <x:v>2909.7717437255556</x:v>
      </x:c>
      <x:c r="H2067" s="26" t="n">
        <x:f>'成本明细'!U321</x:f>
        <x:v>3804.297403805556</x:v>
      </x:c>
      <x:c r="I2067" s="26" t="n">
        <x:f>'成本明细'!V321</x:f>
        <x:v>8687</x:v>
      </x:c>
      <x:c r="J2067" s="22" t="n">
        <x:f>'参数'!$B$9</x:f>
        <x:v>300</x:v>
      </x:c>
      <x:c r="K2067" s="26" t="n">
        <x:f>J2067*(G2067-H2067)-I2067*ROUNDUP(J2067/F2067,0)</x:f>
        <x:v>-355227.6980240001</x:v>
      </x:c>
      <x:c r="L2067" s="10" t="str">
        <x:f>IF(G2067-H2067&lt;=0,"未回本",IF(ROUNDUP(I2067/(G2067-H2067),0)&gt;MIN(F2067,J2067),"未回本",MAX(1,ROUNDUP(I2067/(G2067-H2067),0))))</x:f>
        <x:v>未回本</x:v>
      </x:c>
    </x:row>
    <x:row r="2068" ht="22" customHeight="1">
      <x:c r="A2068" s="11" t="str">
        <x:v>lade_0828_30aoi</x:v>
      </x:c>
      <x:c r="B2068" s="10" t="n">
        <x:v>30</x:v>
      </x:c>
      <x:c r="C2068" s="10" t="n">
        <x:v>42</x:v>
      </x:c>
      <x:c r="D2068" s="10" t="str">
        <x:v>M1 / M3</x:v>
      </x:c>
      <x:c r="E2068" s="16" t="n">
        <x:v>3</x:v>
      </x:c>
      <x:c r="F2068" s="14" t="n">
        <x:v>50</x:v>
      </x:c>
      <x:c r="G2068" s="26" t="n">
        <x:f>'成本明细'!U312+'成本明细'!G312*(E2068-'参数'!$B$6)</x:f>
        <x:v>3356.435462534445</x:v>
      </x:c>
      <x:c r="H2068" s="26" t="n">
        <x:f>'成本明细'!U318</x:f>
        <x:v>3970.6282375366673</x:v>
      </x:c>
      <x:c r="I2068" s="26" t="n">
        <x:f>'成本明细'!V318</x:f>
        <x:v>8687</x:v>
      </x:c>
      <x:c r="J2068" s="22" t="n">
        <x:f>'参数'!$B$9</x:f>
        <x:v>300</x:v>
      </x:c>
      <x:c r="K2068" s="26" t="n">
        <x:f>J2068*(G2068-H2068)-I2068*ROUNDUP(J2068/F2068,0)</x:f>
        <x:v>-236379.8325006667</x:v>
      </x:c>
      <x:c r="L2068" s="10" t="str">
        <x:f>IF(G2068-H2068&lt;=0,"未回本",IF(ROUNDUP(I2068/(G2068-H2068),0)&gt;MIN(F2068,J2068),"未回本",MAX(1,ROUNDUP(I2068/(G2068-H2068),0))))</x:f>
        <x:v>未回本</x:v>
      </x:c>
    </x:row>
    <x:row r="2069" ht="22" customHeight="1">
      <x:c r="A2069" s="11" t="str">
        <x:v>lade_0828_30aoi</x:v>
      </x:c>
      <x:c r="B2069" s="10" t="n">
        <x:v>30</x:v>
      </x:c>
      <x:c r="C2069" s="10" t="n">
        <x:v>42</x:v>
      </x:c>
      <x:c r="D2069" s="10" t="str">
        <x:v>M2 / M4</x:v>
      </x:c>
      <x:c r="E2069" s="16" t="n">
        <x:v>3</x:v>
      </x:c>
      <x:c r="F2069" s="14" t="n">
        <x:v>50</x:v>
      </x:c>
      <x:c r="G2069" s="26" t="n">
        <x:f>'成本明细'!U315+'成本明细'!G315*(E2069-'参数'!$B$6)</x:f>
        <x:v>2909.7717437255556</x:v>
      </x:c>
      <x:c r="H2069" s="26" t="n">
        <x:f>'成本明细'!U321</x:f>
        <x:v>3804.297403805556</x:v>
      </x:c>
      <x:c r="I2069" s="26" t="n">
        <x:f>'成本明细'!V321</x:f>
        <x:v>8687</x:v>
      </x:c>
      <x:c r="J2069" s="22" t="n">
        <x:f>'参数'!$B$9</x:f>
        <x:v>300</x:v>
      </x:c>
      <x:c r="K2069" s="26" t="n">
        <x:f>J2069*(G2069-H2069)-I2069*ROUNDUP(J2069/F2069,0)</x:f>
        <x:v>-320479.6980240001</x:v>
      </x:c>
      <x:c r="L2069" s="10" t="str">
        <x:f>IF(G2069-H2069&lt;=0,"未回本",IF(ROUNDUP(I2069/(G2069-H2069),0)&gt;MIN(F2069,J2069),"未回本",MAX(1,ROUNDUP(I2069/(G2069-H2069),0))))</x:f>
        <x:v>未回本</x:v>
      </x:c>
    </x:row>
    <x:row r="2070" ht="22" customHeight="1">
      <x:c r="A2070" s="11" t="str">
        <x:v>lade_0828_30aoi</x:v>
      </x:c>
      <x:c r="B2070" s="10" t="n">
        <x:v>30</x:v>
      </x:c>
      <x:c r="C2070" s="10" t="n">
        <x:v>42</x:v>
      </x:c>
      <x:c r="D2070" s="10" t="str">
        <x:v>M1 / M3</x:v>
      </x:c>
      <x:c r="E2070" s="16" t="n">
        <x:v>4</x:v>
      </x:c>
      <x:c r="F2070" s="14" t="n">
        <x:v>10</x:v>
      </x:c>
      <x:c r="G2070" s="26" t="n">
        <x:f>'成本明细'!U312+'成本明细'!G312*(E2070-'参数'!$B$6)</x:f>
        <x:v>3594.435462534445</x:v>
      </x:c>
      <x:c r="H2070" s="26" t="n">
        <x:f>'成本明细'!U318</x:f>
        <x:v>3970.6282375366673</x:v>
      </x:c>
      <x:c r="I2070" s="26" t="n">
        <x:f>'成本明细'!V318</x:f>
        <x:v>8687</x:v>
      </x:c>
      <x:c r="J2070" s="22" t="n">
        <x:f>'参数'!$B$9</x:f>
        <x:v>300</x:v>
      </x:c>
      <x:c r="K2070" s="26" t="n">
        <x:f>J2070*(G2070-H2070)-I2070*ROUNDUP(J2070/F2070,0)</x:f>
        <x:v>-373467.83250066673</x:v>
      </x:c>
      <x:c r="L2070" s="10" t="str">
        <x:f>IF(G2070-H2070&lt;=0,"未回本",IF(ROUNDUP(I2070/(G2070-H2070),0)&gt;MIN(F2070,J2070),"未回本",MAX(1,ROUNDUP(I2070/(G2070-H2070),0))))</x:f>
        <x:v>未回本</x:v>
      </x:c>
    </x:row>
    <x:row r="2071" ht="22" customHeight="1">
      <x:c r="A2071" s="11" t="str">
        <x:v>lade_0828_30aoi</x:v>
      </x:c>
      <x:c r="B2071" s="10" t="n">
        <x:v>30</x:v>
      </x:c>
      <x:c r="C2071" s="10" t="n">
        <x:v>42</x:v>
      </x:c>
      <x:c r="D2071" s="10" t="str">
        <x:v>M2 / M4</x:v>
      </x:c>
      <x:c r="E2071" s="16" t="n">
        <x:v>4</x:v>
      </x:c>
      <x:c r="F2071" s="14" t="n">
        <x:v>10</x:v>
      </x:c>
      <x:c r="G2071" s="26" t="n">
        <x:f>'成本明细'!U315+'成本明细'!G315*(E2071-'参数'!$B$6)</x:f>
        <x:v>3147.7717437255556</x:v>
      </x:c>
      <x:c r="H2071" s="26" t="n">
        <x:f>'成本明细'!U321</x:f>
        <x:v>3804.297403805556</x:v>
      </x:c>
      <x:c r="I2071" s="26" t="n">
        <x:f>'成本明细'!V321</x:f>
        <x:v>8687</x:v>
      </x:c>
      <x:c r="J2071" s="22" t="n">
        <x:f>'参数'!$B$9</x:f>
        <x:v>300</x:v>
      </x:c>
      <x:c r="K2071" s="26" t="n">
        <x:f>J2071*(G2071-H2071)-I2071*ROUNDUP(J2071/F2071,0)</x:f>
        <x:v>-457567.6980240001</x:v>
      </x:c>
      <x:c r="L2071" s="10" t="str">
        <x:f>IF(G2071-H2071&lt;=0,"未回本",IF(ROUNDUP(I2071/(G2071-H2071),0)&gt;MIN(F2071,J2071),"未回本",MAX(1,ROUNDUP(I2071/(G2071-H2071),0))))</x:f>
        <x:v>未回本</x:v>
      </x:c>
    </x:row>
    <x:row r="2072" ht="22" customHeight="1">
      <x:c r="A2072" s="11" t="str">
        <x:v>lade_0828_30aoi</x:v>
      </x:c>
      <x:c r="B2072" s="10" t="n">
        <x:v>30</x:v>
      </x:c>
      <x:c r="C2072" s="10" t="n">
        <x:v>42</x:v>
      </x:c>
      <x:c r="D2072" s="10" t="str">
        <x:v>M1 / M3</x:v>
      </x:c>
      <x:c r="E2072" s="16" t="n">
        <x:v>4</x:v>
      </x:c>
      <x:c r="F2072" s="14" t="n">
        <x:v>20</x:v>
      </x:c>
      <x:c r="G2072" s="26" t="n">
        <x:f>'成本明细'!U312+'成本明细'!G312*(E2072-'参数'!$B$6)</x:f>
        <x:v>3594.435462534445</x:v>
      </x:c>
      <x:c r="H2072" s="26" t="n">
        <x:f>'成本明细'!U318</x:f>
        <x:v>3970.6282375366673</x:v>
      </x:c>
      <x:c r="I2072" s="26" t="n">
        <x:f>'成本明细'!V318</x:f>
        <x:v>8687</x:v>
      </x:c>
      <x:c r="J2072" s="22" t="n">
        <x:f>'参数'!$B$9</x:f>
        <x:v>300</x:v>
      </x:c>
      <x:c r="K2072" s="26" t="n">
        <x:f>J2072*(G2072-H2072)-I2072*ROUNDUP(J2072/F2072,0)</x:f>
        <x:v>-243162.8325006667</x:v>
      </x:c>
      <x:c r="L2072" s="10" t="str">
        <x:f>IF(G2072-H2072&lt;=0,"未回本",IF(ROUNDUP(I2072/(G2072-H2072),0)&gt;MIN(F2072,J2072),"未回本",MAX(1,ROUNDUP(I2072/(G2072-H2072),0))))</x:f>
        <x:v>未回本</x:v>
      </x:c>
    </x:row>
    <x:row r="2073" ht="22" customHeight="1">
      <x:c r="A2073" s="11" t="str">
        <x:v>lade_0828_30aoi</x:v>
      </x:c>
      <x:c r="B2073" s="10" t="n">
        <x:v>30</x:v>
      </x:c>
      <x:c r="C2073" s="10" t="n">
        <x:v>42</x:v>
      </x:c>
      <x:c r="D2073" s="10" t="str">
        <x:v>M2 / M4</x:v>
      </x:c>
      <x:c r="E2073" s="16" t="n">
        <x:v>4</x:v>
      </x:c>
      <x:c r="F2073" s="14" t="n">
        <x:v>20</x:v>
      </x:c>
      <x:c r="G2073" s="26" t="n">
        <x:f>'成本明细'!U315+'成本明细'!G315*(E2073-'参数'!$B$6)</x:f>
        <x:v>3147.7717437255556</x:v>
      </x:c>
      <x:c r="H2073" s="26" t="n">
        <x:f>'成本明细'!U321</x:f>
        <x:v>3804.297403805556</x:v>
      </x:c>
      <x:c r="I2073" s="26" t="n">
        <x:f>'成本明细'!V321</x:f>
        <x:v>8687</x:v>
      </x:c>
      <x:c r="J2073" s="22" t="n">
        <x:f>'参数'!$B$9</x:f>
        <x:v>300</x:v>
      </x:c>
      <x:c r="K2073" s="26" t="n">
        <x:f>J2073*(G2073-H2073)-I2073*ROUNDUP(J2073/F2073,0)</x:f>
        <x:v>-327262.6980240001</x:v>
      </x:c>
      <x:c r="L2073" s="10" t="str">
        <x:f>IF(G2073-H2073&lt;=0,"未回本",IF(ROUNDUP(I2073/(G2073-H2073),0)&gt;MIN(F2073,J2073),"未回本",MAX(1,ROUNDUP(I2073/(G2073-H2073),0))))</x:f>
        <x:v>未回本</x:v>
      </x:c>
    </x:row>
    <x:row r="2074" ht="22" customHeight="1">
      <x:c r="A2074" s="11" t="str">
        <x:v>lade_0828_30aoi</x:v>
      </x:c>
      <x:c r="B2074" s="10" t="n">
        <x:v>30</x:v>
      </x:c>
      <x:c r="C2074" s="10" t="n">
        <x:v>42</x:v>
      </x:c>
      <x:c r="D2074" s="10" t="str">
        <x:v>M1 / M3</x:v>
      </x:c>
      <x:c r="E2074" s="16" t="n">
        <x:v>4</x:v>
      </x:c>
      <x:c r="F2074" s="14" t="n">
        <x:v>30</x:v>
      </x:c>
      <x:c r="G2074" s="26" t="n">
        <x:f>'成本明细'!U312+'成本明细'!G312*(E2074-'参数'!$B$6)</x:f>
        <x:v>3594.435462534445</x:v>
      </x:c>
      <x:c r="H2074" s="26" t="n">
        <x:f>'成本明细'!U318</x:f>
        <x:v>3970.6282375366673</x:v>
      </x:c>
      <x:c r="I2074" s="26" t="n">
        <x:f>'成本明细'!V318</x:f>
        <x:v>8687</x:v>
      </x:c>
      <x:c r="J2074" s="22" t="n">
        <x:f>'参数'!$B$9</x:f>
        <x:v>300</x:v>
      </x:c>
      <x:c r="K2074" s="26" t="n">
        <x:f>J2074*(G2074-H2074)-I2074*ROUNDUP(J2074/F2074,0)</x:f>
        <x:v>-199727.8325006667</x:v>
      </x:c>
      <x:c r="L2074" s="10" t="str">
        <x:f>IF(G2074-H2074&lt;=0,"未回本",IF(ROUNDUP(I2074/(G2074-H2074),0)&gt;MIN(F2074,J2074),"未回本",MAX(1,ROUNDUP(I2074/(G2074-H2074),0))))</x:f>
        <x:v>未回本</x:v>
      </x:c>
    </x:row>
    <x:row r="2075" ht="22" customHeight="1">
      <x:c r="A2075" s="11" t="str">
        <x:v>lade_0828_30aoi</x:v>
      </x:c>
      <x:c r="B2075" s="10" t="n">
        <x:v>30</x:v>
      </x:c>
      <x:c r="C2075" s="10" t="n">
        <x:v>42</x:v>
      </x:c>
      <x:c r="D2075" s="10" t="str">
        <x:v>M2 / M4</x:v>
      </x:c>
      <x:c r="E2075" s="16" t="n">
        <x:v>4</x:v>
      </x:c>
      <x:c r="F2075" s="14" t="n">
        <x:v>30</x:v>
      </x:c>
      <x:c r="G2075" s="26" t="n">
        <x:f>'成本明细'!U315+'成本明细'!G315*(E2075-'参数'!$B$6)</x:f>
        <x:v>3147.7717437255556</x:v>
      </x:c>
      <x:c r="H2075" s="26" t="n">
        <x:f>'成本明细'!U321</x:f>
        <x:v>3804.297403805556</x:v>
      </x:c>
      <x:c r="I2075" s="26" t="n">
        <x:f>'成本明细'!V321</x:f>
        <x:v>8687</x:v>
      </x:c>
      <x:c r="J2075" s="22" t="n">
        <x:f>'参数'!$B$9</x:f>
        <x:v>300</x:v>
      </x:c>
      <x:c r="K2075" s="26" t="n">
        <x:f>J2075*(G2075-H2075)-I2075*ROUNDUP(J2075/F2075,0)</x:f>
        <x:v>-283827.6980240001</x:v>
      </x:c>
      <x:c r="L2075" s="10" t="str">
        <x:f>IF(G2075-H2075&lt;=0,"未回本",IF(ROUNDUP(I2075/(G2075-H2075),0)&gt;MIN(F2075,J2075),"未回本",MAX(1,ROUNDUP(I2075/(G2075-H2075),0))))</x:f>
        <x:v>未回本</x:v>
      </x:c>
    </x:row>
    <x:row r="2076" ht="22" customHeight="1">
      <x:c r="A2076" s="11" t="str">
        <x:v>lade_0828_30aoi</x:v>
      </x:c>
      <x:c r="B2076" s="10" t="n">
        <x:v>30</x:v>
      </x:c>
      <x:c r="C2076" s="10" t="n">
        <x:v>42</x:v>
      </x:c>
      <x:c r="D2076" s="10" t="str">
        <x:v>M1 / M3</x:v>
      </x:c>
      <x:c r="E2076" s="16" t="n">
        <x:v>4</x:v>
      </x:c>
      <x:c r="F2076" s="14" t="n">
        <x:v>50</x:v>
      </x:c>
      <x:c r="G2076" s="26" t="n">
        <x:f>'成本明细'!U312+'成本明细'!G312*(E2076-'参数'!$B$6)</x:f>
        <x:v>3594.435462534445</x:v>
      </x:c>
      <x:c r="H2076" s="26" t="n">
        <x:f>'成本明细'!U318</x:f>
        <x:v>3970.6282375366673</x:v>
      </x:c>
      <x:c r="I2076" s="26" t="n">
        <x:f>'成本明细'!V318</x:f>
        <x:v>8687</x:v>
      </x:c>
      <x:c r="J2076" s="22" t="n">
        <x:f>'参数'!$B$9</x:f>
        <x:v>300</x:v>
      </x:c>
      <x:c r="K2076" s="26" t="n">
        <x:f>J2076*(G2076-H2076)-I2076*ROUNDUP(J2076/F2076,0)</x:f>
        <x:v>-164979.8325006667</x:v>
      </x:c>
      <x:c r="L2076" s="10" t="str">
        <x:f>IF(G2076-H2076&lt;=0,"未回本",IF(ROUNDUP(I2076/(G2076-H2076),0)&gt;MIN(F2076,J2076),"未回本",MAX(1,ROUNDUP(I2076/(G2076-H2076),0))))</x:f>
        <x:v>未回本</x:v>
      </x:c>
    </x:row>
    <x:row r="2077" ht="22" customHeight="1">
      <x:c r="A2077" s="11" t="str">
        <x:v>lade_0828_30aoi</x:v>
      </x:c>
      <x:c r="B2077" s="10" t="n">
        <x:v>30</x:v>
      </x:c>
      <x:c r="C2077" s="10" t="n">
        <x:v>42</x:v>
      </x:c>
      <x:c r="D2077" s="10" t="str">
        <x:v>M2 / M4</x:v>
      </x:c>
      <x:c r="E2077" s="16" t="n">
        <x:v>4</x:v>
      </x:c>
      <x:c r="F2077" s="14" t="n">
        <x:v>50</x:v>
      </x:c>
      <x:c r="G2077" s="26" t="n">
        <x:f>'成本明细'!U315+'成本明细'!G315*(E2077-'参数'!$B$6)</x:f>
        <x:v>3147.7717437255556</x:v>
      </x:c>
      <x:c r="H2077" s="26" t="n">
        <x:f>'成本明细'!U321</x:f>
        <x:v>3804.297403805556</x:v>
      </x:c>
      <x:c r="I2077" s="26" t="n">
        <x:f>'成本明细'!V321</x:f>
        <x:v>8687</x:v>
      </x:c>
      <x:c r="J2077" s="22" t="n">
        <x:f>'参数'!$B$9</x:f>
        <x:v>300</x:v>
      </x:c>
      <x:c r="K2077" s="26" t="n">
        <x:f>J2077*(G2077-H2077)-I2077*ROUNDUP(J2077/F2077,0)</x:f>
        <x:v>-249079.6980240001</x:v>
      </x:c>
      <x:c r="L2077" s="10" t="str">
        <x:f>IF(G2077-H2077&lt;=0,"未回本",IF(ROUNDUP(I2077/(G2077-H2077),0)&gt;MIN(F2077,J2077),"未回本",MAX(1,ROUNDUP(I2077/(G2077-H2077),0))))</x:f>
        <x:v>未回本</x:v>
      </x:c>
    </x:row>
    <x:row r="2078" ht="22" customHeight="1">
      <x:c r="A2078" s="11" t="str">
        <x:v>lade_0828_30aoi</x:v>
      </x:c>
      <x:c r="B2078" s="10" t="n">
        <x:v>30</x:v>
      </x:c>
      <x:c r="C2078" s="10" t="n">
        <x:v>42</x:v>
      </x:c>
      <x:c r="D2078" s="10" t="str">
        <x:v>M1 / M3</x:v>
      </x:c>
      <x:c r="E2078" s="16" t="n">
        <x:v>5</x:v>
      </x:c>
      <x:c r="F2078" s="14" t="n">
        <x:v>10</x:v>
      </x:c>
      <x:c r="G2078" s="26" t="n">
        <x:f>'成本明细'!U312+'成本明细'!G312*(E2078-'参数'!$B$6)</x:f>
        <x:v>3832.435462534445</x:v>
      </x:c>
      <x:c r="H2078" s="26" t="n">
        <x:f>'成本明细'!U318</x:f>
        <x:v>3970.6282375366673</x:v>
      </x:c>
      <x:c r="I2078" s="26" t="n">
        <x:f>'成本明细'!V318</x:f>
        <x:v>8687</x:v>
      </x:c>
      <x:c r="J2078" s="22" t="n">
        <x:f>'参数'!$B$9</x:f>
        <x:v>300</x:v>
      </x:c>
      <x:c r="K2078" s="26" t="n">
        <x:f>J2078*(G2078-H2078)-I2078*ROUNDUP(J2078/F2078,0)</x:f>
        <x:v>-302067.83250066673</x:v>
      </x:c>
      <x:c r="L2078" s="10" t="str">
        <x:f>IF(G2078-H2078&lt;=0,"未回本",IF(ROUNDUP(I2078/(G2078-H2078),0)&gt;MIN(F2078,J2078),"未回本",MAX(1,ROUNDUP(I2078/(G2078-H2078),0))))</x:f>
        <x:v>未回本</x:v>
      </x:c>
    </x:row>
    <x:row r="2079" ht="22" customHeight="1">
      <x:c r="A2079" s="11" t="str">
        <x:v>lade_0828_30aoi</x:v>
      </x:c>
      <x:c r="B2079" s="10" t="n">
        <x:v>30</x:v>
      </x:c>
      <x:c r="C2079" s="10" t="n">
        <x:v>42</x:v>
      </x:c>
      <x:c r="D2079" s="10" t="str">
        <x:v>M2 / M4</x:v>
      </x:c>
      <x:c r="E2079" s="16" t="n">
        <x:v>5</x:v>
      </x:c>
      <x:c r="F2079" s="14" t="n">
        <x:v>10</x:v>
      </x:c>
      <x:c r="G2079" s="26" t="n">
        <x:f>'成本明细'!U315+'成本明细'!G315*(E2079-'参数'!$B$6)</x:f>
        <x:v>3385.7717437255556</x:v>
      </x:c>
      <x:c r="H2079" s="26" t="n">
        <x:f>'成本明细'!U321</x:f>
        <x:v>3804.297403805556</x:v>
      </x:c>
      <x:c r="I2079" s="26" t="n">
        <x:f>'成本明细'!V321</x:f>
        <x:v>8687</x:v>
      </x:c>
      <x:c r="J2079" s="22" t="n">
        <x:f>'参数'!$B$9</x:f>
        <x:v>300</x:v>
      </x:c>
      <x:c r="K2079" s="26" t="n">
        <x:f>J2079*(G2079-H2079)-I2079*ROUNDUP(J2079/F2079,0)</x:f>
        <x:v>-386167.6980240001</x:v>
      </x:c>
      <x:c r="L2079" s="10" t="str">
        <x:f>IF(G2079-H2079&lt;=0,"未回本",IF(ROUNDUP(I2079/(G2079-H2079),0)&gt;MIN(F2079,J2079),"未回本",MAX(1,ROUNDUP(I2079/(G2079-H2079),0))))</x:f>
        <x:v>未回本</x:v>
      </x:c>
    </x:row>
    <x:row r="2080" ht="22" customHeight="1">
      <x:c r="A2080" s="11" t="str">
        <x:v>lade_0828_30aoi</x:v>
      </x:c>
      <x:c r="B2080" s="10" t="n">
        <x:v>30</x:v>
      </x:c>
      <x:c r="C2080" s="10" t="n">
        <x:v>42</x:v>
      </x:c>
      <x:c r="D2080" s="10" t="str">
        <x:v>M1 / M3</x:v>
      </x:c>
      <x:c r="E2080" s="16" t="n">
        <x:v>5</x:v>
      </x:c>
      <x:c r="F2080" s="14" t="n">
        <x:v>20</x:v>
      </x:c>
      <x:c r="G2080" s="26" t="n">
        <x:f>'成本明细'!U312+'成本明细'!G312*(E2080-'参数'!$B$6)</x:f>
        <x:v>3832.435462534445</x:v>
      </x:c>
      <x:c r="H2080" s="26" t="n">
        <x:f>'成本明细'!U318</x:f>
        <x:v>3970.6282375366673</x:v>
      </x:c>
      <x:c r="I2080" s="26" t="n">
        <x:f>'成本明细'!V318</x:f>
        <x:v>8687</x:v>
      </x:c>
      <x:c r="J2080" s="22" t="n">
        <x:f>'参数'!$B$9</x:f>
        <x:v>300</x:v>
      </x:c>
      <x:c r="K2080" s="26" t="n">
        <x:f>J2080*(G2080-H2080)-I2080*ROUNDUP(J2080/F2080,0)</x:f>
        <x:v>-171762.8325006667</x:v>
      </x:c>
      <x:c r="L2080" s="10" t="str">
        <x:f>IF(G2080-H2080&lt;=0,"未回本",IF(ROUNDUP(I2080/(G2080-H2080),0)&gt;MIN(F2080,J2080),"未回本",MAX(1,ROUNDUP(I2080/(G2080-H2080),0))))</x:f>
        <x:v>未回本</x:v>
      </x:c>
    </x:row>
    <x:row r="2081" ht="22" customHeight="1">
      <x:c r="A2081" s="11" t="str">
        <x:v>lade_0828_30aoi</x:v>
      </x:c>
      <x:c r="B2081" s="10" t="n">
        <x:v>30</x:v>
      </x:c>
      <x:c r="C2081" s="10" t="n">
        <x:v>42</x:v>
      </x:c>
      <x:c r="D2081" s="10" t="str">
        <x:v>M2 / M4</x:v>
      </x:c>
      <x:c r="E2081" s="16" t="n">
        <x:v>5</x:v>
      </x:c>
      <x:c r="F2081" s="14" t="n">
        <x:v>20</x:v>
      </x:c>
      <x:c r="G2081" s="26" t="n">
        <x:f>'成本明细'!U315+'成本明细'!G315*(E2081-'参数'!$B$6)</x:f>
        <x:v>3385.7717437255556</x:v>
      </x:c>
      <x:c r="H2081" s="26" t="n">
        <x:f>'成本明细'!U321</x:f>
        <x:v>3804.297403805556</x:v>
      </x:c>
      <x:c r="I2081" s="26" t="n">
        <x:f>'成本明细'!V321</x:f>
        <x:v>8687</x:v>
      </x:c>
      <x:c r="J2081" s="22" t="n">
        <x:f>'参数'!$B$9</x:f>
        <x:v>300</x:v>
      </x:c>
      <x:c r="K2081" s="26" t="n">
        <x:f>J2081*(G2081-H2081)-I2081*ROUNDUP(J2081/F2081,0)</x:f>
        <x:v>-255862.6980240001</x:v>
      </x:c>
      <x:c r="L2081" s="10" t="str">
        <x:f>IF(G2081-H2081&lt;=0,"未回本",IF(ROUNDUP(I2081/(G2081-H2081),0)&gt;MIN(F2081,J2081),"未回本",MAX(1,ROUNDUP(I2081/(G2081-H2081),0))))</x:f>
        <x:v>未回本</x:v>
      </x:c>
    </x:row>
    <x:row r="2082" ht="22" customHeight="1">
      <x:c r="A2082" s="11" t="str">
        <x:v>lade_0828_30aoi</x:v>
      </x:c>
      <x:c r="B2082" s="10" t="n">
        <x:v>30</x:v>
      </x:c>
      <x:c r="C2082" s="10" t="n">
        <x:v>42</x:v>
      </x:c>
      <x:c r="D2082" s="10" t="str">
        <x:v>M1 / M3</x:v>
      </x:c>
      <x:c r="E2082" s="16" t="n">
        <x:v>5</x:v>
      </x:c>
      <x:c r="F2082" s="14" t="n">
        <x:v>30</x:v>
      </x:c>
      <x:c r="G2082" s="26" t="n">
        <x:f>'成本明细'!U312+'成本明细'!G312*(E2082-'参数'!$B$6)</x:f>
        <x:v>3832.435462534445</x:v>
      </x:c>
      <x:c r="H2082" s="26" t="n">
        <x:f>'成本明细'!U318</x:f>
        <x:v>3970.6282375366673</x:v>
      </x:c>
      <x:c r="I2082" s="26" t="n">
        <x:f>'成本明细'!V318</x:f>
        <x:v>8687</x:v>
      </x:c>
      <x:c r="J2082" s="22" t="n">
        <x:f>'参数'!$B$9</x:f>
        <x:v>300</x:v>
      </x:c>
      <x:c r="K2082" s="26" t="n">
        <x:f>J2082*(G2082-H2082)-I2082*ROUNDUP(J2082/F2082,0)</x:f>
        <x:v>-128327.8325006667</x:v>
      </x:c>
      <x:c r="L2082" s="10" t="str">
        <x:f>IF(G2082-H2082&lt;=0,"未回本",IF(ROUNDUP(I2082/(G2082-H2082),0)&gt;MIN(F2082,J2082),"未回本",MAX(1,ROUNDUP(I2082/(G2082-H2082),0))))</x:f>
        <x:v>未回本</x:v>
      </x:c>
    </x:row>
    <x:row r="2083" ht="22" customHeight="1">
      <x:c r="A2083" s="11" t="str">
        <x:v>lade_0828_30aoi</x:v>
      </x:c>
      <x:c r="B2083" s="10" t="n">
        <x:v>30</x:v>
      </x:c>
      <x:c r="C2083" s="10" t="n">
        <x:v>42</x:v>
      </x:c>
      <x:c r="D2083" s="10" t="str">
        <x:v>M2 / M4</x:v>
      </x:c>
      <x:c r="E2083" s="16" t="n">
        <x:v>5</x:v>
      </x:c>
      <x:c r="F2083" s="14" t="n">
        <x:v>30</x:v>
      </x:c>
      <x:c r="G2083" s="26" t="n">
        <x:f>'成本明细'!U315+'成本明细'!G315*(E2083-'参数'!$B$6)</x:f>
        <x:v>3385.7717437255556</x:v>
      </x:c>
      <x:c r="H2083" s="26" t="n">
        <x:f>'成本明细'!U321</x:f>
        <x:v>3804.297403805556</x:v>
      </x:c>
      <x:c r="I2083" s="26" t="n">
        <x:f>'成本明细'!V321</x:f>
        <x:v>8687</x:v>
      </x:c>
      <x:c r="J2083" s="22" t="n">
        <x:f>'参数'!$B$9</x:f>
        <x:v>300</x:v>
      </x:c>
      <x:c r="K2083" s="26" t="n">
        <x:f>J2083*(G2083-H2083)-I2083*ROUNDUP(J2083/F2083,0)</x:f>
        <x:v>-212427.6980240001</x:v>
      </x:c>
      <x:c r="L2083" s="10" t="str">
        <x:f>IF(G2083-H2083&lt;=0,"未回本",IF(ROUNDUP(I2083/(G2083-H2083),0)&gt;MIN(F2083,J2083),"未回本",MAX(1,ROUNDUP(I2083/(G2083-H2083),0))))</x:f>
        <x:v>未回本</x:v>
      </x:c>
    </x:row>
    <x:row r="2084" ht="22" customHeight="1">
      <x:c r="A2084" s="11" t="str">
        <x:v>lade_0828_30aoi</x:v>
      </x:c>
      <x:c r="B2084" s="10" t="n">
        <x:v>30</x:v>
      </x:c>
      <x:c r="C2084" s="10" t="n">
        <x:v>42</x:v>
      </x:c>
      <x:c r="D2084" s="10" t="str">
        <x:v>M1 / M3</x:v>
      </x:c>
      <x:c r="E2084" s="16" t="n">
        <x:v>5</x:v>
      </x:c>
      <x:c r="F2084" s="14" t="n">
        <x:v>50</x:v>
      </x:c>
      <x:c r="G2084" s="26" t="n">
        <x:f>'成本明细'!U312+'成本明细'!G312*(E2084-'参数'!$B$6)</x:f>
        <x:v>3832.435462534445</x:v>
      </x:c>
      <x:c r="H2084" s="26" t="n">
        <x:f>'成本明细'!U318</x:f>
        <x:v>3970.6282375366673</x:v>
      </x:c>
      <x:c r="I2084" s="26" t="n">
        <x:f>'成本明细'!V318</x:f>
        <x:v>8687</x:v>
      </x:c>
      <x:c r="J2084" s="22" t="n">
        <x:f>'参数'!$B$9</x:f>
        <x:v>300</x:v>
      </x:c>
      <x:c r="K2084" s="26" t="n">
        <x:f>J2084*(G2084-H2084)-I2084*ROUNDUP(J2084/F2084,0)</x:f>
        <x:v>-93579.8325006667</x:v>
      </x:c>
      <x:c r="L2084" s="10" t="str">
        <x:f>IF(G2084-H2084&lt;=0,"未回本",IF(ROUNDUP(I2084/(G2084-H2084),0)&gt;MIN(F2084,J2084),"未回本",MAX(1,ROUNDUP(I2084/(G2084-H2084),0))))</x:f>
        <x:v>未回本</x:v>
      </x:c>
    </x:row>
    <x:row r="2085" ht="22" customHeight="1">
      <x:c r="A2085" s="11" t="str">
        <x:v>lade_0828_30aoi</x:v>
      </x:c>
      <x:c r="B2085" s="10" t="n">
        <x:v>30</x:v>
      </x:c>
      <x:c r="C2085" s="10" t="n">
        <x:v>42</x:v>
      </x:c>
      <x:c r="D2085" s="10" t="str">
        <x:v>M2 / M4</x:v>
      </x:c>
      <x:c r="E2085" s="16" t="n">
        <x:v>5</x:v>
      </x:c>
      <x:c r="F2085" s="14" t="n">
        <x:v>50</x:v>
      </x:c>
      <x:c r="G2085" s="26" t="n">
        <x:f>'成本明细'!U315+'成本明细'!G315*(E2085-'参数'!$B$6)</x:f>
        <x:v>3385.7717437255556</x:v>
      </x:c>
      <x:c r="H2085" s="26" t="n">
        <x:f>'成本明细'!U321</x:f>
        <x:v>3804.297403805556</x:v>
      </x:c>
      <x:c r="I2085" s="26" t="n">
        <x:f>'成本明细'!V321</x:f>
        <x:v>8687</x:v>
      </x:c>
      <x:c r="J2085" s="22" t="n">
        <x:f>'参数'!$B$9</x:f>
        <x:v>300</x:v>
      </x:c>
      <x:c r="K2085" s="26" t="n">
        <x:f>J2085*(G2085-H2085)-I2085*ROUNDUP(J2085/F2085,0)</x:f>
        <x:v>-177679.6980240001</x:v>
      </x:c>
      <x:c r="L2085" s="10" t="str">
        <x:f>IF(G2085-H2085&lt;=0,"未回本",IF(ROUNDUP(I2085/(G2085-H2085),0)&gt;MIN(F2085,J2085),"未回本",MAX(1,ROUNDUP(I2085/(G2085-H2085),0))))</x:f>
        <x:v>未回本</x:v>
      </x:c>
    </x:row>
    <x:row r="2086" ht="22" customHeight="1">
      <x:c r="A2086" s="11" t="str">
        <x:v>lade_0828_30aoi</x:v>
      </x:c>
      <x:c r="B2086" s="10" t="n">
        <x:v>30</x:v>
      </x:c>
      <x:c r="C2086" s="10" t="n">
        <x:v>43</x:v>
      </x:c>
      <x:c r="D2086" s="10" t="str">
        <x:v>M1 / M3</x:v>
      </x:c>
      <x:c r="E2086" s="16" t="n">
        <x:v>1</x:v>
      </x:c>
      <x:c r="F2086" s="14" t="n">
        <x:v>10</x:v>
      </x:c>
      <x:c r="G2086" s="26" t="n">
        <x:f>'成本明细'!U313+'成本明细'!G313*(E2086-'参数'!$B$6)</x:f>
        <x:v>2880.1749504944446</x:v>
      </x:c>
      <x:c r="H2086" s="26" t="n">
        <x:f>'成本明细'!U319</x:f>
        <x:v>3973.6422688694447</x:v>
      </x:c>
      <x:c r="I2086" s="26" t="n">
        <x:f>'成本明细'!V319</x:f>
        <x:v>8687</x:v>
      </x:c>
      <x:c r="J2086" s="22" t="n">
        <x:f>'参数'!$B$9</x:f>
        <x:v>300</x:v>
      </x:c>
      <x:c r="K2086" s="26" t="n">
        <x:f>J2086*(G2086-H2086)-I2086*ROUNDUP(J2086/F2086,0)</x:f>
        <x:v>-588650.1955125</x:v>
      </x:c>
      <x:c r="L2086" s="10" t="str">
        <x:f>IF(G2086-H2086&lt;=0,"未回本",IF(ROUNDUP(I2086/(G2086-H2086),0)&gt;MIN(F2086,J2086),"未回本",MAX(1,ROUNDUP(I2086/(G2086-H2086),0))))</x:f>
        <x:v>未回本</x:v>
      </x:c>
    </x:row>
    <x:row r="2087" ht="22" customHeight="1">
      <x:c r="A2087" s="11" t="str">
        <x:v>lade_0828_30aoi</x:v>
      </x:c>
      <x:c r="B2087" s="10" t="n">
        <x:v>30</x:v>
      </x:c>
      <x:c r="C2087" s="10" t="n">
        <x:v>43</x:v>
      </x:c>
      <x:c r="D2087" s="10" t="str">
        <x:v>M2 / M4</x:v>
      </x:c>
      <x:c r="E2087" s="16" t="n">
        <x:v>1</x:v>
      </x:c>
      <x:c r="F2087" s="14" t="n">
        <x:v>10</x:v>
      </x:c>
      <x:c r="G2087" s="26" t="n">
        <x:f>'成本明细'!U316+'成本明细'!G316*(E2087-'参数'!$B$6)</x:f>
        <x:v>2267.174787708889</x:v>
      </x:c>
      <x:c r="H2087" s="26" t="n">
        <x:f>'成本明细'!U322</x:f>
        <x:v>3989.3999772594448</x:v>
      </x:c>
      <x:c r="I2087" s="26" t="n">
        <x:f>'成本明细'!V322</x:f>
        <x:v>8687</x:v>
      </x:c>
      <x:c r="J2087" s="22" t="n">
        <x:f>'参数'!$B$9</x:f>
        <x:v>300</x:v>
      </x:c>
      <x:c r="K2087" s="26" t="n">
        <x:f>J2087*(G2087-H2087)-I2087*ROUNDUP(J2087/F2087,0)</x:f>
        <x:v>-777277.5568651666</x:v>
      </x:c>
      <x:c r="L2087" s="10" t="str">
        <x:f>IF(G2087-H2087&lt;=0,"未回本",IF(ROUNDUP(I2087/(G2087-H2087),0)&gt;MIN(F2087,J2087),"未回本",MAX(1,ROUNDUP(I2087/(G2087-H2087),0))))</x:f>
        <x:v>未回本</x:v>
      </x:c>
    </x:row>
    <x:row r="2088" ht="22" customHeight="1">
      <x:c r="A2088" s="11" t="str">
        <x:v>lade_0828_30aoi</x:v>
      </x:c>
      <x:c r="B2088" s="10" t="n">
        <x:v>30</x:v>
      </x:c>
      <x:c r="C2088" s="10" t="n">
        <x:v>43</x:v>
      </x:c>
      <x:c r="D2088" s="10" t="str">
        <x:v>M1 / M3</x:v>
      </x:c>
      <x:c r="E2088" s="16" t="n">
        <x:v>1</x:v>
      </x:c>
      <x:c r="F2088" s="14" t="n">
        <x:v>20</x:v>
      </x:c>
      <x:c r="G2088" s="26" t="n">
        <x:f>'成本明细'!U313+'成本明细'!G313*(E2088-'参数'!$B$6)</x:f>
        <x:v>2880.1749504944446</x:v>
      </x:c>
      <x:c r="H2088" s="26" t="n">
        <x:f>'成本明细'!U319</x:f>
        <x:v>3973.6422688694447</x:v>
      </x:c>
      <x:c r="I2088" s="26" t="n">
        <x:f>'成本明细'!V319</x:f>
        <x:v>8687</x:v>
      </x:c>
      <x:c r="J2088" s="22" t="n">
        <x:f>'参数'!$B$9</x:f>
        <x:v>300</x:v>
      </x:c>
      <x:c r="K2088" s="26" t="n">
        <x:f>J2088*(G2088-H2088)-I2088*ROUNDUP(J2088/F2088,0)</x:f>
        <x:v>-458345.1955125</x:v>
      </x:c>
      <x:c r="L2088" s="10" t="str">
        <x:f>IF(G2088-H2088&lt;=0,"未回本",IF(ROUNDUP(I2088/(G2088-H2088),0)&gt;MIN(F2088,J2088),"未回本",MAX(1,ROUNDUP(I2088/(G2088-H2088),0))))</x:f>
        <x:v>未回本</x:v>
      </x:c>
    </x:row>
    <x:row r="2089" ht="22" customHeight="1">
      <x:c r="A2089" s="11" t="str">
        <x:v>lade_0828_30aoi</x:v>
      </x:c>
      <x:c r="B2089" s="10" t="n">
        <x:v>30</x:v>
      </x:c>
      <x:c r="C2089" s="10" t="n">
        <x:v>43</x:v>
      </x:c>
      <x:c r="D2089" s="10" t="str">
        <x:v>M2 / M4</x:v>
      </x:c>
      <x:c r="E2089" s="16" t="n">
        <x:v>1</x:v>
      </x:c>
      <x:c r="F2089" s="14" t="n">
        <x:v>20</x:v>
      </x:c>
      <x:c r="G2089" s="26" t="n">
        <x:f>'成本明细'!U316+'成本明细'!G316*(E2089-'参数'!$B$6)</x:f>
        <x:v>2267.174787708889</x:v>
      </x:c>
      <x:c r="H2089" s="26" t="n">
        <x:f>'成本明细'!U322</x:f>
        <x:v>3989.3999772594448</x:v>
      </x:c>
      <x:c r="I2089" s="26" t="n">
        <x:f>'成本明细'!V322</x:f>
        <x:v>8687</x:v>
      </x:c>
      <x:c r="J2089" s="22" t="n">
        <x:f>'参数'!$B$9</x:f>
        <x:v>300</x:v>
      </x:c>
      <x:c r="K2089" s="26" t="n">
        <x:f>J2089*(G2089-H2089)-I2089*ROUNDUP(J2089/F2089,0)</x:f>
        <x:v>-646972.5568651666</x:v>
      </x:c>
      <x:c r="L2089" s="10" t="str">
        <x:f>IF(G2089-H2089&lt;=0,"未回本",IF(ROUNDUP(I2089/(G2089-H2089),0)&gt;MIN(F2089,J2089),"未回本",MAX(1,ROUNDUP(I2089/(G2089-H2089),0))))</x:f>
        <x:v>未回本</x:v>
      </x:c>
    </x:row>
    <x:row r="2090" ht="22" customHeight="1">
      <x:c r="A2090" s="11" t="str">
        <x:v>lade_0828_30aoi</x:v>
      </x:c>
      <x:c r="B2090" s="10" t="n">
        <x:v>30</x:v>
      </x:c>
      <x:c r="C2090" s="10" t="n">
        <x:v>43</x:v>
      </x:c>
      <x:c r="D2090" s="10" t="str">
        <x:v>M1 / M3</x:v>
      </x:c>
      <x:c r="E2090" s="16" t="n">
        <x:v>1</x:v>
      </x:c>
      <x:c r="F2090" s="14" t="n">
        <x:v>30</x:v>
      </x:c>
      <x:c r="G2090" s="26" t="n">
        <x:f>'成本明细'!U313+'成本明细'!G313*(E2090-'参数'!$B$6)</x:f>
        <x:v>2880.1749504944446</x:v>
      </x:c>
      <x:c r="H2090" s="26" t="n">
        <x:f>'成本明细'!U319</x:f>
        <x:v>3973.6422688694447</x:v>
      </x:c>
      <x:c r="I2090" s="26" t="n">
        <x:f>'成本明细'!V319</x:f>
        <x:v>8687</x:v>
      </x:c>
      <x:c r="J2090" s="22" t="n">
        <x:f>'参数'!$B$9</x:f>
        <x:v>300</x:v>
      </x:c>
      <x:c r="K2090" s="26" t="n">
        <x:f>J2090*(G2090-H2090)-I2090*ROUNDUP(J2090/F2090,0)</x:f>
        <x:v>-414910.1955125</x:v>
      </x:c>
      <x:c r="L2090" s="10" t="str">
        <x:f>IF(G2090-H2090&lt;=0,"未回本",IF(ROUNDUP(I2090/(G2090-H2090),0)&gt;MIN(F2090,J2090),"未回本",MAX(1,ROUNDUP(I2090/(G2090-H2090),0))))</x:f>
        <x:v>未回本</x:v>
      </x:c>
    </x:row>
    <x:row r="2091" ht="22" customHeight="1">
      <x:c r="A2091" s="11" t="str">
        <x:v>lade_0828_30aoi</x:v>
      </x:c>
      <x:c r="B2091" s="10" t="n">
        <x:v>30</x:v>
      </x:c>
      <x:c r="C2091" s="10" t="n">
        <x:v>43</x:v>
      </x:c>
      <x:c r="D2091" s="10" t="str">
        <x:v>M2 / M4</x:v>
      </x:c>
      <x:c r="E2091" s="16" t="n">
        <x:v>1</x:v>
      </x:c>
      <x:c r="F2091" s="14" t="n">
        <x:v>30</x:v>
      </x:c>
      <x:c r="G2091" s="26" t="n">
        <x:f>'成本明细'!U316+'成本明细'!G316*(E2091-'参数'!$B$6)</x:f>
        <x:v>2267.174787708889</x:v>
      </x:c>
      <x:c r="H2091" s="26" t="n">
        <x:f>'成本明细'!U322</x:f>
        <x:v>3989.3999772594448</x:v>
      </x:c>
      <x:c r="I2091" s="26" t="n">
        <x:f>'成本明细'!V322</x:f>
        <x:v>8687</x:v>
      </x:c>
      <x:c r="J2091" s="22" t="n">
        <x:f>'参数'!$B$9</x:f>
        <x:v>300</x:v>
      </x:c>
      <x:c r="K2091" s="26" t="n">
        <x:f>J2091*(G2091-H2091)-I2091*ROUNDUP(J2091/F2091,0)</x:f>
        <x:v>-603537.5568651666</x:v>
      </x:c>
      <x:c r="L2091" s="10" t="str">
        <x:f>IF(G2091-H2091&lt;=0,"未回本",IF(ROUNDUP(I2091/(G2091-H2091),0)&gt;MIN(F2091,J2091),"未回本",MAX(1,ROUNDUP(I2091/(G2091-H2091),0))))</x:f>
        <x:v>未回本</x:v>
      </x:c>
    </x:row>
    <x:row r="2092" ht="22" customHeight="1">
      <x:c r="A2092" s="11" t="str">
        <x:v>lade_0828_30aoi</x:v>
      </x:c>
      <x:c r="B2092" s="10" t="n">
        <x:v>30</x:v>
      </x:c>
      <x:c r="C2092" s="10" t="n">
        <x:v>43</x:v>
      </x:c>
      <x:c r="D2092" s="10" t="str">
        <x:v>M1 / M3</x:v>
      </x:c>
      <x:c r="E2092" s="16" t="n">
        <x:v>1</x:v>
      </x:c>
      <x:c r="F2092" s="14" t="n">
        <x:v>50</x:v>
      </x:c>
      <x:c r="G2092" s="26" t="n">
        <x:f>'成本明细'!U313+'成本明细'!G313*(E2092-'参数'!$B$6)</x:f>
        <x:v>2880.1749504944446</x:v>
      </x:c>
      <x:c r="H2092" s="26" t="n">
        <x:f>'成本明细'!U319</x:f>
        <x:v>3973.6422688694447</x:v>
      </x:c>
      <x:c r="I2092" s="26" t="n">
        <x:f>'成本明细'!V319</x:f>
        <x:v>8687</x:v>
      </x:c>
      <x:c r="J2092" s="22" t="n">
        <x:f>'参数'!$B$9</x:f>
        <x:v>300</x:v>
      </x:c>
      <x:c r="K2092" s="26" t="n">
        <x:f>J2092*(G2092-H2092)-I2092*ROUNDUP(J2092/F2092,0)</x:f>
        <x:v>-380162.1955125</x:v>
      </x:c>
      <x:c r="L2092" s="10" t="str">
        <x:f>IF(G2092-H2092&lt;=0,"未回本",IF(ROUNDUP(I2092/(G2092-H2092),0)&gt;MIN(F2092,J2092),"未回本",MAX(1,ROUNDUP(I2092/(G2092-H2092),0))))</x:f>
        <x:v>未回本</x:v>
      </x:c>
    </x:row>
    <x:row r="2093" ht="22" customHeight="1">
      <x:c r="A2093" s="11" t="str">
        <x:v>lade_0828_30aoi</x:v>
      </x:c>
      <x:c r="B2093" s="10" t="n">
        <x:v>30</x:v>
      </x:c>
      <x:c r="C2093" s="10" t="n">
        <x:v>43</x:v>
      </x:c>
      <x:c r="D2093" s="10" t="str">
        <x:v>M2 / M4</x:v>
      </x:c>
      <x:c r="E2093" s="16" t="n">
        <x:v>1</x:v>
      </x:c>
      <x:c r="F2093" s="14" t="n">
        <x:v>50</x:v>
      </x:c>
      <x:c r="G2093" s="26" t="n">
        <x:f>'成本明细'!U316+'成本明细'!G316*(E2093-'参数'!$B$6)</x:f>
        <x:v>2267.174787708889</x:v>
      </x:c>
      <x:c r="H2093" s="26" t="n">
        <x:f>'成本明细'!U322</x:f>
        <x:v>3989.3999772594448</x:v>
      </x:c>
      <x:c r="I2093" s="26" t="n">
        <x:f>'成本明细'!V322</x:f>
        <x:v>8687</x:v>
      </x:c>
      <x:c r="J2093" s="22" t="n">
        <x:f>'参数'!$B$9</x:f>
        <x:v>300</x:v>
      </x:c>
      <x:c r="K2093" s="26" t="n">
        <x:f>J2093*(G2093-H2093)-I2093*ROUNDUP(J2093/F2093,0)</x:f>
        <x:v>-568789.5568651666</x:v>
      </x:c>
      <x:c r="L2093" s="10" t="str">
        <x:f>IF(G2093-H2093&lt;=0,"未回本",IF(ROUNDUP(I2093/(G2093-H2093),0)&gt;MIN(F2093,J2093),"未回本",MAX(1,ROUNDUP(I2093/(G2093-H2093),0))))</x:f>
        <x:v>未回本</x:v>
      </x:c>
    </x:row>
    <x:row r="2094" ht="22" customHeight="1">
      <x:c r="A2094" s="11" t="str">
        <x:v>lade_0828_30aoi</x:v>
      </x:c>
      <x:c r="B2094" s="10" t="n">
        <x:v>30</x:v>
      </x:c>
      <x:c r="C2094" s="10" t="n">
        <x:v>43</x:v>
      </x:c>
      <x:c r="D2094" s="10" t="str">
        <x:v>M1 / M3</x:v>
      </x:c>
      <x:c r="E2094" s="16" t="n">
        <x:v>2</x:v>
      </x:c>
      <x:c r="F2094" s="14" t="n">
        <x:v>10</x:v>
      </x:c>
      <x:c r="G2094" s="26" t="n">
        <x:f>'成本明细'!U313+'成本明细'!G313*(E2094-'参数'!$B$6)</x:f>
        <x:v>3118.1749504944446</x:v>
      </x:c>
      <x:c r="H2094" s="26" t="n">
        <x:f>'成本明细'!U319</x:f>
        <x:v>3973.6422688694447</x:v>
      </x:c>
      <x:c r="I2094" s="26" t="n">
        <x:f>'成本明细'!V319</x:f>
        <x:v>8687</x:v>
      </x:c>
      <x:c r="J2094" s="22" t="n">
        <x:f>'参数'!$B$9</x:f>
        <x:v>300</x:v>
      </x:c>
      <x:c r="K2094" s="26" t="n">
        <x:f>J2094*(G2094-H2094)-I2094*ROUNDUP(J2094/F2094,0)</x:f>
        <x:v>-517250.1955125</x:v>
      </x:c>
      <x:c r="L2094" s="10" t="str">
        <x:f>IF(G2094-H2094&lt;=0,"未回本",IF(ROUNDUP(I2094/(G2094-H2094),0)&gt;MIN(F2094,J2094),"未回本",MAX(1,ROUNDUP(I2094/(G2094-H2094),0))))</x:f>
        <x:v>未回本</x:v>
      </x:c>
    </x:row>
    <x:row r="2095" ht="22" customHeight="1">
      <x:c r="A2095" s="11" t="str">
        <x:v>lade_0828_30aoi</x:v>
      </x:c>
      <x:c r="B2095" s="10" t="n">
        <x:v>30</x:v>
      </x:c>
      <x:c r="C2095" s="10" t="n">
        <x:v>43</x:v>
      </x:c>
      <x:c r="D2095" s="10" t="str">
        <x:v>M2 / M4</x:v>
      </x:c>
      <x:c r="E2095" s="16" t="n">
        <x:v>2</x:v>
      </x:c>
      <x:c r="F2095" s="14" t="n">
        <x:v>10</x:v>
      </x:c>
      <x:c r="G2095" s="26" t="n">
        <x:f>'成本明细'!U316+'成本明细'!G316*(E2095-'参数'!$B$6)</x:f>
        <x:v>2505.174787708889</x:v>
      </x:c>
      <x:c r="H2095" s="26" t="n">
        <x:f>'成本明细'!U322</x:f>
        <x:v>3989.3999772594448</x:v>
      </x:c>
      <x:c r="I2095" s="26" t="n">
        <x:f>'成本明细'!V322</x:f>
        <x:v>8687</x:v>
      </x:c>
      <x:c r="J2095" s="22" t="n">
        <x:f>'参数'!$B$9</x:f>
        <x:v>300</x:v>
      </x:c>
      <x:c r="K2095" s="26" t="n">
        <x:f>J2095*(G2095-H2095)-I2095*ROUNDUP(J2095/F2095,0)</x:f>
        <x:v>-705877.5568651666</x:v>
      </x:c>
      <x:c r="L2095" s="10" t="str">
        <x:f>IF(G2095-H2095&lt;=0,"未回本",IF(ROUNDUP(I2095/(G2095-H2095),0)&gt;MIN(F2095,J2095),"未回本",MAX(1,ROUNDUP(I2095/(G2095-H2095),0))))</x:f>
        <x:v>未回本</x:v>
      </x:c>
    </x:row>
    <x:row r="2096" ht="22" customHeight="1">
      <x:c r="A2096" s="11" t="str">
        <x:v>lade_0828_30aoi</x:v>
      </x:c>
      <x:c r="B2096" s="10" t="n">
        <x:v>30</x:v>
      </x:c>
      <x:c r="C2096" s="10" t="n">
        <x:v>43</x:v>
      </x:c>
      <x:c r="D2096" s="10" t="str">
        <x:v>M1 / M3</x:v>
      </x:c>
      <x:c r="E2096" s="16" t="n">
        <x:v>2</x:v>
      </x:c>
      <x:c r="F2096" s="14" t="n">
        <x:v>20</x:v>
      </x:c>
      <x:c r="G2096" s="26" t="n">
        <x:f>'成本明细'!U313+'成本明细'!G313*(E2096-'参数'!$B$6)</x:f>
        <x:v>3118.1749504944446</x:v>
      </x:c>
      <x:c r="H2096" s="26" t="n">
        <x:f>'成本明细'!U319</x:f>
        <x:v>3973.6422688694447</x:v>
      </x:c>
      <x:c r="I2096" s="26" t="n">
        <x:f>'成本明细'!V319</x:f>
        <x:v>8687</x:v>
      </x:c>
      <x:c r="J2096" s="22" t="n">
        <x:f>'参数'!$B$9</x:f>
        <x:v>300</x:v>
      </x:c>
      <x:c r="K2096" s="26" t="n">
        <x:f>J2096*(G2096-H2096)-I2096*ROUNDUP(J2096/F2096,0)</x:f>
        <x:v>-386945.1955125</x:v>
      </x:c>
      <x:c r="L2096" s="10" t="str">
        <x:f>IF(G2096-H2096&lt;=0,"未回本",IF(ROUNDUP(I2096/(G2096-H2096),0)&gt;MIN(F2096,J2096),"未回本",MAX(1,ROUNDUP(I2096/(G2096-H2096),0))))</x:f>
        <x:v>未回本</x:v>
      </x:c>
    </x:row>
    <x:row r="2097" ht="22" customHeight="1">
      <x:c r="A2097" s="11" t="str">
        <x:v>lade_0828_30aoi</x:v>
      </x:c>
      <x:c r="B2097" s="10" t="n">
        <x:v>30</x:v>
      </x:c>
      <x:c r="C2097" s="10" t="n">
        <x:v>43</x:v>
      </x:c>
      <x:c r="D2097" s="10" t="str">
        <x:v>M2 / M4</x:v>
      </x:c>
      <x:c r="E2097" s="16" t="n">
        <x:v>2</x:v>
      </x:c>
      <x:c r="F2097" s="14" t="n">
        <x:v>20</x:v>
      </x:c>
      <x:c r="G2097" s="26" t="n">
        <x:f>'成本明细'!U316+'成本明细'!G316*(E2097-'参数'!$B$6)</x:f>
        <x:v>2505.174787708889</x:v>
      </x:c>
      <x:c r="H2097" s="26" t="n">
        <x:f>'成本明细'!U322</x:f>
        <x:v>3989.3999772594448</x:v>
      </x:c>
      <x:c r="I2097" s="26" t="n">
        <x:f>'成本明细'!V322</x:f>
        <x:v>8687</x:v>
      </x:c>
      <x:c r="J2097" s="22" t="n">
        <x:f>'参数'!$B$9</x:f>
        <x:v>300</x:v>
      </x:c>
      <x:c r="K2097" s="26" t="n">
        <x:f>J2097*(G2097-H2097)-I2097*ROUNDUP(J2097/F2097,0)</x:f>
        <x:v>-575572.5568651666</x:v>
      </x:c>
      <x:c r="L2097" s="10" t="str">
        <x:f>IF(G2097-H2097&lt;=0,"未回本",IF(ROUNDUP(I2097/(G2097-H2097),0)&gt;MIN(F2097,J2097),"未回本",MAX(1,ROUNDUP(I2097/(G2097-H2097),0))))</x:f>
        <x:v>未回本</x:v>
      </x:c>
    </x:row>
    <x:row r="2098" ht="22" customHeight="1">
      <x:c r="A2098" s="11" t="str">
        <x:v>lade_0828_30aoi</x:v>
      </x:c>
      <x:c r="B2098" s="10" t="n">
        <x:v>30</x:v>
      </x:c>
      <x:c r="C2098" s="10" t="n">
        <x:v>43</x:v>
      </x:c>
      <x:c r="D2098" s="10" t="str">
        <x:v>M1 / M3</x:v>
      </x:c>
      <x:c r="E2098" s="16" t="n">
        <x:v>2</x:v>
      </x:c>
      <x:c r="F2098" s="14" t="n">
        <x:v>30</x:v>
      </x:c>
      <x:c r="G2098" s="26" t="n">
        <x:f>'成本明细'!U313+'成本明细'!G313*(E2098-'参数'!$B$6)</x:f>
        <x:v>3118.1749504944446</x:v>
      </x:c>
      <x:c r="H2098" s="26" t="n">
        <x:f>'成本明细'!U319</x:f>
        <x:v>3973.6422688694447</x:v>
      </x:c>
      <x:c r="I2098" s="26" t="n">
        <x:f>'成本明细'!V319</x:f>
        <x:v>8687</x:v>
      </x:c>
      <x:c r="J2098" s="22" t="n">
        <x:f>'参数'!$B$9</x:f>
        <x:v>300</x:v>
      </x:c>
      <x:c r="K2098" s="26" t="n">
        <x:f>J2098*(G2098-H2098)-I2098*ROUNDUP(J2098/F2098,0)</x:f>
        <x:v>-343510.1955125</x:v>
      </x:c>
      <x:c r="L2098" s="10" t="str">
        <x:f>IF(G2098-H2098&lt;=0,"未回本",IF(ROUNDUP(I2098/(G2098-H2098),0)&gt;MIN(F2098,J2098),"未回本",MAX(1,ROUNDUP(I2098/(G2098-H2098),0))))</x:f>
        <x:v>未回本</x:v>
      </x:c>
    </x:row>
    <x:row r="2099" ht="22" customHeight="1">
      <x:c r="A2099" s="11" t="str">
        <x:v>lade_0828_30aoi</x:v>
      </x:c>
      <x:c r="B2099" s="10" t="n">
        <x:v>30</x:v>
      </x:c>
      <x:c r="C2099" s="10" t="n">
        <x:v>43</x:v>
      </x:c>
      <x:c r="D2099" s="10" t="str">
        <x:v>M2 / M4</x:v>
      </x:c>
      <x:c r="E2099" s="16" t="n">
        <x:v>2</x:v>
      </x:c>
      <x:c r="F2099" s="14" t="n">
        <x:v>30</x:v>
      </x:c>
      <x:c r="G2099" s="26" t="n">
        <x:f>'成本明细'!U316+'成本明细'!G316*(E2099-'参数'!$B$6)</x:f>
        <x:v>2505.174787708889</x:v>
      </x:c>
      <x:c r="H2099" s="26" t="n">
        <x:f>'成本明细'!U322</x:f>
        <x:v>3989.3999772594448</x:v>
      </x:c>
      <x:c r="I2099" s="26" t="n">
        <x:f>'成本明细'!V322</x:f>
        <x:v>8687</x:v>
      </x:c>
      <x:c r="J2099" s="22" t="n">
        <x:f>'参数'!$B$9</x:f>
        <x:v>300</x:v>
      </x:c>
      <x:c r="K2099" s="26" t="n">
        <x:f>J2099*(G2099-H2099)-I2099*ROUNDUP(J2099/F2099,0)</x:f>
        <x:v>-532137.5568651666</x:v>
      </x:c>
      <x:c r="L2099" s="10" t="str">
        <x:f>IF(G2099-H2099&lt;=0,"未回本",IF(ROUNDUP(I2099/(G2099-H2099),0)&gt;MIN(F2099,J2099),"未回本",MAX(1,ROUNDUP(I2099/(G2099-H2099),0))))</x:f>
        <x:v>未回本</x:v>
      </x:c>
    </x:row>
    <x:row r="2100" ht="22" customHeight="1">
      <x:c r="A2100" s="11" t="str">
        <x:v>lade_0828_30aoi</x:v>
      </x:c>
      <x:c r="B2100" s="10" t="n">
        <x:v>30</x:v>
      </x:c>
      <x:c r="C2100" s="10" t="n">
        <x:v>43</x:v>
      </x:c>
      <x:c r="D2100" s="10" t="str">
        <x:v>M1 / M3</x:v>
      </x:c>
      <x:c r="E2100" s="16" t="n">
        <x:v>2</x:v>
      </x:c>
      <x:c r="F2100" s="14" t="n">
        <x:v>50</x:v>
      </x:c>
      <x:c r="G2100" s="26" t="n">
        <x:f>'成本明细'!U313+'成本明细'!G313*(E2100-'参数'!$B$6)</x:f>
        <x:v>3118.1749504944446</x:v>
      </x:c>
      <x:c r="H2100" s="26" t="n">
        <x:f>'成本明细'!U319</x:f>
        <x:v>3973.6422688694447</x:v>
      </x:c>
      <x:c r="I2100" s="26" t="n">
        <x:f>'成本明细'!V319</x:f>
        <x:v>8687</x:v>
      </x:c>
      <x:c r="J2100" s="22" t="n">
        <x:f>'参数'!$B$9</x:f>
        <x:v>300</x:v>
      </x:c>
      <x:c r="K2100" s="26" t="n">
        <x:f>J2100*(G2100-H2100)-I2100*ROUNDUP(J2100/F2100,0)</x:f>
        <x:v>-308762.1955125</x:v>
      </x:c>
      <x:c r="L2100" s="10" t="str">
        <x:f>IF(G2100-H2100&lt;=0,"未回本",IF(ROUNDUP(I2100/(G2100-H2100),0)&gt;MIN(F2100,J2100),"未回本",MAX(1,ROUNDUP(I2100/(G2100-H2100),0))))</x:f>
        <x:v>未回本</x:v>
      </x:c>
    </x:row>
    <x:row r="2101" ht="22" customHeight="1">
      <x:c r="A2101" s="11" t="str">
        <x:v>lade_0828_30aoi</x:v>
      </x:c>
      <x:c r="B2101" s="10" t="n">
        <x:v>30</x:v>
      </x:c>
      <x:c r="C2101" s="10" t="n">
        <x:v>43</x:v>
      </x:c>
      <x:c r="D2101" s="10" t="str">
        <x:v>M2 / M4</x:v>
      </x:c>
      <x:c r="E2101" s="16" t="n">
        <x:v>2</x:v>
      </x:c>
      <x:c r="F2101" s="14" t="n">
        <x:v>50</x:v>
      </x:c>
      <x:c r="G2101" s="26" t="n">
        <x:f>'成本明细'!U316+'成本明细'!G316*(E2101-'参数'!$B$6)</x:f>
        <x:v>2505.174787708889</x:v>
      </x:c>
      <x:c r="H2101" s="26" t="n">
        <x:f>'成本明细'!U322</x:f>
        <x:v>3989.3999772594448</x:v>
      </x:c>
      <x:c r="I2101" s="26" t="n">
        <x:f>'成本明细'!V322</x:f>
        <x:v>8687</x:v>
      </x:c>
      <x:c r="J2101" s="22" t="n">
        <x:f>'参数'!$B$9</x:f>
        <x:v>300</x:v>
      </x:c>
      <x:c r="K2101" s="26" t="n">
        <x:f>J2101*(G2101-H2101)-I2101*ROUNDUP(J2101/F2101,0)</x:f>
        <x:v>-497389.5568651667</x:v>
      </x:c>
      <x:c r="L2101" s="10" t="str">
        <x:f>IF(G2101-H2101&lt;=0,"未回本",IF(ROUNDUP(I2101/(G2101-H2101),0)&gt;MIN(F2101,J2101),"未回本",MAX(1,ROUNDUP(I2101/(G2101-H2101),0))))</x:f>
        <x:v>未回本</x:v>
      </x:c>
    </x:row>
    <x:row r="2102" ht="22" customHeight="1">
      <x:c r="A2102" s="11" t="str">
        <x:v>lade_0828_30aoi</x:v>
      </x:c>
      <x:c r="B2102" s="10" t="n">
        <x:v>30</x:v>
      </x:c>
      <x:c r="C2102" s="10" t="n">
        <x:v>43</x:v>
      </x:c>
      <x:c r="D2102" s="10" t="str">
        <x:v>M1 / M3</x:v>
      </x:c>
      <x:c r="E2102" s="16" t="n">
        <x:v>3</x:v>
      </x:c>
      <x:c r="F2102" s="14" t="n">
        <x:v>10</x:v>
      </x:c>
      <x:c r="G2102" s="26" t="n">
        <x:f>'成本明细'!U313+'成本明细'!G313*(E2102-'参数'!$B$6)</x:f>
        <x:v>3356.1749504944446</x:v>
      </x:c>
      <x:c r="H2102" s="26" t="n">
        <x:f>'成本明细'!U319</x:f>
        <x:v>3973.6422688694447</x:v>
      </x:c>
      <x:c r="I2102" s="26" t="n">
        <x:f>'成本明细'!V319</x:f>
        <x:v>8687</x:v>
      </x:c>
      <x:c r="J2102" s="22" t="n">
        <x:f>'参数'!$B$9</x:f>
        <x:v>300</x:v>
      </x:c>
      <x:c r="K2102" s="26" t="n">
        <x:f>J2102*(G2102-H2102)-I2102*ROUNDUP(J2102/F2102,0)</x:f>
        <x:v>-445850.1955125</x:v>
      </x:c>
      <x:c r="L2102" s="10" t="str">
        <x:f>IF(G2102-H2102&lt;=0,"未回本",IF(ROUNDUP(I2102/(G2102-H2102),0)&gt;MIN(F2102,J2102),"未回本",MAX(1,ROUNDUP(I2102/(G2102-H2102),0))))</x:f>
        <x:v>未回本</x:v>
      </x:c>
    </x:row>
    <x:row r="2103" ht="22" customHeight="1">
      <x:c r="A2103" s="11" t="str">
        <x:v>lade_0828_30aoi</x:v>
      </x:c>
      <x:c r="B2103" s="10" t="n">
        <x:v>30</x:v>
      </x:c>
      <x:c r="C2103" s="10" t="n">
        <x:v>43</x:v>
      </x:c>
      <x:c r="D2103" s="10" t="str">
        <x:v>M2 / M4</x:v>
      </x:c>
      <x:c r="E2103" s="16" t="n">
        <x:v>3</x:v>
      </x:c>
      <x:c r="F2103" s="14" t="n">
        <x:v>10</x:v>
      </x:c>
      <x:c r="G2103" s="26" t="n">
        <x:f>'成本明细'!U316+'成本明细'!G316*(E2103-'参数'!$B$6)</x:f>
        <x:v>2743.174787708889</x:v>
      </x:c>
      <x:c r="H2103" s="26" t="n">
        <x:f>'成本明细'!U322</x:f>
        <x:v>3989.3999772594448</x:v>
      </x:c>
      <x:c r="I2103" s="26" t="n">
        <x:f>'成本明细'!V322</x:f>
        <x:v>8687</x:v>
      </x:c>
      <x:c r="J2103" s="22" t="n">
        <x:f>'参数'!$B$9</x:f>
        <x:v>300</x:v>
      </x:c>
      <x:c r="K2103" s="26" t="n">
        <x:f>J2103*(G2103-H2103)-I2103*ROUNDUP(J2103/F2103,0)</x:f>
        <x:v>-634477.5568651666</x:v>
      </x:c>
      <x:c r="L2103" s="10" t="str">
        <x:f>IF(G2103-H2103&lt;=0,"未回本",IF(ROUNDUP(I2103/(G2103-H2103),0)&gt;MIN(F2103,J2103),"未回本",MAX(1,ROUNDUP(I2103/(G2103-H2103),0))))</x:f>
        <x:v>未回本</x:v>
      </x:c>
    </x:row>
    <x:row r="2104" ht="22" customHeight="1">
      <x:c r="A2104" s="11" t="str">
        <x:v>lade_0828_30aoi</x:v>
      </x:c>
      <x:c r="B2104" s="10" t="n">
        <x:v>30</x:v>
      </x:c>
      <x:c r="C2104" s="10" t="n">
        <x:v>43</x:v>
      </x:c>
      <x:c r="D2104" s="10" t="str">
        <x:v>M1 / M3</x:v>
      </x:c>
      <x:c r="E2104" s="16" t="n">
        <x:v>3</x:v>
      </x:c>
      <x:c r="F2104" s="14" t="n">
        <x:v>20</x:v>
      </x:c>
      <x:c r="G2104" s="26" t="n">
        <x:f>'成本明细'!U313+'成本明细'!G313*(E2104-'参数'!$B$6)</x:f>
        <x:v>3356.1749504944446</x:v>
      </x:c>
      <x:c r="H2104" s="26" t="n">
        <x:f>'成本明细'!U319</x:f>
        <x:v>3973.6422688694447</x:v>
      </x:c>
      <x:c r="I2104" s="26" t="n">
        <x:f>'成本明细'!V319</x:f>
        <x:v>8687</x:v>
      </x:c>
      <x:c r="J2104" s="22" t="n">
        <x:f>'参数'!$B$9</x:f>
        <x:v>300</x:v>
      </x:c>
      <x:c r="K2104" s="26" t="n">
        <x:f>J2104*(G2104-H2104)-I2104*ROUNDUP(J2104/F2104,0)</x:f>
        <x:v>-315545.1955125</x:v>
      </x:c>
      <x:c r="L2104" s="10" t="str">
        <x:f>IF(G2104-H2104&lt;=0,"未回本",IF(ROUNDUP(I2104/(G2104-H2104),0)&gt;MIN(F2104,J2104),"未回本",MAX(1,ROUNDUP(I2104/(G2104-H2104),0))))</x:f>
        <x:v>未回本</x:v>
      </x:c>
    </x:row>
    <x:row r="2105" ht="22" customHeight="1">
      <x:c r="A2105" s="11" t="str">
        <x:v>lade_0828_30aoi</x:v>
      </x:c>
      <x:c r="B2105" s="10" t="n">
        <x:v>30</x:v>
      </x:c>
      <x:c r="C2105" s="10" t="n">
        <x:v>43</x:v>
      </x:c>
      <x:c r="D2105" s="10" t="str">
        <x:v>M2 / M4</x:v>
      </x:c>
      <x:c r="E2105" s="16" t="n">
        <x:v>3</x:v>
      </x:c>
      <x:c r="F2105" s="14" t="n">
        <x:v>20</x:v>
      </x:c>
      <x:c r="G2105" s="26" t="n">
        <x:f>'成本明细'!U316+'成本明细'!G316*(E2105-'参数'!$B$6)</x:f>
        <x:v>2743.174787708889</x:v>
      </x:c>
      <x:c r="H2105" s="26" t="n">
        <x:f>'成本明细'!U322</x:f>
        <x:v>3989.3999772594448</x:v>
      </x:c>
      <x:c r="I2105" s="26" t="n">
        <x:f>'成本明细'!V322</x:f>
        <x:v>8687</x:v>
      </x:c>
      <x:c r="J2105" s="22" t="n">
        <x:f>'参数'!$B$9</x:f>
        <x:v>300</x:v>
      </x:c>
      <x:c r="K2105" s="26" t="n">
        <x:f>J2105*(G2105-H2105)-I2105*ROUNDUP(J2105/F2105,0)</x:f>
        <x:v>-504172.5568651667</x:v>
      </x:c>
      <x:c r="L2105" s="10" t="str">
        <x:f>IF(G2105-H2105&lt;=0,"未回本",IF(ROUNDUP(I2105/(G2105-H2105),0)&gt;MIN(F2105,J2105),"未回本",MAX(1,ROUNDUP(I2105/(G2105-H2105),0))))</x:f>
        <x:v>未回本</x:v>
      </x:c>
    </x:row>
    <x:row r="2106" ht="22" customHeight="1">
      <x:c r="A2106" s="11" t="str">
        <x:v>lade_0828_30aoi</x:v>
      </x:c>
      <x:c r="B2106" s="10" t="n">
        <x:v>30</x:v>
      </x:c>
      <x:c r="C2106" s="10" t="n">
        <x:v>43</x:v>
      </x:c>
      <x:c r="D2106" s="10" t="str">
        <x:v>M1 / M3</x:v>
      </x:c>
      <x:c r="E2106" s="16" t="n">
        <x:v>3</x:v>
      </x:c>
      <x:c r="F2106" s="14" t="n">
        <x:v>30</x:v>
      </x:c>
      <x:c r="G2106" s="26" t="n">
        <x:f>'成本明细'!U313+'成本明细'!G313*(E2106-'参数'!$B$6)</x:f>
        <x:v>3356.1749504944446</x:v>
      </x:c>
      <x:c r="H2106" s="26" t="n">
        <x:f>'成本明细'!U319</x:f>
        <x:v>3973.6422688694447</x:v>
      </x:c>
      <x:c r="I2106" s="26" t="n">
        <x:f>'成本明细'!V319</x:f>
        <x:v>8687</x:v>
      </x:c>
      <x:c r="J2106" s="22" t="n">
        <x:f>'参数'!$B$9</x:f>
        <x:v>300</x:v>
      </x:c>
      <x:c r="K2106" s="26" t="n">
        <x:f>J2106*(G2106-H2106)-I2106*ROUNDUP(J2106/F2106,0)</x:f>
        <x:v>-272110.1955125</x:v>
      </x:c>
      <x:c r="L2106" s="10" t="str">
        <x:f>IF(G2106-H2106&lt;=0,"未回本",IF(ROUNDUP(I2106/(G2106-H2106),0)&gt;MIN(F2106,J2106),"未回本",MAX(1,ROUNDUP(I2106/(G2106-H2106),0))))</x:f>
        <x:v>未回本</x:v>
      </x:c>
    </x:row>
    <x:row r="2107" ht="22" customHeight="1">
      <x:c r="A2107" s="11" t="str">
        <x:v>lade_0828_30aoi</x:v>
      </x:c>
      <x:c r="B2107" s="10" t="n">
        <x:v>30</x:v>
      </x:c>
      <x:c r="C2107" s="10" t="n">
        <x:v>43</x:v>
      </x:c>
      <x:c r="D2107" s="10" t="str">
        <x:v>M2 / M4</x:v>
      </x:c>
      <x:c r="E2107" s="16" t="n">
        <x:v>3</x:v>
      </x:c>
      <x:c r="F2107" s="14" t="n">
        <x:v>30</x:v>
      </x:c>
      <x:c r="G2107" s="26" t="n">
        <x:f>'成本明细'!U316+'成本明细'!G316*(E2107-'参数'!$B$6)</x:f>
        <x:v>2743.174787708889</x:v>
      </x:c>
      <x:c r="H2107" s="26" t="n">
        <x:f>'成本明细'!U322</x:f>
        <x:v>3989.3999772594448</x:v>
      </x:c>
      <x:c r="I2107" s="26" t="n">
        <x:f>'成本明细'!V322</x:f>
        <x:v>8687</x:v>
      </x:c>
      <x:c r="J2107" s="22" t="n">
        <x:f>'参数'!$B$9</x:f>
        <x:v>300</x:v>
      </x:c>
      <x:c r="K2107" s="26" t="n">
        <x:f>J2107*(G2107-H2107)-I2107*ROUNDUP(J2107/F2107,0)</x:f>
        <x:v>-460737.5568651667</x:v>
      </x:c>
      <x:c r="L2107" s="10" t="str">
        <x:f>IF(G2107-H2107&lt;=0,"未回本",IF(ROUNDUP(I2107/(G2107-H2107),0)&gt;MIN(F2107,J2107),"未回本",MAX(1,ROUNDUP(I2107/(G2107-H2107),0))))</x:f>
        <x:v>未回本</x:v>
      </x:c>
    </x:row>
    <x:row r="2108" ht="22" customHeight="1">
      <x:c r="A2108" s="11" t="str">
        <x:v>lade_0828_30aoi</x:v>
      </x:c>
      <x:c r="B2108" s="10" t="n">
        <x:v>30</x:v>
      </x:c>
      <x:c r="C2108" s="10" t="n">
        <x:v>43</x:v>
      </x:c>
      <x:c r="D2108" s="10" t="str">
        <x:v>M1 / M3</x:v>
      </x:c>
      <x:c r="E2108" s="16" t="n">
        <x:v>3</x:v>
      </x:c>
      <x:c r="F2108" s="14" t="n">
        <x:v>50</x:v>
      </x:c>
      <x:c r="G2108" s="26" t="n">
        <x:f>'成本明细'!U313+'成本明细'!G313*(E2108-'参数'!$B$6)</x:f>
        <x:v>3356.1749504944446</x:v>
      </x:c>
      <x:c r="H2108" s="26" t="n">
        <x:f>'成本明细'!U319</x:f>
        <x:v>3973.6422688694447</x:v>
      </x:c>
      <x:c r="I2108" s="26" t="n">
        <x:f>'成本明细'!V319</x:f>
        <x:v>8687</x:v>
      </x:c>
      <x:c r="J2108" s="22" t="n">
        <x:f>'参数'!$B$9</x:f>
        <x:v>300</x:v>
      </x:c>
      <x:c r="K2108" s="26" t="n">
        <x:f>J2108*(G2108-H2108)-I2108*ROUNDUP(J2108/F2108,0)</x:f>
        <x:v>-237362.19551250004</x:v>
      </x:c>
      <x:c r="L2108" s="10" t="str">
        <x:f>IF(G2108-H2108&lt;=0,"未回本",IF(ROUNDUP(I2108/(G2108-H2108),0)&gt;MIN(F2108,J2108),"未回本",MAX(1,ROUNDUP(I2108/(G2108-H2108),0))))</x:f>
        <x:v>未回本</x:v>
      </x:c>
    </x:row>
    <x:row r="2109" ht="22" customHeight="1">
      <x:c r="A2109" s="11" t="str">
        <x:v>lade_0828_30aoi</x:v>
      </x:c>
      <x:c r="B2109" s="10" t="n">
        <x:v>30</x:v>
      </x:c>
      <x:c r="C2109" s="10" t="n">
        <x:v>43</x:v>
      </x:c>
      <x:c r="D2109" s="10" t="str">
        <x:v>M2 / M4</x:v>
      </x:c>
      <x:c r="E2109" s="16" t="n">
        <x:v>3</x:v>
      </x:c>
      <x:c r="F2109" s="14" t="n">
        <x:v>50</x:v>
      </x:c>
      <x:c r="G2109" s="26" t="n">
        <x:f>'成本明细'!U316+'成本明细'!G316*(E2109-'参数'!$B$6)</x:f>
        <x:v>2743.174787708889</x:v>
      </x:c>
      <x:c r="H2109" s="26" t="n">
        <x:f>'成本明细'!U322</x:f>
        <x:v>3989.3999772594448</x:v>
      </x:c>
      <x:c r="I2109" s="26" t="n">
        <x:f>'成本明细'!V322</x:f>
        <x:v>8687</x:v>
      </x:c>
      <x:c r="J2109" s="22" t="n">
        <x:f>'参数'!$B$9</x:f>
        <x:v>300</x:v>
      </x:c>
      <x:c r="K2109" s="26" t="n">
        <x:f>J2109*(G2109-H2109)-I2109*ROUNDUP(J2109/F2109,0)</x:f>
        <x:v>-425989.5568651667</x:v>
      </x:c>
      <x:c r="L2109" s="10" t="str">
        <x:f>IF(G2109-H2109&lt;=0,"未回本",IF(ROUNDUP(I2109/(G2109-H2109),0)&gt;MIN(F2109,J2109),"未回本",MAX(1,ROUNDUP(I2109/(G2109-H2109),0))))</x:f>
        <x:v>未回本</x:v>
      </x:c>
    </x:row>
    <x:row r="2110" ht="22" customHeight="1">
      <x:c r="A2110" s="11" t="str">
        <x:v>lade_0828_30aoi</x:v>
      </x:c>
      <x:c r="B2110" s="10" t="n">
        <x:v>30</x:v>
      </x:c>
      <x:c r="C2110" s="10" t="n">
        <x:v>43</x:v>
      </x:c>
      <x:c r="D2110" s="10" t="str">
        <x:v>M1 / M3</x:v>
      </x:c>
      <x:c r="E2110" s="16" t="n">
        <x:v>4</x:v>
      </x:c>
      <x:c r="F2110" s="14" t="n">
        <x:v>10</x:v>
      </x:c>
      <x:c r="G2110" s="26" t="n">
        <x:f>'成本明细'!U313+'成本明细'!G313*(E2110-'参数'!$B$6)</x:f>
        <x:v>3594.1749504944446</x:v>
      </x:c>
      <x:c r="H2110" s="26" t="n">
        <x:f>'成本明细'!U319</x:f>
        <x:v>3973.6422688694447</x:v>
      </x:c>
      <x:c r="I2110" s="26" t="n">
        <x:f>'成本明细'!V319</x:f>
        <x:v>8687</x:v>
      </x:c>
      <x:c r="J2110" s="22" t="n">
        <x:f>'参数'!$B$9</x:f>
        <x:v>300</x:v>
      </x:c>
      <x:c r="K2110" s="26" t="n">
        <x:f>J2110*(G2110-H2110)-I2110*ROUNDUP(J2110/F2110,0)</x:f>
        <x:v>-374450.1955125</x:v>
      </x:c>
      <x:c r="L2110" s="10" t="str">
        <x:f>IF(G2110-H2110&lt;=0,"未回本",IF(ROUNDUP(I2110/(G2110-H2110),0)&gt;MIN(F2110,J2110),"未回本",MAX(1,ROUNDUP(I2110/(G2110-H2110),0))))</x:f>
        <x:v>未回本</x:v>
      </x:c>
    </x:row>
    <x:row r="2111" ht="22" customHeight="1">
      <x:c r="A2111" s="11" t="str">
        <x:v>lade_0828_30aoi</x:v>
      </x:c>
      <x:c r="B2111" s="10" t="n">
        <x:v>30</x:v>
      </x:c>
      <x:c r="C2111" s="10" t="n">
        <x:v>43</x:v>
      </x:c>
      <x:c r="D2111" s="10" t="str">
        <x:v>M2 / M4</x:v>
      </x:c>
      <x:c r="E2111" s="16" t="n">
        <x:v>4</x:v>
      </x:c>
      <x:c r="F2111" s="14" t="n">
        <x:v>10</x:v>
      </x:c>
      <x:c r="G2111" s="26" t="n">
        <x:f>'成本明细'!U316+'成本明细'!G316*(E2111-'参数'!$B$6)</x:f>
        <x:v>2981.174787708889</x:v>
      </x:c>
      <x:c r="H2111" s="26" t="n">
        <x:f>'成本明细'!U322</x:f>
        <x:v>3989.3999772594448</x:v>
      </x:c>
      <x:c r="I2111" s="26" t="n">
        <x:f>'成本明细'!V322</x:f>
        <x:v>8687</x:v>
      </x:c>
      <x:c r="J2111" s="22" t="n">
        <x:f>'参数'!$B$9</x:f>
        <x:v>300</x:v>
      </x:c>
      <x:c r="K2111" s="26" t="n">
        <x:f>J2111*(G2111-H2111)-I2111*ROUNDUP(J2111/F2111,0)</x:f>
        <x:v>-563077.5568651666</x:v>
      </x:c>
      <x:c r="L2111" s="10" t="str">
        <x:f>IF(G2111-H2111&lt;=0,"未回本",IF(ROUNDUP(I2111/(G2111-H2111),0)&gt;MIN(F2111,J2111),"未回本",MAX(1,ROUNDUP(I2111/(G2111-H2111),0))))</x:f>
        <x:v>未回本</x:v>
      </x:c>
    </x:row>
    <x:row r="2112" ht="22" customHeight="1">
      <x:c r="A2112" s="11" t="str">
        <x:v>lade_0828_30aoi</x:v>
      </x:c>
      <x:c r="B2112" s="10" t="n">
        <x:v>30</x:v>
      </x:c>
      <x:c r="C2112" s="10" t="n">
        <x:v>43</x:v>
      </x:c>
      <x:c r="D2112" s="10" t="str">
        <x:v>M1 / M3</x:v>
      </x:c>
      <x:c r="E2112" s="16" t="n">
        <x:v>4</x:v>
      </x:c>
      <x:c r="F2112" s="14" t="n">
        <x:v>20</x:v>
      </x:c>
      <x:c r="G2112" s="26" t="n">
        <x:f>'成本明细'!U313+'成本明细'!G313*(E2112-'参数'!$B$6)</x:f>
        <x:v>3594.1749504944446</x:v>
      </x:c>
      <x:c r="H2112" s="26" t="n">
        <x:f>'成本明细'!U319</x:f>
        <x:v>3973.6422688694447</x:v>
      </x:c>
      <x:c r="I2112" s="26" t="n">
        <x:f>'成本明细'!V319</x:f>
        <x:v>8687</x:v>
      </x:c>
      <x:c r="J2112" s="22" t="n">
        <x:f>'参数'!$B$9</x:f>
        <x:v>300</x:v>
      </x:c>
      <x:c r="K2112" s="26" t="n">
        <x:f>J2112*(G2112-H2112)-I2112*ROUNDUP(J2112/F2112,0)</x:f>
        <x:v>-244145.19551250004</x:v>
      </x:c>
      <x:c r="L2112" s="10" t="str">
        <x:f>IF(G2112-H2112&lt;=0,"未回本",IF(ROUNDUP(I2112/(G2112-H2112),0)&gt;MIN(F2112,J2112),"未回本",MAX(1,ROUNDUP(I2112/(G2112-H2112),0))))</x:f>
        <x:v>未回本</x:v>
      </x:c>
    </x:row>
    <x:row r="2113" ht="22" customHeight="1">
      <x:c r="A2113" s="11" t="str">
        <x:v>lade_0828_30aoi</x:v>
      </x:c>
      <x:c r="B2113" s="10" t="n">
        <x:v>30</x:v>
      </x:c>
      <x:c r="C2113" s="10" t="n">
        <x:v>43</x:v>
      </x:c>
      <x:c r="D2113" s="10" t="str">
        <x:v>M2 / M4</x:v>
      </x:c>
      <x:c r="E2113" s="16" t="n">
        <x:v>4</x:v>
      </x:c>
      <x:c r="F2113" s="14" t="n">
        <x:v>20</x:v>
      </x:c>
      <x:c r="G2113" s="26" t="n">
        <x:f>'成本明细'!U316+'成本明细'!G316*(E2113-'参数'!$B$6)</x:f>
        <x:v>2981.174787708889</x:v>
      </x:c>
      <x:c r="H2113" s="26" t="n">
        <x:f>'成本明细'!U322</x:f>
        <x:v>3989.3999772594448</x:v>
      </x:c>
      <x:c r="I2113" s="26" t="n">
        <x:f>'成本明细'!V322</x:f>
        <x:v>8687</x:v>
      </x:c>
      <x:c r="J2113" s="22" t="n">
        <x:f>'参数'!$B$9</x:f>
        <x:v>300</x:v>
      </x:c>
      <x:c r="K2113" s="26" t="n">
        <x:f>J2113*(G2113-H2113)-I2113*ROUNDUP(J2113/F2113,0)</x:f>
        <x:v>-432772.5568651667</x:v>
      </x:c>
      <x:c r="L2113" s="10" t="str">
        <x:f>IF(G2113-H2113&lt;=0,"未回本",IF(ROUNDUP(I2113/(G2113-H2113),0)&gt;MIN(F2113,J2113),"未回本",MAX(1,ROUNDUP(I2113/(G2113-H2113),0))))</x:f>
        <x:v>未回本</x:v>
      </x:c>
    </x:row>
    <x:row r="2114" ht="22" customHeight="1">
      <x:c r="A2114" s="11" t="str">
        <x:v>lade_0828_30aoi</x:v>
      </x:c>
      <x:c r="B2114" s="10" t="n">
        <x:v>30</x:v>
      </x:c>
      <x:c r="C2114" s="10" t="n">
        <x:v>43</x:v>
      </x:c>
      <x:c r="D2114" s="10" t="str">
        <x:v>M1 / M3</x:v>
      </x:c>
      <x:c r="E2114" s="16" t="n">
        <x:v>4</x:v>
      </x:c>
      <x:c r="F2114" s="14" t="n">
        <x:v>30</x:v>
      </x:c>
      <x:c r="G2114" s="26" t="n">
        <x:f>'成本明细'!U313+'成本明细'!G313*(E2114-'参数'!$B$6)</x:f>
        <x:v>3594.1749504944446</x:v>
      </x:c>
      <x:c r="H2114" s="26" t="n">
        <x:f>'成本明细'!U319</x:f>
        <x:v>3973.6422688694447</x:v>
      </x:c>
      <x:c r="I2114" s="26" t="n">
        <x:f>'成本明细'!V319</x:f>
        <x:v>8687</x:v>
      </x:c>
      <x:c r="J2114" s="22" t="n">
        <x:f>'参数'!$B$9</x:f>
        <x:v>300</x:v>
      </x:c>
      <x:c r="K2114" s="26" t="n">
        <x:f>J2114*(G2114-H2114)-I2114*ROUNDUP(J2114/F2114,0)</x:f>
        <x:v>-200710.19551250004</x:v>
      </x:c>
      <x:c r="L2114" s="10" t="str">
        <x:f>IF(G2114-H2114&lt;=0,"未回本",IF(ROUNDUP(I2114/(G2114-H2114),0)&gt;MIN(F2114,J2114),"未回本",MAX(1,ROUNDUP(I2114/(G2114-H2114),0))))</x:f>
        <x:v>未回本</x:v>
      </x:c>
    </x:row>
    <x:row r="2115" ht="22" customHeight="1">
      <x:c r="A2115" s="11" t="str">
        <x:v>lade_0828_30aoi</x:v>
      </x:c>
      <x:c r="B2115" s="10" t="n">
        <x:v>30</x:v>
      </x:c>
      <x:c r="C2115" s="10" t="n">
        <x:v>43</x:v>
      </x:c>
      <x:c r="D2115" s="10" t="str">
        <x:v>M2 / M4</x:v>
      </x:c>
      <x:c r="E2115" s="16" t="n">
        <x:v>4</x:v>
      </x:c>
      <x:c r="F2115" s="14" t="n">
        <x:v>30</x:v>
      </x:c>
      <x:c r="G2115" s="26" t="n">
        <x:f>'成本明细'!U316+'成本明细'!G316*(E2115-'参数'!$B$6)</x:f>
        <x:v>2981.174787708889</x:v>
      </x:c>
      <x:c r="H2115" s="26" t="n">
        <x:f>'成本明细'!U322</x:f>
        <x:v>3989.3999772594448</x:v>
      </x:c>
      <x:c r="I2115" s="26" t="n">
        <x:f>'成本明细'!V322</x:f>
        <x:v>8687</x:v>
      </x:c>
      <x:c r="J2115" s="22" t="n">
        <x:f>'参数'!$B$9</x:f>
        <x:v>300</x:v>
      </x:c>
      <x:c r="K2115" s="26" t="n">
        <x:f>J2115*(G2115-H2115)-I2115*ROUNDUP(J2115/F2115,0)</x:f>
        <x:v>-389337.5568651667</x:v>
      </x:c>
      <x:c r="L2115" s="10" t="str">
        <x:f>IF(G2115-H2115&lt;=0,"未回本",IF(ROUNDUP(I2115/(G2115-H2115),0)&gt;MIN(F2115,J2115),"未回本",MAX(1,ROUNDUP(I2115/(G2115-H2115),0))))</x:f>
        <x:v>未回本</x:v>
      </x:c>
    </x:row>
    <x:row r="2116" ht="22" customHeight="1">
      <x:c r="A2116" s="11" t="str">
        <x:v>lade_0828_30aoi</x:v>
      </x:c>
      <x:c r="B2116" s="10" t="n">
        <x:v>30</x:v>
      </x:c>
      <x:c r="C2116" s="10" t="n">
        <x:v>43</x:v>
      </x:c>
      <x:c r="D2116" s="10" t="str">
        <x:v>M1 / M3</x:v>
      </x:c>
      <x:c r="E2116" s="16" t="n">
        <x:v>4</x:v>
      </x:c>
      <x:c r="F2116" s="14" t="n">
        <x:v>50</x:v>
      </x:c>
      <x:c r="G2116" s="26" t="n">
        <x:f>'成本明细'!U313+'成本明细'!G313*(E2116-'参数'!$B$6)</x:f>
        <x:v>3594.1749504944446</x:v>
      </x:c>
      <x:c r="H2116" s="26" t="n">
        <x:f>'成本明细'!U319</x:f>
        <x:v>3973.6422688694447</x:v>
      </x:c>
      <x:c r="I2116" s="26" t="n">
        <x:f>'成本明细'!V319</x:f>
        <x:v>8687</x:v>
      </x:c>
      <x:c r="J2116" s="22" t="n">
        <x:f>'参数'!$B$9</x:f>
        <x:v>300</x:v>
      </x:c>
      <x:c r="K2116" s="26" t="n">
        <x:f>J2116*(G2116-H2116)-I2116*ROUNDUP(J2116/F2116,0)</x:f>
        <x:v>-165962.19551250004</x:v>
      </x:c>
      <x:c r="L2116" s="10" t="str">
        <x:f>IF(G2116-H2116&lt;=0,"未回本",IF(ROUNDUP(I2116/(G2116-H2116),0)&gt;MIN(F2116,J2116),"未回本",MAX(1,ROUNDUP(I2116/(G2116-H2116),0))))</x:f>
        <x:v>未回本</x:v>
      </x:c>
    </x:row>
    <x:row r="2117" ht="22" customHeight="1">
      <x:c r="A2117" s="11" t="str">
        <x:v>lade_0828_30aoi</x:v>
      </x:c>
      <x:c r="B2117" s="10" t="n">
        <x:v>30</x:v>
      </x:c>
      <x:c r="C2117" s="10" t="n">
        <x:v>43</x:v>
      </x:c>
      <x:c r="D2117" s="10" t="str">
        <x:v>M2 / M4</x:v>
      </x:c>
      <x:c r="E2117" s="16" t="n">
        <x:v>4</x:v>
      </x:c>
      <x:c r="F2117" s="14" t="n">
        <x:v>50</x:v>
      </x:c>
      <x:c r="G2117" s="26" t="n">
        <x:f>'成本明细'!U316+'成本明细'!G316*(E2117-'参数'!$B$6)</x:f>
        <x:v>2981.174787708889</x:v>
      </x:c>
      <x:c r="H2117" s="26" t="n">
        <x:f>'成本明细'!U322</x:f>
        <x:v>3989.3999772594448</x:v>
      </x:c>
      <x:c r="I2117" s="26" t="n">
        <x:f>'成本明细'!V322</x:f>
        <x:v>8687</x:v>
      </x:c>
      <x:c r="J2117" s="22" t="n">
        <x:f>'参数'!$B$9</x:f>
        <x:v>300</x:v>
      </x:c>
      <x:c r="K2117" s="26" t="n">
        <x:f>J2117*(G2117-H2117)-I2117*ROUNDUP(J2117/F2117,0)</x:f>
        <x:v>-354589.5568651667</x:v>
      </x:c>
      <x:c r="L2117" s="10" t="str">
        <x:f>IF(G2117-H2117&lt;=0,"未回本",IF(ROUNDUP(I2117/(G2117-H2117),0)&gt;MIN(F2117,J2117),"未回本",MAX(1,ROUNDUP(I2117/(G2117-H2117),0))))</x:f>
        <x:v>未回本</x:v>
      </x:c>
    </x:row>
    <x:row r="2118" ht="22" customHeight="1">
      <x:c r="A2118" s="11" t="str">
        <x:v>lade_0828_30aoi</x:v>
      </x:c>
      <x:c r="B2118" s="10" t="n">
        <x:v>30</x:v>
      </x:c>
      <x:c r="C2118" s="10" t="n">
        <x:v>43</x:v>
      </x:c>
      <x:c r="D2118" s="10" t="str">
        <x:v>M1 / M3</x:v>
      </x:c>
      <x:c r="E2118" s="16" t="n">
        <x:v>5</x:v>
      </x:c>
      <x:c r="F2118" s="14" t="n">
        <x:v>10</x:v>
      </x:c>
      <x:c r="G2118" s="26" t="n">
        <x:f>'成本明细'!U313+'成本明细'!G313*(E2118-'参数'!$B$6)</x:f>
        <x:v>3832.1749504944446</x:v>
      </x:c>
      <x:c r="H2118" s="26" t="n">
        <x:f>'成本明细'!U319</x:f>
        <x:v>3973.6422688694447</x:v>
      </x:c>
      <x:c r="I2118" s="26" t="n">
        <x:f>'成本明细'!V319</x:f>
        <x:v>8687</x:v>
      </x:c>
      <x:c r="J2118" s="22" t="n">
        <x:f>'参数'!$B$9</x:f>
        <x:v>300</x:v>
      </x:c>
      <x:c r="K2118" s="26" t="n">
        <x:f>J2118*(G2118-H2118)-I2118*ROUNDUP(J2118/F2118,0)</x:f>
        <x:v>-303050.1955125</x:v>
      </x:c>
      <x:c r="L2118" s="10" t="str">
        <x:f>IF(G2118-H2118&lt;=0,"未回本",IF(ROUNDUP(I2118/(G2118-H2118),0)&gt;MIN(F2118,J2118),"未回本",MAX(1,ROUNDUP(I2118/(G2118-H2118),0))))</x:f>
        <x:v>未回本</x:v>
      </x:c>
    </x:row>
    <x:row r="2119" ht="22" customHeight="1">
      <x:c r="A2119" s="11" t="str">
        <x:v>lade_0828_30aoi</x:v>
      </x:c>
      <x:c r="B2119" s="10" t="n">
        <x:v>30</x:v>
      </x:c>
      <x:c r="C2119" s="10" t="n">
        <x:v>43</x:v>
      </x:c>
      <x:c r="D2119" s="10" t="str">
        <x:v>M2 / M4</x:v>
      </x:c>
      <x:c r="E2119" s="16" t="n">
        <x:v>5</x:v>
      </x:c>
      <x:c r="F2119" s="14" t="n">
        <x:v>10</x:v>
      </x:c>
      <x:c r="G2119" s="26" t="n">
        <x:f>'成本明细'!U316+'成本明细'!G316*(E2119-'参数'!$B$6)</x:f>
        <x:v>3219.174787708889</x:v>
      </x:c>
      <x:c r="H2119" s="26" t="n">
        <x:f>'成本明细'!U322</x:f>
        <x:v>3989.3999772594448</x:v>
      </x:c>
      <x:c r="I2119" s="26" t="n">
        <x:f>'成本明细'!V322</x:f>
        <x:v>8687</x:v>
      </x:c>
      <x:c r="J2119" s="22" t="n">
        <x:f>'参数'!$B$9</x:f>
        <x:v>300</x:v>
      </x:c>
      <x:c r="K2119" s="26" t="n">
        <x:f>J2119*(G2119-H2119)-I2119*ROUNDUP(J2119/F2119,0)</x:f>
        <x:v>-491677.55686516664</x:v>
      </x:c>
      <x:c r="L2119" s="10" t="str">
        <x:f>IF(G2119-H2119&lt;=0,"未回本",IF(ROUNDUP(I2119/(G2119-H2119),0)&gt;MIN(F2119,J2119),"未回本",MAX(1,ROUNDUP(I2119/(G2119-H2119),0))))</x:f>
        <x:v>未回本</x:v>
      </x:c>
    </x:row>
    <x:row r="2120" ht="22" customHeight="1">
      <x:c r="A2120" s="11" t="str">
        <x:v>lade_0828_30aoi</x:v>
      </x:c>
      <x:c r="B2120" s="10" t="n">
        <x:v>30</x:v>
      </x:c>
      <x:c r="C2120" s="10" t="n">
        <x:v>43</x:v>
      </x:c>
      <x:c r="D2120" s="10" t="str">
        <x:v>M1 / M3</x:v>
      </x:c>
      <x:c r="E2120" s="16" t="n">
        <x:v>5</x:v>
      </x:c>
      <x:c r="F2120" s="14" t="n">
        <x:v>20</x:v>
      </x:c>
      <x:c r="G2120" s="26" t="n">
        <x:f>'成本明细'!U313+'成本明细'!G313*(E2120-'参数'!$B$6)</x:f>
        <x:v>3832.1749504944446</x:v>
      </x:c>
      <x:c r="H2120" s="26" t="n">
        <x:f>'成本明细'!U319</x:f>
        <x:v>3973.6422688694447</x:v>
      </x:c>
      <x:c r="I2120" s="26" t="n">
        <x:f>'成本明细'!V319</x:f>
        <x:v>8687</x:v>
      </x:c>
      <x:c r="J2120" s="22" t="n">
        <x:f>'参数'!$B$9</x:f>
        <x:v>300</x:v>
      </x:c>
      <x:c r="K2120" s="26" t="n">
        <x:f>J2120*(G2120-H2120)-I2120*ROUNDUP(J2120/F2120,0)</x:f>
        <x:v>-172745.19551250004</x:v>
      </x:c>
      <x:c r="L2120" s="10" t="str">
        <x:f>IF(G2120-H2120&lt;=0,"未回本",IF(ROUNDUP(I2120/(G2120-H2120),0)&gt;MIN(F2120,J2120),"未回本",MAX(1,ROUNDUP(I2120/(G2120-H2120),0))))</x:f>
        <x:v>未回本</x:v>
      </x:c>
    </x:row>
    <x:row r="2121" ht="22" customHeight="1">
      <x:c r="A2121" s="11" t="str">
        <x:v>lade_0828_30aoi</x:v>
      </x:c>
      <x:c r="B2121" s="10" t="n">
        <x:v>30</x:v>
      </x:c>
      <x:c r="C2121" s="10" t="n">
        <x:v>43</x:v>
      </x:c>
      <x:c r="D2121" s="10" t="str">
        <x:v>M2 / M4</x:v>
      </x:c>
      <x:c r="E2121" s="16" t="n">
        <x:v>5</x:v>
      </x:c>
      <x:c r="F2121" s="14" t="n">
        <x:v>20</x:v>
      </x:c>
      <x:c r="G2121" s="26" t="n">
        <x:f>'成本明细'!U316+'成本明细'!G316*(E2121-'参数'!$B$6)</x:f>
        <x:v>3219.174787708889</x:v>
      </x:c>
      <x:c r="H2121" s="26" t="n">
        <x:f>'成本明细'!U322</x:f>
        <x:v>3989.3999772594448</x:v>
      </x:c>
      <x:c r="I2121" s="26" t="n">
        <x:f>'成本明细'!V322</x:f>
        <x:v>8687</x:v>
      </x:c>
      <x:c r="J2121" s="22" t="n">
        <x:f>'参数'!$B$9</x:f>
        <x:v>300</x:v>
      </x:c>
      <x:c r="K2121" s="26" t="n">
        <x:f>J2121*(G2121-H2121)-I2121*ROUNDUP(J2121/F2121,0)</x:f>
        <x:v>-361372.55686516664</x:v>
      </x:c>
      <x:c r="L2121" s="10" t="str">
        <x:f>IF(G2121-H2121&lt;=0,"未回本",IF(ROUNDUP(I2121/(G2121-H2121),0)&gt;MIN(F2121,J2121),"未回本",MAX(1,ROUNDUP(I2121/(G2121-H2121),0))))</x:f>
        <x:v>未回本</x:v>
      </x:c>
    </x:row>
    <x:row r="2122" ht="22" customHeight="1">
      <x:c r="A2122" s="11" t="str">
        <x:v>lade_0828_30aoi</x:v>
      </x:c>
      <x:c r="B2122" s="10" t="n">
        <x:v>30</x:v>
      </x:c>
      <x:c r="C2122" s="10" t="n">
        <x:v>43</x:v>
      </x:c>
      <x:c r="D2122" s="10" t="str">
        <x:v>M1 / M3</x:v>
      </x:c>
      <x:c r="E2122" s="16" t="n">
        <x:v>5</x:v>
      </x:c>
      <x:c r="F2122" s="14" t="n">
        <x:v>30</x:v>
      </x:c>
      <x:c r="G2122" s="26" t="n">
        <x:f>'成本明细'!U313+'成本明细'!G313*(E2122-'参数'!$B$6)</x:f>
        <x:v>3832.1749504944446</x:v>
      </x:c>
      <x:c r="H2122" s="26" t="n">
        <x:f>'成本明细'!U319</x:f>
        <x:v>3973.6422688694447</x:v>
      </x:c>
      <x:c r="I2122" s="26" t="n">
        <x:f>'成本明细'!V319</x:f>
        <x:v>8687</x:v>
      </x:c>
      <x:c r="J2122" s="22" t="n">
        <x:f>'参数'!$B$9</x:f>
        <x:v>300</x:v>
      </x:c>
      <x:c r="K2122" s="26" t="n">
        <x:f>J2122*(G2122-H2122)-I2122*ROUNDUP(J2122/F2122,0)</x:f>
        <x:v>-129310.19551250004</x:v>
      </x:c>
      <x:c r="L2122" s="10" t="str">
        <x:f>IF(G2122-H2122&lt;=0,"未回本",IF(ROUNDUP(I2122/(G2122-H2122),0)&gt;MIN(F2122,J2122),"未回本",MAX(1,ROUNDUP(I2122/(G2122-H2122),0))))</x:f>
        <x:v>未回本</x:v>
      </x:c>
    </x:row>
    <x:row r="2123" ht="22" customHeight="1">
      <x:c r="A2123" s="11" t="str">
        <x:v>lade_0828_30aoi</x:v>
      </x:c>
      <x:c r="B2123" s="10" t="n">
        <x:v>30</x:v>
      </x:c>
      <x:c r="C2123" s="10" t="n">
        <x:v>43</x:v>
      </x:c>
      <x:c r="D2123" s="10" t="str">
        <x:v>M2 / M4</x:v>
      </x:c>
      <x:c r="E2123" s="16" t="n">
        <x:v>5</x:v>
      </x:c>
      <x:c r="F2123" s="14" t="n">
        <x:v>30</x:v>
      </x:c>
      <x:c r="G2123" s="26" t="n">
        <x:f>'成本明细'!U316+'成本明细'!G316*(E2123-'参数'!$B$6)</x:f>
        <x:v>3219.174787708889</x:v>
      </x:c>
      <x:c r="H2123" s="26" t="n">
        <x:f>'成本明细'!U322</x:f>
        <x:v>3989.3999772594448</x:v>
      </x:c>
      <x:c r="I2123" s="26" t="n">
        <x:f>'成本明细'!V322</x:f>
        <x:v>8687</x:v>
      </x:c>
      <x:c r="J2123" s="22" t="n">
        <x:f>'参数'!$B$9</x:f>
        <x:v>300</x:v>
      </x:c>
      <x:c r="K2123" s="26" t="n">
        <x:f>J2123*(G2123-H2123)-I2123*ROUNDUP(J2123/F2123,0)</x:f>
        <x:v>-317937.55686516664</x:v>
      </x:c>
      <x:c r="L2123" s="10" t="str">
        <x:f>IF(G2123-H2123&lt;=0,"未回本",IF(ROUNDUP(I2123/(G2123-H2123),0)&gt;MIN(F2123,J2123),"未回本",MAX(1,ROUNDUP(I2123/(G2123-H2123),0))))</x:f>
        <x:v>未回本</x:v>
      </x:c>
    </x:row>
    <x:row r="2124" ht="22" customHeight="1">
      <x:c r="A2124" s="11" t="str">
        <x:v>lade_0828_30aoi</x:v>
      </x:c>
      <x:c r="B2124" s="10" t="n">
        <x:v>30</x:v>
      </x:c>
      <x:c r="C2124" s="10" t="n">
        <x:v>43</x:v>
      </x:c>
      <x:c r="D2124" s="10" t="str">
        <x:v>M1 / M3</x:v>
      </x:c>
      <x:c r="E2124" s="16" t="n">
        <x:v>5</x:v>
      </x:c>
      <x:c r="F2124" s="14" t="n">
        <x:v>50</x:v>
      </x:c>
      <x:c r="G2124" s="26" t="n">
        <x:f>'成本明细'!U313+'成本明细'!G313*(E2124-'参数'!$B$6)</x:f>
        <x:v>3832.1749504944446</x:v>
      </x:c>
      <x:c r="H2124" s="26" t="n">
        <x:f>'成本明细'!U319</x:f>
        <x:v>3973.6422688694447</x:v>
      </x:c>
      <x:c r="I2124" s="26" t="n">
        <x:f>'成本明细'!V319</x:f>
        <x:v>8687</x:v>
      </x:c>
      <x:c r="J2124" s="22" t="n">
        <x:f>'参数'!$B$9</x:f>
        <x:v>300</x:v>
      </x:c>
      <x:c r="K2124" s="26" t="n">
        <x:f>J2124*(G2124-H2124)-I2124*ROUNDUP(J2124/F2124,0)</x:f>
        <x:v>-94562.19551250004</x:v>
      </x:c>
      <x:c r="L2124" s="10" t="str">
        <x:f>IF(G2124-H2124&lt;=0,"未回本",IF(ROUNDUP(I2124/(G2124-H2124),0)&gt;MIN(F2124,J2124),"未回本",MAX(1,ROUNDUP(I2124/(G2124-H2124),0))))</x:f>
        <x:v>未回本</x:v>
      </x:c>
    </x:row>
    <x:row r="2125" ht="22" customHeight="1">
      <x:c r="A2125" s="11" t="str">
        <x:v>lade_0828_30aoi</x:v>
      </x:c>
      <x:c r="B2125" s="10" t="n">
        <x:v>30</x:v>
      </x:c>
      <x:c r="C2125" s="10" t="n">
        <x:v>43</x:v>
      </x:c>
      <x:c r="D2125" s="10" t="str">
        <x:v>M2 / M4</x:v>
      </x:c>
      <x:c r="E2125" s="16" t="n">
        <x:v>5</x:v>
      </x:c>
      <x:c r="F2125" s="14" t="n">
        <x:v>50</x:v>
      </x:c>
      <x:c r="G2125" s="26" t="n">
        <x:f>'成本明细'!U316+'成本明细'!G316*(E2125-'参数'!$B$6)</x:f>
        <x:v>3219.174787708889</x:v>
      </x:c>
      <x:c r="H2125" s="26" t="n">
        <x:f>'成本明细'!U322</x:f>
        <x:v>3989.3999772594448</x:v>
      </x:c>
      <x:c r="I2125" s="26" t="n">
        <x:f>'成本明细'!V322</x:f>
        <x:v>8687</x:v>
      </x:c>
      <x:c r="J2125" s="22" t="n">
        <x:f>'参数'!$B$9</x:f>
        <x:v>300</x:v>
      </x:c>
      <x:c r="K2125" s="26" t="n">
        <x:f>J2125*(G2125-H2125)-I2125*ROUNDUP(J2125/F2125,0)</x:f>
        <x:v>-283189.55686516664</x:v>
      </x:c>
      <x:c r="L2125" s="10" t="str">
        <x:f>IF(G2125-H2125&lt;=0,"未回本",IF(ROUNDUP(I2125/(G2125-H2125),0)&gt;MIN(F2125,J2125),"未回本",MAX(1,ROUNDUP(I2125/(G2125-H2125),0))))</x:f>
        <x:v>未回本</x:v>
      </x:c>
    </x:row>
    <x:row r="2126" ht="22" customHeight="1">
      <x:c r="A2126" s="11" t="str">
        <x:v>lade_0828_30aoi</x:v>
      </x:c>
      <x:c r="B2126" s="10" t="n">
        <x:v>30</x:v>
      </x:c>
      <x:c r="C2126" s="10" t="n">
        <x:v>44</x:v>
      </x:c>
      <x:c r="D2126" s="10" t="str">
        <x:v>M1 / M3</x:v>
      </x:c>
      <x:c r="E2126" s="16" t="n">
        <x:v>1</x:v>
      </x:c>
      <x:c r="F2126" s="14" t="n">
        <x:v>10</x:v>
      </x:c>
      <x:c r="G2126" s="26" t="n">
        <x:f>'成本明细'!U314+'成本明细'!G314*(E2126-'参数'!$B$6)</x:f>
        <x:v>2880.1749504944446</x:v>
      </x:c>
      <x:c r="H2126" s="26" t="n">
        <x:f>'成本明细'!U320</x:f>
        <x:v>3984.6556792633337</x:v>
      </x:c>
      <x:c r="I2126" s="26" t="n">
        <x:f>'成本明细'!V320</x:f>
        <x:v>8687</x:v>
      </x:c>
      <x:c r="J2126" s="22" t="n">
        <x:f>'参数'!$B$9</x:f>
        <x:v>300</x:v>
      </x:c>
      <x:c r="K2126" s="26" t="n">
        <x:f>J2126*(G2126-H2126)-I2126*ROUNDUP(J2126/F2126,0)</x:f>
        <x:v>-591954.2186306667</x:v>
      </x:c>
      <x:c r="L2126" s="10" t="str">
        <x:f>IF(G2126-H2126&lt;=0,"未回本",IF(ROUNDUP(I2126/(G2126-H2126),0)&gt;MIN(F2126,J2126),"未回本",MAX(1,ROUNDUP(I2126/(G2126-H2126),0))))</x:f>
        <x:v>未回本</x:v>
      </x:c>
    </x:row>
    <x:row r="2127" ht="22" customHeight="1">
      <x:c r="A2127" s="11" t="str">
        <x:v>lade_0828_30aoi</x:v>
      </x:c>
      <x:c r="B2127" s="10" t="n">
        <x:v>30</x:v>
      </x:c>
      <x:c r="C2127" s="10" t="n">
        <x:v>44</x:v>
      </x:c>
      <x:c r="D2127" s="10" t="str">
        <x:v>M2 / M4</x:v>
      </x:c>
      <x:c r="E2127" s="16" t="n">
        <x:v>1</x:v>
      </x:c>
      <x:c r="F2127" s="14" t="n">
        <x:v>10</x:v>
      </x:c>
      <x:c r="G2127" s="26" t="n">
        <x:f>'成本明细'!U317+'成本明细'!G317*(E2127-'参数'!$B$6)</x:f>
        <x:v>2443.4565007250003</x:v>
      </x:c>
      <x:c r="H2127" s="26" t="n">
        <x:f>'成本明细'!U323</x:f>
        <x:v>3977.1810346300003</x:v>
      </x:c>
      <x:c r="I2127" s="26" t="n">
        <x:f>'成本明细'!V323</x:f>
        <x:v>8687</x:v>
      </x:c>
      <x:c r="J2127" s="22" t="n">
        <x:f>'参数'!$B$9</x:f>
        <x:v>300</x:v>
      </x:c>
      <x:c r="K2127" s="26" t="n">
        <x:f>J2127*(G2127-H2127)-I2127*ROUNDUP(J2127/F2127,0)</x:f>
        <x:v>-720727.3601715</x:v>
      </x:c>
      <x:c r="L2127" s="10" t="str">
        <x:f>IF(G2127-H2127&lt;=0,"未回本",IF(ROUNDUP(I2127/(G2127-H2127),0)&gt;MIN(F2127,J2127),"未回本",MAX(1,ROUNDUP(I2127/(G2127-H2127),0))))</x:f>
        <x:v>未回本</x:v>
      </x:c>
    </x:row>
    <x:row r="2128" ht="22" customHeight="1">
      <x:c r="A2128" s="11" t="str">
        <x:v>lade_0828_30aoi</x:v>
      </x:c>
      <x:c r="B2128" s="10" t="n">
        <x:v>30</x:v>
      </x:c>
      <x:c r="C2128" s="10" t="n">
        <x:v>44</x:v>
      </x:c>
      <x:c r="D2128" s="10" t="str">
        <x:v>M1 / M3</x:v>
      </x:c>
      <x:c r="E2128" s="16" t="n">
        <x:v>1</x:v>
      </x:c>
      <x:c r="F2128" s="14" t="n">
        <x:v>20</x:v>
      </x:c>
      <x:c r="G2128" s="26" t="n">
        <x:f>'成本明细'!U314+'成本明细'!G314*(E2128-'参数'!$B$6)</x:f>
        <x:v>2880.1749504944446</x:v>
      </x:c>
      <x:c r="H2128" s="26" t="n">
        <x:f>'成本明细'!U320</x:f>
        <x:v>3984.6556792633337</x:v>
      </x:c>
      <x:c r="I2128" s="26" t="n">
        <x:f>'成本明细'!V320</x:f>
        <x:v>8687</x:v>
      </x:c>
      <x:c r="J2128" s="22" t="n">
        <x:f>'参数'!$B$9</x:f>
        <x:v>300</x:v>
      </x:c>
      <x:c r="K2128" s="26" t="n">
        <x:f>J2128*(G2128-H2128)-I2128*ROUNDUP(J2128/F2128,0)</x:f>
        <x:v>-461649.2186306667</x:v>
      </x:c>
      <x:c r="L2128" s="10" t="str">
        <x:f>IF(G2128-H2128&lt;=0,"未回本",IF(ROUNDUP(I2128/(G2128-H2128),0)&gt;MIN(F2128,J2128),"未回本",MAX(1,ROUNDUP(I2128/(G2128-H2128),0))))</x:f>
        <x:v>未回本</x:v>
      </x:c>
    </x:row>
    <x:row r="2129" ht="22" customHeight="1">
      <x:c r="A2129" s="11" t="str">
        <x:v>lade_0828_30aoi</x:v>
      </x:c>
      <x:c r="B2129" s="10" t="n">
        <x:v>30</x:v>
      </x:c>
      <x:c r="C2129" s="10" t="n">
        <x:v>44</x:v>
      </x:c>
      <x:c r="D2129" s="10" t="str">
        <x:v>M2 / M4</x:v>
      </x:c>
      <x:c r="E2129" s="16" t="n">
        <x:v>1</x:v>
      </x:c>
      <x:c r="F2129" s="14" t="n">
        <x:v>20</x:v>
      </x:c>
      <x:c r="G2129" s="26" t="n">
        <x:f>'成本明细'!U317+'成本明细'!G317*(E2129-'参数'!$B$6)</x:f>
        <x:v>2443.4565007250003</x:v>
      </x:c>
      <x:c r="H2129" s="26" t="n">
        <x:f>'成本明细'!U323</x:f>
        <x:v>3977.1810346300003</x:v>
      </x:c>
      <x:c r="I2129" s="26" t="n">
        <x:f>'成本明细'!V323</x:f>
        <x:v>8687</x:v>
      </x:c>
      <x:c r="J2129" s="22" t="n">
        <x:f>'参数'!$B$9</x:f>
        <x:v>300</x:v>
      </x:c>
      <x:c r="K2129" s="26" t="n">
        <x:f>J2129*(G2129-H2129)-I2129*ROUNDUP(J2129/F2129,0)</x:f>
        <x:v>-590422.3601715</x:v>
      </x:c>
      <x:c r="L2129" s="10" t="str">
        <x:f>IF(G2129-H2129&lt;=0,"未回本",IF(ROUNDUP(I2129/(G2129-H2129),0)&gt;MIN(F2129,J2129),"未回本",MAX(1,ROUNDUP(I2129/(G2129-H2129),0))))</x:f>
        <x:v>未回本</x:v>
      </x:c>
    </x:row>
    <x:row r="2130" ht="22" customHeight="1">
      <x:c r="A2130" s="11" t="str">
        <x:v>lade_0828_30aoi</x:v>
      </x:c>
      <x:c r="B2130" s="10" t="n">
        <x:v>30</x:v>
      </x:c>
      <x:c r="C2130" s="10" t="n">
        <x:v>44</x:v>
      </x:c>
      <x:c r="D2130" s="10" t="str">
        <x:v>M1 / M3</x:v>
      </x:c>
      <x:c r="E2130" s="16" t="n">
        <x:v>1</x:v>
      </x:c>
      <x:c r="F2130" s="14" t="n">
        <x:v>30</x:v>
      </x:c>
      <x:c r="G2130" s="26" t="n">
        <x:f>'成本明细'!U314+'成本明细'!G314*(E2130-'参数'!$B$6)</x:f>
        <x:v>2880.1749504944446</x:v>
      </x:c>
      <x:c r="H2130" s="26" t="n">
        <x:f>'成本明细'!U320</x:f>
        <x:v>3984.6556792633337</x:v>
      </x:c>
      <x:c r="I2130" s="26" t="n">
        <x:f>'成本明细'!V320</x:f>
        <x:v>8687</x:v>
      </x:c>
      <x:c r="J2130" s="22" t="n">
        <x:f>'参数'!$B$9</x:f>
        <x:v>300</x:v>
      </x:c>
      <x:c r="K2130" s="26" t="n">
        <x:f>J2130*(G2130-H2130)-I2130*ROUNDUP(J2130/F2130,0)</x:f>
        <x:v>-418214.2186306667</x:v>
      </x:c>
      <x:c r="L2130" s="10" t="str">
        <x:f>IF(G2130-H2130&lt;=0,"未回本",IF(ROUNDUP(I2130/(G2130-H2130),0)&gt;MIN(F2130,J2130),"未回本",MAX(1,ROUNDUP(I2130/(G2130-H2130),0))))</x:f>
        <x:v>未回本</x:v>
      </x:c>
    </x:row>
    <x:row r="2131" ht="22" customHeight="1">
      <x:c r="A2131" s="11" t="str">
        <x:v>lade_0828_30aoi</x:v>
      </x:c>
      <x:c r="B2131" s="10" t="n">
        <x:v>30</x:v>
      </x:c>
      <x:c r="C2131" s="10" t="n">
        <x:v>44</x:v>
      </x:c>
      <x:c r="D2131" s="10" t="str">
        <x:v>M2 / M4</x:v>
      </x:c>
      <x:c r="E2131" s="16" t="n">
        <x:v>1</x:v>
      </x:c>
      <x:c r="F2131" s="14" t="n">
        <x:v>30</x:v>
      </x:c>
      <x:c r="G2131" s="26" t="n">
        <x:f>'成本明细'!U317+'成本明细'!G317*(E2131-'参数'!$B$6)</x:f>
        <x:v>2443.4565007250003</x:v>
      </x:c>
      <x:c r="H2131" s="26" t="n">
        <x:f>'成本明细'!U323</x:f>
        <x:v>3977.1810346300003</x:v>
      </x:c>
      <x:c r="I2131" s="26" t="n">
        <x:f>'成本明细'!V323</x:f>
        <x:v>8687</x:v>
      </x:c>
      <x:c r="J2131" s="22" t="n">
        <x:f>'参数'!$B$9</x:f>
        <x:v>300</x:v>
      </x:c>
      <x:c r="K2131" s="26" t="n">
        <x:f>J2131*(G2131-H2131)-I2131*ROUNDUP(J2131/F2131,0)</x:f>
        <x:v>-546987.3601715</x:v>
      </x:c>
      <x:c r="L2131" s="10" t="str">
        <x:f>IF(G2131-H2131&lt;=0,"未回本",IF(ROUNDUP(I2131/(G2131-H2131),0)&gt;MIN(F2131,J2131),"未回本",MAX(1,ROUNDUP(I2131/(G2131-H2131),0))))</x:f>
        <x:v>未回本</x:v>
      </x:c>
    </x:row>
    <x:row r="2132" ht="22" customHeight="1">
      <x:c r="A2132" s="11" t="str">
        <x:v>lade_0828_30aoi</x:v>
      </x:c>
      <x:c r="B2132" s="10" t="n">
        <x:v>30</x:v>
      </x:c>
      <x:c r="C2132" s="10" t="n">
        <x:v>44</x:v>
      </x:c>
      <x:c r="D2132" s="10" t="str">
        <x:v>M1 / M3</x:v>
      </x:c>
      <x:c r="E2132" s="16" t="n">
        <x:v>1</x:v>
      </x:c>
      <x:c r="F2132" s="14" t="n">
        <x:v>50</x:v>
      </x:c>
      <x:c r="G2132" s="26" t="n">
        <x:f>'成本明细'!U314+'成本明细'!G314*(E2132-'参数'!$B$6)</x:f>
        <x:v>2880.1749504944446</x:v>
      </x:c>
      <x:c r="H2132" s="26" t="n">
        <x:f>'成本明细'!U320</x:f>
        <x:v>3984.6556792633337</x:v>
      </x:c>
      <x:c r="I2132" s="26" t="n">
        <x:f>'成本明细'!V320</x:f>
        <x:v>8687</x:v>
      </x:c>
      <x:c r="J2132" s="22" t="n">
        <x:f>'参数'!$B$9</x:f>
        <x:v>300</x:v>
      </x:c>
      <x:c r="K2132" s="26" t="n">
        <x:f>J2132*(G2132-H2132)-I2132*ROUNDUP(J2132/F2132,0)</x:f>
        <x:v>-383466.2186306667</x:v>
      </x:c>
      <x:c r="L2132" s="10" t="str">
        <x:f>IF(G2132-H2132&lt;=0,"未回本",IF(ROUNDUP(I2132/(G2132-H2132),0)&gt;MIN(F2132,J2132),"未回本",MAX(1,ROUNDUP(I2132/(G2132-H2132),0))))</x:f>
        <x:v>未回本</x:v>
      </x:c>
    </x:row>
    <x:row r="2133" ht="22" customHeight="1">
      <x:c r="A2133" s="11" t="str">
        <x:v>lade_0828_30aoi</x:v>
      </x:c>
      <x:c r="B2133" s="10" t="n">
        <x:v>30</x:v>
      </x:c>
      <x:c r="C2133" s="10" t="n">
        <x:v>44</x:v>
      </x:c>
      <x:c r="D2133" s="10" t="str">
        <x:v>M2 / M4</x:v>
      </x:c>
      <x:c r="E2133" s="16" t="n">
        <x:v>1</x:v>
      </x:c>
      <x:c r="F2133" s="14" t="n">
        <x:v>50</x:v>
      </x:c>
      <x:c r="G2133" s="26" t="n">
        <x:f>'成本明细'!U317+'成本明细'!G317*(E2133-'参数'!$B$6)</x:f>
        <x:v>2443.4565007250003</x:v>
      </x:c>
      <x:c r="H2133" s="26" t="n">
        <x:f>'成本明细'!U323</x:f>
        <x:v>3977.1810346300003</x:v>
      </x:c>
      <x:c r="I2133" s="26" t="n">
        <x:f>'成本明细'!V323</x:f>
        <x:v>8687</x:v>
      </x:c>
      <x:c r="J2133" s="22" t="n">
        <x:f>'参数'!$B$9</x:f>
        <x:v>300</x:v>
      </x:c>
      <x:c r="K2133" s="26" t="n">
        <x:f>J2133*(G2133-H2133)-I2133*ROUNDUP(J2133/F2133,0)</x:f>
        <x:v>-512239.3601715</x:v>
      </x:c>
      <x:c r="L2133" s="10" t="str">
        <x:f>IF(G2133-H2133&lt;=0,"未回本",IF(ROUNDUP(I2133/(G2133-H2133),0)&gt;MIN(F2133,J2133),"未回本",MAX(1,ROUNDUP(I2133/(G2133-H2133),0))))</x:f>
        <x:v>未回本</x:v>
      </x:c>
    </x:row>
    <x:row r="2134" ht="22" customHeight="1">
      <x:c r="A2134" s="11" t="str">
        <x:v>lade_0828_30aoi</x:v>
      </x:c>
      <x:c r="B2134" s="10" t="n">
        <x:v>30</x:v>
      </x:c>
      <x:c r="C2134" s="10" t="n">
        <x:v>44</x:v>
      </x:c>
      <x:c r="D2134" s="10" t="str">
        <x:v>M1 / M3</x:v>
      </x:c>
      <x:c r="E2134" s="16" t="n">
        <x:v>2</x:v>
      </x:c>
      <x:c r="F2134" s="14" t="n">
        <x:v>10</x:v>
      </x:c>
      <x:c r="G2134" s="26" t="n">
        <x:f>'成本明细'!U314+'成本明细'!G314*(E2134-'参数'!$B$6)</x:f>
        <x:v>3118.1749504944446</x:v>
      </x:c>
      <x:c r="H2134" s="26" t="n">
        <x:f>'成本明细'!U320</x:f>
        <x:v>3984.6556792633337</x:v>
      </x:c>
      <x:c r="I2134" s="26" t="n">
        <x:f>'成本明细'!V320</x:f>
        <x:v>8687</x:v>
      </x:c>
      <x:c r="J2134" s="22" t="n">
        <x:f>'参数'!$B$9</x:f>
        <x:v>300</x:v>
      </x:c>
      <x:c r="K2134" s="26" t="n">
        <x:f>J2134*(G2134-H2134)-I2134*ROUNDUP(J2134/F2134,0)</x:f>
        <x:v>-520554.2186306667</x:v>
      </x:c>
      <x:c r="L2134" s="10" t="str">
        <x:f>IF(G2134-H2134&lt;=0,"未回本",IF(ROUNDUP(I2134/(G2134-H2134),0)&gt;MIN(F2134,J2134),"未回本",MAX(1,ROUNDUP(I2134/(G2134-H2134),0))))</x:f>
        <x:v>未回本</x:v>
      </x:c>
    </x:row>
    <x:row r="2135" ht="22" customHeight="1">
      <x:c r="A2135" s="11" t="str">
        <x:v>lade_0828_30aoi</x:v>
      </x:c>
      <x:c r="B2135" s="10" t="n">
        <x:v>30</x:v>
      </x:c>
      <x:c r="C2135" s="10" t="n">
        <x:v>44</x:v>
      </x:c>
      <x:c r="D2135" s="10" t="str">
        <x:v>M2 / M4</x:v>
      </x:c>
      <x:c r="E2135" s="16" t="n">
        <x:v>2</x:v>
      </x:c>
      <x:c r="F2135" s="14" t="n">
        <x:v>10</x:v>
      </x:c>
      <x:c r="G2135" s="26" t="n">
        <x:f>'成本明细'!U317+'成本明细'!G317*(E2135-'参数'!$B$6)</x:f>
        <x:v>2681.4565007250003</x:v>
      </x:c>
      <x:c r="H2135" s="26" t="n">
        <x:f>'成本明细'!U323</x:f>
        <x:v>3977.1810346300003</x:v>
      </x:c>
      <x:c r="I2135" s="26" t="n">
        <x:f>'成本明细'!V323</x:f>
        <x:v>8687</x:v>
      </x:c>
      <x:c r="J2135" s="22" t="n">
        <x:f>'参数'!$B$9</x:f>
        <x:v>300</x:v>
      </x:c>
      <x:c r="K2135" s="26" t="n">
        <x:f>J2135*(G2135-H2135)-I2135*ROUNDUP(J2135/F2135,0)</x:f>
        <x:v>-649327.3601715</x:v>
      </x:c>
      <x:c r="L2135" s="10" t="str">
        <x:f>IF(G2135-H2135&lt;=0,"未回本",IF(ROUNDUP(I2135/(G2135-H2135),0)&gt;MIN(F2135,J2135),"未回本",MAX(1,ROUNDUP(I2135/(G2135-H2135),0))))</x:f>
        <x:v>未回本</x:v>
      </x:c>
    </x:row>
    <x:row r="2136" ht="22" customHeight="1">
      <x:c r="A2136" s="11" t="str">
        <x:v>lade_0828_30aoi</x:v>
      </x:c>
      <x:c r="B2136" s="10" t="n">
        <x:v>30</x:v>
      </x:c>
      <x:c r="C2136" s="10" t="n">
        <x:v>44</x:v>
      </x:c>
      <x:c r="D2136" s="10" t="str">
        <x:v>M1 / M3</x:v>
      </x:c>
      <x:c r="E2136" s="16" t="n">
        <x:v>2</x:v>
      </x:c>
      <x:c r="F2136" s="14" t="n">
        <x:v>20</x:v>
      </x:c>
      <x:c r="G2136" s="26" t="n">
        <x:f>'成本明细'!U314+'成本明细'!G314*(E2136-'参数'!$B$6)</x:f>
        <x:v>3118.1749504944446</x:v>
      </x:c>
      <x:c r="H2136" s="26" t="n">
        <x:f>'成本明细'!U320</x:f>
        <x:v>3984.6556792633337</x:v>
      </x:c>
      <x:c r="I2136" s="26" t="n">
        <x:f>'成本明细'!V320</x:f>
        <x:v>8687</x:v>
      </x:c>
      <x:c r="J2136" s="22" t="n">
        <x:f>'参数'!$B$9</x:f>
        <x:v>300</x:v>
      </x:c>
      <x:c r="K2136" s="26" t="n">
        <x:f>J2136*(G2136-H2136)-I2136*ROUNDUP(J2136/F2136,0)</x:f>
        <x:v>-390249.2186306667</x:v>
      </x:c>
      <x:c r="L2136" s="10" t="str">
        <x:f>IF(G2136-H2136&lt;=0,"未回本",IF(ROUNDUP(I2136/(G2136-H2136),0)&gt;MIN(F2136,J2136),"未回本",MAX(1,ROUNDUP(I2136/(G2136-H2136),0))))</x:f>
        <x:v>未回本</x:v>
      </x:c>
    </x:row>
    <x:row r="2137" ht="22" customHeight="1">
      <x:c r="A2137" s="11" t="str">
        <x:v>lade_0828_30aoi</x:v>
      </x:c>
      <x:c r="B2137" s="10" t="n">
        <x:v>30</x:v>
      </x:c>
      <x:c r="C2137" s="10" t="n">
        <x:v>44</x:v>
      </x:c>
      <x:c r="D2137" s="10" t="str">
        <x:v>M2 / M4</x:v>
      </x:c>
      <x:c r="E2137" s="16" t="n">
        <x:v>2</x:v>
      </x:c>
      <x:c r="F2137" s="14" t="n">
        <x:v>20</x:v>
      </x:c>
      <x:c r="G2137" s="26" t="n">
        <x:f>'成本明细'!U317+'成本明细'!G317*(E2137-'参数'!$B$6)</x:f>
        <x:v>2681.4565007250003</x:v>
      </x:c>
      <x:c r="H2137" s="26" t="n">
        <x:f>'成本明细'!U323</x:f>
        <x:v>3977.1810346300003</x:v>
      </x:c>
      <x:c r="I2137" s="26" t="n">
        <x:f>'成本明细'!V323</x:f>
        <x:v>8687</x:v>
      </x:c>
      <x:c r="J2137" s="22" t="n">
        <x:f>'参数'!$B$9</x:f>
        <x:v>300</x:v>
      </x:c>
      <x:c r="K2137" s="26" t="n">
        <x:f>J2137*(G2137-H2137)-I2137*ROUNDUP(J2137/F2137,0)</x:f>
        <x:v>-519022.3601715</x:v>
      </x:c>
      <x:c r="L2137" s="10" t="str">
        <x:f>IF(G2137-H2137&lt;=0,"未回本",IF(ROUNDUP(I2137/(G2137-H2137),0)&gt;MIN(F2137,J2137),"未回本",MAX(1,ROUNDUP(I2137/(G2137-H2137),0))))</x:f>
        <x:v>未回本</x:v>
      </x:c>
    </x:row>
    <x:row r="2138" ht="22" customHeight="1">
      <x:c r="A2138" s="11" t="str">
        <x:v>lade_0828_30aoi</x:v>
      </x:c>
      <x:c r="B2138" s="10" t="n">
        <x:v>30</x:v>
      </x:c>
      <x:c r="C2138" s="10" t="n">
        <x:v>44</x:v>
      </x:c>
      <x:c r="D2138" s="10" t="str">
        <x:v>M1 / M3</x:v>
      </x:c>
      <x:c r="E2138" s="16" t="n">
        <x:v>2</x:v>
      </x:c>
      <x:c r="F2138" s="14" t="n">
        <x:v>30</x:v>
      </x:c>
      <x:c r="G2138" s="26" t="n">
        <x:f>'成本明细'!U314+'成本明细'!G314*(E2138-'参数'!$B$6)</x:f>
        <x:v>3118.1749504944446</x:v>
      </x:c>
      <x:c r="H2138" s="26" t="n">
        <x:f>'成本明细'!U320</x:f>
        <x:v>3984.6556792633337</x:v>
      </x:c>
      <x:c r="I2138" s="26" t="n">
        <x:f>'成本明细'!V320</x:f>
        <x:v>8687</x:v>
      </x:c>
      <x:c r="J2138" s="22" t="n">
        <x:f>'参数'!$B$9</x:f>
        <x:v>300</x:v>
      </x:c>
      <x:c r="K2138" s="26" t="n">
        <x:f>J2138*(G2138-H2138)-I2138*ROUNDUP(J2138/F2138,0)</x:f>
        <x:v>-346814.2186306667</x:v>
      </x:c>
      <x:c r="L2138" s="10" t="str">
        <x:f>IF(G2138-H2138&lt;=0,"未回本",IF(ROUNDUP(I2138/(G2138-H2138),0)&gt;MIN(F2138,J2138),"未回本",MAX(1,ROUNDUP(I2138/(G2138-H2138),0))))</x:f>
        <x:v>未回本</x:v>
      </x:c>
    </x:row>
    <x:row r="2139" ht="22" customHeight="1">
      <x:c r="A2139" s="11" t="str">
        <x:v>lade_0828_30aoi</x:v>
      </x:c>
      <x:c r="B2139" s="10" t="n">
        <x:v>30</x:v>
      </x:c>
      <x:c r="C2139" s="10" t="n">
        <x:v>44</x:v>
      </x:c>
      <x:c r="D2139" s="10" t="str">
        <x:v>M2 / M4</x:v>
      </x:c>
      <x:c r="E2139" s="16" t="n">
        <x:v>2</x:v>
      </x:c>
      <x:c r="F2139" s="14" t="n">
        <x:v>30</x:v>
      </x:c>
      <x:c r="G2139" s="26" t="n">
        <x:f>'成本明细'!U317+'成本明细'!G317*(E2139-'参数'!$B$6)</x:f>
        <x:v>2681.4565007250003</x:v>
      </x:c>
      <x:c r="H2139" s="26" t="n">
        <x:f>'成本明细'!U323</x:f>
        <x:v>3977.1810346300003</x:v>
      </x:c>
      <x:c r="I2139" s="26" t="n">
        <x:f>'成本明细'!V323</x:f>
        <x:v>8687</x:v>
      </x:c>
      <x:c r="J2139" s="22" t="n">
        <x:f>'参数'!$B$9</x:f>
        <x:v>300</x:v>
      </x:c>
      <x:c r="K2139" s="26" t="n">
        <x:f>J2139*(G2139-H2139)-I2139*ROUNDUP(J2139/F2139,0)</x:f>
        <x:v>-475587.3601715</x:v>
      </x:c>
      <x:c r="L2139" s="10" t="str">
        <x:f>IF(G2139-H2139&lt;=0,"未回本",IF(ROUNDUP(I2139/(G2139-H2139),0)&gt;MIN(F2139,J2139),"未回本",MAX(1,ROUNDUP(I2139/(G2139-H2139),0))))</x:f>
        <x:v>未回本</x:v>
      </x:c>
    </x:row>
    <x:row r="2140" ht="22" customHeight="1">
      <x:c r="A2140" s="11" t="str">
        <x:v>lade_0828_30aoi</x:v>
      </x:c>
      <x:c r="B2140" s="10" t="n">
        <x:v>30</x:v>
      </x:c>
      <x:c r="C2140" s="10" t="n">
        <x:v>44</x:v>
      </x:c>
      <x:c r="D2140" s="10" t="str">
        <x:v>M1 / M3</x:v>
      </x:c>
      <x:c r="E2140" s="16" t="n">
        <x:v>2</x:v>
      </x:c>
      <x:c r="F2140" s="14" t="n">
        <x:v>50</x:v>
      </x:c>
      <x:c r="G2140" s="26" t="n">
        <x:f>'成本明细'!U314+'成本明细'!G314*(E2140-'参数'!$B$6)</x:f>
        <x:v>3118.1749504944446</x:v>
      </x:c>
      <x:c r="H2140" s="26" t="n">
        <x:f>'成本明细'!U320</x:f>
        <x:v>3984.6556792633337</x:v>
      </x:c>
      <x:c r="I2140" s="26" t="n">
        <x:f>'成本明细'!V320</x:f>
        <x:v>8687</x:v>
      </x:c>
      <x:c r="J2140" s="22" t="n">
        <x:f>'参数'!$B$9</x:f>
        <x:v>300</x:v>
      </x:c>
      <x:c r="K2140" s="26" t="n">
        <x:f>J2140*(G2140-H2140)-I2140*ROUNDUP(J2140/F2140,0)</x:f>
        <x:v>-312066.2186306667</x:v>
      </x:c>
      <x:c r="L2140" s="10" t="str">
        <x:f>IF(G2140-H2140&lt;=0,"未回本",IF(ROUNDUP(I2140/(G2140-H2140),0)&gt;MIN(F2140,J2140),"未回本",MAX(1,ROUNDUP(I2140/(G2140-H2140),0))))</x:f>
        <x:v>未回本</x:v>
      </x:c>
    </x:row>
    <x:row r="2141" ht="22" customHeight="1">
      <x:c r="A2141" s="11" t="str">
        <x:v>lade_0828_30aoi</x:v>
      </x:c>
      <x:c r="B2141" s="10" t="n">
        <x:v>30</x:v>
      </x:c>
      <x:c r="C2141" s="10" t="n">
        <x:v>44</x:v>
      </x:c>
      <x:c r="D2141" s="10" t="str">
        <x:v>M2 / M4</x:v>
      </x:c>
      <x:c r="E2141" s="16" t="n">
        <x:v>2</x:v>
      </x:c>
      <x:c r="F2141" s="14" t="n">
        <x:v>50</x:v>
      </x:c>
      <x:c r="G2141" s="26" t="n">
        <x:f>'成本明细'!U317+'成本明细'!G317*(E2141-'参数'!$B$6)</x:f>
        <x:v>2681.4565007250003</x:v>
      </x:c>
      <x:c r="H2141" s="26" t="n">
        <x:f>'成本明细'!U323</x:f>
        <x:v>3977.1810346300003</x:v>
      </x:c>
      <x:c r="I2141" s="26" t="n">
        <x:f>'成本明细'!V323</x:f>
        <x:v>8687</x:v>
      </x:c>
      <x:c r="J2141" s="22" t="n">
        <x:f>'参数'!$B$9</x:f>
        <x:v>300</x:v>
      </x:c>
      <x:c r="K2141" s="26" t="n">
        <x:f>J2141*(G2141-H2141)-I2141*ROUNDUP(J2141/F2141,0)</x:f>
        <x:v>-440839.3601715</x:v>
      </x:c>
      <x:c r="L2141" s="10" t="str">
        <x:f>IF(G2141-H2141&lt;=0,"未回本",IF(ROUNDUP(I2141/(G2141-H2141),0)&gt;MIN(F2141,J2141),"未回本",MAX(1,ROUNDUP(I2141/(G2141-H2141),0))))</x:f>
        <x:v>未回本</x:v>
      </x:c>
    </x:row>
    <x:row r="2142" ht="22" customHeight="1">
      <x:c r="A2142" s="11" t="str">
        <x:v>lade_0828_30aoi</x:v>
      </x:c>
      <x:c r="B2142" s="10" t="n">
        <x:v>30</x:v>
      </x:c>
      <x:c r="C2142" s="10" t="n">
        <x:v>44</x:v>
      </x:c>
      <x:c r="D2142" s="10" t="str">
        <x:v>M1 / M3</x:v>
      </x:c>
      <x:c r="E2142" s="16" t="n">
        <x:v>3</x:v>
      </x:c>
      <x:c r="F2142" s="14" t="n">
        <x:v>10</x:v>
      </x:c>
      <x:c r="G2142" s="26" t="n">
        <x:f>'成本明细'!U314+'成本明细'!G314*(E2142-'参数'!$B$6)</x:f>
        <x:v>3356.1749504944446</x:v>
      </x:c>
      <x:c r="H2142" s="26" t="n">
        <x:f>'成本明细'!U320</x:f>
        <x:v>3984.6556792633337</x:v>
      </x:c>
      <x:c r="I2142" s="26" t="n">
        <x:f>'成本明细'!V320</x:f>
        <x:v>8687</x:v>
      </x:c>
      <x:c r="J2142" s="22" t="n">
        <x:f>'参数'!$B$9</x:f>
        <x:v>300</x:v>
      </x:c>
      <x:c r="K2142" s="26" t="n">
        <x:f>J2142*(G2142-H2142)-I2142*ROUNDUP(J2142/F2142,0)</x:f>
        <x:v>-449154.2186306667</x:v>
      </x:c>
      <x:c r="L2142" s="10" t="str">
        <x:f>IF(G2142-H2142&lt;=0,"未回本",IF(ROUNDUP(I2142/(G2142-H2142),0)&gt;MIN(F2142,J2142),"未回本",MAX(1,ROUNDUP(I2142/(G2142-H2142),0))))</x:f>
        <x:v>未回本</x:v>
      </x:c>
    </x:row>
    <x:row r="2143" ht="22" customHeight="1">
      <x:c r="A2143" s="11" t="str">
        <x:v>lade_0828_30aoi</x:v>
      </x:c>
      <x:c r="B2143" s="10" t="n">
        <x:v>30</x:v>
      </x:c>
      <x:c r="C2143" s="10" t="n">
        <x:v>44</x:v>
      </x:c>
      <x:c r="D2143" s="10" t="str">
        <x:v>M2 / M4</x:v>
      </x:c>
      <x:c r="E2143" s="16" t="n">
        <x:v>3</x:v>
      </x:c>
      <x:c r="F2143" s="14" t="n">
        <x:v>10</x:v>
      </x:c>
      <x:c r="G2143" s="26" t="n">
        <x:f>'成本明细'!U317+'成本明细'!G317*(E2143-'参数'!$B$6)</x:f>
        <x:v>2919.4565007250003</x:v>
      </x:c>
      <x:c r="H2143" s="26" t="n">
        <x:f>'成本明细'!U323</x:f>
        <x:v>3977.1810346300003</x:v>
      </x:c>
      <x:c r="I2143" s="26" t="n">
        <x:f>'成本明细'!V323</x:f>
        <x:v>8687</x:v>
      </x:c>
      <x:c r="J2143" s="22" t="n">
        <x:f>'参数'!$B$9</x:f>
        <x:v>300</x:v>
      </x:c>
      <x:c r="K2143" s="26" t="n">
        <x:f>J2143*(G2143-H2143)-I2143*ROUNDUP(J2143/F2143,0)</x:f>
        <x:v>-577927.3601715</x:v>
      </x:c>
      <x:c r="L2143" s="10" t="str">
        <x:f>IF(G2143-H2143&lt;=0,"未回本",IF(ROUNDUP(I2143/(G2143-H2143),0)&gt;MIN(F2143,J2143),"未回本",MAX(1,ROUNDUP(I2143/(G2143-H2143),0))))</x:f>
        <x:v>未回本</x:v>
      </x:c>
    </x:row>
    <x:row r="2144" ht="22" customHeight="1">
      <x:c r="A2144" s="11" t="str">
        <x:v>lade_0828_30aoi</x:v>
      </x:c>
      <x:c r="B2144" s="10" t="n">
        <x:v>30</x:v>
      </x:c>
      <x:c r="C2144" s="10" t="n">
        <x:v>44</x:v>
      </x:c>
      <x:c r="D2144" s="10" t="str">
        <x:v>M1 / M3</x:v>
      </x:c>
      <x:c r="E2144" s="16" t="n">
        <x:v>3</x:v>
      </x:c>
      <x:c r="F2144" s="14" t="n">
        <x:v>20</x:v>
      </x:c>
      <x:c r="G2144" s="26" t="n">
        <x:f>'成本明细'!U314+'成本明细'!G314*(E2144-'参数'!$B$6)</x:f>
        <x:v>3356.1749504944446</x:v>
      </x:c>
      <x:c r="H2144" s="26" t="n">
        <x:f>'成本明细'!U320</x:f>
        <x:v>3984.6556792633337</x:v>
      </x:c>
      <x:c r="I2144" s="26" t="n">
        <x:f>'成本明细'!V320</x:f>
        <x:v>8687</x:v>
      </x:c>
      <x:c r="J2144" s="22" t="n">
        <x:f>'参数'!$B$9</x:f>
        <x:v>300</x:v>
      </x:c>
      <x:c r="K2144" s="26" t="n">
        <x:f>J2144*(G2144-H2144)-I2144*ROUNDUP(J2144/F2144,0)</x:f>
        <x:v>-318849.2186306667</x:v>
      </x:c>
      <x:c r="L2144" s="10" t="str">
        <x:f>IF(G2144-H2144&lt;=0,"未回本",IF(ROUNDUP(I2144/(G2144-H2144),0)&gt;MIN(F2144,J2144),"未回本",MAX(1,ROUNDUP(I2144/(G2144-H2144),0))))</x:f>
        <x:v>未回本</x:v>
      </x:c>
    </x:row>
    <x:row r="2145" ht="22" customHeight="1">
      <x:c r="A2145" s="11" t="str">
        <x:v>lade_0828_30aoi</x:v>
      </x:c>
      <x:c r="B2145" s="10" t="n">
        <x:v>30</x:v>
      </x:c>
      <x:c r="C2145" s="10" t="n">
        <x:v>44</x:v>
      </x:c>
      <x:c r="D2145" s="10" t="str">
        <x:v>M2 / M4</x:v>
      </x:c>
      <x:c r="E2145" s="16" t="n">
        <x:v>3</x:v>
      </x:c>
      <x:c r="F2145" s="14" t="n">
        <x:v>20</x:v>
      </x:c>
      <x:c r="G2145" s="26" t="n">
        <x:f>'成本明细'!U317+'成本明细'!G317*(E2145-'参数'!$B$6)</x:f>
        <x:v>2919.4565007250003</x:v>
      </x:c>
      <x:c r="H2145" s="26" t="n">
        <x:f>'成本明细'!U323</x:f>
        <x:v>3977.1810346300003</x:v>
      </x:c>
      <x:c r="I2145" s="26" t="n">
        <x:f>'成本明细'!V323</x:f>
        <x:v>8687</x:v>
      </x:c>
      <x:c r="J2145" s="22" t="n">
        <x:f>'参数'!$B$9</x:f>
        <x:v>300</x:v>
      </x:c>
      <x:c r="K2145" s="26" t="n">
        <x:f>J2145*(G2145-H2145)-I2145*ROUNDUP(J2145/F2145,0)</x:f>
        <x:v>-447622.3601715</x:v>
      </x:c>
      <x:c r="L2145" s="10" t="str">
        <x:f>IF(G2145-H2145&lt;=0,"未回本",IF(ROUNDUP(I2145/(G2145-H2145),0)&gt;MIN(F2145,J2145),"未回本",MAX(1,ROUNDUP(I2145/(G2145-H2145),0))))</x:f>
        <x:v>未回本</x:v>
      </x:c>
    </x:row>
    <x:row r="2146" ht="22" customHeight="1">
      <x:c r="A2146" s="11" t="str">
        <x:v>lade_0828_30aoi</x:v>
      </x:c>
      <x:c r="B2146" s="10" t="n">
        <x:v>30</x:v>
      </x:c>
      <x:c r="C2146" s="10" t="n">
        <x:v>44</x:v>
      </x:c>
      <x:c r="D2146" s="10" t="str">
        <x:v>M1 / M3</x:v>
      </x:c>
      <x:c r="E2146" s="16" t="n">
        <x:v>3</x:v>
      </x:c>
      <x:c r="F2146" s="14" t="n">
        <x:v>30</x:v>
      </x:c>
      <x:c r="G2146" s="26" t="n">
        <x:f>'成本明细'!U314+'成本明细'!G314*(E2146-'参数'!$B$6)</x:f>
        <x:v>3356.1749504944446</x:v>
      </x:c>
      <x:c r="H2146" s="26" t="n">
        <x:f>'成本明细'!U320</x:f>
        <x:v>3984.6556792633337</x:v>
      </x:c>
      <x:c r="I2146" s="26" t="n">
        <x:f>'成本明细'!V320</x:f>
        <x:v>8687</x:v>
      </x:c>
      <x:c r="J2146" s="22" t="n">
        <x:f>'参数'!$B$9</x:f>
        <x:v>300</x:v>
      </x:c>
      <x:c r="K2146" s="26" t="n">
        <x:f>J2146*(G2146-H2146)-I2146*ROUNDUP(J2146/F2146,0)</x:f>
        <x:v>-275414.2186306667</x:v>
      </x:c>
      <x:c r="L2146" s="10" t="str">
        <x:f>IF(G2146-H2146&lt;=0,"未回本",IF(ROUNDUP(I2146/(G2146-H2146),0)&gt;MIN(F2146,J2146),"未回本",MAX(1,ROUNDUP(I2146/(G2146-H2146),0))))</x:f>
        <x:v>未回本</x:v>
      </x:c>
    </x:row>
    <x:row r="2147" ht="22" customHeight="1">
      <x:c r="A2147" s="11" t="str">
        <x:v>lade_0828_30aoi</x:v>
      </x:c>
      <x:c r="B2147" s="10" t="n">
        <x:v>30</x:v>
      </x:c>
      <x:c r="C2147" s="10" t="n">
        <x:v>44</x:v>
      </x:c>
      <x:c r="D2147" s="10" t="str">
        <x:v>M2 / M4</x:v>
      </x:c>
      <x:c r="E2147" s="16" t="n">
        <x:v>3</x:v>
      </x:c>
      <x:c r="F2147" s="14" t="n">
        <x:v>30</x:v>
      </x:c>
      <x:c r="G2147" s="26" t="n">
        <x:f>'成本明细'!U317+'成本明细'!G317*(E2147-'参数'!$B$6)</x:f>
        <x:v>2919.4565007250003</x:v>
      </x:c>
      <x:c r="H2147" s="26" t="n">
        <x:f>'成本明细'!U323</x:f>
        <x:v>3977.1810346300003</x:v>
      </x:c>
      <x:c r="I2147" s="26" t="n">
        <x:f>'成本明细'!V323</x:f>
        <x:v>8687</x:v>
      </x:c>
      <x:c r="J2147" s="22" t="n">
        <x:f>'参数'!$B$9</x:f>
        <x:v>300</x:v>
      </x:c>
      <x:c r="K2147" s="26" t="n">
        <x:f>J2147*(G2147-H2147)-I2147*ROUNDUP(J2147/F2147,0)</x:f>
        <x:v>-404187.3601715</x:v>
      </x:c>
      <x:c r="L2147" s="10" t="str">
        <x:f>IF(G2147-H2147&lt;=0,"未回本",IF(ROUNDUP(I2147/(G2147-H2147),0)&gt;MIN(F2147,J2147),"未回本",MAX(1,ROUNDUP(I2147/(G2147-H2147),0))))</x:f>
        <x:v>未回本</x:v>
      </x:c>
    </x:row>
    <x:row r="2148" ht="22" customHeight="1">
      <x:c r="A2148" s="11" t="str">
        <x:v>lade_0828_30aoi</x:v>
      </x:c>
      <x:c r="B2148" s="10" t="n">
        <x:v>30</x:v>
      </x:c>
      <x:c r="C2148" s="10" t="n">
        <x:v>44</x:v>
      </x:c>
      <x:c r="D2148" s="10" t="str">
        <x:v>M1 / M3</x:v>
      </x:c>
      <x:c r="E2148" s="16" t="n">
        <x:v>3</x:v>
      </x:c>
      <x:c r="F2148" s="14" t="n">
        <x:v>50</x:v>
      </x:c>
      <x:c r="G2148" s="26" t="n">
        <x:f>'成本明细'!U314+'成本明细'!G314*(E2148-'参数'!$B$6)</x:f>
        <x:v>3356.1749504944446</x:v>
      </x:c>
      <x:c r="H2148" s="26" t="n">
        <x:f>'成本明细'!U320</x:f>
        <x:v>3984.6556792633337</x:v>
      </x:c>
      <x:c r="I2148" s="26" t="n">
        <x:f>'成本明细'!V320</x:f>
        <x:v>8687</x:v>
      </x:c>
      <x:c r="J2148" s="22" t="n">
        <x:f>'参数'!$B$9</x:f>
        <x:v>300</x:v>
      </x:c>
      <x:c r="K2148" s="26" t="n">
        <x:f>J2148*(G2148-H2148)-I2148*ROUNDUP(J2148/F2148,0)</x:f>
        <x:v>-240666.21863066673</x:v>
      </x:c>
      <x:c r="L2148" s="10" t="str">
        <x:f>IF(G2148-H2148&lt;=0,"未回本",IF(ROUNDUP(I2148/(G2148-H2148),0)&gt;MIN(F2148,J2148),"未回本",MAX(1,ROUNDUP(I2148/(G2148-H2148),0))))</x:f>
        <x:v>未回本</x:v>
      </x:c>
    </x:row>
    <x:row r="2149" ht="22" customHeight="1">
      <x:c r="A2149" s="11" t="str">
        <x:v>lade_0828_30aoi</x:v>
      </x:c>
      <x:c r="B2149" s="10" t="n">
        <x:v>30</x:v>
      </x:c>
      <x:c r="C2149" s="10" t="n">
        <x:v>44</x:v>
      </x:c>
      <x:c r="D2149" s="10" t="str">
        <x:v>M2 / M4</x:v>
      </x:c>
      <x:c r="E2149" s="16" t="n">
        <x:v>3</x:v>
      </x:c>
      <x:c r="F2149" s="14" t="n">
        <x:v>50</x:v>
      </x:c>
      <x:c r="G2149" s="26" t="n">
        <x:f>'成本明细'!U317+'成本明细'!G317*(E2149-'参数'!$B$6)</x:f>
        <x:v>2919.4565007250003</x:v>
      </x:c>
      <x:c r="H2149" s="26" t="n">
        <x:f>'成本明细'!U323</x:f>
        <x:v>3977.1810346300003</x:v>
      </x:c>
      <x:c r="I2149" s="26" t="n">
        <x:f>'成本明细'!V323</x:f>
        <x:v>8687</x:v>
      </x:c>
      <x:c r="J2149" s="22" t="n">
        <x:f>'参数'!$B$9</x:f>
        <x:v>300</x:v>
      </x:c>
      <x:c r="K2149" s="26" t="n">
        <x:f>J2149*(G2149-H2149)-I2149*ROUNDUP(J2149/F2149,0)</x:f>
        <x:v>-369439.3601715</x:v>
      </x:c>
      <x:c r="L2149" s="10" t="str">
        <x:f>IF(G2149-H2149&lt;=0,"未回本",IF(ROUNDUP(I2149/(G2149-H2149),0)&gt;MIN(F2149,J2149),"未回本",MAX(1,ROUNDUP(I2149/(G2149-H2149),0))))</x:f>
        <x:v>未回本</x:v>
      </x:c>
    </x:row>
    <x:row r="2150" ht="22" customHeight="1">
      <x:c r="A2150" s="11" t="str">
        <x:v>lade_0828_30aoi</x:v>
      </x:c>
      <x:c r="B2150" s="10" t="n">
        <x:v>30</x:v>
      </x:c>
      <x:c r="C2150" s="10" t="n">
        <x:v>44</x:v>
      </x:c>
      <x:c r="D2150" s="10" t="str">
        <x:v>M1 / M3</x:v>
      </x:c>
      <x:c r="E2150" s="16" t="n">
        <x:v>4</x:v>
      </x:c>
      <x:c r="F2150" s="14" t="n">
        <x:v>10</x:v>
      </x:c>
      <x:c r="G2150" s="26" t="n">
        <x:f>'成本明细'!U314+'成本明细'!G314*(E2150-'参数'!$B$6)</x:f>
        <x:v>3594.1749504944446</x:v>
      </x:c>
      <x:c r="H2150" s="26" t="n">
        <x:f>'成本明细'!U320</x:f>
        <x:v>3984.6556792633337</x:v>
      </x:c>
      <x:c r="I2150" s="26" t="n">
        <x:f>'成本明细'!V320</x:f>
        <x:v>8687</x:v>
      </x:c>
      <x:c r="J2150" s="22" t="n">
        <x:f>'参数'!$B$9</x:f>
        <x:v>300</x:v>
      </x:c>
      <x:c r="K2150" s="26" t="n">
        <x:f>J2150*(G2150-H2150)-I2150*ROUNDUP(J2150/F2150,0)</x:f>
        <x:v>-377754.2186306667</x:v>
      </x:c>
      <x:c r="L2150" s="10" t="str">
        <x:f>IF(G2150-H2150&lt;=0,"未回本",IF(ROUNDUP(I2150/(G2150-H2150),0)&gt;MIN(F2150,J2150),"未回本",MAX(1,ROUNDUP(I2150/(G2150-H2150),0))))</x:f>
        <x:v>未回本</x:v>
      </x:c>
    </x:row>
    <x:row r="2151" ht="22" customHeight="1">
      <x:c r="A2151" s="11" t="str">
        <x:v>lade_0828_30aoi</x:v>
      </x:c>
      <x:c r="B2151" s="10" t="n">
        <x:v>30</x:v>
      </x:c>
      <x:c r="C2151" s="10" t="n">
        <x:v>44</x:v>
      </x:c>
      <x:c r="D2151" s="10" t="str">
        <x:v>M2 / M4</x:v>
      </x:c>
      <x:c r="E2151" s="16" t="n">
        <x:v>4</x:v>
      </x:c>
      <x:c r="F2151" s="14" t="n">
        <x:v>10</x:v>
      </x:c>
      <x:c r="G2151" s="26" t="n">
        <x:f>'成本明细'!U317+'成本明细'!G317*(E2151-'参数'!$B$6)</x:f>
        <x:v>3157.4565007250003</x:v>
      </x:c>
      <x:c r="H2151" s="26" t="n">
        <x:f>'成本明细'!U323</x:f>
        <x:v>3977.1810346300003</x:v>
      </x:c>
      <x:c r="I2151" s="26" t="n">
        <x:f>'成本明细'!V323</x:f>
        <x:v>8687</x:v>
      </x:c>
      <x:c r="J2151" s="22" t="n">
        <x:f>'参数'!$B$9</x:f>
        <x:v>300</x:v>
      </x:c>
      <x:c r="K2151" s="26" t="n">
        <x:f>J2151*(G2151-H2151)-I2151*ROUNDUP(J2151/F2151,0)</x:f>
        <x:v>-506527.3601715</x:v>
      </x:c>
      <x:c r="L2151" s="10" t="str">
        <x:f>IF(G2151-H2151&lt;=0,"未回本",IF(ROUNDUP(I2151/(G2151-H2151),0)&gt;MIN(F2151,J2151),"未回本",MAX(1,ROUNDUP(I2151/(G2151-H2151),0))))</x:f>
        <x:v>未回本</x:v>
      </x:c>
    </x:row>
    <x:row r="2152" ht="22" customHeight="1">
      <x:c r="A2152" s="11" t="str">
        <x:v>lade_0828_30aoi</x:v>
      </x:c>
      <x:c r="B2152" s="10" t="n">
        <x:v>30</x:v>
      </x:c>
      <x:c r="C2152" s="10" t="n">
        <x:v>44</x:v>
      </x:c>
      <x:c r="D2152" s="10" t="str">
        <x:v>M1 / M3</x:v>
      </x:c>
      <x:c r="E2152" s="16" t="n">
        <x:v>4</x:v>
      </x:c>
      <x:c r="F2152" s="14" t="n">
        <x:v>20</x:v>
      </x:c>
      <x:c r="G2152" s="26" t="n">
        <x:f>'成本明细'!U314+'成本明细'!G314*(E2152-'参数'!$B$6)</x:f>
        <x:v>3594.1749504944446</x:v>
      </x:c>
      <x:c r="H2152" s="26" t="n">
        <x:f>'成本明细'!U320</x:f>
        <x:v>3984.6556792633337</x:v>
      </x:c>
      <x:c r="I2152" s="26" t="n">
        <x:f>'成本明细'!V320</x:f>
        <x:v>8687</x:v>
      </x:c>
      <x:c r="J2152" s="22" t="n">
        <x:f>'参数'!$B$9</x:f>
        <x:v>300</x:v>
      </x:c>
      <x:c r="K2152" s="26" t="n">
        <x:f>J2152*(G2152-H2152)-I2152*ROUNDUP(J2152/F2152,0)</x:f>
        <x:v>-247449.21863066673</x:v>
      </x:c>
      <x:c r="L2152" s="10" t="str">
        <x:f>IF(G2152-H2152&lt;=0,"未回本",IF(ROUNDUP(I2152/(G2152-H2152),0)&gt;MIN(F2152,J2152),"未回本",MAX(1,ROUNDUP(I2152/(G2152-H2152),0))))</x:f>
        <x:v>未回本</x:v>
      </x:c>
    </x:row>
    <x:row r="2153" ht="22" customHeight="1">
      <x:c r="A2153" s="11" t="str">
        <x:v>lade_0828_30aoi</x:v>
      </x:c>
      <x:c r="B2153" s="10" t="n">
        <x:v>30</x:v>
      </x:c>
      <x:c r="C2153" s="10" t="n">
        <x:v>44</x:v>
      </x:c>
      <x:c r="D2153" s="10" t="str">
        <x:v>M2 / M4</x:v>
      </x:c>
      <x:c r="E2153" s="16" t="n">
        <x:v>4</x:v>
      </x:c>
      <x:c r="F2153" s="14" t="n">
        <x:v>20</x:v>
      </x:c>
      <x:c r="G2153" s="26" t="n">
        <x:f>'成本明细'!U317+'成本明细'!G317*(E2153-'参数'!$B$6)</x:f>
        <x:v>3157.4565007250003</x:v>
      </x:c>
      <x:c r="H2153" s="26" t="n">
        <x:f>'成本明细'!U323</x:f>
        <x:v>3977.1810346300003</x:v>
      </x:c>
      <x:c r="I2153" s="26" t="n">
        <x:f>'成本明细'!V323</x:f>
        <x:v>8687</x:v>
      </x:c>
      <x:c r="J2153" s="22" t="n">
        <x:f>'参数'!$B$9</x:f>
        <x:v>300</x:v>
      </x:c>
      <x:c r="K2153" s="26" t="n">
        <x:f>J2153*(G2153-H2153)-I2153*ROUNDUP(J2153/F2153,0)</x:f>
        <x:v>-376222.3601715</x:v>
      </x:c>
      <x:c r="L2153" s="10" t="str">
        <x:f>IF(G2153-H2153&lt;=0,"未回本",IF(ROUNDUP(I2153/(G2153-H2153),0)&gt;MIN(F2153,J2153),"未回本",MAX(1,ROUNDUP(I2153/(G2153-H2153),0))))</x:f>
        <x:v>未回本</x:v>
      </x:c>
    </x:row>
    <x:row r="2154" ht="22" customHeight="1">
      <x:c r="A2154" s="11" t="str">
        <x:v>lade_0828_30aoi</x:v>
      </x:c>
      <x:c r="B2154" s="10" t="n">
        <x:v>30</x:v>
      </x:c>
      <x:c r="C2154" s="10" t="n">
        <x:v>44</x:v>
      </x:c>
      <x:c r="D2154" s="10" t="str">
        <x:v>M1 / M3</x:v>
      </x:c>
      <x:c r="E2154" s="16" t="n">
        <x:v>4</x:v>
      </x:c>
      <x:c r="F2154" s="14" t="n">
        <x:v>30</x:v>
      </x:c>
      <x:c r="G2154" s="26" t="n">
        <x:f>'成本明细'!U314+'成本明细'!G314*(E2154-'参数'!$B$6)</x:f>
        <x:v>3594.1749504944446</x:v>
      </x:c>
      <x:c r="H2154" s="26" t="n">
        <x:f>'成本明细'!U320</x:f>
        <x:v>3984.6556792633337</x:v>
      </x:c>
      <x:c r="I2154" s="26" t="n">
        <x:f>'成本明细'!V320</x:f>
        <x:v>8687</x:v>
      </x:c>
      <x:c r="J2154" s="22" t="n">
        <x:f>'参数'!$B$9</x:f>
        <x:v>300</x:v>
      </x:c>
      <x:c r="K2154" s="26" t="n">
        <x:f>J2154*(G2154-H2154)-I2154*ROUNDUP(J2154/F2154,0)</x:f>
        <x:v>-204014.21863066673</x:v>
      </x:c>
      <x:c r="L2154" s="10" t="str">
        <x:f>IF(G2154-H2154&lt;=0,"未回本",IF(ROUNDUP(I2154/(G2154-H2154),0)&gt;MIN(F2154,J2154),"未回本",MAX(1,ROUNDUP(I2154/(G2154-H2154),0))))</x:f>
        <x:v>未回本</x:v>
      </x:c>
    </x:row>
    <x:row r="2155" ht="22" customHeight="1">
      <x:c r="A2155" s="11" t="str">
        <x:v>lade_0828_30aoi</x:v>
      </x:c>
      <x:c r="B2155" s="10" t="n">
        <x:v>30</x:v>
      </x:c>
      <x:c r="C2155" s="10" t="n">
        <x:v>44</x:v>
      </x:c>
      <x:c r="D2155" s="10" t="str">
        <x:v>M2 / M4</x:v>
      </x:c>
      <x:c r="E2155" s="16" t="n">
        <x:v>4</x:v>
      </x:c>
      <x:c r="F2155" s="14" t="n">
        <x:v>30</x:v>
      </x:c>
      <x:c r="G2155" s="26" t="n">
        <x:f>'成本明细'!U317+'成本明细'!G317*(E2155-'参数'!$B$6)</x:f>
        <x:v>3157.4565007250003</x:v>
      </x:c>
      <x:c r="H2155" s="26" t="n">
        <x:f>'成本明细'!U323</x:f>
        <x:v>3977.1810346300003</x:v>
      </x:c>
      <x:c r="I2155" s="26" t="n">
        <x:f>'成本明细'!V323</x:f>
        <x:v>8687</x:v>
      </x:c>
      <x:c r="J2155" s="22" t="n">
        <x:f>'参数'!$B$9</x:f>
        <x:v>300</x:v>
      </x:c>
      <x:c r="K2155" s="26" t="n">
        <x:f>J2155*(G2155-H2155)-I2155*ROUNDUP(J2155/F2155,0)</x:f>
        <x:v>-332787.3601715</x:v>
      </x:c>
      <x:c r="L2155" s="10" t="str">
        <x:f>IF(G2155-H2155&lt;=0,"未回本",IF(ROUNDUP(I2155/(G2155-H2155),0)&gt;MIN(F2155,J2155),"未回本",MAX(1,ROUNDUP(I2155/(G2155-H2155),0))))</x:f>
        <x:v>未回本</x:v>
      </x:c>
    </x:row>
    <x:row r="2156" ht="22" customHeight="1">
      <x:c r="A2156" s="11" t="str">
        <x:v>lade_0828_30aoi</x:v>
      </x:c>
      <x:c r="B2156" s="10" t="n">
        <x:v>30</x:v>
      </x:c>
      <x:c r="C2156" s="10" t="n">
        <x:v>44</x:v>
      </x:c>
      <x:c r="D2156" s="10" t="str">
        <x:v>M1 / M3</x:v>
      </x:c>
      <x:c r="E2156" s="16" t="n">
        <x:v>4</x:v>
      </x:c>
      <x:c r="F2156" s="14" t="n">
        <x:v>50</x:v>
      </x:c>
      <x:c r="G2156" s="26" t="n">
        <x:f>'成本明细'!U314+'成本明细'!G314*(E2156-'参数'!$B$6)</x:f>
        <x:v>3594.1749504944446</x:v>
      </x:c>
      <x:c r="H2156" s="26" t="n">
        <x:f>'成本明细'!U320</x:f>
        <x:v>3984.6556792633337</x:v>
      </x:c>
      <x:c r="I2156" s="26" t="n">
        <x:f>'成本明细'!V320</x:f>
        <x:v>8687</x:v>
      </x:c>
      <x:c r="J2156" s="22" t="n">
        <x:f>'参数'!$B$9</x:f>
        <x:v>300</x:v>
      </x:c>
      <x:c r="K2156" s="26" t="n">
        <x:f>J2156*(G2156-H2156)-I2156*ROUNDUP(J2156/F2156,0)</x:f>
        <x:v>-169266.21863066673</x:v>
      </x:c>
      <x:c r="L2156" s="10" t="str">
        <x:f>IF(G2156-H2156&lt;=0,"未回本",IF(ROUNDUP(I2156/(G2156-H2156),0)&gt;MIN(F2156,J2156),"未回本",MAX(1,ROUNDUP(I2156/(G2156-H2156),0))))</x:f>
        <x:v>未回本</x:v>
      </x:c>
    </x:row>
    <x:row r="2157" ht="22" customHeight="1">
      <x:c r="A2157" s="11" t="str">
        <x:v>lade_0828_30aoi</x:v>
      </x:c>
      <x:c r="B2157" s="10" t="n">
        <x:v>30</x:v>
      </x:c>
      <x:c r="C2157" s="10" t="n">
        <x:v>44</x:v>
      </x:c>
      <x:c r="D2157" s="10" t="str">
        <x:v>M2 / M4</x:v>
      </x:c>
      <x:c r="E2157" s="16" t="n">
        <x:v>4</x:v>
      </x:c>
      <x:c r="F2157" s="14" t="n">
        <x:v>50</x:v>
      </x:c>
      <x:c r="G2157" s="26" t="n">
        <x:f>'成本明细'!U317+'成本明细'!G317*(E2157-'参数'!$B$6)</x:f>
        <x:v>3157.4565007250003</x:v>
      </x:c>
      <x:c r="H2157" s="26" t="n">
        <x:f>'成本明细'!U323</x:f>
        <x:v>3977.1810346300003</x:v>
      </x:c>
      <x:c r="I2157" s="26" t="n">
        <x:f>'成本明细'!V323</x:f>
        <x:v>8687</x:v>
      </x:c>
      <x:c r="J2157" s="22" t="n">
        <x:f>'参数'!$B$9</x:f>
        <x:v>300</x:v>
      </x:c>
      <x:c r="K2157" s="26" t="n">
        <x:f>J2157*(G2157-H2157)-I2157*ROUNDUP(J2157/F2157,0)</x:f>
        <x:v>-298039.3601715</x:v>
      </x:c>
      <x:c r="L2157" s="10" t="str">
        <x:f>IF(G2157-H2157&lt;=0,"未回本",IF(ROUNDUP(I2157/(G2157-H2157),0)&gt;MIN(F2157,J2157),"未回本",MAX(1,ROUNDUP(I2157/(G2157-H2157),0))))</x:f>
        <x:v>未回本</x:v>
      </x:c>
    </x:row>
    <x:row r="2158" ht="22" customHeight="1">
      <x:c r="A2158" s="11" t="str">
        <x:v>lade_0828_30aoi</x:v>
      </x:c>
      <x:c r="B2158" s="10" t="n">
        <x:v>30</x:v>
      </x:c>
      <x:c r="C2158" s="10" t="n">
        <x:v>44</x:v>
      </x:c>
      <x:c r="D2158" s="10" t="str">
        <x:v>M1 / M3</x:v>
      </x:c>
      <x:c r="E2158" s="16" t="n">
        <x:v>5</x:v>
      </x:c>
      <x:c r="F2158" s="14" t="n">
        <x:v>10</x:v>
      </x:c>
      <x:c r="G2158" s="26" t="n">
        <x:f>'成本明细'!U314+'成本明细'!G314*(E2158-'参数'!$B$6)</x:f>
        <x:v>3832.1749504944446</x:v>
      </x:c>
      <x:c r="H2158" s="26" t="n">
        <x:f>'成本明细'!U320</x:f>
        <x:v>3984.6556792633337</x:v>
      </x:c>
      <x:c r="I2158" s="26" t="n">
        <x:f>'成本明细'!V320</x:f>
        <x:v>8687</x:v>
      </x:c>
      <x:c r="J2158" s="22" t="n">
        <x:f>'参数'!$B$9</x:f>
        <x:v>300</x:v>
      </x:c>
      <x:c r="K2158" s="26" t="n">
        <x:f>J2158*(G2158-H2158)-I2158*ROUNDUP(J2158/F2158,0)</x:f>
        <x:v>-306354.2186306667</x:v>
      </x:c>
      <x:c r="L2158" s="10" t="str">
        <x:f>IF(G2158-H2158&lt;=0,"未回本",IF(ROUNDUP(I2158/(G2158-H2158),0)&gt;MIN(F2158,J2158),"未回本",MAX(1,ROUNDUP(I2158/(G2158-H2158),0))))</x:f>
        <x:v>未回本</x:v>
      </x:c>
    </x:row>
    <x:row r="2159" ht="22" customHeight="1">
      <x:c r="A2159" s="11" t="str">
        <x:v>lade_0828_30aoi</x:v>
      </x:c>
      <x:c r="B2159" s="10" t="n">
        <x:v>30</x:v>
      </x:c>
      <x:c r="C2159" s="10" t="n">
        <x:v>44</x:v>
      </x:c>
      <x:c r="D2159" s="10" t="str">
        <x:v>M2 / M4</x:v>
      </x:c>
      <x:c r="E2159" s="16" t="n">
        <x:v>5</x:v>
      </x:c>
      <x:c r="F2159" s="14" t="n">
        <x:v>10</x:v>
      </x:c>
      <x:c r="G2159" s="26" t="n">
        <x:f>'成本明细'!U317+'成本明细'!G317*(E2159-'参数'!$B$6)</x:f>
        <x:v>3395.4565007250003</x:v>
      </x:c>
      <x:c r="H2159" s="26" t="n">
        <x:f>'成本明细'!U323</x:f>
        <x:v>3977.1810346300003</x:v>
      </x:c>
      <x:c r="I2159" s="26" t="n">
        <x:f>'成本明细'!V323</x:f>
        <x:v>8687</x:v>
      </x:c>
      <x:c r="J2159" s="22" t="n">
        <x:f>'参数'!$B$9</x:f>
        <x:v>300</x:v>
      </x:c>
      <x:c r="K2159" s="26" t="n">
        <x:f>J2159*(G2159-H2159)-I2159*ROUNDUP(J2159/F2159,0)</x:f>
        <x:v>-435127.3601715</x:v>
      </x:c>
      <x:c r="L2159" s="10" t="str">
        <x:f>IF(G2159-H2159&lt;=0,"未回本",IF(ROUNDUP(I2159/(G2159-H2159),0)&gt;MIN(F2159,J2159),"未回本",MAX(1,ROUNDUP(I2159/(G2159-H2159),0))))</x:f>
        <x:v>未回本</x:v>
      </x:c>
    </x:row>
    <x:row r="2160" ht="22" customHeight="1">
      <x:c r="A2160" s="11" t="str">
        <x:v>lade_0828_30aoi</x:v>
      </x:c>
      <x:c r="B2160" s="10" t="n">
        <x:v>30</x:v>
      </x:c>
      <x:c r="C2160" s="10" t="n">
        <x:v>44</x:v>
      </x:c>
      <x:c r="D2160" s="10" t="str">
        <x:v>M1 / M3</x:v>
      </x:c>
      <x:c r="E2160" s="16" t="n">
        <x:v>5</x:v>
      </x:c>
      <x:c r="F2160" s="14" t="n">
        <x:v>20</x:v>
      </x:c>
      <x:c r="G2160" s="26" t="n">
        <x:f>'成本明细'!U314+'成本明细'!G314*(E2160-'参数'!$B$6)</x:f>
        <x:v>3832.1749504944446</x:v>
      </x:c>
      <x:c r="H2160" s="26" t="n">
        <x:f>'成本明细'!U320</x:f>
        <x:v>3984.6556792633337</x:v>
      </x:c>
      <x:c r="I2160" s="26" t="n">
        <x:f>'成本明细'!V320</x:f>
        <x:v>8687</x:v>
      </x:c>
      <x:c r="J2160" s="22" t="n">
        <x:f>'参数'!$B$9</x:f>
        <x:v>300</x:v>
      </x:c>
      <x:c r="K2160" s="26" t="n">
        <x:f>J2160*(G2160-H2160)-I2160*ROUNDUP(J2160/F2160,0)</x:f>
        <x:v>-176049.21863066673</x:v>
      </x:c>
      <x:c r="L2160" s="10" t="str">
        <x:f>IF(G2160-H2160&lt;=0,"未回本",IF(ROUNDUP(I2160/(G2160-H2160),0)&gt;MIN(F2160,J2160),"未回本",MAX(1,ROUNDUP(I2160/(G2160-H2160),0))))</x:f>
        <x:v>未回本</x:v>
      </x:c>
    </x:row>
    <x:row r="2161" ht="22" customHeight="1">
      <x:c r="A2161" s="11" t="str">
        <x:v>lade_0828_30aoi</x:v>
      </x:c>
      <x:c r="B2161" s="10" t="n">
        <x:v>30</x:v>
      </x:c>
      <x:c r="C2161" s="10" t="n">
        <x:v>44</x:v>
      </x:c>
      <x:c r="D2161" s="10" t="str">
        <x:v>M2 / M4</x:v>
      </x:c>
      <x:c r="E2161" s="16" t="n">
        <x:v>5</x:v>
      </x:c>
      <x:c r="F2161" s="14" t="n">
        <x:v>20</x:v>
      </x:c>
      <x:c r="G2161" s="26" t="n">
        <x:f>'成本明细'!U317+'成本明细'!G317*(E2161-'参数'!$B$6)</x:f>
        <x:v>3395.4565007250003</x:v>
      </x:c>
      <x:c r="H2161" s="26" t="n">
        <x:f>'成本明细'!U323</x:f>
        <x:v>3977.1810346300003</x:v>
      </x:c>
      <x:c r="I2161" s="26" t="n">
        <x:f>'成本明细'!V323</x:f>
        <x:v>8687</x:v>
      </x:c>
      <x:c r="J2161" s="22" t="n">
        <x:f>'参数'!$B$9</x:f>
        <x:v>300</x:v>
      </x:c>
      <x:c r="K2161" s="26" t="n">
        <x:f>J2161*(G2161-H2161)-I2161*ROUNDUP(J2161/F2161,0)</x:f>
        <x:v>-304822.3601715</x:v>
      </x:c>
      <x:c r="L2161" s="10" t="str">
        <x:f>IF(G2161-H2161&lt;=0,"未回本",IF(ROUNDUP(I2161/(G2161-H2161),0)&gt;MIN(F2161,J2161),"未回本",MAX(1,ROUNDUP(I2161/(G2161-H2161),0))))</x:f>
        <x:v>未回本</x:v>
      </x:c>
    </x:row>
    <x:row r="2162" ht="22" customHeight="1">
      <x:c r="A2162" s="11" t="str">
        <x:v>lade_0828_30aoi</x:v>
      </x:c>
      <x:c r="B2162" s="10" t="n">
        <x:v>30</x:v>
      </x:c>
      <x:c r="C2162" s="10" t="n">
        <x:v>44</x:v>
      </x:c>
      <x:c r="D2162" s="10" t="str">
        <x:v>M1 / M3</x:v>
      </x:c>
      <x:c r="E2162" s="16" t="n">
        <x:v>5</x:v>
      </x:c>
      <x:c r="F2162" s="14" t="n">
        <x:v>30</x:v>
      </x:c>
      <x:c r="G2162" s="26" t="n">
        <x:f>'成本明细'!U314+'成本明细'!G314*(E2162-'参数'!$B$6)</x:f>
        <x:v>3832.1749504944446</x:v>
      </x:c>
      <x:c r="H2162" s="26" t="n">
        <x:f>'成本明细'!U320</x:f>
        <x:v>3984.6556792633337</x:v>
      </x:c>
      <x:c r="I2162" s="26" t="n">
        <x:f>'成本明细'!V320</x:f>
        <x:v>8687</x:v>
      </x:c>
      <x:c r="J2162" s="22" t="n">
        <x:f>'参数'!$B$9</x:f>
        <x:v>300</x:v>
      </x:c>
      <x:c r="K2162" s="26" t="n">
        <x:f>J2162*(G2162-H2162)-I2162*ROUNDUP(J2162/F2162,0)</x:f>
        <x:v>-132614.21863066673</x:v>
      </x:c>
      <x:c r="L2162" s="10" t="str">
        <x:f>IF(G2162-H2162&lt;=0,"未回本",IF(ROUNDUP(I2162/(G2162-H2162),0)&gt;MIN(F2162,J2162),"未回本",MAX(1,ROUNDUP(I2162/(G2162-H2162),0))))</x:f>
        <x:v>未回本</x:v>
      </x:c>
    </x:row>
    <x:row r="2163" ht="22" customHeight="1">
      <x:c r="A2163" s="11" t="str">
        <x:v>lade_0828_30aoi</x:v>
      </x:c>
      <x:c r="B2163" s="10" t="n">
        <x:v>30</x:v>
      </x:c>
      <x:c r="C2163" s="10" t="n">
        <x:v>44</x:v>
      </x:c>
      <x:c r="D2163" s="10" t="str">
        <x:v>M2 / M4</x:v>
      </x:c>
      <x:c r="E2163" s="16" t="n">
        <x:v>5</x:v>
      </x:c>
      <x:c r="F2163" s="14" t="n">
        <x:v>30</x:v>
      </x:c>
      <x:c r="G2163" s="26" t="n">
        <x:f>'成本明细'!U317+'成本明细'!G317*(E2163-'参数'!$B$6)</x:f>
        <x:v>3395.4565007250003</x:v>
      </x:c>
      <x:c r="H2163" s="26" t="n">
        <x:f>'成本明细'!U323</x:f>
        <x:v>3977.1810346300003</x:v>
      </x:c>
      <x:c r="I2163" s="26" t="n">
        <x:f>'成本明细'!V323</x:f>
        <x:v>8687</x:v>
      </x:c>
      <x:c r="J2163" s="22" t="n">
        <x:f>'参数'!$B$9</x:f>
        <x:v>300</x:v>
      </x:c>
      <x:c r="K2163" s="26" t="n">
        <x:f>J2163*(G2163-H2163)-I2163*ROUNDUP(J2163/F2163,0)</x:f>
        <x:v>-261387.3601715</x:v>
      </x:c>
      <x:c r="L2163" s="10" t="str">
        <x:f>IF(G2163-H2163&lt;=0,"未回本",IF(ROUNDUP(I2163/(G2163-H2163),0)&gt;MIN(F2163,J2163),"未回本",MAX(1,ROUNDUP(I2163/(G2163-H2163),0))))</x:f>
        <x:v>未回本</x:v>
      </x:c>
    </x:row>
    <x:row r="2164" ht="22" customHeight="1">
      <x:c r="A2164" s="11" t="str">
        <x:v>lade_0828_30aoi</x:v>
      </x:c>
      <x:c r="B2164" s="10" t="n">
        <x:v>30</x:v>
      </x:c>
      <x:c r="C2164" s="10" t="n">
        <x:v>44</x:v>
      </x:c>
      <x:c r="D2164" s="10" t="str">
        <x:v>M1 / M3</x:v>
      </x:c>
      <x:c r="E2164" s="16" t="n">
        <x:v>5</x:v>
      </x:c>
      <x:c r="F2164" s="14" t="n">
        <x:v>50</x:v>
      </x:c>
      <x:c r="G2164" s="26" t="n">
        <x:f>'成本明细'!U314+'成本明细'!G314*(E2164-'参数'!$B$6)</x:f>
        <x:v>3832.1749504944446</x:v>
      </x:c>
      <x:c r="H2164" s="26" t="n">
        <x:f>'成本明细'!U320</x:f>
        <x:v>3984.6556792633337</x:v>
      </x:c>
      <x:c r="I2164" s="26" t="n">
        <x:f>'成本明细'!V320</x:f>
        <x:v>8687</x:v>
      </x:c>
      <x:c r="J2164" s="22" t="n">
        <x:f>'参数'!$B$9</x:f>
        <x:v>300</x:v>
      </x:c>
      <x:c r="K2164" s="26" t="n">
        <x:f>J2164*(G2164-H2164)-I2164*ROUNDUP(J2164/F2164,0)</x:f>
        <x:v>-97866.21863066673</x:v>
      </x:c>
      <x:c r="L2164" s="10" t="str">
        <x:f>IF(G2164-H2164&lt;=0,"未回本",IF(ROUNDUP(I2164/(G2164-H2164),0)&gt;MIN(F2164,J2164),"未回本",MAX(1,ROUNDUP(I2164/(G2164-H2164),0))))</x:f>
        <x:v>未回本</x:v>
      </x:c>
    </x:row>
    <x:row r="2165" ht="22" customHeight="1">
      <x:c r="A2165" s="11" t="str">
        <x:v>lade_0828_30aoi</x:v>
      </x:c>
      <x:c r="B2165" s="10" t="n">
        <x:v>30</x:v>
      </x:c>
      <x:c r="C2165" s="10" t="n">
        <x:v>44</x:v>
      </x:c>
      <x:c r="D2165" s="10" t="str">
        <x:v>M2 / M4</x:v>
      </x:c>
      <x:c r="E2165" s="16" t="n">
        <x:v>5</x:v>
      </x:c>
      <x:c r="F2165" s="14" t="n">
        <x:v>50</x:v>
      </x:c>
      <x:c r="G2165" s="26" t="n">
        <x:f>'成本明细'!U317+'成本明细'!G317*(E2165-'参数'!$B$6)</x:f>
        <x:v>3395.4565007250003</x:v>
      </x:c>
      <x:c r="H2165" s="26" t="n">
        <x:f>'成本明细'!U323</x:f>
        <x:v>3977.1810346300003</x:v>
      </x:c>
      <x:c r="I2165" s="26" t="n">
        <x:f>'成本明细'!V323</x:f>
        <x:v>8687</x:v>
      </x:c>
      <x:c r="J2165" s="22" t="n">
        <x:f>'参数'!$B$9</x:f>
        <x:v>300</x:v>
      </x:c>
      <x:c r="K2165" s="26" t="n">
        <x:f>J2165*(G2165-H2165)-I2165*ROUNDUP(J2165/F2165,0)</x:f>
        <x:v>-226639.3601715</x:v>
      </x:c>
      <x:c r="L2165" s="10" t="str">
        <x:f>IF(G2165-H2165&lt;=0,"未回本",IF(ROUNDUP(I2165/(G2165-H2165),0)&gt;MIN(F2165,J2165),"未回本",MAX(1,ROUNDUP(I2165/(G2165-H2165),0))))</x:f>
        <x:v>未回本</x:v>
      </x:c>
    </x:row>
    <x:row r="2166" ht="22" customHeight="1">
      <x:c r="A2166" s="11" t="str">
        <x:v>lade_0829_10aoi</x:v>
      </x:c>
      <x:c r="B2166" s="10" t="n">
        <x:v>10</x:v>
      </x:c>
      <x:c r="C2166" s="10" t="n">
        <x:v>42</x:v>
      </x:c>
      <x:c r="D2166" s="10" t="str">
        <x:v>M1 / M3</x:v>
      </x:c>
      <x:c r="E2166" s="16" t="n">
        <x:v>1</x:v>
      </x:c>
      <x:c r="F2166" s="14" t="n">
        <x:v>10</x:v>
      </x:c>
      <x:c r="G2166" s="26" t="n">
        <x:f>'成本明细'!U330+'成本明细'!G330*(E2166-'参数'!$B$6)</x:f>
        <x:v>1436.6218747116666</x:v>
      </x:c>
      <x:c r="H2166" s="26" t="n">
        <x:f>'成本明细'!U336</x:f>
        <x:v>2316.168220803333</x:v>
      </x:c>
      <x:c r="I2166" s="26" t="n">
        <x:f>'成本明细'!V336</x:f>
        <x:v>4234</x:v>
      </x:c>
      <x:c r="J2166" s="22" t="n">
        <x:f>'参数'!$B$9</x:f>
        <x:v>300</x:v>
      </x:c>
      <x:c r="K2166" s="26" t="n">
        <x:f>J2166*(G2166-H2166)-I2166*ROUNDUP(J2166/F2166,0)</x:f>
        <x:v>-390883.90382749995</x:v>
      </x:c>
      <x:c r="L2166" s="10" t="str">
        <x:f>IF(G2166-H2166&lt;=0,"未回本",IF(ROUNDUP(I2166/(G2166-H2166),0)&gt;MIN(F2166,J2166),"未回本",MAX(1,ROUNDUP(I2166/(G2166-H2166),0))))</x:f>
        <x:v>未回本</x:v>
      </x:c>
    </x:row>
    <x:row r="2167" ht="22" customHeight="1">
      <x:c r="A2167" s="11" t="str">
        <x:v>lade_0829_10aoi</x:v>
      </x:c>
      <x:c r="B2167" s="10" t="n">
        <x:v>10</x:v>
      </x:c>
      <x:c r="C2167" s="10" t="n">
        <x:v>42</x:v>
      </x:c>
      <x:c r="D2167" s="10" t="str">
        <x:v>M2 / M4</x:v>
      </x:c>
      <x:c r="E2167" s="16" t="n">
        <x:v>1</x:v>
      </x:c>
      <x:c r="F2167" s="14" t="n">
        <x:v>10</x:v>
      </x:c>
      <x:c r="G2167" s="26" t="n">
        <x:f>'成本明细'!U333+'成本明细'!G333*(E2167-'参数'!$B$6)</x:f>
        <x:v>1436.6218747116666</x:v>
      </x:c>
      <x:c r="H2167" s="26" t="n">
        <x:f>'成本明细'!U339</x:f>
        <x:v>2319.480187583333</x:v>
      </x:c>
      <x:c r="I2167" s="26" t="n">
        <x:f>'成本明细'!V339</x:f>
        <x:v>4234</x:v>
      </x:c>
      <x:c r="J2167" s="22" t="n">
        <x:f>'参数'!$B$9</x:f>
        <x:v>300</x:v>
      </x:c>
      <x:c r="K2167" s="26" t="n">
        <x:f>J2167*(G2167-H2167)-I2167*ROUNDUP(J2167/F2167,0)</x:f>
        <x:v>-391877.4938615</x:v>
      </x:c>
      <x:c r="L2167" s="10" t="str">
        <x:f>IF(G2167-H2167&lt;=0,"未回本",IF(ROUNDUP(I2167/(G2167-H2167),0)&gt;MIN(F2167,J2167),"未回本",MAX(1,ROUNDUP(I2167/(G2167-H2167),0))))</x:f>
        <x:v>未回本</x:v>
      </x:c>
    </x:row>
    <x:row r="2168" ht="22" customHeight="1">
      <x:c r="A2168" s="11" t="str">
        <x:v>lade_0829_10aoi</x:v>
      </x:c>
      <x:c r="B2168" s="10" t="n">
        <x:v>10</x:v>
      </x:c>
      <x:c r="C2168" s="10" t="n">
        <x:v>42</x:v>
      </x:c>
      <x:c r="D2168" s="10" t="str">
        <x:v>M1 / M3</x:v>
      </x:c>
      <x:c r="E2168" s="16" t="n">
        <x:v>1</x:v>
      </x:c>
      <x:c r="F2168" s="14" t="n">
        <x:v>20</x:v>
      </x:c>
      <x:c r="G2168" s="26" t="n">
        <x:f>'成本明细'!U330+'成本明细'!G330*(E2168-'参数'!$B$6)</x:f>
        <x:v>1436.6218747116666</x:v>
      </x:c>
      <x:c r="H2168" s="26" t="n">
        <x:f>'成本明细'!U336</x:f>
        <x:v>2316.168220803333</x:v>
      </x:c>
      <x:c r="I2168" s="26" t="n">
        <x:f>'成本明细'!V336</x:f>
        <x:v>4234</x:v>
      </x:c>
      <x:c r="J2168" s="22" t="n">
        <x:f>'参数'!$B$9</x:f>
        <x:v>300</x:v>
      </x:c>
      <x:c r="K2168" s="26" t="n">
        <x:f>J2168*(G2168-H2168)-I2168*ROUNDUP(J2168/F2168,0)</x:f>
        <x:v>-327373.90382749995</x:v>
      </x:c>
      <x:c r="L2168" s="10" t="str">
        <x:f>IF(G2168-H2168&lt;=0,"未回本",IF(ROUNDUP(I2168/(G2168-H2168),0)&gt;MIN(F2168,J2168),"未回本",MAX(1,ROUNDUP(I2168/(G2168-H2168),0))))</x:f>
        <x:v>未回本</x:v>
      </x:c>
    </x:row>
    <x:row r="2169" ht="22" customHeight="1">
      <x:c r="A2169" s="11" t="str">
        <x:v>lade_0829_10aoi</x:v>
      </x:c>
      <x:c r="B2169" s="10" t="n">
        <x:v>10</x:v>
      </x:c>
      <x:c r="C2169" s="10" t="n">
        <x:v>42</x:v>
      </x:c>
      <x:c r="D2169" s="10" t="str">
        <x:v>M2 / M4</x:v>
      </x:c>
      <x:c r="E2169" s="16" t="n">
        <x:v>1</x:v>
      </x:c>
      <x:c r="F2169" s="14" t="n">
        <x:v>20</x:v>
      </x:c>
      <x:c r="G2169" s="26" t="n">
        <x:f>'成本明细'!U333+'成本明细'!G333*(E2169-'参数'!$B$6)</x:f>
        <x:v>1436.6218747116666</x:v>
      </x:c>
      <x:c r="H2169" s="26" t="n">
        <x:f>'成本明细'!U339</x:f>
        <x:v>2319.480187583333</x:v>
      </x:c>
      <x:c r="I2169" s="26" t="n">
        <x:f>'成本明细'!V339</x:f>
        <x:v>4234</x:v>
      </x:c>
      <x:c r="J2169" s="22" t="n">
        <x:f>'参数'!$B$9</x:f>
        <x:v>300</x:v>
      </x:c>
      <x:c r="K2169" s="26" t="n">
        <x:f>J2169*(G2169-H2169)-I2169*ROUNDUP(J2169/F2169,0)</x:f>
        <x:v>-328367.4938615</x:v>
      </x:c>
      <x:c r="L2169" s="10" t="str">
        <x:f>IF(G2169-H2169&lt;=0,"未回本",IF(ROUNDUP(I2169/(G2169-H2169),0)&gt;MIN(F2169,J2169),"未回本",MAX(1,ROUNDUP(I2169/(G2169-H2169),0))))</x:f>
        <x:v>未回本</x:v>
      </x:c>
    </x:row>
    <x:row r="2170" ht="22" customHeight="1">
      <x:c r="A2170" s="11" t="str">
        <x:v>lade_0829_10aoi</x:v>
      </x:c>
      <x:c r="B2170" s="10" t="n">
        <x:v>10</x:v>
      </x:c>
      <x:c r="C2170" s="10" t="n">
        <x:v>42</x:v>
      </x:c>
      <x:c r="D2170" s="10" t="str">
        <x:v>M1 / M3</x:v>
      </x:c>
      <x:c r="E2170" s="16" t="n">
        <x:v>1</x:v>
      </x:c>
      <x:c r="F2170" s="14" t="n">
        <x:v>30</x:v>
      </x:c>
      <x:c r="G2170" s="26" t="n">
        <x:f>'成本明细'!U330+'成本明细'!G330*(E2170-'参数'!$B$6)</x:f>
        <x:v>1436.6218747116666</x:v>
      </x:c>
      <x:c r="H2170" s="26" t="n">
        <x:f>'成本明细'!U336</x:f>
        <x:v>2316.168220803333</x:v>
      </x:c>
      <x:c r="I2170" s="26" t="n">
        <x:f>'成本明细'!V336</x:f>
        <x:v>4234</x:v>
      </x:c>
      <x:c r="J2170" s="22" t="n">
        <x:f>'参数'!$B$9</x:f>
        <x:v>300</x:v>
      </x:c>
      <x:c r="K2170" s="26" t="n">
        <x:f>J2170*(G2170-H2170)-I2170*ROUNDUP(J2170/F2170,0)</x:f>
        <x:v>-306203.90382749995</x:v>
      </x:c>
      <x:c r="L2170" s="10" t="str">
        <x:f>IF(G2170-H2170&lt;=0,"未回本",IF(ROUNDUP(I2170/(G2170-H2170),0)&gt;MIN(F2170,J2170),"未回本",MAX(1,ROUNDUP(I2170/(G2170-H2170),0))))</x:f>
        <x:v>未回本</x:v>
      </x:c>
    </x:row>
    <x:row r="2171" ht="22" customHeight="1">
      <x:c r="A2171" s="11" t="str">
        <x:v>lade_0829_10aoi</x:v>
      </x:c>
      <x:c r="B2171" s="10" t="n">
        <x:v>10</x:v>
      </x:c>
      <x:c r="C2171" s="10" t="n">
        <x:v>42</x:v>
      </x:c>
      <x:c r="D2171" s="10" t="str">
        <x:v>M2 / M4</x:v>
      </x:c>
      <x:c r="E2171" s="16" t="n">
        <x:v>1</x:v>
      </x:c>
      <x:c r="F2171" s="14" t="n">
        <x:v>30</x:v>
      </x:c>
      <x:c r="G2171" s="26" t="n">
        <x:f>'成本明细'!U333+'成本明细'!G333*(E2171-'参数'!$B$6)</x:f>
        <x:v>1436.6218747116666</x:v>
      </x:c>
      <x:c r="H2171" s="26" t="n">
        <x:f>'成本明细'!U339</x:f>
        <x:v>2319.480187583333</x:v>
      </x:c>
      <x:c r="I2171" s="26" t="n">
        <x:f>'成本明细'!V339</x:f>
        <x:v>4234</x:v>
      </x:c>
      <x:c r="J2171" s="22" t="n">
        <x:f>'参数'!$B$9</x:f>
        <x:v>300</x:v>
      </x:c>
      <x:c r="K2171" s="26" t="n">
        <x:f>J2171*(G2171-H2171)-I2171*ROUNDUP(J2171/F2171,0)</x:f>
        <x:v>-307197.4938615</x:v>
      </x:c>
      <x:c r="L2171" s="10" t="str">
        <x:f>IF(G2171-H2171&lt;=0,"未回本",IF(ROUNDUP(I2171/(G2171-H2171),0)&gt;MIN(F2171,J2171),"未回本",MAX(1,ROUNDUP(I2171/(G2171-H2171),0))))</x:f>
        <x:v>未回本</x:v>
      </x:c>
    </x:row>
    <x:row r="2172" ht="22" customHeight="1">
      <x:c r="A2172" s="11" t="str">
        <x:v>lade_0829_10aoi</x:v>
      </x:c>
      <x:c r="B2172" s="10" t="n">
        <x:v>10</x:v>
      </x:c>
      <x:c r="C2172" s="10" t="n">
        <x:v>42</x:v>
      </x:c>
      <x:c r="D2172" s="10" t="str">
        <x:v>M1 / M3</x:v>
      </x:c>
      <x:c r="E2172" s="16" t="n">
        <x:v>1</x:v>
      </x:c>
      <x:c r="F2172" s="14" t="n">
        <x:v>50</x:v>
      </x:c>
      <x:c r="G2172" s="26" t="n">
        <x:f>'成本明细'!U330+'成本明细'!G330*(E2172-'参数'!$B$6)</x:f>
        <x:v>1436.6218747116666</x:v>
      </x:c>
      <x:c r="H2172" s="26" t="n">
        <x:f>'成本明细'!U336</x:f>
        <x:v>2316.168220803333</x:v>
      </x:c>
      <x:c r="I2172" s="26" t="n">
        <x:f>'成本明细'!V336</x:f>
        <x:v>4234</x:v>
      </x:c>
      <x:c r="J2172" s="22" t="n">
        <x:f>'参数'!$B$9</x:f>
        <x:v>300</x:v>
      </x:c>
      <x:c r="K2172" s="26" t="n">
        <x:f>J2172*(G2172-H2172)-I2172*ROUNDUP(J2172/F2172,0)</x:f>
        <x:v>-289267.90382749995</x:v>
      </x:c>
      <x:c r="L2172" s="10" t="str">
        <x:f>IF(G2172-H2172&lt;=0,"未回本",IF(ROUNDUP(I2172/(G2172-H2172),0)&gt;MIN(F2172,J2172),"未回本",MAX(1,ROUNDUP(I2172/(G2172-H2172),0))))</x:f>
        <x:v>未回本</x:v>
      </x:c>
    </x:row>
    <x:row r="2173" ht="22" customHeight="1">
      <x:c r="A2173" s="11" t="str">
        <x:v>lade_0829_10aoi</x:v>
      </x:c>
      <x:c r="B2173" s="10" t="n">
        <x:v>10</x:v>
      </x:c>
      <x:c r="C2173" s="10" t="n">
        <x:v>42</x:v>
      </x:c>
      <x:c r="D2173" s="10" t="str">
        <x:v>M2 / M4</x:v>
      </x:c>
      <x:c r="E2173" s="16" t="n">
        <x:v>1</x:v>
      </x:c>
      <x:c r="F2173" s="14" t="n">
        <x:v>50</x:v>
      </x:c>
      <x:c r="G2173" s="26" t="n">
        <x:f>'成本明细'!U333+'成本明细'!G333*(E2173-'参数'!$B$6)</x:f>
        <x:v>1436.6218747116666</x:v>
      </x:c>
      <x:c r="H2173" s="26" t="n">
        <x:f>'成本明细'!U339</x:f>
        <x:v>2319.480187583333</x:v>
      </x:c>
      <x:c r="I2173" s="26" t="n">
        <x:f>'成本明细'!V339</x:f>
        <x:v>4234</x:v>
      </x:c>
      <x:c r="J2173" s="22" t="n">
        <x:f>'参数'!$B$9</x:f>
        <x:v>300</x:v>
      </x:c>
      <x:c r="K2173" s="26" t="n">
        <x:f>J2173*(G2173-H2173)-I2173*ROUNDUP(J2173/F2173,0)</x:f>
        <x:v>-290261.4938615</x:v>
      </x:c>
      <x:c r="L2173" s="10" t="str">
        <x:f>IF(G2173-H2173&lt;=0,"未回本",IF(ROUNDUP(I2173/(G2173-H2173),0)&gt;MIN(F2173,J2173),"未回本",MAX(1,ROUNDUP(I2173/(G2173-H2173),0))))</x:f>
        <x:v>未回本</x:v>
      </x:c>
    </x:row>
    <x:row r="2174" ht="22" customHeight="1">
      <x:c r="A2174" s="11" t="str">
        <x:v>lade_0829_10aoi</x:v>
      </x:c>
      <x:c r="B2174" s="10" t="n">
        <x:v>10</x:v>
      </x:c>
      <x:c r="C2174" s="10" t="n">
        <x:v>42</x:v>
      </x:c>
      <x:c r="D2174" s="10" t="str">
        <x:v>M1 / M3</x:v>
      </x:c>
      <x:c r="E2174" s="16" t="n">
        <x:v>2</x:v>
      </x:c>
      <x:c r="F2174" s="14" t="n">
        <x:v>10</x:v>
      </x:c>
      <x:c r="G2174" s="26" t="n">
        <x:f>'成本明细'!U330+'成本明细'!G330*(E2174-'参数'!$B$6)</x:f>
        <x:v>1552.6218747116666</x:v>
      </x:c>
      <x:c r="H2174" s="26" t="n">
        <x:f>'成本明细'!U336</x:f>
        <x:v>2316.168220803333</x:v>
      </x:c>
      <x:c r="I2174" s="26" t="n">
        <x:f>'成本明细'!V336</x:f>
        <x:v>4234</x:v>
      </x:c>
      <x:c r="J2174" s="22" t="n">
        <x:f>'参数'!$B$9</x:f>
        <x:v>300</x:v>
      </x:c>
      <x:c r="K2174" s="26" t="n">
        <x:f>J2174*(G2174-H2174)-I2174*ROUNDUP(J2174/F2174,0)</x:f>
        <x:v>-356083.90382749995</x:v>
      </x:c>
      <x:c r="L2174" s="10" t="str">
        <x:f>IF(G2174-H2174&lt;=0,"未回本",IF(ROUNDUP(I2174/(G2174-H2174),0)&gt;MIN(F2174,J2174),"未回本",MAX(1,ROUNDUP(I2174/(G2174-H2174),0))))</x:f>
        <x:v>未回本</x:v>
      </x:c>
    </x:row>
    <x:row r="2175" ht="22" customHeight="1">
      <x:c r="A2175" s="11" t="str">
        <x:v>lade_0829_10aoi</x:v>
      </x:c>
      <x:c r="B2175" s="10" t="n">
        <x:v>10</x:v>
      </x:c>
      <x:c r="C2175" s="10" t="n">
        <x:v>42</x:v>
      </x:c>
      <x:c r="D2175" s="10" t="str">
        <x:v>M2 / M4</x:v>
      </x:c>
      <x:c r="E2175" s="16" t="n">
        <x:v>2</x:v>
      </x:c>
      <x:c r="F2175" s="14" t="n">
        <x:v>10</x:v>
      </x:c>
      <x:c r="G2175" s="26" t="n">
        <x:f>'成本明细'!U333+'成本明细'!G333*(E2175-'参数'!$B$6)</x:f>
        <x:v>1552.6218747116666</x:v>
      </x:c>
      <x:c r="H2175" s="26" t="n">
        <x:f>'成本明细'!U339</x:f>
        <x:v>2319.480187583333</x:v>
      </x:c>
      <x:c r="I2175" s="26" t="n">
        <x:f>'成本明细'!V339</x:f>
        <x:v>4234</x:v>
      </x:c>
      <x:c r="J2175" s="22" t="n">
        <x:f>'参数'!$B$9</x:f>
        <x:v>300</x:v>
      </x:c>
      <x:c r="K2175" s="26" t="n">
        <x:f>J2175*(G2175-H2175)-I2175*ROUNDUP(J2175/F2175,0)</x:f>
        <x:v>-357077.49386149994</x:v>
      </x:c>
      <x:c r="L2175" s="10" t="str">
        <x:f>IF(G2175-H2175&lt;=0,"未回本",IF(ROUNDUP(I2175/(G2175-H2175),0)&gt;MIN(F2175,J2175),"未回本",MAX(1,ROUNDUP(I2175/(G2175-H2175),0))))</x:f>
        <x:v>未回本</x:v>
      </x:c>
    </x:row>
    <x:row r="2176" ht="22" customHeight="1">
      <x:c r="A2176" s="11" t="str">
        <x:v>lade_0829_10aoi</x:v>
      </x:c>
      <x:c r="B2176" s="10" t="n">
        <x:v>10</x:v>
      </x:c>
      <x:c r="C2176" s="10" t="n">
        <x:v>42</x:v>
      </x:c>
      <x:c r="D2176" s="10" t="str">
        <x:v>M1 / M3</x:v>
      </x:c>
      <x:c r="E2176" s="16" t="n">
        <x:v>2</x:v>
      </x:c>
      <x:c r="F2176" s="14" t="n">
        <x:v>20</x:v>
      </x:c>
      <x:c r="G2176" s="26" t="n">
        <x:f>'成本明细'!U330+'成本明细'!G330*(E2176-'参数'!$B$6)</x:f>
        <x:v>1552.6218747116666</x:v>
      </x:c>
      <x:c r="H2176" s="26" t="n">
        <x:f>'成本明细'!U336</x:f>
        <x:v>2316.168220803333</x:v>
      </x:c>
      <x:c r="I2176" s="26" t="n">
        <x:f>'成本明细'!V336</x:f>
        <x:v>4234</x:v>
      </x:c>
      <x:c r="J2176" s="22" t="n">
        <x:f>'参数'!$B$9</x:f>
        <x:v>300</x:v>
      </x:c>
      <x:c r="K2176" s="26" t="n">
        <x:f>J2176*(G2176-H2176)-I2176*ROUNDUP(J2176/F2176,0)</x:f>
        <x:v>-292573.90382749995</x:v>
      </x:c>
      <x:c r="L2176" s="10" t="str">
        <x:f>IF(G2176-H2176&lt;=0,"未回本",IF(ROUNDUP(I2176/(G2176-H2176),0)&gt;MIN(F2176,J2176),"未回本",MAX(1,ROUNDUP(I2176/(G2176-H2176),0))))</x:f>
        <x:v>未回本</x:v>
      </x:c>
    </x:row>
    <x:row r="2177" ht="22" customHeight="1">
      <x:c r="A2177" s="11" t="str">
        <x:v>lade_0829_10aoi</x:v>
      </x:c>
      <x:c r="B2177" s="10" t="n">
        <x:v>10</x:v>
      </x:c>
      <x:c r="C2177" s="10" t="n">
        <x:v>42</x:v>
      </x:c>
      <x:c r="D2177" s="10" t="str">
        <x:v>M2 / M4</x:v>
      </x:c>
      <x:c r="E2177" s="16" t="n">
        <x:v>2</x:v>
      </x:c>
      <x:c r="F2177" s="14" t="n">
        <x:v>20</x:v>
      </x:c>
      <x:c r="G2177" s="26" t="n">
        <x:f>'成本明细'!U333+'成本明细'!G333*(E2177-'参数'!$B$6)</x:f>
        <x:v>1552.6218747116666</x:v>
      </x:c>
      <x:c r="H2177" s="26" t="n">
        <x:f>'成本明细'!U339</x:f>
        <x:v>2319.480187583333</x:v>
      </x:c>
      <x:c r="I2177" s="26" t="n">
        <x:f>'成本明细'!V339</x:f>
        <x:v>4234</x:v>
      </x:c>
      <x:c r="J2177" s="22" t="n">
        <x:f>'参数'!$B$9</x:f>
        <x:v>300</x:v>
      </x:c>
      <x:c r="K2177" s="26" t="n">
        <x:f>J2177*(G2177-H2177)-I2177*ROUNDUP(J2177/F2177,0)</x:f>
        <x:v>-293567.49386149994</x:v>
      </x:c>
      <x:c r="L2177" s="10" t="str">
        <x:f>IF(G2177-H2177&lt;=0,"未回本",IF(ROUNDUP(I2177/(G2177-H2177),0)&gt;MIN(F2177,J2177),"未回本",MAX(1,ROUNDUP(I2177/(G2177-H2177),0))))</x:f>
        <x:v>未回本</x:v>
      </x:c>
    </x:row>
    <x:row r="2178" ht="22" customHeight="1">
      <x:c r="A2178" s="11" t="str">
        <x:v>lade_0829_10aoi</x:v>
      </x:c>
      <x:c r="B2178" s="10" t="n">
        <x:v>10</x:v>
      </x:c>
      <x:c r="C2178" s="10" t="n">
        <x:v>42</x:v>
      </x:c>
      <x:c r="D2178" s="10" t="str">
        <x:v>M1 / M3</x:v>
      </x:c>
      <x:c r="E2178" s="16" t="n">
        <x:v>2</x:v>
      </x:c>
      <x:c r="F2178" s="14" t="n">
        <x:v>30</x:v>
      </x:c>
      <x:c r="G2178" s="26" t="n">
        <x:f>'成本明细'!U330+'成本明细'!G330*(E2178-'参数'!$B$6)</x:f>
        <x:v>1552.6218747116666</x:v>
      </x:c>
      <x:c r="H2178" s="26" t="n">
        <x:f>'成本明细'!U336</x:f>
        <x:v>2316.168220803333</x:v>
      </x:c>
      <x:c r="I2178" s="26" t="n">
        <x:f>'成本明细'!V336</x:f>
        <x:v>4234</x:v>
      </x:c>
      <x:c r="J2178" s="22" t="n">
        <x:f>'参数'!$B$9</x:f>
        <x:v>300</x:v>
      </x:c>
      <x:c r="K2178" s="26" t="n">
        <x:f>J2178*(G2178-H2178)-I2178*ROUNDUP(J2178/F2178,0)</x:f>
        <x:v>-271403.90382749995</x:v>
      </x:c>
      <x:c r="L2178" s="10" t="str">
        <x:f>IF(G2178-H2178&lt;=0,"未回本",IF(ROUNDUP(I2178/(G2178-H2178),0)&gt;MIN(F2178,J2178),"未回本",MAX(1,ROUNDUP(I2178/(G2178-H2178),0))))</x:f>
        <x:v>未回本</x:v>
      </x:c>
    </x:row>
    <x:row r="2179" ht="22" customHeight="1">
      <x:c r="A2179" s="11" t="str">
        <x:v>lade_0829_10aoi</x:v>
      </x:c>
      <x:c r="B2179" s="10" t="n">
        <x:v>10</x:v>
      </x:c>
      <x:c r="C2179" s="10" t="n">
        <x:v>42</x:v>
      </x:c>
      <x:c r="D2179" s="10" t="str">
        <x:v>M2 / M4</x:v>
      </x:c>
      <x:c r="E2179" s="16" t="n">
        <x:v>2</x:v>
      </x:c>
      <x:c r="F2179" s="14" t="n">
        <x:v>30</x:v>
      </x:c>
      <x:c r="G2179" s="26" t="n">
        <x:f>'成本明细'!U333+'成本明细'!G333*(E2179-'参数'!$B$6)</x:f>
        <x:v>1552.6218747116666</x:v>
      </x:c>
      <x:c r="H2179" s="26" t="n">
        <x:f>'成本明细'!U339</x:f>
        <x:v>2319.480187583333</x:v>
      </x:c>
      <x:c r="I2179" s="26" t="n">
        <x:f>'成本明细'!V339</x:f>
        <x:v>4234</x:v>
      </x:c>
      <x:c r="J2179" s="22" t="n">
        <x:f>'参数'!$B$9</x:f>
        <x:v>300</x:v>
      </x:c>
      <x:c r="K2179" s="26" t="n">
        <x:f>J2179*(G2179-H2179)-I2179*ROUNDUP(J2179/F2179,0)</x:f>
        <x:v>-272397.49386149994</x:v>
      </x:c>
      <x:c r="L2179" s="10" t="str">
        <x:f>IF(G2179-H2179&lt;=0,"未回本",IF(ROUNDUP(I2179/(G2179-H2179),0)&gt;MIN(F2179,J2179),"未回本",MAX(1,ROUNDUP(I2179/(G2179-H2179),0))))</x:f>
        <x:v>未回本</x:v>
      </x:c>
    </x:row>
    <x:row r="2180" ht="22" customHeight="1">
      <x:c r="A2180" s="11" t="str">
        <x:v>lade_0829_10aoi</x:v>
      </x:c>
      <x:c r="B2180" s="10" t="n">
        <x:v>10</x:v>
      </x:c>
      <x:c r="C2180" s="10" t="n">
        <x:v>42</x:v>
      </x:c>
      <x:c r="D2180" s="10" t="str">
        <x:v>M1 / M3</x:v>
      </x:c>
      <x:c r="E2180" s="16" t="n">
        <x:v>2</x:v>
      </x:c>
      <x:c r="F2180" s="14" t="n">
        <x:v>50</x:v>
      </x:c>
      <x:c r="G2180" s="26" t="n">
        <x:f>'成本明细'!U330+'成本明细'!G330*(E2180-'参数'!$B$6)</x:f>
        <x:v>1552.6218747116666</x:v>
      </x:c>
      <x:c r="H2180" s="26" t="n">
        <x:f>'成本明细'!U336</x:f>
        <x:v>2316.168220803333</x:v>
      </x:c>
      <x:c r="I2180" s="26" t="n">
        <x:f>'成本明细'!V336</x:f>
        <x:v>4234</x:v>
      </x:c>
      <x:c r="J2180" s="22" t="n">
        <x:f>'参数'!$B$9</x:f>
        <x:v>300</x:v>
      </x:c>
      <x:c r="K2180" s="26" t="n">
        <x:f>J2180*(G2180-H2180)-I2180*ROUNDUP(J2180/F2180,0)</x:f>
        <x:v>-254467.90382749995</x:v>
      </x:c>
      <x:c r="L2180" s="10" t="str">
        <x:f>IF(G2180-H2180&lt;=0,"未回本",IF(ROUNDUP(I2180/(G2180-H2180),0)&gt;MIN(F2180,J2180),"未回本",MAX(1,ROUNDUP(I2180/(G2180-H2180),0))))</x:f>
        <x:v>未回本</x:v>
      </x:c>
    </x:row>
    <x:row r="2181" ht="22" customHeight="1">
      <x:c r="A2181" s="11" t="str">
        <x:v>lade_0829_10aoi</x:v>
      </x:c>
      <x:c r="B2181" s="10" t="n">
        <x:v>10</x:v>
      </x:c>
      <x:c r="C2181" s="10" t="n">
        <x:v>42</x:v>
      </x:c>
      <x:c r="D2181" s="10" t="str">
        <x:v>M2 / M4</x:v>
      </x:c>
      <x:c r="E2181" s="16" t="n">
        <x:v>2</x:v>
      </x:c>
      <x:c r="F2181" s="14" t="n">
        <x:v>50</x:v>
      </x:c>
      <x:c r="G2181" s="26" t="n">
        <x:f>'成本明细'!U333+'成本明细'!G333*(E2181-'参数'!$B$6)</x:f>
        <x:v>1552.6218747116666</x:v>
      </x:c>
      <x:c r="H2181" s="26" t="n">
        <x:f>'成本明细'!U339</x:f>
        <x:v>2319.480187583333</x:v>
      </x:c>
      <x:c r="I2181" s="26" t="n">
        <x:f>'成本明细'!V339</x:f>
        <x:v>4234</x:v>
      </x:c>
      <x:c r="J2181" s="22" t="n">
        <x:f>'参数'!$B$9</x:f>
        <x:v>300</x:v>
      </x:c>
      <x:c r="K2181" s="26" t="n">
        <x:f>J2181*(G2181-H2181)-I2181*ROUNDUP(J2181/F2181,0)</x:f>
        <x:v>-255461.49386149997</x:v>
      </x:c>
      <x:c r="L2181" s="10" t="str">
        <x:f>IF(G2181-H2181&lt;=0,"未回本",IF(ROUNDUP(I2181/(G2181-H2181),0)&gt;MIN(F2181,J2181),"未回本",MAX(1,ROUNDUP(I2181/(G2181-H2181),0))))</x:f>
        <x:v>未回本</x:v>
      </x:c>
    </x:row>
    <x:row r="2182" ht="22" customHeight="1">
      <x:c r="A2182" s="11" t="str">
        <x:v>lade_0829_10aoi</x:v>
      </x:c>
      <x:c r="B2182" s="10" t="n">
        <x:v>10</x:v>
      </x:c>
      <x:c r="C2182" s="10" t="n">
        <x:v>42</x:v>
      </x:c>
      <x:c r="D2182" s="10" t="str">
        <x:v>M1 / M3</x:v>
      </x:c>
      <x:c r="E2182" s="16" t="n">
        <x:v>3</x:v>
      </x:c>
      <x:c r="F2182" s="14" t="n">
        <x:v>10</x:v>
      </x:c>
      <x:c r="G2182" s="26" t="n">
        <x:f>'成本明细'!U330+'成本明细'!G330*(E2182-'参数'!$B$6)</x:f>
        <x:v>1668.6218747116666</x:v>
      </x:c>
      <x:c r="H2182" s="26" t="n">
        <x:f>'成本明细'!U336</x:f>
        <x:v>2316.168220803333</x:v>
      </x:c>
      <x:c r="I2182" s="26" t="n">
        <x:f>'成本明细'!V336</x:f>
        <x:v>4234</x:v>
      </x:c>
      <x:c r="J2182" s="22" t="n">
        <x:f>'参数'!$B$9</x:f>
        <x:v>300</x:v>
      </x:c>
      <x:c r="K2182" s="26" t="n">
        <x:f>J2182*(G2182-H2182)-I2182*ROUNDUP(J2182/F2182,0)</x:f>
        <x:v>-321283.90382749995</x:v>
      </x:c>
      <x:c r="L2182" s="10" t="str">
        <x:f>IF(G2182-H2182&lt;=0,"未回本",IF(ROUNDUP(I2182/(G2182-H2182),0)&gt;MIN(F2182,J2182),"未回本",MAX(1,ROUNDUP(I2182/(G2182-H2182),0))))</x:f>
        <x:v>未回本</x:v>
      </x:c>
    </x:row>
    <x:row r="2183" ht="22" customHeight="1">
      <x:c r="A2183" s="11" t="str">
        <x:v>lade_0829_10aoi</x:v>
      </x:c>
      <x:c r="B2183" s="10" t="n">
        <x:v>10</x:v>
      </x:c>
      <x:c r="C2183" s="10" t="n">
        <x:v>42</x:v>
      </x:c>
      <x:c r="D2183" s="10" t="str">
        <x:v>M2 / M4</x:v>
      </x:c>
      <x:c r="E2183" s="16" t="n">
        <x:v>3</x:v>
      </x:c>
      <x:c r="F2183" s="14" t="n">
        <x:v>10</x:v>
      </x:c>
      <x:c r="G2183" s="26" t="n">
        <x:f>'成本明细'!U333+'成本明细'!G333*(E2183-'参数'!$B$6)</x:f>
        <x:v>1668.6218747116666</x:v>
      </x:c>
      <x:c r="H2183" s="26" t="n">
        <x:f>'成本明细'!U339</x:f>
        <x:v>2319.480187583333</x:v>
      </x:c>
      <x:c r="I2183" s="26" t="n">
        <x:f>'成本明细'!V339</x:f>
        <x:v>4234</x:v>
      </x:c>
      <x:c r="J2183" s="22" t="n">
        <x:f>'参数'!$B$9</x:f>
        <x:v>300</x:v>
      </x:c>
      <x:c r="K2183" s="26" t="n">
        <x:f>J2183*(G2183-H2183)-I2183*ROUNDUP(J2183/F2183,0)</x:f>
        <x:v>-322277.49386149994</x:v>
      </x:c>
      <x:c r="L2183" s="10" t="str">
        <x:f>IF(G2183-H2183&lt;=0,"未回本",IF(ROUNDUP(I2183/(G2183-H2183),0)&gt;MIN(F2183,J2183),"未回本",MAX(1,ROUNDUP(I2183/(G2183-H2183),0))))</x:f>
        <x:v>未回本</x:v>
      </x:c>
    </x:row>
    <x:row r="2184" ht="22" customHeight="1">
      <x:c r="A2184" s="11" t="str">
        <x:v>lade_0829_10aoi</x:v>
      </x:c>
      <x:c r="B2184" s="10" t="n">
        <x:v>10</x:v>
      </x:c>
      <x:c r="C2184" s="10" t="n">
        <x:v>42</x:v>
      </x:c>
      <x:c r="D2184" s="10" t="str">
        <x:v>M1 / M3</x:v>
      </x:c>
      <x:c r="E2184" s="16" t="n">
        <x:v>3</x:v>
      </x:c>
      <x:c r="F2184" s="14" t="n">
        <x:v>20</x:v>
      </x:c>
      <x:c r="G2184" s="26" t="n">
        <x:f>'成本明细'!U330+'成本明细'!G330*(E2184-'参数'!$B$6)</x:f>
        <x:v>1668.6218747116666</x:v>
      </x:c>
      <x:c r="H2184" s="26" t="n">
        <x:f>'成本明细'!U336</x:f>
        <x:v>2316.168220803333</x:v>
      </x:c>
      <x:c r="I2184" s="26" t="n">
        <x:f>'成本明细'!V336</x:f>
        <x:v>4234</x:v>
      </x:c>
      <x:c r="J2184" s="22" t="n">
        <x:f>'参数'!$B$9</x:f>
        <x:v>300</x:v>
      </x:c>
      <x:c r="K2184" s="26" t="n">
        <x:f>J2184*(G2184-H2184)-I2184*ROUNDUP(J2184/F2184,0)</x:f>
        <x:v>-257773.90382749995</x:v>
      </x:c>
      <x:c r="L2184" s="10" t="str">
        <x:f>IF(G2184-H2184&lt;=0,"未回本",IF(ROUNDUP(I2184/(G2184-H2184),0)&gt;MIN(F2184,J2184),"未回本",MAX(1,ROUNDUP(I2184/(G2184-H2184),0))))</x:f>
        <x:v>未回本</x:v>
      </x:c>
    </x:row>
    <x:row r="2185" ht="22" customHeight="1">
      <x:c r="A2185" s="11" t="str">
        <x:v>lade_0829_10aoi</x:v>
      </x:c>
      <x:c r="B2185" s="10" t="n">
        <x:v>10</x:v>
      </x:c>
      <x:c r="C2185" s="10" t="n">
        <x:v>42</x:v>
      </x:c>
      <x:c r="D2185" s="10" t="str">
        <x:v>M2 / M4</x:v>
      </x:c>
      <x:c r="E2185" s="16" t="n">
        <x:v>3</x:v>
      </x:c>
      <x:c r="F2185" s="14" t="n">
        <x:v>20</x:v>
      </x:c>
      <x:c r="G2185" s="26" t="n">
        <x:f>'成本明细'!U333+'成本明细'!G333*(E2185-'参数'!$B$6)</x:f>
        <x:v>1668.6218747116666</x:v>
      </x:c>
      <x:c r="H2185" s="26" t="n">
        <x:f>'成本明细'!U339</x:f>
        <x:v>2319.480187583333</x:v>
      </x:c>
      <x:c r="I2185" s="26" t="n">
        <x:f>'成本明细'!V339</x:f>
        <x:v>4234</x:v>
      </x:c>
      <x:c r="J2185" s="22" t="n">
        <x:f>'参数'!$B$9</x:f>
        <x:v>300</x:v>
      </x:c>
      <x:c r="K2185" s="26" t="n">
        <x:f>J2185*(G2185-H2185)-I2185*ROUNDUP(J2185/F2185,0)</x:f>
        <x:v>-258767.49386149997</x:v>
      </x:c>
      <x:c r="L2185" s="10" t="str">
        <x:f>IF(G2185-H2185&lt;=0,"未回本",IF(ROUNDUP(I2185/(G2185-H2185),0)&gt;MIN(F2185,J2185),"未回本",MAX(1,ROUNDUP(I2185/(G2185-H2185),0))))</x:f>
        <x:v>未回本</x:v>
      </x:c>
    </x:row>
    <x:row r="2186" ht="22" customHeight="1">
      <x:c r="A2186" s="11" t="str">
        <x:v>lade_0829_10aoi</x:v>
      </x:c>
      <x:c r="B2186" s="10" t="n">
        <x:v>10</x:v>
      </x:c>
      <x:c r="C2186" s="10" t="n">
        <x:v>42</x:v>
      </x:c>
      <x:c r="D2186" s="10" t="str">
        <x:v>M1 / M3</x:v>
      </x:c>
      <x:c r="E2186" s="16" t="n">
        <x:v>3</x:v>
      </x:c>
      <x:c r="F2186" s="14" t="n">
        <x:v>30</x:v>
      </x:c>
      <x:c r="G2186" s="26" t="n">
        <x:f>'成本明细'!U330+'成本明细'!G330*(E2186-'参数'!$B$6)</x:f>
        <x:v>1668.6218747116666</x:v>
      </x:c>
      <x:c r="H2186" s="26" t="n">
        <x:f>'成本明细'!U336</x:f>
        <x:v>2316.168220803333</x:v>
      </x:c>
      <x:c r="I2186" s="26" t="n">
        <x:f>'成本明细'!V336</x:f>
        <x:v>4234</x:v>
      </x:c>
      <x:c r="J2186" s="22" t="n">
        <x:f>'参数'!$B$9</x:f>
        <x:v>300</x:v>
      </x:c>
      <x:c r="K2186" s="26" t="n">
        <x:f>J2186*(G2186-H2186)-I2186*ROUNDUP(J2186/F2186,0)</x:f>
        <x:v>-236603.90382749995</x:v>
      </x:c>
      <x:c r="L2186" s="10" t="str">
        <x:f>IF(G2186-H2186&lt;=0,"未回本",IF(ROUNDUP(I2186/(G2186-H2186),0)&gt;MIN(F2186,J2186),"未回本",MAX(1,ROUNDUP(I2186/(G2186-H2186),0))))</x:f>
        <x:v>未回本</x:v>
      </x:c>
    </x:row>
    <x:row r="2187" ht="22" customHeight="1">
      <x:c r="A2187" s="11" t="str">
        <x:v>lade_0829_10aoi</x:v>
      </x:c>
      <x:c r="B2187" s="10" t="n">
        <x:v>10</x:v>
      </x:c>
      <x:c r="C2187" s="10" t="n">
        <x:v>42</x:v>
      </x:c>
      <x:c r="D2187" s="10" t="str">
        <x:v>M2 / M4</x:v>
      </x:c>
      <x:c r="E2187" s="16" t="n">
        <x:v>3</x:v>
      </x:c>
      <x:c r="F2187" s="14" t="n">
        <x:v>30</x:v>
      </x:c>
      <x:c r="G2187" s="26" t="n">
        <x:f>'成本明细'!U333+'成本明细'!G333*(E2187-'参数'!$B$6)</x:f>
        <x:v>1668.6218747116666</x:v>
      </x:c>
      <x:c r="H2187" s="26" t="n">
        <x:f>'成本明细'!U339</x:f>
        <x:v>2319.480187583333</x:v>
      </x:c>
      <x:c r="I2187" s="26" t="n">
        <x:f>'成本明细'!V339</x:f>
        <x:v>4234</x:v>
      </x:c>
      <x:c r="J2187" s="22" t="n">
        <x:f>'参数'!$B$9</x:f>
        <x:v>300</x:v>
      </x:c>
      <x:c r="K2187" s="26" t="n">
        <x:f>J2187*(G2187-H2187)-I2187*ROUNDUP(J2187/F2187,0)</x:f>
        <x:v>-237597.49386149997</x:v>
      </x:c>
      <x:c r="L2187" s="10" t="str">
        <x:f>IF(G2187-H2187&lt;=0,"未回本",IF(ROUNDUP(I2187/(G2187-H2187),0)&gt;MIN(F2187,J2187),"未回本",MAX(1,ROUNDUP(I2187/(G2187-H2187),0))))</x:f>
        <x:v>未回本</x:v>
      </x:c>
    </x:row>
    <x:row r="2188" ht="22" customHeight="1">
      <x:c r="A2188" s="11" t="str">
        <x:v>lade_0829_10aoi</x:v>
      </x:c>
      <x:c r="B2188" s="10" t="n">
        <x:v>10</x:v>
      </x:c>
      <x:c r="C2188" s="10" t="n">
        <x:v>42</x:v>
      </x:c>
      <x:c r="D2188" s="10" t="str">
        <x:v>M1 / M3</x:v>
      </x:c>
      <x:c r="E2188" s="16" t="n">
        <x:v>3</x:v>
      </x:c>
      <x:c r="F2188" s="14" t="n">
        <x:v>50</x:v>
      </x:c>
      <x:c r="G2188" s="26" t="n">
        <x:f>'成本明细'!U330+'成本明细'!G330*(E2188-'参数'!$B$6)</x:f>
        <x:v>1668.6218747116666</x:v>
      </x:c>
      <x:c r="H2188" s="26" t="n">
        <x:f>'成本明细'!U336</x:f>
        <x:v>2316.168220803333</x:v>
      </x:c>
      <x:c r="I2188" s="26" t="n">
        <x:f>'成本明细'!V336</x:f>
        <x:v>4234</x:v>
      </x:c>
      <x:c r="J2188" s="22" t="n">
        <x:f>'参数'!$B$9</x:f>
        <x:v>300</x:v>
      </x:c>
      <x:c r="K2188" s="26" t="n">
        <x:f>J2188*(G2188-H2188)-I2188*ROUNDUP(J2188/F2188,0)</x:f>
        <x:v>-219667.90382749995</x:v>
      </x:c>
      <x:c r="L2188" s="10" t="str">
        <x:f>IF(G2188-H2188&lt;=0,"未回本",IF(ROUNDUP(I2188/(G2188-H2188),0)&gt;MIN(F2188,J2188),"未回本",MAX(1,ROUNDUP(I2188/(G2188-H2188),0))))</x:f>
        <x:v>未回本</x:v>
      </x:c>
    </x:row>
    <x:row r="2189" ht="22" customHeight="1">
      <x:c r="A2189" s="11" t="str">
        <x:v>lade_0829_10aoi</x:v>
      </x:c>
      <x:c r="B2189" s="10" t="n">
        <x:v>10</x:v>
      </x:c>
      <x:c r="C2189" s="10" t="n">
        <x:v>42</x:v>
      </x:c>
      <x:c r="D2189" s="10" t="str">
        <x:v>M2 / M4</x:v>
      </x:c>
      <x:c r="E2189" s="16" t="n">
        <x:v>3</x:v>
      </x:c>
      <x:c r="F2189" s="14" t="n">
        <x:v>50</x:v>
      </x:c>
      <x:c r="G2189" s="26" t="n">
        <x:f>'成本明细'!U333+'成本明细'!G333*(E2189-'参数'!$B$6)</x:f>
        <x:v>1668.6218747116666</x:v>
      </x:c>
      <x:c r="H2189" s="26" t="n">
        <x:f>'成本明细'!U339</x:f>
        <x:v>2319.480187583333</x:v>
      </x:c>
      <x:c r="I2189" s="26" t="n">
        <x:f>'成本明细'!V339</x:f>
        <x:v>4234</x:v>
      </x:c>
      <x:c r="J2189" s="22" t="n">
        <x:f>'参数'!$B$9</x:f>
        <x:v>300</x:v>
      </x:c>
      <x:c r="K2189" s="26" t="n">
        <x:f>J2189*(G2189-H2189)-I2189*ROUNDUP(J2189/F2189,0)</x:f>
        <x:v>-220661.49386149997</x:v>
      </x:c>
      <x:c r="L2189" s="10" t="str">
        <x:f>IF(G2189-H2189&lt;=0,"未回本",IF(ROUNDUP(I2189/(G2189-H2189),0)&gt;MIN(F2189,J2189),"未回本",MAX(1,ROUNDUP(I2189/(G2189-H2189),0))))</x:f>
        <x:v>未回本</x:v>
      </x:c>
    </x:row>
    <x:row r="2190" ht="22" customHeight="1">
      <x:c r="A2190" s="11" t="str">
        <x:v>lade_0829_10aoi</x:v>
      </x:c>
      <x:c r="B2190" s="10" t="n">
        <x:v>10</x:v>
      </x:c>
      <x:c r="C2190" s="10" t="n">
        <x:v>42</x:v>
      </x:c>
      <x:c r="D2190" s="10" t="str">
        <x:v>M1 / M3</x:v>
      </x:c>
      <x:c r="E2190" s="16" t="n">
        <x:v>4</x:v>
      </x:c>
      <x:c r="F2190" s="14" t="n">
        <x:v>10</x:v>
      </x:c>
      <x:c r="G2190" s="26" t="n">
        <x:f>'成本明细'!U330+'成本明细'!G330*(E2190-'参数'!$B$6)</x:f>
        <x:v>1784.6218747116666</x:v>
      </x:c>
      <x:c r="H2190" s="26" t="n">
        <x:f>'成本明细'!U336</x:f>
        <x:v>2316.168220803333</x:v>
      </x:c>
      <x:c r="I2190" s="26" t="n">
        <x:f>'成本明细'!V336</x:f>
        <x:v>4234</x:v>
      </x:c>
      <x:c r="J2190" s="22" t="n">
        <x:f>'参数'!$B$9</x:f>
        <x:v>300</x:v>
      </x:c>
      <x:c r="K2190" s="26" t="n">
        <x:f>J2190*(G2190-H2190)-I2190*ROUNDUP(J2190/F2190,0)</x:f>
        <x:v>-286483.90382749995</x:v>
      </x:c>
      <x:c r="L2190" s="10" t="str">
        <x:f>IF(G2190-H2190&lt;=0,"未回本",IF(ROUNDUP(I2190/(G2190-H2190),0)&gt;MIN(F2190,J2190),"未回本",MAX(1,ROUNDUP(I2190/(G2190-H2190),0))))</x:f>
        <x:v>未回本</x:v>
      </x:c>
    </x:row>
    <x:row r="2191" ht="22" customHeight="1">
      <x:c r="A2191" s="11" t="str">
        <x:v>lade_0829_10aoi</x:v>
      </x:c>
      <x:c r="B2191" s="10" t="n">
        <x:v>10</x:v>
      </x:c>
      <x:c r="C2191" s="10" t="n">
        <x:v>42</x:v>
      </x:c>
      <x:c r="D2191" s="10" t="str">
        <x:v>M2 / M4</x:v>
      </x:c>
      <x:c r="E2191" s="16" t="n">
        <x:v>4</x:v>
      </x:c>
      <x:c r="F2191" s="14" t="n">
        <x:v>10</x:v>
      </x:c>
      <x:c r="G2191" s="26" t="n">
        <x:f>'成本明细'!U333+'成本明细'!G333*(E2191-'参数'!$B$6)</x:f>
        <x:v>1784.6218747116666</x:v>
      </x:c>
      <x:c r="H2191" s="26" t="n">
        <x:f>'成本明细'!U339</x:f>
        <x:v>2319.480187583333</x:v>
      </x:c>
      <x:c r="I2191" s="26" t="n">
        <x:f>'成本明细'!V339</x:f>
        <x:v>4234</x:v>
      </x:c>
      <x:c r="J2191" s="22" t="n">
        <x:f>'参数'!$B$9</x:f>
        <x:v>300</x:v>
      </x:c>
      <x:c r="K2191" s="26" t="n">
        <x:f>J2191*(G2191-H2191)-I2191*ROUNDUP(J2191/F2191,0)</x:f>
        <x:v>-287477.49386149994</x:v>
      </x:c>
      <x:c r="L2191" s="10" t="str">
        <x:f>IF(G2191-H2191&lt;=0,"未回本",IF(ROUNDUP(I2191/(G2191-H2191),0)&gt;MIN(F2191,J2191),"未回本",MAX(1,ROUNDUP(I2191/(G2191-H2191),0))))</x:f>
        <x:v>未回本</x:v>
      </x:c>
    </x:row>
    <x:row r="2192" ht="22" customHeight="1">
      <x:c r="A2192" s="11" t="str">
        <x:v>lade_0829_10aoi</x:v>
      </x:c>
      <x:c r="B2192" s="10" t="n">
        <x:v>10</x:v>
      </x:c>
      <x:c r="C2192" s="10" t="n">
        <x:v>42</x:v>
      </x:c>
      <x:c r="D2192" s="10" t="str">
        <x:v>M1 / M3</x:v>
      </x:c>
      <x:c r="E2192" s="16" t="n">
        <x:v>4</x:v>
      </x:c>
      <x:c r="F2192" s="14" t="n">
        <x:v>20</x:v>
      </x:c>
      <x:c r="G2192" s="26" t="n">
        <x:f>'成本明细'!U330+'成本明细'!G330*(E2192-'参数'!$B$6)</x:f>
        <x:v>1784.6218747116666</x:v>
      </x:c>
      <x:c r="H2192" s="26" t="n">
        <x:f>'成本明细'!U336</x:f>
        <x:v>2316.168220803333</x:v>
      </x:c>
      <x:c r="I2192" s="26" t="n">
        <x:f>'成本明细'!V336</x:f>
        <x:v>4234</x:v>
      </x:c>
      <x:c r="J2192" s="22" t="n">
        <x:f>'参数'!$B$9</x:f>
        <x:v>300</x:v>
      </x:c>
      <x:c r="K2192" s="26" t="n">
        <x:f>J2192*(G2192-H2192)-I2192*ROUNDUP(J2192/F2192,0)</x:f>
        <x:v>-222973.90382749995</x:v>
      </x:c>
      <x:c r="L2192" s="10" t="str">
        <x:f>IF(G2192-H2192&lt;=0,"未回本",IF(ROUNDUP(I2192/(G2192-H2192),0)&gt;MIN(F2192,J2192),"未回本",MAX(1,ROUNDUP(I2192/(G2192-H2192),0))))</x:f>
        <x:v>未回本</x:v>
      </x:c>
    </x:row>
    <x:row r="2193" ht="22" customHeight="1">
      <x:c r="A2193" s="11" t="str">
        <x:v>lade_0829_10aoi</x:v>
      </x:c>
      <x:c r="B2193" s="10" t="n">
        <x:v>10</x:v>
      </x:c>
      <x:c r="C2193" s="10" t="n">
        <x:v>42</x:v>
      </x:c>
      <x:c r="D2193" s="10" t="str">
        <x:v>M2 / M4</x:v>
      </x:c>
      <x:c r="E2193" s="16" t="n">
        <x:v>4</x:v>
      </x:c>
      <x:c r="F2193" s="14" t="n">
        <x:v>20</x:v>
      </x:c>
      <x:c r="G2193" s="26" t="n">
        <x:f>'成本明细'!U333+'成本明细'!G333*(E2193-'参数'!$B$6)</x:f>
        <x:v>1784.6218747116666</x:v>
      </x:c>
      <x:c r="H2193" s="26" t="n">
        <x:f>'成本明细'!U339</x:f>
        <x:v>2319.480187583333</x:v>
      </x:c>
      <x:c r="I2193" s="26" t="n">
        <x:f>'成本明细'!V339</x:f>
        <x:v>4234</x:v>
      </x:c>
      <x:c r="J2193" s="22" t="n">
        <x:f>'参数'!$B$9</x:f>
        <x:v>300</x:v>
      </x:c>
      <x:c r="K2193" s="26" t="n">
        <x:f>J2193*(G2193-H2193)-I2193*ROUNDUP(J2193/F2193,0)</x:f>
        <x:v>-223967.49386149997</x:v>
      </x:c>
      <x:c r="L2193" s="10" t="str">
        <x:f>IF(G2193-H2193&lt;=0,"未回本",IF(ROUNDUP(I2193/(G2193-H2193),0)&gt;MIN(F2193,J2193),"未回本",MAX(1,ROUNDUP(I2193/(G2193-H2193),0))))</x:f>
        <x:v>未回本</x:v>
      </x:c>
    </x:row>
    <x:row r="2194" ht="22" customHeight="1">
      <x:c r="A2194" s="11" t="str">
        <x:v>lade_0829_10aoi</x:v>
      </x:c>
      <x:c r="B2194" s="10" t="n">
        <x:v>10</x:v>
      </x:c>
      <x:c r="C2194" s="10" t="n">
        <x:v>42</x:v>
      </x:c>
      <x:c r="D2194" s="10" t="str">
        <x:v>M1 / M3</x:v>
      </x:c>
      <x:c r="E2194" s="16" t="n">
        <x:v>4</x:v>
      </x:c>
      <x:c r="F2194" s="14" t="n">
        <x:v>30</x:v>
      </x:c>
      <x:c r="G2194" s="26" t="n">
        <x:f>'成本明细'!U330+'成本明细'!G330*(E2194-'参数'!$B$6)</x:f>
        <x:v>1784.6218747116666</x:v>
      </x:c>
      <x:c r="H2194" s="26" t="n">
        <x:f>'成本明细'!U336</x:f>
        <x:v>2316.168220803333</x:v>
      </x:c>
      <x:c r="I2194" s="26" t="n">
        <x:f>'成本明细'!V336</x:f>
        <x:v>4234</x:v>
      </x:c>
      <x:c r="J2194" s="22" t="n">
        <x:f>'参数'!$B$9</x:f>
        <x:v>300</x:v>
      </x:c>
      <x:c r="K2194" s="26" t="n">
        <x:f>J2194*(G2194-H2194)-I2194*ROUNDUP(J2194/F2194,0)</x:f>
        <x:v>-201803.90382749995</x:v>
      </x:c>
      <x:c r="L2194" s="10" t="str">
        <x:f>IF(G2194-H2194&lt;=0,"未回本",IF(ROUNDUP(I2194/(G2194-H2194),0)&gt;MIN(F2194,J2194),"未回本",MAX(1,ROUNDUP(I2194/(G2194-H2194),0))))</x:f>
        <x:v>未回本</x:v>
      </x:c>
    </x:row>
    <x:row r="2195" ht="22" customHeight="1">
      <x:c r="A2195" s="11" t="str">
        <x:v>lade_0829_10aoi</x:v>
      </x:c>
      <x:c r="B2195" s="10" t="n">
        <x:v>10</x:v>
      </x:c>
      <x:c r="C2195" s="10" t="n">
        <x:v>42</x:v>
      </x:c>
      <x:c r="D2195" s="10" t="str">
        <x:v>M2 / M4</x:v>
      </x:c>
      <x:c r="E2195" s="16" t="n">
        <x:v>4</x:v>
      </x:c>
      <x:c r="F2195" s="14" t="n">
        <x:v>30</x:v>
      </x:c>
      <x:c r="G2195" s="26" t="n">
        <x:f>'成本明细'!U333+'成本明细'!G333*(E2195-'参数'!$B$6)</x:f>
        <x:v>1784.6218747116666</x:v>
      </x:c>
      <x:c r="H2195" s="26" t="n">
        <x:f>'成本明细'!U339</x:f>
        <x:v>2319.480187583333</x:v>
      </x:c>
      <x:c r="I2195" s="26" t="n">
        <x:f>'成本明细'!V339</x:f>
        <x:v>4234</x:v>
      </x:c>
      <x:c r="J2195" s="22" t="n">
        <x:f>'参数'!$B$9</x:f>
        <x:v>300</x:v>
      </x:c>
      <x:c r="K2195" s="26" t="n">
        <x:f>J2195*(G2195-H2195)-I2195*ROUNDUP(J2195/F2195,0)</x:f>
        <x:v>-202797.49386149997</x:v>
      </x:c>
      <x:c r="L2195" s="10" t="str">
        <x:f>IF(G2195-H2195&lt;=0,"未回本",IF(ROUNDUP(I2195/(G2195-H2195),0)&gt;MIN(F2195,J2195),"未回本",MAX(1,ROUNDUP(I2195/(G2195-H2195),0))))</x:f>
        <x:v>未回本</x:v>
      </x:c>
    </x:row>
    <x:row r="2196" ht="22" customHeight="1">
      <x:c r="A2196" s="11" t="str">
        <x:v>lade_0829_10aoi</x:v>
      </x:c>
      <x:c r="B2196" s="10" t="n">
        <x:v>10</x:v>
      </x:c>
      <x:c r="C2196" s="10" t="n">
        <x:v>42</x:v>
      </x:c>
      <x:c r="D2196" s="10" t="str">
        <x:v>M1 / M3</x:v>
      </x:c>
      <x:c r="E2196" s="16" t="n">
        <x:v>4</x:v>
      </x:c>
      <x:c r="F2196" s="14" t="n">
        <x:v>50</x:v>
      </x:c>
      <x:c r="G2196" s="26" t="n">
        <x:f>'成本明细'!U330+'成本明细'!G330*(E2196-'参数'!$B$6)</x:f>
        <x:v>1784.6218747116666</x:v>
      </x:c>
      <x:c r="H2196" s="26" t="n">
        <x:f>'成本明细'!U336</x:f>
        <x:v>2316.168220803333</x:v>
      </x:c>
      <x:c r="I2196" s="26" t="n">
        <x:f>'成本明细'!V336</x:f>
        <x:v>4234</x:v>
      </x:c>
      <x:c r="J2196" s="22" t="n">
        <x:f>'参数'!$B$9</x:f>
        <x:v>300</x:v>
      </x:c>
      <x:c r="K2196" s="26" t="n">
        <x:f>J2196*(G2196-H2196)-I2196*ROUNDUP(J2196/F2196,0)</x:f>
        <x:v>-184867.90382749995</x:v>
      </x:c>
      <x:c r="L2196" s="10" t="str">
        <x:f>IF(G2196-H2196&lt;=0,"未回本",IF(ROUNDUP(I2196/(G2196-H2196),0)&gt;MIN(F2196,J2196),"未回本",MAX(1,ROUNDUP(I2196/(G2196-H2196),0))))</x:f>
        <x:v>未回本</x:v>
      </x:c>
    </x:row>
    <x:row r="2197" ht="22" customHeight="1">
      <x:c r="A2197" s="11" t="str">
        <x:v>lade_0829_10aoi</x:v>
      </x:c>
      <x:c r="B2197" s="10" t="n">
        <x:v>10</x:v>
      </x:c>
      <x:c r="C2197" s="10" t="n">
        <x:v>42</x:v>
      </x:c>
      <x:c r="D2197" s="10" t="str">
        <x:v>M2 / M4</x:v>
      </x:c>
      <x:c r="E2197" s="16" t="n">
        <x:v>4</x:v>
      </x:c>
      <x:c r="F2197" s="14" t="n">
        <x:v>50</x:v>
      </x:c>
      <x:c r="G2197" s="26" t="n">
        <x:f>'成本明细'!U333+'成本明细'!G333*(E2197-'参数'!$B$6)</x:f>
        <x:v>1784.6218747116666</x:v>
      </x:c>
      <x:c r="H2197" s="26" t="n">
        <x:f>'成本明细'!U339</x:f>
        <x:v>2319.480187583333</x:v>
      </x:c>
      <x:c r="I2197" s="26" t="n">
        <x:f>'成本明细'!V339</x:f>
        <x:v>4234</x:v>
      </x:c>
      <x:c r="J2197" s="22" t="n">
        <x:f>'参数'!$B$9</x:f>
        <x:v>300</x:v>
      </x:c>
      <x:c r="K2197" s="26" t="n">
        <x:f>J2197*(G2197-H2197)-I2197*ROUNDUP(J2197/F2197,0)</x:f>
        <x:v>-185861.49386149997</x:v>
      </x:c>
      <x:c r="L2197" s="10" t="str">
        <x:f>IF(G2197-H2197&lt;=0,"未回本",IF(ROUNDUP(I2197/(G2197-H2197),0)&gt;MIN(F2197,J2197),"未回本",MAX(1,ROUNDUP(I2197/(G2197-H2197),0))))</x:f>
        <x:v>未回本</x:v>
      </x:c>
    </x:row>
    <x:row r="2198" ht="22" customHeight="1">
      <x:c r="A2198" s="11" t="str">
        <x:v>lade_0829_10aoi</x:v>
      </x:c>
      <x:c r="B2198" s="10" t="n">
        <x:v>10</x:v>
      </x:c>
      <x:c r="C2198" s="10" t="n">
        <x:v>42</x:v>
      </x:c>
      <x:c r="D2198" s="10" t="str">
        <x:v>M1 / M3</x:v>
      </x:c>
      <x:c r="E2198" s="16" t="n">
        <x:v>5</x:v>
      </x:c>
      <x:c r="F2198" s="14" t="n">
        <x:v>10</x:v>
      </x:c>
      <x:c r="G2198" s="26" t="n">
        <x:f>'成本明细'!U330+'成本明细'!G330*(E2198-'参数'!$B$6)</x:f>
        <x:v>1900.6218747116666</x:v>
      </x:c>
      <x:c r="H2198" s="26" t="n">
        <x:f>'成本明细'!U336</x:f>
        <x:v>2316.168220803333</x:v>
      </x:c>
      <x:c r="I2198" s="26" t="n">
        <x:f>'成本明细'!V336</x:f>
        <x:v>4234</x:v>
      </x:c>
      <x:c r="J2198" s="22" t="n">
        <x:f>'参数'!$B$9</x:f>
        <x:v>300</x:v>
      </x:c>
      <x:c r="K2198" s="26" t="n">
        <x:f>J2198*(G2198-H2198)-I2198*ROUNDUP(J2198/F2198,0)</x:f>
        <x:v>-251683.90382749995</x:v>
      </x:c>
      <x:c r="L2198" s="10" t="str">
        <x:f>IF(G2198-H2198&lt;=0,"未回本",IF(ROUNDUP(I2198/(G2198-H2198),0)&gt;MIN(F2198,J2198),"未回本",MAX(1,ROUNDUP(I2198/(G2198-H2198),0))))</x:f>
        <x:v>未回本</x:v>
      </x:c>
    </x:row>
    <x:row r="2199" ht="22" customHeight="1">
      <x:c r="A2199" s="11" t="str">
        <x:v>lade_0829_10aoi</x:v>
      </x:c>
      <x:c r="B2199" s="10" t="n">
        <x:v>10</x:v>
      </x:c>
      <x:c r="C2199" s="10" t="n">
        <x:v>42</x:v>
      </x:c>
      <x:c r="D2199" s="10" t="str">
        <x:v>M2 / M4</x:v>
      </x:c>
      <x:c r="E2199" s="16" t="n">
        <x:v>5</x:v>
      </x:c>
      <x:c r="F2199" s="14" t="n">
        <x:v>10</x:v>
      </x:c>
      <x:c r="G2199" s="26" t="n">
        <x:f>'成本明细'!U333+'成本明细'!G333*(E2199-'参数'!$B$6)</x:f>
        <x:v>1900.6218747116666</x:v>
      </x:c>
      <x:c r="H2199" s="26" t="n">
        <x:f>'成本明细'!U339</x:f>
        <x:v>2319.480187583333</x:v>
      </x:c>
      <x:c r="I2199" s="26" t="n">
        <x:f>'成本明细'!V339</x:f>
        <x:v>4234</x:v>
      </x:c>
      <x:c r="J2199" s="22" t="n">
        <x:f>'参数'!$B$9</x:f>
        <x:v>300</x:v>
      </x:c>
      <x:c r="K2199" s="26" t="n">
        <x:f>J2199*(G2199-H2199)-I2199*ROUNDUP(J2199/F2199,0)</x:f>
        <x:v>-252677.4938615</x:v>
      </x:c>
      <x:c r="L2199" s="10" t="str">
        <x:f>IF(G2199-H2199&lt;=0,"未回本",IF(ROUNDUP(I2199/(G2199-H2199),0)&gt;MIN(F2199,J2199),"未回本",MAX(1,ROUNDUP(I2199/(G2199-H2199),0))))</x:f>
        <x:v>未回本</x:v>
      </x:c>
    </x:row>
    <x:row r="2200" ht="22" customHeight="1">
      <x:c r="A2200" s="11" t="str">
        <x:v>lade_0829_10aoi</x:v>
      </x:c>
      <x:c r="B2200" s="10" t="n">
        <x:v>10</x:v>
      </x:c>
      <x:c r="C2200" s="10" t="n">
        <x:v>42</x:v>
      </x:c>
      <x:c r="D2200" s="10" t="str">
        <x:v>M1 / M3</x:v>
      </x:c>
      <x:c r="E2200" s="16" t="n">
        <x:v>5</x:v>
      </x:c>
      <x:c r="F2200" s="14" t="n">
        <x:v>20</x:v>
      </x:c>
      <x:c r="G2200" s="26" t="n">
        <x:f>'成本明细'!U330+'成本明细'!G330*(E2200-'参数'!$B$6)</x:f>
        <x:v>1900.6218747116666</x:v>
      </x:c>
      <x:c r="H2200" s="26" t="n">
        <x:f>'成本明细'!U336</x:f>
        <x:v>2316.168220803333</x:v>
      </x:c>
      <x:c r="I2200" s="26" t="n">
        <x:f>'成本明细'!V336</x:f>
        <x:v>4234</x:v>
      </x:c>
      <x:c r="J2200" s="22" t="n">
        <x:f>'参数'!$B$9</x:f>
        <x:v>300</x:v>
      </x:c>
      <x:c r="K2200" s="26" t="n">
        <x:f>J2200*(G2200-H2200)-I2200*ROUNDUP(J2200/F2200,0)</x:f>
        <x:v>-188173.90382749995</x:v>
      </x:c>
      <x:c r="L2200" s="10" t="str">
        <x:f>IF(G2200-H2200&lt;=0,"未回本",IF(ROUNDUP(I2200/(G2200-H2200),0)&gt;MIN(F2200,J2200),"未回本",MAX(1,ROUNDUP(I2200/(G2200-H2200),0))))</x:f>
        <x:v>未回本</x:v>
      </x:c>
    </x:row>
    <x:row r="2201" ht="22" customHeight="1">
      <x:c r="A2201" s="11" t="str">
        <x:v>lade_0829_10aoi</x:v>
      </x:c>
      <x:c r="B2201" s="10" t="n">
        <x:v>10</x:v>
      </x:c>
      <x:c r="C2201" s="10" t="n">
        <x:v>42</x:v>
      </x:c>
      <x:c r="D2201" s="10" t="str">
        <x:v>M2 / M4</x:v>
      </x:c>
      <x:c r="E2201" s="16" t="n">
        <x:v>5</x:v>
      </x:c>
      <x:c r="F2201" s="14" t="n">
        <x:v>20</x:v>
      </x:c>
      <x:c r="G2201" s="26" t="n">
        <x:f>'成本明细'!U333+'成本明细'!G333*(E2201-'参数'!$B$6)</x:f>
        <x:v>1900.6218747116666</x:v>
      </x:c>
      <x:c r="H2201" s="26" t="n">
        <x:f>'成本明细'!U339</x:f>
        <x:v>2319.480187583333</x:v>
      </x:c>
      <x:c r="I2201" s="26" t="n">
        <x:f>'成本明细'!V339</x:f>
        <x:v>4234</x:v>
      </x:c>
      <x:c r="J2201" s="22" t="n">
        <x:f>'参数'!$B$9</x:f>
        <x:v>300</x:v>
      </x:c>
      <x:c r="K2201" s="26" t="n">
        <x:f>J2201*(G2201-H2201)-I2201*ROUNDUP(J2201/F2201,0)</x:f>
        <x:v>-189167.4938615</x:v>
      </x:c>
      <x:c r="L2201" s="10" t="str">
        <x:f>IF(G2201-H2201&lt;=0,"未回本",IF(ROUNDUP(I2201/(G2201-H2201),0)&gt;MIN(F2201,J2201),"未回本",MAX(1,ROUNDUP(I2201/(G2201-H2201),0))))</x:f>
        <x:v>未回本</x:v>
      </x:c>
    </x:row>
    <x:row r="2202" ht="22" customHeight="1">
      <x:c r="A2202" s="11" t="str">
        <x:v>lade_0829_10aoi</x:v>
      </x:c>
      <x:c r="B2202" s="10" t="n">
        <x:v>10</x:v>
      </x:c>
      <x:c r="C2202" s="10" t="n">
        <x:v>42</x:v>
      </x:c>
      <x:c r="D2202" s="10" t="str">
        <x:v>M1 / M3</x:v>
      </x:c>
      <x:c r="E2202" s="16" t="n">
        <x:v>5</x:v>
      </x:c>
      <x:c r="F2202" s="14" t="n">
        <x:v>30</x:v>
      </x:c>
      <x:c r="G2202" s="26" t="n">
        <x:f>'成本明细'!U330+'成本明细'!G330*(E2202-'参数'!$B$6)</x:f>
        <x:v>1900.6218747116666</x:v>
      </x:c>
      <x:c r="H2202" s="26" t="n">
        <x:f>'成本明细'!U336</x:f>
        <x:v>2316.168220803333</x:v>
      </x:c>
      <x:c r="I2202" s="26" t="n">
        <x:f>'成本明细'!V336</x:f>
        <x:v>4234</x:v>
      </x:c>
      <x:c r="J2202" s="22" t="n">
        <x:f>'参数'!$B$9</x:f>
        <x:v>300</x:v>
      </x:c>
      <x:c r="K2202" s="26" t="n">
        <x:f>J2202*(G2202-H2202)-I2202*ROUNDUP(J2202/F2202,0)</x:f>
        <x:v>-167003.90382749995</x:v>
      </x:c>
      <x:c r="L2202" s="10" t="str">
        <x:f>IF(G2202-H2202&lt;=0,"未回本",IF(ROUNDUP(I2202/(G2202-H2202),0)&gt;MIN(F2202,J2202),"未回本",MAX(1,ROUNDUP(I2202/(G2202-H2202),0))))</x:f>
        <x:v>未回本</x:v>
      </x:c>
    </x:row>
    <x:row r="2203" ht="22" customHeight="1">
      <x:c r="A2203" s="11" t="str">
        <x:v>lade_0829_10aoi</x:v>
      </x:c>
      <x:c r="B2203" s="10" t="n">
        <x:v>10</x:v>
      </x:c>
      <x:c r="C2203" s="10" t="n">
        <x:v>42</x:v>
      </x:c>
      <x:c r="D2203" s="10" t="str">
        <x:v>M2 / M4</x:v>
      </x:c>
      <x:c r="E2203" s="16" t="n">
        <x:v>5</x:v>
      </x:c>
      <x:c r="F2203" s="14" t="n">
        <x:v>30</x:v>
      </x:c>
      <x:c r="G2203" s="26" t="n">
        <x:f>'成本明细'!U333+'成本明细'!G333*(E2203-'参数'!$B$6)</x:f>
        <x:v>1900.6218747116666</x:v>
      </x:c>
      <x:c r="H2203" s="26" t="n">
        <x:f>'成本明细'!U339</x:f>
        <x:v>2319.480187583333</x:v>
      </x:c>
      <x:c r="I2203" s="26" t="n">
        <x:f>'成本明细'!V339</x:f>
        <x:v>4234</x:v>
      </x:c>
      <x:c r="J2203" s="22" t="n">
        <x:f>'参数'!$B$9</x:f>
        <x:v>300</x:v>
      </x:c>
      <x:c r="K2203" s="26" t="n">
        <x:f>J2203*(G2203-H2203)-I2203*ROUNDUP(J2203/F2203,0)</x:f>
        <x:v>-167997.4938615</x:v>
      </x:c>
      <x:c r="L2203" s="10" t="str">
        <x:f>IF(G2203-H2203&lt;=0,"未回本",IF(ROUNDUP(I2203/(G2203-H2203),0)&gt;MIN(F2203,J2203),"未回本",MAX(1,ROUNDUP(I2203/(G2203-H2203),0))))</x:f>
        <x:v>未回本</x:v>
      </x:c>
    </x:row>
    <x:row r="2204" ht="22" customHeight="1">
      <x:c r="A2204" s="11" t="str">
        <x:v>lade_0829_10aoi</x:v>
      </x:c>
      <x:c r="B2204" s="10" t="n">
        <x:v>10</x:v>
      </x:c>
      <x:c r="C2204" s="10" t="n">
        <x:v>42</x:v>
      </x:c>
      <x:c r="D2204" s="10" t="str">
        <x:v>M1 / M3</x:v>
      </x:c>
      <x:c r="E2204" s="16" t="n">
        <x:v>5</x:v>
      </x:c>
      <x:c r="F2204" s="14" t="n">
        <x:v>50</x:v>
      </x:c>
      <x:c r="G2204" s="26" t="n">
        <x:f>'成本明细'!U330+'成本明细'!G330*(E2204-'参数'!$B$6)</x:f>
        <x:v>1900.6218747116666</x:v>
      </x:c>
      <x:c r="H2204" s="26" t="n">
        <x:f>'成本明细'!U336</x:f>
        <x:v>2316.168220803333</x:v>
      </x:c>
      <x:c r="I2204" s="26" t="n">
        <x:f>'成本明细'!V336</x:f>
        <x:v>4234</x:v>
      </x:c>
      <x:c r="J2204" s="22" t="n">
        <x:f>'参数'!$B$9</x:f>
        <x:v>300</x:v>
      </x:c>
      <x:c r="K2204" s="26" t="n">
        <x:f>J2204*(G2204-H2204)-I2204*ROUNDUP(J2204/F2204,0)</x:f>
        <x:v>-150067.90382749995</x:v>
      </x:c>
      <x:c r="L2204" s="10" t="str">
        <x:f>IF(G2204-H2204&lt;=0,"未回本",IF(ROUNDUP(I2204/(G2204-H2204),0)&gt;MIN(F2204,J2204),"未回本",MAX(1,ROUNDUP(I2204/(G2204-H2204),0))))</x:f>
        <x:v>未回本</x:v>
      </x:c>
    </x:row>
    <x:row r="2205" ht="22" customHeight="1">
      <x:c r="A2205" s="11" t="str">
        <x:v>lade_0829_10aoi</x:v>
      </x:c>
      <x:c r="B2205" s="10" t="n">
        <x:v>10</x:v>
      </x:c>
      <x:c r="C2205" s="10" t="n">
        <x:v>42</x:v>
      </x:c>
      <x:c r="D2205" s="10" t="str">
        <x:v>M2 / M4</x:v>
      </x:c>
      <x:c r="E2205" s="16" t="n">
        <x:v>5</x:v>
      </x:c>
      <x:c r="F2205" s="14" t="n">
        <x:v>50</x:v>
      </x:c>
      <x:c r="G2205" s="26" t="n">
        <x:f>'成本明细'!U333+'成本明细'!G333*(E2205-'参数'!$B$6)</x:f>
        <x:v>1900.6218747116666</x:v>
      </x:c>
      <x:c r="H2205" s="26" t="n">
        <x:f>'成本明细'!U339</x:f>
        <x:v>2319.480187583333</x:v>
      </x:c>
      <x:c r="I2205" s="26" t="n">
        <x:f>'成本明细'!V339</x:f>
        <x:v>4234</x:v>
      </x:c>
      <x:c r="J2205" s="22" t="n">
        <x:f>'参数'!$B$9</x:f>
        <x:v>300</x:v>
      </x:c>
      <x:c r="K2205" s="26" t="n">
        <x:f>J2205*(G2205-H2205)-I2205*ROUNDUP(J2205/F2205,0)</x:f>
        <x:v>-151061.4938615</x:v>
      </x:c>
      <x:c r="L2205" s="10" t="str">
        <x:f>IF(G2205-H2205&lt;=0,"未回本",IF(ROUNDUP(I2205/(G2205-H2205),0)&gt;MIN(F2205,J2205),"未回本",MAX(1,ROUNDUP(I2205/(G2205-H2205),0))))</x:f>
        <x:v>未回本</x:v>
      </x:c>
    </x:row>
    <x:row r="2206" ht="22" customHeight="1">
      <x:c r="A2206" s="11" t="str">
        <x:v>lade_0829_10aoi</x:v>
      </x:c>
      <x:c r="B2206" s="10" t="n">
        <x:v>10</x:v>
      </x:c>
      <x:c r="C2206" s="10" t="n">
        <x:v>43</x:v>
      </x:c>
      <x:c r="D2206" s="10" t="str">
        <x:v>M1 / M3</x:v>
      </x:c>
      <x:c r="E2206" s="16" t="n">
        <x:v>1</x:v>
      </x:c>
      <x:c r="F2206" s="14" t="n">
        <x:v>10</x:v>
      </x:c>
      <x:c r="G2206" s="26" t="n">
        <x:f>'成本明细'!U331+'成本明细'!G331*(E2206-'参数'!$B$6)</x:f>
        <x:v>1436.6218747116666</x:v>
      </x:c>
      <x:c r="H2206" s="26" t="n">
        <x:f>'成本明细'!U337</x:f>
        <x:v>2316.168220803333</x:v>
      </x:c>
      <x:c r="I2206" s="26" t="n">
        <x:f>'成本明细'!V337</x:f>
        <x:v>4234</x:v>
      </x:c>
      <x:c r="J2206" s="22" t="n">
        <x:f>'参数'!$B$9</x:f>
        <x:v>300</x:v>
      </x:c>
      <x:c r="K2206" s="26" t="n">
        <x:f>J2206*(G2206-H2206)-I2206*ROUNDUP(J2206/F2206,0)</x:f>
        <x:v>-390883.90382749995</x:v>
      </x:c>
      <x:c r="L2206" s="10" t="str">
        <x:f>IF(G2206-H2206&lt;=0,"未回本",IF(ROUNDUP(I2206/(G2206-H2206),0)&gt;MIN(F2206,J2206),"未回本",MAX(1,ROUNDUP(I2206/(G2206-H2206),0))))</x:f>
        <x:v>未回本</x:v>
      </x:c>
    </x:row>
    <x:row r="2207" ht="22" customHeight="1">
      <x:c r="A2207" s="11" t="str">
        <x:v>lade_0829_10aoi</x:v>
      </x:c>
      <x:c r="B2207" s="10" t="n">
        <x:v>10</x:v>
      </x:c>
      <x:c r="C2207" s="10" t="n">
        <x:v>43</x:v>
      </x:c>
      <x:c r="D2207" s="10" t="str">
        <x:v>M2 / M4</x:v>
      </x:c>
      <x:c r="E2207" s="16" t="n">
        <x:v>1</x:v>
      </x:c>
      <x:c r="F2207" s="14" t="n">
        <x:v>10</x:v>
      </x:c>
      <x:c r="G2207" s="26" t="n">
        <x:f>'成本明细'!U334+'成本明细'!G334*(E2207-'参数'!$B$6)</x:f>
        <x:v>1436.6218747116666</x:v>
      </x:c>
      <x:c r="H2207" s="26" t="n">
        <x:f>'成本明细'!U340</x:f>
        <x:v>2312.6698814844444</x:v>
      </x:c>
      <x:c r="I2207" s="26" t="n">
        <x:f>'成本明细'!V340</x:f>
        <x:v>4234</x:v>
      </x:c>
      <x:c r="J2207" s="22" t="n">
        <x:f>'参数'!$B$9</x:f>
        <x:v>300</x:v>
      </x:c>
      <x:c r="K2207" s="26" t="n">
        <x:f>J2207*(G2207-H2207)-I2207*ROUNDUP(J2207/F2207,0)</x:f>
        <x:v>-389834.40203183336</x:v>
      </x:c>
      <x:c r="L2207" s="10" t="str">
        <x:f>IF(G2207-H2207&lt;=0,"未回本",IF(ROUNDUP(I2207/(G2207-H2207),0)&gt;MIN(F2207,J2207),"未回本",MAX(1,ROUNDUP(I2207/(G2207-H2207),0))))</x:f>
        <x:v>未回本</x:v>
      </x:c>
    </x:row>
    <x:row r="2208" ht="22" customHeight="1">
      <x:c r="A2208" s="11" t="str">
        <x:v>lade_0829_10aoi</x:v>
      </x:c>
      <x:c r="B2208" s="10" t="n">
        <x:v>10</x:v>
      </x:c>
      <x:c r="C2208" s="10" t="n">
        <x:v>43</x:v>
      </x:c>
      <x:c r="D2208" s="10" t="str">
        <x:v>M1 / M3</x:v>
      </x:c>
      <x:c r="E2208" s="16" t="n">
        <x:v>1</x:v>
      </x:c>
      <x:c r="F2208" s="14" t="n">
        <x:v>20</x:v>
      </x:c>
      <x:c r="G2208" s="26" t="n">
        <x:f>'成本明细'!U331+'成本明细'!G331*(E2208-'参数'!$B$6)</x:f>
        <x:v>1436.6218747116666</x:v>
      </x:c>
      <x:c r="H2208" s="26" t="n">
        <x:f>'成本明细'!U337</x:f>
        <x:v>2316.168220803333</x:v>
      </x:c>
      <x:c r="I2208" s="26" t="n">
        <x:f>'成本明细'!V337</x:f>
        <x:v>4234</x:v>
      </x:c>
      <x:c r="J2208" s="22" t="n">
        <x:f>'参数'!$B$9</x:f>
        <x:v>300</x:v>
      </x:c>
      <x:c r="K2208" s="26" t="n">
        <x:f>J2208*(G2208-H2208)-I2208*ROUNDUP(J2208/F2208,0)</x:f>
        <x:v>-327373.90382749995</x:v>
      </x:c>
      <x:c r="L2208" s="10" t="str">
        <x:f>IF(G2208-H2208&lt;=0,"未回本",IF(ROUNDUP(I2208/(G2208-H2208),0)&gt;MIN(F2208,J2208),"未回本",MAX(1,ROUNDUP(I2208/(G2208-H2208),0))))</x:f>
        <x:v>未回本</x:v>
      </x:c>
    </x:row>
    <x:row r="2209" ht="22" customHeight="1">
      <x:c r="A2209" s="11" t="str">
        <x:v>lade_0829_10aoi</x:v>
      </x:c>
      <x:c r="B2209" s="10" t="n">
        <x:v>10</x:v>
      </x:c>
      <x:c r="C2209" s="10" t="n">
        <x:v>43</x:v>
      </x:c>
      <x:c r="D2209" s="10" t="str">
        <x:v>M2 / M4</x:v>
      </x:c>
      <x:c r="E2209" s="16" t="n">
        <x:v>1</x:v>
      </x:c>
      <x:c r="F2209" s="14" t="n">
        <x:v>20</x:v>
      </x:c>
      <x:c r="G2209" s="26" t="n">
        <x:f>'成本明细'!U334+'成本明细'!G334*(E2209-'参数'!$B$6)</x:f>
        <x:v>1436.6218747116666</x:v>
      </x:c>
      <x:c r="H2209" s="26" t="n">
        <x:f>'成本明细'!U340</x:f>
        <x:v>2312.6698814844444</x:v>
      </x:c>
      <x:c r="I2209" s="26" t="n">
        <x:f>'成本明细'!V340</x:f>
        <x:v>4234</x:v>
      </x:c>
      <x:c r="J2209" s="22" t="n">
        <x:f>'参数'!$B$9</x:f>
        <x:v>300</x:v>
      </x:c>
      <x:c r="K2209" s="26" t="n">
        <x:f>J2209*(G2209-H2209)-I2209*ROUNDUP(J2209/F2209,0)</x:f>
        <x:v>-326324.40203183336</x:v>
      </x:c>
      <x:c r="L2209" s="10" t="str">
        <x:f>IF(G2209-H2209&lt;=0,"未回本",IF(ROUNDUP(I2209/(G2209-H2209),0)&gt;MIN(F2209,J2209),"未回本",MAX(1,ROUNDUP(I2209/(G2209-H2209),0))))</x:f>
        <x:v>未回本</x:v>
      </x:c>
    </x:row>
    <x:row r="2210" ht="22" customHeight="1">
      <x:c r="A2210" s="11" t="str">
        <x:v>lade_0829_10aoi</x:v>
      </x:c>
      <x:c r="B2210" s="10" t="n">
        <x:v>10</x:v>
      </x:c>
      <x:c r="C2210" s="10" t="n">
        <x:v>43</x:v>
      </x:c>
      <x:c r="D2210" s="10" t="str">
        <x:v>M1 / M3</x:v>
      </x:c>
      <x:c r="E2210" s="16" t="n">
        <x:v>1</x:v>
      </x:c>
      <x:c r="F2210" s="14" t="n">
        <x:v>30</x:v>
      </x:c>
      <x:c r="G2210" s="26" t="n">
        <x:f>'成本明细'!U331+'成本明细'!G331*(E2210-'参数'!$B$6)</x:f>
        <x:v>1436.6218747116666</x:v>
      </x:c>
      <x:c r="H2210" s="26" t="n">
        <x:f>'成本明细'!U337</x:f>
        <x:v>2316.168220803333</x:v>
      </x:c>
      <x:c r="I2210" s="26" t="n">
        <x:f>'成本明细'!V337</x:f>
        <x:v>4234</x:v>
      </x:c>
      <x:c r="J2210" s="22" t="n">
        <x:f>'参数'!$B$9</x:f>
        <x:v>300</x:v>
      </x:c>
      <x:c r="K2210" s="26" t="n">
        <x:f>J2210*(G2210-H2210)-I2210*ROUNDUP(J2210/F2210,0)</x:f>
        <x:v>-306203.90382749995</x:v>
      </x:c>
      <x:c r="L2210" s="10" t="str">
        <x:f>IF(G2210-H2210&lt;=0,"未回本",IF(ROUNDUP(I2210/(G2210-H2210),0)&gt;MIN(F2210,J2210),"未回本",MAX(1,ROUNDUP(I2210/(G2210-H2210),0))))</x:f>
        <x:v>未回本</x:v>
      </x:c>
    </x:row>
    <x:row r="2211" ht="22" customHeight="1">
      <x:c r="A2211" s="11" t="str">
        <x:v>lade_0829_10aoi</x:v>
      </x:c>
      <x:c r="B2211" s="10" t="n">
        <x:v>10</x:v>
      </x:c>
      <x:c r="C2211" s="10" t="n">
        <x:v>43</x:v>
      </x:c>
      <x:c r="D2211" s="10" t="str">
        <x:v>M2 / M4</x:v>
      </x:c>
      <x:c r="E2211" s="16" t="n">
        <x:v>1</x:v>
      </x:c>
      <x:c r="F2211" s="14" t="n">
        <x:v>30</x:v>
      </x:c>
      <x:c r="G2211" s="26" t="n">
        <x:f>'成本明细'!U334+'成本明细'!G334*(E2211-'参数'!$B$6)</x:f>
        <x:v>1436.6218747116666</x:v>
      </x:c>
      <x:c r="H2211" s="26" t="n">
        <x:f>'成本明细'!U340</x:f>
        <x:v>2312.6698814844444</x:v>
      </x:c>
      <x:c r="I2211" s="26" t="n">
        <x:f>'成本明细'!V340</x:f>
        <x:v>4234</x:v>
      </x:c>
      <x:c r="J2211" s="22" t="n">
        <x:f>'参数'!$B$9</x:f>
        <x:v>300</x:v>
      </x:c>
      <x:c r="K2211" s="26" t="n">
        <x:f>J2211*(G2211-H2211)-I2211*ROUNDUP(J2211/F2211,0)</x:f>
        <x:v>-305154.40203183336</x:v>
      </x:c>
      <x:c r="L2211" s="10" t="str">
        <x:f>IF(G2211-H2211&lt;=0,"未回本",IF(ROUNDUP(I2211/(G2211-H2211),0)&gt;MIN(F2211,J2211),"未回本",MAX(1,ROUNDUP(I2211/(G2211-H2211),0))))</x:f>
        <x:v>未回本</x:v>
      </x:c>
    </x:row>
    <x:row r="2212" ht="22" customHeight="1">
      <x:c r="A2212" s="11" t="str">
        <x:v>lade_0829_10aoi</x:v>
      </x:c>
      <x:c r="B2212" s="10" t="n">
        <x:v>10</x:v>
      </x:c>
      <x:c r="C2212" s="10" t="n">
        <x:v>43</x:v>
      </x:c>
      <x:c r="D2212" s="10" t="str">
        <x:v>M1 / M3</x:v>
      </x:c>
      <x:c r="E2212" s="16" t="n">
        <x:v>1</x:v>
      </x:c>
      <x:c r="F2212" s="14" t="n">
        <x:v>50</x:v>
      </x:c>
      <x:c r="G2212" s="26" t="n">
        <x:f>'成本明细'!U331+'成本明细'!G331*(E2212-'参数'!$B$6)</x:f>
        <x:v>1436.6218747116666</x:v>
      </x:c>
      <x:c r="H2212" s="26" t="n">
        <x:f>'成本明细'!U337</x:f>
        <x:v>2316.168220803333</x:v>
      </x:c>
      <x:c r="I2212" s="26" t="n">
        <x:f>'成本明细'!V337</x:f>
        <x:v>4234</x:v>
      </x:c>
      <x:c r="J2212" s="22" t="n">
        <x:f>'参数'!$B$9</x:f>
        <x:v>300</x:v>
      </x:c>
      <x:c r="K2212" s="26" t="n">
        <x:f>J2212*(G2212-H2212)-I2212*ROUNDUP(J2212/F2212,0)</x:f>
        <x:v>-289267.90382749995</x:v>
      </x:c>
      <x:c r="L2212" s="10" t="str">
        <x:f>IF(G2212-H2212&lt;=0,"未回本",IF(ROUNDUP(I2212/(G2212-H2212),0)&gt;MIN(F2212,J2212),"未回本",MAX(1,ROUNDUP(I2212/(G2212-H2212),0))))</x:f>
        <x:v>未回本</x:v>
      </x:c>
    </x:row>
    <x:row r="2213" ht="22" customHeight="1">
      <x:c r="A2213" s="11" t="str">
        <x:v>lade_0829_10aoi</x:v>
      </x:c>
      <x:c r="B2213" s="10" t="n">
        <x:v>10</x:v>
      </x:c>
      <x:c r="C2213" s="10" t="n">
        <x:v>43</x:v>
      </x:c>
      <x:c r="D2213" s="10" t="str">
        <x:v>M2 / M4</x:v>
      </x:c>
      <x:c r="E2213" s="16" t="n">
        <x:v>1</x:v>
      </x:c>
      <x:c r="F2213" s="14" t="n">
        <x:v>50</x:v>
      </x:c>
      <x:c r="G2213" s="26" t="n">
        <x:f>'成本明细'!U334+'成本明细'!G334*(E2213-'参数'!$B$6)</x:f>
        <x:v>1436.6218747116666</x:v>
      </x:c>
      <x:c r="H2213" s="26" t="n">
        <x:f>'成本明细'!U340</x:f>
        <x:v>2312.6698814844444</x:v>
      </x:c>
      <x:c r="I2213" s="26" t="n">
        <x:f>'成本明细'!V340</x:f>
        <x:v>4234</x:v>
      </x:c>
      <x:c r="J2213" s="22" t="n">
        <x:f>'参数'!$B$9</x:f>
        <x:v>300</x:v>
      </x:c>
      <x:c r="K2213" s="26" t="n">
        <x:f>J2213*(G2213-H2213)-I2213*ROUNDUP(J2213/F2213,0)</x:f>
        <x:v>-288218.40203183336</x:v>
      </x:c>
      <x:c r="L2213" s="10" t="str">
        <x:f>IF(G2213-H2213&lt;=0,"未回本",IF(ROUNDUP(I2213/(G2213-H2213),0)&gt;MIN(F2213,J2213),"未回本",MAX(1,ROUNDUP(I2213/(G2213-H2213),0))))</x:f>
        <x:v>未回本</x:v>
      </x:c>
    </x:row>
    <x:row r="2214" ht="22" customHeight="1">
      <x:c r="A2214" s="11" t="str">
        <x:v>lade_0829_10aoi</x:v>
      </x:c>
      <x:c r="B2214" s="10" t="n">
        <x:v>10</x:v>
      </x:c>
      <x:c r="C2214" s="10" t="n">
        <x:v>43</x:v>
      </x:c>
      <x:c r="D2214" s="10" t="str">
        <x:v>M1 / M3</x:v>
      </x:c>
      <x:c r="E2214" s="16" t="n">
        <x:v>2</x:v>
      </x:c>
      <x:c r="F2214" s="14" t="n">
        <x:v>10</x:v>
      </x:c>
      <x:c r="G2214" s="26" t="n">
        <x:f>'成本明细'!U331+'成本明细'!G331*(E2214-'参数'!$B$6)</x:f>
        <x:v>1552.6218747116666</x:v>
      </x:c>
      <x:c r="H2214" s="26" t="n">
        <x:f>'成本明细'!U337</x:f>
        <x:v>2316.168220803333</x:v>
      </x:c>
      <x:c r="I2214" s="26" t="n">
        <x:f>'成本明细'!V337</x:f>
        <x:v>4234</x:v>
      </x:c>
      <x:c r="J2214" s="22" t="n">
        <x:f>'参数'!$B$9</x:f>
        <x:v>300</x:v>
      </x:c>
      <x:c r="K2214" s="26" t="n">
        <x:f>J2214*(G2214-H2214)-I2214*ROUNDUP(J2214/F2214,0)</x:f>
        <x:v>-356083.90382749995</x:v>
      </x:c>
      <x:c r="L2214" s="10" t="str">
        <x:f>IF(G2214-H2214&lt;=0,"未回本",IF(ROUNDUP(I2214/(G2214-H2214),0)&gt;MIN(F2214,J2214),"未回本",MAX(1,ROUNDUP(I2214/(G2214-H2214),0))))</x:f>
        <x:v>未回本</x:v>
      </x:c>
    </x:row>
    <x:row r="2215" ht="22" customHeight="1">
      <x:c r="A2215" s="11" t="str">
        <x:v>lade_0829_10aoi</x:v>
      </x:c>
      <x:c r="B2215" s="10" t="n">
        <x:v>10</x:v>
      </x:c>
      <x:c r="C2215" s="10" t="n">
        <x:v>43</x:v>
      </x:c>
      <x:c r="D2215" s="10" t="str">
        <x:v>M2 / M4</x:v>
      </x:c>
      <x:c r="E2215" s="16" t="n">
        <x:v>2</x:v>
      </x:c>
      <x:c r="F2215" s="14" t="n">
        <x:v>10</x:v>
      </x:c>
      <x:c r="G2215" s="26" t="n">
        <x:f>'成本明细'!U334+'成本明细'!G334*(E2215-'参数'!$B$6)</x:f>
        <x:v>1552.6218747116666</x:v>
      </x:c>
      <x:c r="H2215" s="26" t="n">
        <x:f>'成本明细'!U340</x:f>
        <x:v>2312.6698814844444</x:v>
      </x:c>
      <x:c r="I2215" s="26" t="n">
        <x:f>'成本明细'!V340</x:f>
        <x:v>4234</x:v>
      </x:c>
      <x:c r="J2215" s="22" t="n">
        <x:f>'参数'!$B$9</x:f>
        <x:v>300</x:v>
      </x:c>
      <x:c r="K2215" s="26" t="n">
        <x:f>J2215*(G2215-H2215)-I2215*ROUNDUP(J2215/F2215,0)</x:f>
        <x:v>-355034.40203183336</x:v>
      </x:c>
      <x:c r="L2215" s="10" t="str">
        <x:f>IF(G2215-H2215&lt;=0,"未回本",IF(ROUNDUP(I2215/(G2215-H2215),0)&gt;MIN(F2215,J2215),"未回本",MAX(1,ROUNDUP(I2215/(G2215-H2215),0))))</x:f>
        <x:v>未回本</x:v>
      </x:c>
    </x:row>
    <x:row r="2216" ht="22" customHeight="1">
      <x:c r="A2216" s="11" t="str">
        <x:v>lade_0829_10aoi</x:v>
      </x:c>
      <x:c r="B2216" s="10" t="n">
        <x:v>10</x:v>
      </x:c>
      <x:c r="C2216" s="10" t="n">
        <x:v>43</x:v>
      </x:c>
      <x:c r="D2216" s="10" t="str">
        <x:v>M1 / M3</x:v>
      </x:c>
      <x:c r="E2216" s="16" t="n">
        <x:v>2</x:v>
      </x:c>
      <x:c r="F2216" s="14" t="n">
        <x:v>20</x:v>
      </x:c>
      <x:c r="G2216" s="26" t="n">
        <x:f>'成本明细'!U331+'成本明细'!G331*(E2216-'参数'!$B$6)</x:f>
        <x:v>1552.6218747116666</x:v>
      </x:c>
      <x:c r="H2216" s="26" t="n">
        <x:f>'成本明细'!U337</x:f>
        <x:v>2316.168220803333</x:v>
      </x:c>
      <x:c r="I2216" s="26" t="n">
        <x:f>'成本明细'!V337</x:f>
        <x:v>4234</x:v>
      </x:c>
      <x:c r="J2216" s="22" t="n">
        <x:f>'参数'!$B$9</x:f>
        <x:v>300</x:v>
      </x:c>
      <x:c r="K2216" s="26" t="n">
        <x:f>J2216*(G2216-H2216)-I2216*ROUNDUP(J2216/F2216,0)</x:f>
        <x:v>-292573.90382749995</x:v>
      </x:c>
      <x:c r="L2216" s="10" t="str">
        <x:f>IF(G2216-H2216&lt;=0,"未回本",IF(ROUNDUP(I2216/(G2216-H2216),0)&gt;MIN(F2216,J2216),"未回本",MAX(1,ROUNDUP(I2216/(G2216-H2216),0))))</x:f>
        <x:v>未回本</x:v>
      </x:c>
    </x:row>
    <x:row r="2217" ht="22" customHeight="1">
      <x:c r="A2217" s="11" t="str">
        <x:v>lade_0829_10aoi</x:v>
      </x:c>
      <x:c r="B2217" s="10" t="n">
        <x:v>10</x:v>
      </x:c>
      <x:c r="C2217" s="10" t="n">
        <x:v>43</x:v>
      </x:c>
      <x:c r="D2217" s="10" t="str">
        <x:v>M2 / M4</x:v>
      </x:c>
      <x:c r="E2217" s="16" t="n">
        <x:v>2</x:v>
      </x:c>
      <x:c r="F2217" s="14" t="n">
        <x:v>20</x:v>
      </x:c>
      <x:c r="G2217" s="26" t="n">
        <x:f>'成本明细'!U334+'成本明细'!G334*(E2217-'参数'!$B$6)</x:f>
        <x:v>1552.6218747116666</x:v>
      </x:c>
      <x:c r="H2217" s="26" t="n">
        <x:f>'成本明细'!U340</x:f>
        <x:v>2312.6698814844444</x:v>
      </x:c>
      <x:c r="I2217" s="26" t="n">
        <x:f>'成本明细'!V340</x:f>
        <x:v>4234</x:v>
      </x:c>
      <x:c r="J2217" s="22" t="n">
        <x:f>'参数'!$B$9</x:f>
        <x:v>300</x:v>
      </x:c>
      <x:c r="K2217" s="26" t="n">
        <x:f>J2217*(G2217-H2217)-I2217*ROUNDUP(J2217/F2217,0)</x:f>
        <x:v>-291524.40203183336</x:v>
      </x:c>
      <x:c r="L2217" s="10" t="str">
        <x:f>IF(G2217-H2217&lt;=0,"未回本",IF(ROUNDUP(I2217/(G2217-H2217),0)&gt;MIN(F2217,J2217),"未回本",MAX(1,ROUNDUP(I2217/(G2217-H2217),0))))</x:f>
        <x:v>未回本</x:v>
      </x:c>
    </x:row>
    <x:row r="2218" ht="22" customHeight="1">
      <x:c r="A2218" s="11" t="str">
        <x:v>lade_0829_10aoi</x:v>
      </x:c>
      <x:c r="B2218" s="10" t="n">
        <x:v>10</x:v>
      </x:c>
      <x:c r="C2218" s="10" t="n">
        <x:v>43</x:v>
      </x:c>
      <x:c r="D2218" s="10" t="str">
        <x:v>M1 / M3</x:v>
      </x:c>
      <x:c r="E2218" s="16" t="n">
        <x:v>2</x:v>
      </x:c>
      <x:c r="F2218" s="14" t="n">
        <x:v>30</x:v>
      </x:c>
      <x:c r="G2218" s="26" t="n">
        <x:f>'成本明细'!U331+'成本明细'!G331*(E2218-'参数'!$B$6)</x:f>
        <x:v>1552.6218747116666</x:v>
      </x:c>
      <x:c r="H2218" s="26" t="n">
        <x:f>'成本明细'!U337</x:f>
        <x:v>2316.168220803333</x:v>
      </x:c>
      <x:c r="I2218" s="26" t="n">
        <x:f>'成本明细'!V337</x:f>
        <x:v>4234</x:v>
      </x:c>
      <x:c r="J2218" s="22" t="n">
        <x:f>'参数'!$B$9</x:f>
        <x:v>300</x:v>
      </x:c>
      <x:c r="K2218" s="26" t="n">
        <x:f>J2218*(G2218-H2218)-I2218*ROUNDUP(J2218/F2218,0)</x:f>
        <x:v>-271403.90382749995</x:v>
      </x:c>
      <x:c r="L2218" s="10" t="str">
        <x:f>IF(G2218-H2218&lt;=0,"未回本",IF(ROUNDUP(I2218/(G2218-H2218),0)&gt;MIN(F2218,J2218),"未回本",MAX(1,ROUNDUP(I2218/(G2218-H2218),0))))</x:f>
        <x:v>未回本</x:v>
      </x:c>
    </x:row>
    <x:row r="2219" ht="22" customHeight="1">
      <x:c r="A2219" s="11" t="str">
        <x:v>lade_0829_10aoi</x:v>
      </x:c>
      <x:c r="B2219" s="10" t="n">
        <x:v>10</x:v>
      </x:c>
      <x:c r="C2219" s="10" t="n">
        <x:v>43</x:v>
      </x:c>
      <x:c r="D2219" s="10" t="str">
        <x:v>M2 / M4</x:v>
      </x:c>
      <x:c r="E2219" s="16" t="n">
        <x:v>2</x:v>
      </x:c>
      <x:c r="F2219" s="14" t="n">
        <x:v>30</x:v>
      </x:c>
      <x:c r="G2219" s="26" t="n">
        <x:f>'成本明细'!U334+'成本明细'!G334*(E2219-'参数'!$B$6)</x:f>
        <x:v>1552.6218747116666</x:v>
      </x:c>
      <x:c r="H2219" s="26" t="n">
        <x:f>'成本明细'!U340</x:f>
        <x:v>2312.6698814844444</x:v>
      </x:c>
      <x:c r="I2219" s="26" t="n">
        <x:f>'成本明细'!V340</x:f>
        <x:v>4234</x:v>
      </x:c>
      <x:c r="J2219" s="22" t="n">
        <x:f>'参数'!$B$9</x:f>
        <x:v>300</x:v>
      </x:c>
      <x:c r="K2219" s="26" t="n">
        <x:f>J2219*(G2219-H2219)-I2219*ROUNDUP(J2219/F2219,0)</x:f>
        <x:v>-270354.40203183336</x:v>
      </x:c>
      <x:c r="L2219" s="10" t="str">
        <x:f>IF(G2219-H2219&lt;=0,"未回本",IF(ROUNDUP(I2219/(G2219-H2219),0)&gt;MIN(F2219,J2219),"未回本",MAX(1,ROUNDUP(I2219/(G2219-H2219),0))))</x:f>
        <x:v>未回本</x:v>
      </x:c>
    </x:row>
    <x:row r="2220" ht="22" customHeight="1">
      <x:c r="A2220" s="11" t="str">
        <x:v>lade_0829_10aoi</x:v>
      </x:c>
      <x:c r="B2220" s="10" t="n">
        <x:v>10</x:v>
      </x:c>
      <x:c r="C2220" s="10" t="n">
        <x:v>43</x:v>
      </x:c>
      <x:c r="D2220" s="10" t="str">
        <x:v>M1 / M3</x:v>
      </x:c>
      <x:c r="E2220" s="16" t="n">
        <x:v>2</x:v>
      </x:c>
      <x:c r="F2220" s="14" t="n">
        <x:v>50</x:v>
      </x:c>
      <x:c r="G2220" s="26" t="n">
        <x:f>'成本明细'!U331+'成本明细'!G331*(E2220-'参数'!$B$6)</x:f>
        <x:v>1552.6218747116666</x:v>
      </x:c>
      <x:c r="H2220" s="26" t="n">
        <x:f>'成本明细'!U337</x:f>
        <x:v>2316.168220803333</x:v>
      </x:c>
      <x:c r="I2220" s="26" t="n">
        <x:f>'成本明细'!V337</x:f>
        <x:v>4234</x:v>
      </x:c>
      <x:c r="J2220" s="22" t="n">
        <x:f>'参数'!$B$9</x:f>
        <x:v>300</x:v>
      </x:c>
      <x:c r="K2220" s="26" t="n">
        <x:f>J2220*(G2220-H2220)-I2220*ROUNDUP(J2220/F2220,0)</x:f>
        <x:v>-254467.90382749995</x:v>
      </x:c>
      <x:c r="L2220" s="10" t="str">
        <x:f>IF(G2220-H2220&lt;=0,"未回本",IF(ROUNDUP(I2220/(G2220-H2220),0)&gt;MIN(F2220,J2220),"未回本",MAX(1,ROUNDUP(I2220/(G2220-H2220),0))))</x:f>
        <x:v>未回本</x:v>
      </x:c>
    </x:row>
    <x:row r="2221" ht="22" customHeight="1">
      <x:c r="A2221" s="11" t="str">
        <x:v>lade_0829_10aoi</x:v>
      </x:c>
      <x:c r="B2221" s="10" t="n">
        <x:v>10</x:v>
      </x:c>
      <x:c r="C2221" s="10" t="n">
        <x:v>43</x:v>
      </x:c>
      <x:c r="D2221" s="10" t="str">
        <x:v>M2 / M4</x:v>
      </x:c>
      <x:c r="E2221" s="16" t="n">
        <x:v>2</x:v>
      </x:c>
      <x:c r="F2221" s="14" t="n">
        <x:v>50</x:v>
      </x:c>
      <x:c r="G2221" s="26" t="n">
        <x:f>'成本明细'!U334+'成本明细'!G334*(E2221-'参数'!$B$6)</x:f>
        <x:v>1552.6218747116666</x:v>
      </x:c>
      <x:c r="H2221" s="26" t="n">
        <x:f>'成本明细'!U340</x:f>
        <x:v>2312.6698814844444</x:v>
      </x:c>
      <x:c r="I2221" s="26" t="n">
        <x:f>'成本明细'!V340</x:f>
        <x:v>4234</x:v>
      </x:c>
      <x:c r="J2221" s="22" t="n">
        <x:f>'参数'!$B$9</x:f>
        <x:v>300</x:v>
      </x:c>
      <x:c r="K2221" s="26" t="n">
        <x:f>J2221*(G2221-H2221)-I2221*ROUNDUP(J2221/F2221,0)</x:f>
        <x:v>-253418.40203183336</x:v>
      </x:c>
      <x:c r="L2221" s="10" t="str">
        <x:f>IF(G2221-H2221&lt;=0,"未回本",IF(ROUNDUP(I2221/(G2221-H2221),0)&gt;MIN(F2221,J2221),"未回本",MAX(1,ROUNDUP(I2221/(G2221-H2221),0))))</x:f>
        <x:v>未回本</x:v>
      </x:c>
    </x:row>
    <x:row r="2222" ht="22" customHeight="1">
      <x:c r="A2222" s="11" t="str">
        <x:v>lade_0829_10aoi</x:v>
      </x:c>
      <x:c r="B2222" s="10" t="n">
        <x:v>10</x:v>
      </x:c>
      <x:c r="C2222" s="10" t="n">
        <x:v>43</x:v>
      </x:c>
      <x:c r="D2222" s="10" t="str">
        <x:v>M1 / M3</x:v>
      </x:c>
      <x:c r="E2222" s="16" t="n">
        <x:v>3</x:v>
      </x:c>
      <x:c r="F2222" s="14" t="n">
        <x:v>10</x:v>
      </x:c>
      <x:c r="G2222" s="26" t="n">
        <x:f>'成本明细'!U331+'成本明细'!G331*(E2222-'参数'!$B$6)</x:f>
        <x:v>1668.6218747116666</x:v>
      </x:c>
      <x:c r="H2222" s="26" t="n">
        <x:f>'成本明细'!U337</x:f>
        <x:v>2316.168220803333</x:v>
      </x:c>
      <x:c r="I2222" s="26" t="n">
        <x:f>'成本明细'!V337</x:f>
        <x:v>4234</x:v>
      </x:c>
      <x:c r="J2222" s="22" t="n">
        <x:f>'参数'!$B$9</x:f>
        <x:v>300</x:v>
      </x:c>
      <x:c r="K2222" s="26" t="n">
        <x:f>J2222*(G2222-H2222)-I2222*ROUNDUP(J2222/F2222,0)</x:f>
        <x:v>-321283.90382749995</x:v>
      </x:c>
      <x:c r="L2222" s="10" t="str">
        <x:f>IF(G2222-H2222&lt;=0,"未回本",IF(ROUNDUP(I2222/(G2222-H2222),0)&gt;MIN(F2222,J2222),"未回本",MAX(1,ROUNDUP(I2222/(G2222-H2222),0))))</x:f>
        <x:v>未回本</x:v>
      </x:c>
    </x:row>
    <x:row r="2223" ht="22" customHeight="1">
      <x:c r="A2223" s="11" t="str">
        <x:v>lade_0829_10aoi</x:v>
      </x:c>
      <x:c r="B2223" s="10" t="n">
        <x:v>10</x:v>
      </x:c>
      <x:c r="C2223" s="10" t="n">
        <x:v>43</x:v>
      </x:c>
      <x:c r="D2223" s="10" t="str">
        <x:v>M2 / M4</x:v>
      </x:c>
      <x:c r="E2223" s="16" t="n">
        <x:v>3</x:v>
      </x:c>
      <x:c r="F2223" s="14" t="n">
        <x:v>10</x:v>
      </x:c>
      <x:c r="G2223" s="26" t="n">
        <x:f>'成本明细'!U334+'成本明细'!G334*(E2223-'参数'!$B$6)</x:f>
        <x:v>1668.6218747116666</x:v>
      </x:c>
      <x:c r="H2223" s="26" t="n">
        <x:f>'成本明细'!U340</x:f>
        <x:v>2312.6698814844444</x:v>
      </x:c>
      <x:c r="I2223" s="26" t="n">
        <x:f>'成本明细'!V340</x:f>
        <x:v>4234</x:v>
      </x:c>
      <x:c r="J2223" s="22" t="n">
        <x:f>'参数'!$B$9</x:f>
        <x:v>300</x:v>
      </x:c>
      <x:c r="K2223" s="26" t="n">
        <x:f>J2223*(G2223-H2223)-I2223*ROUNDUP(J2223/F2223,0)</x:f>
        <x:v>-320234.40203183336</x:v>
      </x:c>
      <x:c r="L2223" s="10" t="str">
        <x:f>IF(G2223-H2223&lt;=0,"未回本",IF(ROUNDUP(I2223/(G2223-H2223),0)&gt;MIN(F2223,J2223),"未回本",MAX(1,ROUNDUP(I2223/(G2223-H2223),0))))</x:f>
        <x:v>未回本</x:v>
      </x:c>
    </x:row>
    <x:row r="2224" ht="22" customHeight="1">
      <x:c r="A2224" s="11" t="str">
        <x:v>lade_0829_10aoi</x:v>
      </x:c>
      <x:c r="B2224" s="10" t="n">
        <x:v>10</x:v>
      </x:c>
      <x:c r="C2224" s="10" t="n">
        <x:v>43</x:v>
      </x:c>
      <x:c r="D2224" s="10" t="str">
        <x:v>M1 / M3</x:v>
      </x:c>
      <x:c r="E2224" s="16" t="n">
        <x:v>3</x:v>
      </x:c>
      <x:c r="F2224" s="14" t="n">
        <x:v>20</x:v>
      </x:c>
      <x:c r="G2224" s="26" t="n">
        <x:f>'成本明细'!U331+'成本明细'!G331*(E2224-'参数'!$B$6)</x:f>
        <x:v>1668.6218747116666</x:v>
      </x:c>
      <x:c r="H2224" s="26" t="n">
        <x:f>'成本明细'!U337</x:f>
        <x:v>2316.168220803333</x:v>
      </x:c>
      <x:c r="I2224" s="26" t="n">
        <x:f>'成本明细'!V337</x:f>
        <x:v>4234</x:v>
      </x:c>
      <x:c r="J2224" s="22" t="n">
        <x:f>'参数'!$B$9</x:f>
        <x:v>300</x:v>
      </x:c>
      <x:c r="K2224" s="26" t="n">
        <x:f>J2224*(G2224-H2224)-I2224*ROUNDUP(J2224/F2224,0)</x:f>
        <x:v>-257773.90382749995</x:v>
      </x:c>
      <x:c r="L2224" s="10" t="str">
        <x:f>IF(G2224-H2224&lt;=0,"未回本",IF(ROUNDUP(I2224/(G2224-H2224),0)&gt;MIN(F2224,J2224),"未回本",MAX(1,ROUNDUP(I2224/(G2224-H2224),0))))</x:f>
        <x:v>未回本</x:v>
      </x:c>
    </x:row>
    <x:row r="2225" ht="22" customHeight="1">
      <x:c r="A2225" s="11" t="str">
        <x:v>lade_0829_10aoi</x:v>
      </x:c>
      <x:c r="B2225" s="10" t="n">
        <x:v>10</x:v>
      </x:c>
      <x:c r="C2225" s="10" t="n">
        <x:v>43</x:v>
      </x:c>
      <x:c r="D2225" s="10" t="str">
        <x:v>M2 / M4</x:v>
      </x:c>
      <x:c r="E2225" s="16" t="n">
        <x:v>3</x:v>
      </x:c>
      <x:c r="F2225" s="14" t="n">
        <x:v>20</x:v>
      </x:c>
      <x:c r="G2225" s="26" t="n">
        <x:f>'成本明细'!U334+'成本明细'!G334*(E2225-'参数'!$B$6)</x:f>
        <x:v>1668.6218747116666</x:v>
      </x:c>
      <x:c r="H2225" s="26" t="n">
        <x:f>'成本明细'!U340</x:f>
        <x:v>2312.6698814844444</x:v>
      </x:c>
      <x:c r="I2225" s="26" t="n">
        <x:f>'成本明细'!V340</x:f>
        <x:v>4234</x:v>
      </x:c>
      <x:c r="J2225" s="22" t="n">
        <x:f>'参数'!$B$9</x:f>
        <x:v>300</x:v>
      </x:c>
      <x:c r="K2225" s="26" t="n">
        <x:f>J2225*(G2225-H2225)-I2225*ROUNDUP(J2225/F2225,0)</x:f>
        <x:v>-256724.40203183336</x:v>
      </x:c>
      <x:c r="L2225" s="10" t="str">
        <x:f>IF(G2225-H2225&lt;=0,"未回本",IF(ROUNDUP(I2225/(G2225-H2225),0)&gt;MIN(F2225,J2225),"未回本",MAX(1,ROUNDUP(I2225/(G2225-H2225),0))))</x:f>
        <x:v>未回本</x:v>
      </x:c>
    </x:row>
    <x:row r="2226" ht="22" customHeight="1">
      <x:c r="A2226" s="11" t="str">
        <x:v>lade_0829_10aoi</x:v>
      </x:c>
      <x:c r="B2226" s="10" t="n">
        <x:v>10</x:v>
      </x:c>
      <x:c r="C2226" s="10" t="n">
        <x:v>43</x:v>
      </x:c>
      <x:c r="D2226" s="10" t="str">
        <x:v>M1 / M3</x:v>
      </x:c>
      <x:c r="E2226" s="16" t="n">
        <x:v>3</x:v>
      </x:c>
      <x:c r="F2226" s="14" t="n">
        <x:v>30</x:v>
      </x:c>
      <x:c r="G2226" s="26" t="n">
        <x:f>'成本明细'!U331+'成本明细'!G331*(E2226-'参数'!$B$6)</x:f>
        <x:v>1668.6218747116666</x:v>
      </x:c>
      <x:c r="H2226" s="26" t="n">
        <x:f>'成本明细'!U337</x:f>
        <x:v>2316.168220803333</x:v>
      </x:c>
      <x:c r="I2226" s="26" t="n">
        <x:f>'成本明细'!V337</x:f>
        <x:v>4234</x:v>
      </x:c>
      <x:c r="J2226" s="22" t="n">
        <x:f>'参数'!$B$9</x:f>
        <x:v>300</x:v>
      </x:c>
      <x:c r="K2226" s="26" t="n">
        <x:f>J2226*(G2226-H2226)-I2226*ROUNDUP(J2226/F2226,0)</x:f>
        <x:v>-236603.90382749995</x:v>
      </x:c>
      <x:c r="L2226" s="10" t="str">
        <x:f>IF(G2226-H2226&lt;=0,"未回本",IF(ROUNDUP(I2226/(G2226-H2226),0)&gt;MIN(F2226,J2226),"未回本",MAX(1,ROUNDUP(I2226/(G2226-H2226),0))))</x:f>
        <x:v>未回本</x:v>
      </x:c>
    </x:row>
    <x:row r="2227" ht="22" customHeight="1">
      <x:c r="A2227" s="11" t="str">
        <x:v>lade_0829_10aoi</x:v>
      </x:c>
      <x:c r="B2227" s="10" t="n">
        <x:v>10</x:v>
      </x:c>
      <x:c r="C2227" s="10" t="n">
        <x:v>43</x:v>
      </x:c>
      <x:c r="D2227" s="10" t="str">
        <x:v>M2 / M4</x:v>
      </x:c>
      <x:c r="E2227" s="16" t="n">
        <x:v>3</x:v>
      </x:c>
      <x:c r="F2227" s="14" t="n">
        <x:v>30</x:v>
      </x:c>
      <x:c r="G2227" s="26" t="n">
        <x:f>'成本明细'!U334+'成本明细'!G334*(E2227-'参数'!$B$6)</x:f>
        <x:v>1668.6218747116666</x:v>
      </x:c>
      <x:c r="H2227" s="26" t="n">
        <x:f>'成本明细'!U340</x:f>
        <x:v>2312.6698814844444</x:v>
      </x:c>
      <x:c r="I2227" s="26" t="n">
        <x:f>'成本明细'!V340</x:f>
        <x:v>4234</x:v>
      </x:c>
      <x:c r="J2227" s="22" t="n">
        <x:f>'参数'!$B$9</x:f>
        <x:v>300</x:v>
      </x:c>
      <x:c r="K2227" s="26" t="n">
        <x:f>J2227*(G2227-H2227)-I2227*ROUNDUP(J2227/F2227,0)</x:f>
        <x:v>-235554.40203183336</x:v>
      </x:c>
      <x:c r="L2227" s="10" t="str">
        <x:f>IF(G2227-H2227&lt;=0,"未回本",IF(ROUNDUP(I2227/(G2227-H2227),0)&gt;MIN(F2227,J2227),"未回本",MAX(1,ROUNDUP(I2227/(G2227-H2227),0))))</x:f>
        <x:v>未回本</x:v>
      </x:c>
    </x:row>
    <x:row r="2228" ht="22" customHeight="1">
      <x:c r="A2228" s="11" t="str">
        <x:v>lade_0829_10aoi</x:v>
      </x:c>
      <x:c r="B2228" s="10" t="n">
        <x:v>10</x:v>
      </x:c>
      <x:c r="C2228" s="10" t="n">
        <x:v>43</x:v>
      </x:c>
      <x:c r="D2228" s="10" t="str">
        <x:v>M1 / M3</x:v>
      </x:c>
      <x:c r="E2228" s="16" t="n">
        <x:v>3</x:v>
      </x:c>
      <x:c r="F2228" s="14" t="n">
        <x:v>50</x:v>
      </x:c>
      <x:c r="G2228" s="26" t="n">
        <x:f>'成本明细'!U331+'成本明细'!G331*(E2228-'参数'!$B$6)</x:f>
        <x:v>1668.6218747116666</x:v>
      </x:c>
      <x:c r="H2228" s="26" t="n">
        <x:f>'成本明细'!U337</x:f>
        <x:v>2316.168220803333</x:v>
      </x:c>
      <x:c r="I2228" s="26" t="n">
        <x:f>'成本明细'!V337</x:f>
        <x:v>4234</x:v>
      </x:c>
      <x:c r="J2228" s="22" t="n">
        <x:f>'参数'!$B$9</x:f>
        <x:v>300</x:v>
      </x:c>
      <x:c r="K2228" s="26" t="n">
        <x:f>J2228*(G2228-H2228)-I2228*ROUNDUP(J2228/F2228,0)</x:f>
        <x:v>-219667.90382749995</x:v>
      </x:c>
      <x:c r="L2228" s="10" t="str">
        <x:f>IF(G2228-H2228&lt;=0,"未回本",IF(ROUNDUP(I2228/(G2228-H2228),0)&gt;MIN(F2228,J2228),"未回本",MAX(1,ROUNDUP(I2228/(G2228-H2228),0))))</x:f>
        <x:v>未回本</x:v>
      </x:c>
    </x:row>
    <x:row r="2229" ht="22" customHeight="1">
      <x:c r="A2229" s="11" t="str">
        <x:v>lade_0829_10aoi</x:v>
      </x:c>
      <x:c r="B2229" s="10" t="n">
        <x:v>10</x:v>
      </x:c>
      <x:c r="C2229" s="10" t="n">
        <x:v>43</x:v>
      </x:c>
      <x:c r="D2229" s="10" t="str">
        <x:v>M2 / M4</x:v>
      </x:c>
      <x:c r="E2229" s="16" t="n">
        <x:v>3</x:v>
      </x:c>
      <x:c r="F2229" s="14" t="n">
        <x:v>50</x:v>
      </x:c>
      <x:c r="G2229" s="26" t="n">
        <x:f>'成本明细'!U334+'成本明细'!G334*(E2229-'参数'!$B$6)</x:f>
        <x:v>1668.6218747116666</x:v>
      </x:c>
      <x:c r="H2229" s="26" t="n">
        <x:f>'成本明细'!U340</x:f>
        <x:v>2312.6698814844444</x:v>
      </x:c>
      <x:c r="I2229" s="26" t="n">
        <x:f>'成本明细'!V340</x:f>
        <x:v>4234</x:v>
      </x:c>
      <x:c r="J2229" s="22" t="n">
        <x:f>'参数'!$B$9</x:f>
        <x:v>300</x:v>
      </x:c>
      <x:c r="K2229" s="26" t="n">
        <x:f>J2229*(G2229-H2229)-I2229*ROUNDUP(J2229/F2229,0)</x:f>
        <x:v>-218618.40203183336</x:v>
      </x:c>
      <x:c r="L2229" s="10" t="str">
        <x:f>IF(G2229-H2229&lt;=0,"未回本",IF(ROUNDUP(I2229/(G2229-H2229),0)&gt;MIN(F2229,J2229),"未回本",MAX(1,ROUNDUP(I2229/(G2229-H2229),0))))</x:f>
        <x:v>未回本</x:v>
      </x:c>
    </x:row>
    <x:row r="2230" ht="22" customHeight="1">
      <x:c r="A2230" s="11" t="str">
        <x:v>lade_0829_10aoi</x:v>
      </x:c>
      <x:c r="B2230" s="10" t="n">
        <x:v>10</x:v>
      </x:c>
      <x:c r="C2230" s="10" t="n">
        <x:v>43</x:v>
      </x:c>
      <x:c r="D2230" s="10" t="str">
        <x:v>M1 / M3</x:v>
      </x:c>
      <x:c r="E2230" s="16" t="n">
        <x:v>4</x:v>
      </x:c>
      <x:c r="F2230" s="14" t="n">
        <x:v>10</x:v>
      </x:c>
      <x:c r="G2230" s="26" t="n">
        <x:f>'成本明细'!U331+'成本明细'!G331*(E2230-'参数'!$B$6)</x:f>
        <x:v>1784.6218747116666</x:v>
      </x:c>
      <x:c r="H2230" s="26" t="n">
        <x:f>'成本明细'!U337</x:f>
        <x:v>2316.168220803333</x:v>
      </x:c>
      <x:c r="I2230" s="26" t="n">
        <x:f>'成本明细'!V337</x:f>
        <x:v>4234</x:v>
      </x:c>
      <x:c r="J2230" s="22" t="n">
        <x:f>'参数'!$B$9</x:f>
        <x:v>300</x:v>
      </x:c>
      <x:c r="K2230" s="26" t="n">
        <x:f>J2230*(G2230-H2230)-I2230*ROUNDUP(J2230/F2230,0)</x:f>
        <x:v>-286483.90382749995</x:v>
      </x:c>
      <x:c r="L2230" s="10" t="str">
        <x:f>IF(G2230-H2230&lt;=0,"未回本",IF(ROUNDUP(I2230/(G2230-H2230),0)&gt;MIN(F2230,J2230),"未回本",MAX(1,ROUNDUP(I2230/(G2230-H2230),0))))</x:f>
        <x:v>未回本</x:v>
      </x:c>
    </x:row>
    <x:row r="2231" ht="22" customHeight="1">
      <x:c r="A2231" s="11" t="str">
        <x:v>lade_0829_10aoi</x:v>
      </x:c>
      <x:c r="B2231" s="10" t="n">
        <x:v>10</x:v>
      </x:c>
      <x:c r="C2231" s="10" t="n">
        <x:v>43</x:v>
      </x:c>
      <x:c r="D2231" s="10" t="str">
        <x:v>M2 / M4</x:v>
      </x:c>
      <x:c r="E2231" s="16" t="n">
        <x:v>4</x:v>
      </x:c>
      <x:c r="F2231" s="14" t="n">
        <x:v>10</x:v>
      </x:c>
      <x:c r="G2231" s="26" t="n">
        <x:f>'成本明细'!U334+'成本明细'!G334*(E2231-'参数'!$B$6)</x:f>
        <x:v>1784.6218747116666</x:v>
      </x:c>
      <x:c r="H2231" s="26" t="n">
        <x:f>'成本明细'!U340</x:f>
        <x:v>2312.6698814844444</x:v>
      </x:c>
      <x:c r="I2231" s="26" t="n">
        <x:f>'成本明细'!V340</x:f>
        <x:v>4234</x:v>
      </x:c>
      <x:c r="J2231" s="22" t="n">
        <x:f>'参数'!$B$9</x:f>
        <x:v>300</x:v>
      </x:c>
      <x:c r="K2231" s="26" t="n">
        <x:f>J2231*(G2231-H2231)-I2231*ROUNDUP(J2231/F2231,0)</x:f>
        <x:v>-285434.40203183336</x:v>
      </x:c>
      <x:c r="L2231" s="10" t="str">
        <x:f>IF(G2231-H2231&lt;=0,"未回本",IF(ROUNDUP(I2231/(G2231-H2231),0)&gt;MIN(F2231,J2231),"未回本",MAX(1,ROUNDUP(I2231/(G2231-H2231),0))))</x:f>
        <x:v>未回本</x:v>
      </x:c>
    </x:row>
    <x:row r="2232" ht="22" customHeight="1">
      <x:c r="A2232" s="11" t="str">
        <x:v>lade_0829_10aoi</x:v>
      </x:c>
      <x:c r="B2232" s="10" t="n">
        <x:v>10</x:v>
      </x:c>
      <x:c r="C2232" s="10" t="n">
        <x:v>43</x:v>
      </x:c>
      <x:c r="D2232" s="10" t="str">
        <x:v>M1 / M3</x:v>
      </x:c>
      <x:c r="E2232" s="16" t="n">
        <x:v>4</x:v>
      </x:c>
      <x:c r="F2232" s="14" t="n">
        <x:v>20</x:v>
      </x:c>
      <x:c r="G2232" s="26" t="n">
        <x:f>'成本明细'!U331+'成本明细'!G331*(E2232-'参数'!$B$6)</x:f>
        <x:v>1784.6218747116666</x:v>
      </x:c>
      <x:c r="H2232" s="26" t="n">
        <x:f>'成本明细'!U337</x:f>
        <x:v>2316.168220803333</x:v>
      </x:c>
      <x:c r="I2232" s="26" t="n">
        <x:f>'成本明细'!V337</x:f>
        <x:v>4234</x:v>
      </x:c>
      <x:c r="J2232" s="22" t="n">
        <x:f>'参数'!$B$9</x:f>
        <x:v>300</x:v>
      </x:c>
      <x:c r="K2232" s="26" t="n">
        <x:f>J2232*(G2232-H2232)-I2232*ROUNDUP(J2232/F2232,0)</x:f>
        <x:v>-222973.90382749995</x:v>
      </x:c>
      <x:c r="L2232" s="10" t="str">
        <x:f>IF(G2232-H2232&lt;=0,"未回本",IF(ROUNDUP(I2232/(G2232-H2232),0)&gt;MIN(F2232,J2232),"未回本",MAX(1,ROUNDUP(I2232/(G2232-H2232),0))))</x:f>
        <x:v>未回本</x:v>
      </x:c>
    </x:row>
    <x:row r="2233" ht="22" customHeight="1">
      <x:c r="A2233" s="11" t="str">
        <x:v>lade_0829_10aoi</x:v>
      </x:c>
      <x:c r="B2233" s="10" t="n">
        <x:v>10</x:v>
      </x:c>
      <x:c r="C2233" s="10" t="n">
        <x:v>43</x:v>
      </x:c>
      <x:c r="D2233" s="10" t="str">
        <x:v>M2 / M4</x:v>
      </x:c>
      <x:c r="E2233" s="16" t="n">
        <x:v>4</x:v>
      </x:c>
      <x:c r="F2233" s="14" t="n">
        <x:v>20</x:v>
      </x:c>
      <x:c r="G2233" s="26" t="n">
        <x:f>'成本明细'!U334+'成本明细'!G334*(E2233-'参数'!$B$6)</x:f>
        <x:v>1784.6218747116666</x:v>
      </x:c>
      <x:c r="H2233" s="26" t="n">
        <x:f>'成本明细'!U340</x:f>
        <x:v>2312.6698814844444</x:v>
      </x:c>
      <x:c r="I2233" s="26" t="n">
        <x:f>'成本明细'!V340</x:f>
        <x:v>4234</x:v>
      </x:c>
      <x:c r="J2233" s="22" t="n">
        <x:f>'参数'!$B$9</x:f>
        <x:v>300</x:v>
      </x:c>
      <x:c r="K2233" s="26" t="n">
        <x:f>J2233*(G2233-H2233)-I2233*ROUNDUP(J2233/F2233,0)</x:f>
        <x:v>-221924.40203183336</x:v>
      </x:c>
      <x:c r="L2233" s="10" t="str">
        <x:f>IF(G2233-H2233&lt;=0,"未回本",IF(ROUNDUP(I2233/(G2233-H2233),0)&gt;MIN(F2233,J2233),"未回本",MAX(1,ROUNDUP(I2233/(G2233-H2233),0))))</x:f>
        <x:v>未回本</x:v>
      </x:c>
    </x:row>
    <x:row r="2234" ht="22" customHeight="1">
      <x:c r="A2234" s="11" t="str">
        <x:v>lade_0829_10aoi</x:v>
      </x:c>
      <x:c r="B2234" s="10" t="n">
        <x:v>10</x:v>
      </x:c>
      <x:c r="C2234" s="10" t="n">
        <x:v>43</x:v>
      </x:c>
      <x:c r="D2234" s="10" t="str">
        <x:v>M1 / M3</x:v>
      </x:c>
      <x:c r="E2234" s="16" t="n">
        <x:v>4</x:v>
      </x:c>
      <x:c r="F2234" s="14" t="n">
        <x:v>30</x:v>
      </x:c>
      <x:c r="G2234" s="26" t="n">
        <x:f>'成本明细'!U331+'成本明细'!G331*(E2234-'参数'!$B$6)</x:f>
        <x:v>1784.6218747116666</x:v>
      </x:c>
      <x:c r="H2234" s="26" t="n">
        <x:f>'成本明细'!U337</x:f>
        <x:v>2316.168220803333</x:v>
      </x:c>
      <x:c r="I2234" s="26" t="n">
        <x:f>'成本明细'!V337</x:f>
        <x:v>4234</x:v>
      </x:c>
      <x:c r="J2234" s="22" t="n">
        <x:f>'参数'!$B$9</x:f>
        <x:v>300</x:v>
      </x:c>
      <x:c r="K2234" s="26" t="n">
        <x:f>J2234*(G2234-H2234)-I2234*ROUNDUP(J2234/F2234,0)</x:f>
        <x:v>-201803.90382749995</x:v>
      </x:c>
      <x:c r="L2234" s="10" t="str">
        <x:f>IF(G2234-H2234&lt;=0,"未回本",IF(ROUNDUP(I2234/(G2234-H2234),0)&gt;MIN(F2234,J2234),"未回本",MAX(1,ROUNDUP(I2234/(G2234-H2234),0))))</x:f>
        <x:v>未回本</x:v>
      </x:c>
    </x:row>
    <x:row r="2235" ht="22" customHeight="1">
      <x:c r="A2235" s="11" t="str">
        <x:v>lade_0829_10aoi</x:v>
      </x:c>
      <x:c r="B2235" s="10" t="n">
        <x:v>10</x:v>
      </x:c>
      <x:c r="C2235" s="10" t="n">
        <x:v>43</x:v>
      </x:c>
      <x:c r="D2235" s="10" t="str">
        <x:v>M2 / M4</x:v>
      </x:c>
      <x:c r="E2235" s="16" t="n">
        <x:v>4</x:v>
      </x:c>
      <x:c r="F2235" s="14" t="n">
        <x:v>30</x:v>
      </x:c>
      <x:c r="G2235" s="26" t="n">
        <x:f>'成本明细'!U334+'成本明细'!G334*(E2235-'参数'!$B$6)</x:f>
        <x:v>1784.6218747116666</x:v>
      </x:c>
      <x:c r="H2235" s="26" t="n">
        <x:f>'成本明细'!U340</x:f>
        <x:v>2312.6698814844444</x:v>
      </x:c>
      <x:c r="I2235" s="26" t="n">
        <x:f>'成本明细'!V340</x:f>
        <x:v>4234</x:v>
      </x:c>
      <x:c r="J2235" s="22" t="n">
        <x:f>'参数'!$B$9</x:f>
        <x:v>300</x:v>
      </x:c>
      <x:c r="K2235" s="26" t="n">
        <x:f>J2235*(G2235-H2235)-I2235*ROUNDUP(J2235/F2235,0)</x:f>
        <x:v>-200754.40203183336</x:v>
      </x:c>
      <x:c r="L2235" s="10" t="str">
        <x:f>IF(G2235-H2235&lt;=0,"未回本",IF(ROUNDUP(I2235/(G2235-H2235),0)&gt;MIN(F2235,J2235),"未回本",MAX(1,ROUNDUP(I2235/(G2235-H2235),0))))</x:f>
        <x:v>未回本</x:v>
      </x:c>
    </x:row>
    <x:row r="2236" ht="22" customHeight="1">
      <x:c r="A2236" s="11" t="str">
        <x:v>lade_0829_10aoi</x:v>
      </x:c>
      <x:c r="B2236" s="10" t="n">
        <x:v>10</x:v>
      </x:c>
      <x:c r="C2236" s="10" t="n">
        <x:v>43</x:v>
      </x:c>
      <x:c r="D2236" s="10" t="str">
        <x:v>M1 / M3</x:v>
      </x:c>
      <x:c r="E2236" s="16" t="n">
        <x:v>4</x:v>
      </x:c>
      <x:c r="F2236" s="14" t="n">
        <x:v>50</x:v>
      </x:c>
      <x:c r="G2236" s="26" t="n">
        <x:f>'成本明细'!U331+'成本明细'!G331*(E2236-'参数'!$B$6)</x:f>
        <x:v>1784.6218747116666</x:v>
      </x:c>
      <x:c r="H2236" s="26" t="n">
        <x:f>'成本明细'!U337</x:f>
        <x:v>2316.168220803333</x:v>
      </x:c>
      <x:c r="I2236" s="26" t="n">
        <x:f>'成本明细'!V337</x:f>
        <x:v>4234</x:v>
      </x:c>
      <x:c r="J2236" s="22" t="n">
        <x:f>'参数'!$B$9</x:f>
        <x:v>300</x:v>
      </x:c>
      <x:c r="K2236" s="26" t="n">
        <x:f>J2236*(G2236-H2236)-I2236*ROUNDUP(J2236/F2236,0)</x:f>
        <x:v>-184867.90382749995</x:v>
      </x:c>
      <x:c r="L2236" s="10" t="str">
        <x:f>IF(G2236-H2236&lt;=0,"未回本",IF(ROUNDUP(I2236/(G2236-H2236),0)&gt;MIN(F2236,J2236),"未回本",MAX(1,ROUNDUP(I2236/(G2236-H2236),0))))</x:f>
        <x:v>未回本</x:v>
      </x:c>
    </x:row>
    <x:row r="2237" ht="22" customHeight="1">
      <x:c r="A2237" s="11" t="str">
        <x:v>lade_0829_10aoi</x:v>
      </x:c>
      <x:c r="B2237" s="10" t="n">
        <x:v>10</x:v>
      </x:c>
      <x:c r="C2237" s="10" t="n">
        <x:v>43</x:v>
      </x:c>
      <x:c r="D2237" s="10" t="str">
        <x:v>M2 / M4</x:v>
      </x:c>
      <x:c r="E2237" s="16" t="n">
        <x:v>4</x:v>
      </x:c>
      <x:c r="F2237" s="14" t="n">
        <x:v>50</x:v>
      </x:c>
      <x:c r="G2237" s="26" t="n">
        <x:f>'成本明细'!U334+'成本明细'!G334*(E2237-'参数'!$B$6)</x:f>
        <x:v>1784.6218747116666</x:v>
      </x:c>
      <x:c r="H2237" s="26" t="n">
        <x:f>'成本明细'!U340</x:f>
        <x:v>2312.6698814844444</x:v>
      </x:c>
      <x:c r="I2237" s="26" t="n">
        <x:f>'成本明细'!V340</x:f>
        <x:v>4234</x:v>
      </x:c>
      <x:c r="J2237" s="22" t="n">
        <x:f>'参数'!$B$9</x:f>
        <x:v>300</x:v>
      </x:c>
      <x:c r="K2237" s="26" t="n">
        <x:f>J2237*(G2237-H2237)-I2237*ROUNDUP(J2237/F2237,0)</x:f>
        <x:v>-183818.40203183336</x:v>
      </x:c>
      <x:c r="L2237" s="10" t="str">
        <x:f>IF(G2237-H2237&lt;=0,"未回本",IF(ROUNDUP(I2237/(G2237-H2237),0)&gt;MIN(F2237,J2237),"未回本",MAX(1,ROUNDUP(I2237/(G2237-H2237),0))))</x:f>
        <x:v>未回本</x:v>
      </x:c>
    </x:row>
    <x:row r="2238" ht="22" customHeight="1">
      <x:c r="A2238" s="11" t="str">
        <x:v>lade_0829_10aoi</x:v>
      </x:c>
      <x:c r="B2238" s="10" t="n">
        <x:v>10</x:v>
      </x:c>
      <x:c r="C2238" s="10" t="n">
        <x:v>43</x:v>
      </x:c>
      <x:c r="D2238" s="10" t="str">
        <x:v>M1 / M3</x:v>
      </x:c>
      <x:c r="E2238" s="16" t="n">
        <x:v>5</x:v>
      </x:c>
      <x:c r="F2238" s="14" t="n">
        <x:v>10</x:v>
      </x:c>
      <x:c r="G2238" s="26" t="n">
        <x:f>'成本明细'!U331+'成本明细'!G331*(E2238-'参数'!$B$6)</x:f>
        <x:v>1900.6218747116666</x:v>
      </x:c>
      <x:c r="H2238" s="26" t="n">
        <x:f>'成本明细'!U337</x:f>
        <x:v>2316.168220803333</x:v>
      </x:c>
      <x:c r="I2238" s="26" t="n">
        <x:f>'成本明细'!V337</x:f>
        <x:v>4234</x:v>
      </x:c>
      <x:c r="J2238" s="22" t="n">
        <x:f>'参数'!$B$9</x:f>
        <x:v>300</x:v>
      </x:c>
      <x:c r="K2238" s="26" t="n">
        <x:f>J2238*(G2238-H2238)-I2238*ROUNDUP(J2238/F2238,0)</x:f>
        <x:v>-251683.90382749995</x:v>
      </x:c>
      <x:c r="L2238" s="10" t="str">
        <x:f>IF(G2238-H2238&lt;=0,"未回本",IF(ROUNDUP(I2238/(G2238-H2238),0)&gt;MIN(F2238,J2238),"未回本",MAX(1,ROUNDUP(I2238/(G2238-H2238),0))))</x:f>
        <x:v>未回本</x:v>
      </x:c>
    </x:row>
    <x:row r="2239" ht="22" customHeight="1">
      <x:c r="A2239" s="11" t="str">
        <x:v>lade_0829_10aoi</x:v>
      </x:c>
      <x:c r="B2239" s="10" t="n">
        <x:v>10</x:v>
      </x:c>
      <x:c r="C2239" s="10" t="n">
        <x:v>43</x:v>
      </x:c>
      <x:c r="D2239" s="10" t="str">
        <x:v>M2 / M4</x:v>
      </x:c>
      <x:c r="E2239" s="16" t="n">
        <x:v>5</x:v>
      </x:c>
      <x:c r="F2239" s="14" t="n">
        <x:v>10</x:v>
      </x:c>
      <x:c r="G2239" s="26" t="n">
        <x:f>'成本明细'!U334+'成本明细'!G334*(E2239-'参数'!$B$6)</x:f>
        <x:v>1900.6218747116666</x:v>
      </x:c>
      <x:c r="H2239" s="26" t="n">
        <x:f>'成本明细'!U340</x:f>
        <x:v>2312.6698814844444</x:v>
      </x:c>
      <x:c r="I2239" s="26" t="n">
        <x:f>'成本明细'!V340</x:f>
        <x:v>4234</x:v>
      </x:c>
      <x:c r="J2239" s="22" t="n">
        <x:f>'参数'!$B$9</x:f>
        <x:v>300</x:v>
      </x:c>
      <x:c r="K2239" s="26" t="n">
        <x:f>J2239*(G2239-H2239)-I2239*ROUNDUP(J2239/F2239,0)</x:f>
        <x:v>-250634.40203183336</x:v>
      </x:c>
      <x:c r="L2239" s="10" t="str">
        <x:f>IF(G2239-H2239&lt;=0,"未回本",IF(ROUNDUP(I2239/(G2239-H2239),0)&gt;MIN(F2239,J2239),"未回本",MAX(1,ROUNDUP(I2239/(G2239-H2239),0))))</x:f>
        <x:v>未回本</x:v>
      </x:c>
    </x:row>
    <x:row r="2240" ht="22" customHeight="1">
      <x:c r="A2240" s="11" t="str">
        <x:v>lade_0829_10aoi</x:v>
      </x:c>
      <x:c r="B2240" s="10" t="n">
        <x:v>10</x:v>
      </x:c>
      <x:c r="C2240" s="10" t="n">
        <x:v>43</x:v>
      </x:c>
      <x:c r="D2240" s="10" t="str">
        <x:v>M1 / M3</x:v>
      </x:c>
      <x:c r="E2240" s="16" t="n">
        <x:v>5</x:v>
      </x:c>
      <x:c r="F2240" s="14" t="n">
        <x:v>20</x:v>
      </x:c>
      <x:c r="G2240" s="26" t="n">
        <x:f>'成本明细'!U331+'成本明细'!G331*(E2240-'参数'!$B$6)</x:f>
        <x:v>1900.6218747116666</x:v>
      </x:c>
      <x:c r="H2240" s="26" t="n">
        <x:f>'成本明细'!U337</x:f>
        <x:v>2316.168220803333</x:v>
      </x:c>
      <x:c r="I2240" s="26" t="n">
        <x:f>'成本明细'!V337</x:f>
        <x:v>4234</x:v>
      </x:c>
      <x:c r="J2240" s="22" t="n">
        <x:f>'参数'!$B$9</x:f>
        <x:v>300</x:v>
      </x:c>
      <x:c r="K2240" s="26" t="n">
        <x:f>J2240*(G2240-H2240)-I2240*ROUNDUP(J2240/F2240,0)</x:f>
        <x:v>-188173.90382749995</x:v>
      </x:c>
      <x:c r="L2240" s="10" t="str">
        <x:f>IF(G2240-H2240&lt;=0,"未回本",IF(ROUNDUP(I2240/(G2240-H2240),0)&gt;MIN(F2240,J2240),"未回本",MAX(1,ROUNDUP(I2240/(G2240-H2240),0))))</x:f>
        <x:v>未回本</x:v>
      </x:c>
    </x:row>
    <x:row r="2241" ht="22" customHeight="1">
      <x:c r="A2241" s="11" t="str">
        <x:v>lade_0829_10aoi</x:v>
      </x:c>
      <x:c r="B2241" s="10" t="n">
        <x:v>10</x:v>
      </x:c>
      <x:c r="C2241" s="10" t="n">
        <x:v>43</x:v>
      </x:c>
      <x:c r="D2241" s="10" t="str">
        <x:v>M2 / M4</x:v>
      </x:c>
      <x:c r="E2241" s="16" t="n">
        <x:v>5</x:v>
      </x:c>
      <x:c r="F2241" s="14" t="n">
        <x:v>20</x:v>
      </x:c>
      <x:c r="G2241" s="26" t="n">
        <x:f>'成本明细'!U334+'成本明细'!G334*(E2241-'参数'!$B$6)</x:f>
        <x:v>1900.6218747116666</x:v>
      </x:c>
      <x:c r="H2241" s="26" t="n">
        <x:f>'成本明细'!U340</x:f>
        <x:v>2312.6698814844444</x:v>
      </x:c>
      <x:c r="I2241" s="26" t="n">
        <x:f>'成本明细'!V340</x:f>
        <x:v>4234</x:v>
      </x:c>
      <x:c r="J2241" s="22" t="n">
        <x:f>'参数'!$B$9</x:f>
        <x:v>300</x:v>
      </x:c>
      <x:c r="K2241" s="26" t="n">
        <x:f>J2241*(G2241-H2241)-I2241*ROUNDUP(J2241/F2241,0)</x:f>
        <x:v>-187124.40203183336</x:v>
      </x:c>
      <x:c r="L2241" s="10" t="str">
        <x:f>IF(G2241-H2241&lt;=0,"未回本",IF(ROUNDUP(I2241/(G2241-H2241),0)&gt;MIN(F2241,J2241),"未回本",MAX(1,ROUNDUP(I2241/(G2241-H2241),0))))</x:f>
        <x:v>未回本</x:v>
      </x:c>
    </x:row>
    <x:row r="2242" ht="22" customHeight="1">
      <x:c r="A2242" s="11" t="str">
        <x:v>lade_0829_10aoi</x:v>
      </x:c>
      <x:c r="B2242" s="10" t="n">
        <x:v>10</x:v>
      </x:c>
      <x:c r="C2242" s="10" t="n">
        <x:v>43</x:v>
      </x:c>
      <x:c r="D2242" s="10" t="str">
        <x:v>M1 / M3</x:v>
      </x:c>
      <x:c r="E2242" s="16" t="n">
        <x:v>5</x:v>
      </x:c>
      <x:c r="F2242" s="14" t="n">
        <x:v>30</x:v>
      </x:c>
      <x:c r="G2242" s="26" t="n">
        <x:f>'成本明细'!U331+'成本明细'!G331*(E2242-'参数'!$B$6)</x:f>
        <x:v>1900.6218747116666</x:v>
      </x:c>
      <x:c r="H2242" s="26" t="n">
        <x:f>'成本明细'!U337</x:f>
        <x:v>2316.168220803333</x:v>
      </x:c>
      <x:c r="I2242" s="26" t="n">
        <x:f>'成本明细'!V337</x:f>
        <x:v>4234</x:v>
      </x:c>
      <x:c r="J2242" s="22" t="n">
        <x:f>'参数'!$B$9</x:f>
        <x:v>300</x:v>
      </x:c>
      <x:c r="K2242" s="26" t="n">
        <x:f>J2242*(G2242-H2242)-I2242*ROUNDUP(J2242/F2242,0)</x:f>
        <x:v>-167003.90382749995</x:v>
      </x:c>
      <x:c r="L2242" s="10" t="str">
        <x:f>IF(G2242-H2242&lt;=0,"未回本",IF(ROUNDUP(I2242/(G2242-H2242),0)&gt;MIN(F2242,J2242),"未回本",MAX(1,ROUNDUP(I2242/(G2242-H2242),0))))</x:f>
        <x:v>未回本</x:v>
      </x:c>
    </x:row>
    <x:row r="2243" ht="22" customHeight="1">
      <x:c r="A2243" s="11" t="str">
        <x:v>lade_0829_10aoi</x:v>
      </x:c>
      <x:c r="B2243" s="10" t="n">
        <x:v>10</x:v>
      </x:c>
      <x:c r="C2243" s="10" t="n">
        <x:v>43</x:v>
      </x:c>
      <x:c r="D2243" s="10" t="str">
        <x:v>M2 / M4</x:v>
      </x:c>
      <x:c r="E2243" s="16" t="n">
        <x:v>5</x:v>
      </x:c>
      <x:c r="F2243" s="14" t="n">
        <x:v>30</x:v>
      </x:c>
      <x:c r="G2243" s="26" t="n">
        <x:f>'成本明细'!U334+'成本明细'!G334*(E2243-'参数'!$B$6)</x:f>
        <x:v>1900.6218747116666</x:v>
      </x:c>
      <x:c r="H2243" s="26" t="n">
        <x:f>'成本明细'!U340</x:f>
        <x:v>2312.6698814844444</x:v>
      </x:c>
      <x:c r="I2243" s="26" t="n">
        <x:f>'成本明细'!V340</x:f>
        <x:v>4234</x:v>
      </x:c>
      <x:c r="J2243" s="22" t="n">
        <x:f>'参数'!$B$9</x:f>
        <x:v>300</x:v>
      </x:c>
      <x:c r="K2243" s="26" t="n">
        <x:f>J2243*(G2243-H2243)-I2243*ROUNDUP(J2243/F2243,0)</x:f>
        <x:v>-165954.40203183336</x:v>
      </x:c>
      <x:c r="L2243" s="10" t="str">
        <x:f>IF(G2243-H2243&lt;=0,"未回本",IF(ROUNDUP(I2243/(G2243-H2243),0)&gt;MIN(F2243,J2243),"未回本",MAX(1,ROUNDUP(I2243/(G2243-H2243),0))))</x:f>
        <x:v>未回本</x:v>
      </x:c>
    </x:row>
    <x:row r="2244" ht="22" customHeight="1">
      <x:c r="A2244" s="11" t="str">
        <x:v>lade_0829_10aoi</x:v>
      </x:c>
      <x:c r="B2244" s="10" t="n">
        <x:v>10</x:v>
      </x:c>
      <x:c r="C2244" s="10" t="n">
        <x:v>43</x:v>
      </x:c>
      <x:c r="D2244" s="10" t="str">
        <x:v>M1 / M3</x:v>
      </x:c>
      <x:c r="E2244" s="16" t="n">
        <x:v>5</x:v>
      </x:c>
      <x:c r="F2244" s="14" t="n">
        <x:v>50</x:v>
      </x:c>
      <x:c r="G2244" s="26" t="n">
        <x:f>'成本明细'!U331+'成本明细'!G331*(E2244-'参数'!$B$6)</x:f>
        <x:v>1900.6218747116666</x:v>
      </x:c>
      <x:c r="H2244" s="26" t="n">
        <x:f>'成本明细'!U337</x:f>
        <x:v>2316.168220803333</x:v>
      </x:c>
      <x:c r="I2244" s="26" t="n">
        <x:f>'成本明细'!V337</x:f>
        <x:v>4234</x:v>
      </x:c>
      <x:c r="J2244" s="22" t="n">
        <x:f>'参数'!$B$9</x:f>
        <x:v>300</x:v>
      </x:c>
      <x:c r="K2244" s="26" t="n">
        <x:f>J2244*(G2244-H2244)-I2244*ROUNDUP(J2244/F2244,0)</x:f>
        <x:v>-150067.90382749995</x:v>
      </x:c>
      <x:c r="L2244" s="10" t="str">
        <x:f>IF(G2244-H2244&lt;=0,"未回本",IF(ROUNDUP(I2244/(G2244-H2244),0)&gt;MIN(F2244,J2244),"未回本",MAX(1,ROUNDUP(I2244/(G2244-H2244),0))))</x:f>
        <x:v>未回本</x:v>
      </x:c>
    </x:row>
    <x:row r="2245" ht="22" customHeight="1">
      <x:c r="A2245" s="11" t="str">
        <x:v>lade_0829_10aoi</x:v>
      </x:c>
      <x:c r="B2245" s="10" t="n">
        <x:v>10</x:v>
      </x:c>
      <x:c r="C2245" s="10" t="n">
        <x:v>43</x:v>
      </x:c>
      <x:c r="D2245" s="10" t="str">
        <x:v>M2 / M4</x:v>
      </x:c>
      <x:c r="E2245" s="16" t="n">
        <x:v>5</x:v>
      </x:c>
      <x:c r="F2245" s="14" t="n">
        <x:v>50</x:v>
      </x:c>
      <x:c r="G2245" s="26" t="n">
        <x:f>'成本明细'!U334+'成本明细'!G334*(E2245-'参数'!$B$6)</x:f>
        <x:v>1900.6218747116666</x:v>
      </x:c>
      <x:c r="H2245" s="26" t="n">
        <x:f>'成本明细'!U340</x:f>
        <x:v>2312.6698814844444</x:v>
      </x:c>
      <x:c r="I2245" s="26" t="n">
        <x:f>'成本明细'!V340</x:f>
        <x:v>4234</x:v>
      </x:c>
      <x:c r="J2245" s="22" t="n">
        <x:f>'参数'!$B$9</x:f>
        <x:v>300</x:v>
      </x:c>
      <x:c r="K2245" s="26" t="n">
        <x:f>J2245*(G2245-H2245)-I2245*ROUNDUP(J2245/F2245,0)</x:f>
        <x:v>-149018.40203183336</x:v>
      </x:c>
      <x:c r="L2245" s="10" t="str">
        <x:f>IF(G2245-H2245&lt;=0,"未回本",IF(ROUNDUP(I2245/(G2245-H2245),0)&gt;MIN(F2245,J2245),"未回本",MAX(1,ROUNDUP(I2245/(G2245-H2245),0))))</x:f>
        <x:v>未回本</x:v>
      </x:c>
    </x:row>
    <x:row r="2246" ht="22" customHeight="1">
      <x:c r="A2246" s="11" t="str">
        <x:v>lade_0829_10aoi</x:v>
      </x:c>
      <x:c r="B2246" s="10" t="n">
        <x:v>10</x:v>
      </x:c>
      <x:c r="C2246" s="10" t="n">
        <x:v>44</x:v>
      </x:c>
      <x:c r="D2246" s="10" t="str">
        <x:v>M1 / M3</x:v>
      </x:c>
      <x:c r="E2246" s="16" t="n">
        <x:v>1</x:v>
      </x:c>
      <x:c r="F2246" s="14" t="n">
        <x:v>10</x:v>
      </x:c>
      <x:c r="G2246" s="26" t="n">
        <x:f>'成本明细'!U332+'成本明细'!G332*(E2246-'参数'!$B$6)</x:f>
        <x:v>1436.6218747116666</x:v>
      </x:c>
      <x:c r="H2246" s="26" t="n">
        <x:f>'成本明细'!U338</x:f>
        <x:v>2316.168220803333</x:v>
      </x:c>
      <x:c r="I2246" s="26" t="n">
        <x:f>'成本明细'!V338</x:f>
        <x:v>4234</x:v>
      </x:c>
      <x:c r="J2246" s="22" t="n">
        <x:f>'参数'!$B$9</x:f>
        <x:v>300</x:v>
      </x:c>
      <x:c r="K2246" s="26" t="n">
        <x:f>J2246*(G2246-H2246)-I2246*ROUNDUP(J2246/F2246,0)</x:f>
        <x:v>-390883.90382749995</x:v>
      </x:c>
      <x:c r="L2246" s="10" t="str">
        <x:f>IF(G2246-H2246&lt;=0,"未回本",IF(ROUNDUP(I2246/(G2246-H2246),0)&gt;MIN(F2246,J2246),"未回本",MAX(1,ROUNDUP(I2246/(G2246-H2246),0))))</x:f>
        <x:v>未回本</x:v>
      </x:c>
    </x:row>
    <x:row r="2247" ht="22" customHeight="1">
      <x:c r="A2247" s="11" t="str">
        <x:v>lade_0829_10aoi</x:v>
      </x:c>
      <x:c r="B2247" s="10" t="n">
        <x:v>10</x:v>
      </x:c>
      <x:c r="C2247" s="10" t="n">
        <x:v>44</x:v>
      </x:c>
      <x:c r="D2247" s="10" t="str">
        <x:v>M2 / M4</x:v>
      </x:c>
      <x:c r="E2247" s="16" t="n">
        <x:v>1</x:v>
      </x:c>
      <x:c r="F2247" s="14" t="n">
        <x:v>10</x:v>
      </x:c>
      <x:c r="G2247" s="26" t="n">
        <x:f>'成本明细'!U335+'成本明细'!G335*(E2247-'参数'!$B$6)</x:f>
        <x:v>1436.6218747116666</x:v>
      </x:c>
      <x:c r="H2247" s="26" t="n">
        <x:f>'成本明细'!U341</x:f>
        <x:v>1834.7490753961108</x:v>
      </x:c>
      <x:c r="I2247" s="26" t="n">
        <x:f>'成本明细'!V341</x:f>
        <x:v>4234</x:v>
      </x:c>
      <x:c r="J2247" s="22" t="n">
        <x:f>'参数'!$B$9</x:f>
        <x:v>300</x:v>
      </x:c>
      <x:c r="K2247" s="26" t="n">
        <x:f>J2247*(G2247-H2247)-I2247*ROUNDUP(J2247/F2247,0)</x:f>
        <x:v>-246458.16020533326</x:v>
      </x:c>
      <x:c r="L2247" s="10" t="str">
        <x:f>IF(G2247-H2247&lt;=0,"未回本",IF(ROUNDUP(I2247/(G2247-H2247),0)&gt;MIN(F2247,J2247),"未回本",MAX(1,ROUNDUP(I2247/(G2247-H2247),0))))</x:f>
        <x:v>未回本</x:v>
      </x:c>
    </x:row>
    <x:row r="2248" ht="22" customHeight="1">
      <x:c r="A2248" s="11" t="str">
        <x:v>lade_0829_10aoi</x:v>
      </x:c>
      <x:c r="B2248" s="10" t="n">
        <x:v>10</x:v>
      </x:c>
      <x:c r="C2248" s="10" t="n">
        <x:v>44</x:v>
      </x:c>
      <x:c r="D2248" s="10" t="str">
        <x:v>M1 / M3</x:v>
      </x:c>
      <x:c r="E2248" s="16" t="n">
        <x:v>1</x:v>
      </x:c>
      <x:c r="F2248" s="14" t="n">
        <x:v>20</x:v>
      </x:c>
      <x:c r="G2248" s="26" t="n">
        <x:f>'成本明细'!U332+'成本明细'!G332*(E2248-'参数'!$B$6)</x:f>
        <x:v>1436.6218747116666</x:v>
      </x:c>
      <x:c r="H2248" s="26" t="n">
        <x:f>'成本明细'!U338</x:f>
        <x:v>2316.168220803333</x:v>
      </x:c>
      <x:c r="I2248" s="26" t="n">
        <x:f>'成本明细'!V338</x:f>
        <x:v>4234</x:v>
      </x:c>
      <x:c r="J2248" s="22" t="n">
        <x:f>'参数'!$B$9</x:f>
        <x:v>300</x:v>
      </x:c>
      <x:c r="K2248" s="26" t="n">
        <x:f>J2248*(G2248-H2248)-I2248*ROUNDUP(J2248/F2248,0)</x:f>
        <x:v>-327373.90382749995</x:v>
      </x:c>
      <x:c r="L2248" s="10" t="str">
        <x:f>IF(G2248-H2248&lt;=0,"未回本",IF(ROUNDUP(I2248/(G2248-H2248),0)&gt;MIN(F2248,J2248),"未回本",MAX(1,ROUNDUP(I2248/(G2248-H2248),0))))</x:f>
        <x:v>未回本</x:v>
      </x:c>
    </x:row>
    <x:row r="2249" ht="22" customHeight="1">
      <x:c r="A2249" s="11" t="str">
        <x:v>lade_0829_10aoi</x:v>
      </x:c>
      <x:c r="B2249" s="10" t="n">
        <x:v>10</x:v>
      </x:c>
      <x:c r="C2249" s="10" t="n">
        <x:v>44</x:v>
      </x:c>
      <x:c r="D2249" s="10" t="str">
        <x:v>M2 / M4</x:v>
      </x:c>
      <x:c r="E2249" s="16" t="n">
        <x:v>1</x:v>
      </x:c>
      <x:c r="F2249" s="14" t="n">
        <x:v>20</x:v>
      </x:c>
      <x:c r="G2249" s="26" t="n">
        <x:f>'成本明细'!U335+'成本明细'!G335*(E2249-'参数'!$B$6)</x:f>
        <x:v>1436.6218747116666</x:v>
      </x:c>
      <x:c r="H2249" s="26" t="n">
        <x:f>'成本明细'!U341</x:f>
        <x:v>1834.7490753961108</x:v>
      </x:c>
      <x:c r="I2249" s="26" t="n">
        <x:f>'成本明细'!V341</x:f>
        <x:v>4234</x:v>
      </x:c>
      <x:c r="J2249" s="22" t="n">
        <x:f>'参数'!$B$9</x:f>
        <x:v>300</x:v>
      </x:c>
      <x:c r="K2249" s="26" t="n">
        <x:f>J2249*(G2249-H2249)-I2249*ROUNDUP(J2249/F2249,0)</x:f>
        <x:v>-182948.16020533326</x:v>
      </x:c>
      <x:c r="L2249" s="10" t="str">
        <x:f>IF(G2249-H2249&lt;=0,"未回本",IF(ROUNDUP(I2249/(G2249-H2249),0)&gt;MIN(F2249,J2249),"未回本",MAX(1,ROUNDUP(I2249/(G2249-H2249),0))))</x:f>
        <x:v>未回本</x:v>
      </x:c>
    </x:row>
    <x:row r="2250" ht="22" customHeight="1">
      <x:c r="A2250" s="11" t="str">
        <x:v>lade_0829_10aoi</x:v>
      </x:c>
      <x:c r="B2250" s="10" t="n">
        <x:v>10</x:v>
      </x:c>
      <x:c r="C2250" s="10" t="n">
        <x:v>44</x:v>
      </x:c>
      <x:c r="D2250" s="10" t="str">
        <x:v>M1 / M3</x:v>
      </x:c>
      <x:c r="E2250" s="16" t="n">
        <x:v>1</x:v>
      </x:c>
      <x:c r="F2250" s="14" t="n">
        <x:v>30</x:v>
      </x:c>
      <x:c r="G2250" s="26" t="n">
        <x:f>'成本明细'!U332+'成本明细'!G332*(E2250-'参数'!$B$6)</x:f>
        <x:v>1436.6218747116666</x:v>
      </x:c>
      <x:c r="H2250" s="26" t="n">
        <x:f>'成本明细'!U338</x:f>
        <x:v>2316.168220803333</x:v>
      </x:c>
      <x:c r="I2250" s="26" t="n">
        <x:f>'成本明细'!V338</x:f>
        <x:v>4234</x:v>
      </x:c>
      <x:c r="J2250" s="22" t="n">
        <x:f>'参数'!$B$9</x:f>
        <x:v>300</x:v>
      </x:c>
      <x:c r="K2250" s="26" t="n">
        <x:f>J2250*(G2250-H2250)-I2250*ROUNDUP(J2250/F2250,0)</x:f>
        <x:v>-306203.90382749995</x:v>
      </x:c>
      <x:c r="L2250" s="10" t="str">
        <x:f>IF(G2250-H2250&lt;=0,"未回本",IF(ROUNDUP(I2250/(G2250-H2250),0)&gt;MIN(F2250,J2250),"未回本",MAX(1,ROUNDUP(I2250/(G2250-H2250),0))))</x:f>
        <x:v>未回本</x:v>
      </x:c>
    </x:row>
    <x:row r="2251" ht="22" customHeight="1">
      <x:c r="A2251" s="11" t="str">
        <x:v>lade_0829_10aoi</x:v>
      </x:c>
      <x:c r="B2251" s="10" t="n">
        <x:v>10</x:v>
      </x:c>
      <x:c r="C2251" s="10" t="n">
        <x:v>44</x:v>
      </x:c>
      <x:c r="D2251" s="10" t="str">
        <x:v>M2 / M4</x:v>
      </x:c>
      <x:c r="E2251" s="16" t="n">
        <x:v>1</x:v>
      </x:c>
      <x:c r="F2251" s="14" t="n">
        <x:v>30</x:v>
      </x:c>
      <x:c r="G2251" s="26" t="n">
        <x:f>'成本明细'!U335+'成本明细'!G335*(E2251-'参数'!$B$6)</x:f>
        <x:v>1436.6218747116666</x:v>
      </x:c>
      <x:c r="H2251" s="26" t="n">
        <x:f>'成本明细'!U341</x:f>
        <x:v>1834.7490753961108</x:v>
      </x:c>
      <x:c r="I2251" s="26" t="n">
        <x:f>'成本明细'!V341</x:f>
        <x:v>4234</x:v>
      </x:c>
      <x:c r="J2251" s="22" t="n">
        <x:f>'参数'!$B$9</x:f>
        <x:v>300</x:v>
      </x:c>
      <x:c r="K2251" s="26" t="n">
        <x:f>J2251*(G2251-H2251)-I2251*ROUNDUP(J2251/F2251,0)</x:f>
        <x:v>-161778.16020533326</x:v>
      </x:c>
      <x:c r="L2251" s="10" t="str">
        <x:f>IF(G2251-H2251&lt;=0,"未回本",IF(ROUNDUP(I2251/(G2251-H2251),0)&gt;MIN(F2251,J2251),"未回本",MAX(1,ROUNDUP(I2251/(G2251-H2251),0))))</x:f>
        <x:v>未回本</x:v>
      </x:c>
    </x:row>
    <x:row r="2252" ht="22" customHeight="1">
      <x:c r="A2252" s="11" t="str">
        <x:v>lade_0829_10aoi</x:v>
      </x:c>
      <x:c r="B2252" s="10" t="n">
        <x:v>10</x:v>
      </x:c>
      <x:c r="C2252" s="10" t="n">
        <x:v>44</x:v>
      </x:c>
      <x:c r="D2252" s="10" t="str">
        <x:v>M1 / M3</x:v>
      </x:c>
      <x:c r="E2252" s="16" t="n">
        <x:v>1</x:v>
      </x:c>
      <x:c r="F2252" s="14" t="n">
        <x:v>50</x:v>
      </x:c>
      <x:c r="G2252" s="26" t="n">
        <x:f>'成本明细'!U332+'成本明细'!G332*(E2252-'参数'!$B$6)</x:f>
        <x:v>1436.6218747116666</x:v>
      </x:c>
      <x:c r="H2252" s="26" t="n">
        <x:f>'成本明细'!U338</x:f>
        <x:v>2316.168220803333</x:v>
      </x:c>
      <x:c r="I2252" s="26" t="n">
        <x:f>'成本明细'!V338</x:f>
        <x:v>4234</x:v>
      </x:c>
      <x:c r="J2252" s="22" t="n">
        <x:f>'参数'!$B$9</x:f>
        <x:v>300</x:v>
      </x:c>
      <x:c r="K2252" s="26" t="n">
        <x:f>J2252*(G2252-H2252)-I2252*ROUNDUP(J2252/F2252,0)</x:f>
        <x:v>-289267.90382749995</x:v>
      </x:c>
      <x:c r="L2252" s="10" t="str">
        <x:f>IF(G2252-H2252&lt;=0,"未回本",IF(ROUNDUP(I2252/(G2252-H2252),0)&gt;MIN(F2252,J2252),"未回本",MAX(1,ROUNDUP(I2252/(G2252-H2252),0))))</x:f>
        <x:v>未回本</x:v>
      </x:c>
    </x:row>
    <x:row r="2253" ht="22" customHeight="1">
      <x:c r="A2253" s="11" t="str">
        <x:v>lade_0829_10aoi</x:v>
      </x:c>
      <x:c r="B2253" s="10" t="n">
        <x:v>10</x:v>
      </x:c>
      <x:c r="C2253" s="10" t="n">
        <x:v>44</x:v>
      </x:c>
      <x:c r="D2253" s="10" t="str">
        <x:v>M2 / M4</x:v>
      </x:c>
      <x:c r="E2253" s="16" t="n">
        <x:v>1</x:v>
      </x:c>
      <x:c r="F2253" s="14" t="n">
        <x:v>50</x:v>
      </x:c>
      <x:c r="G2253" s="26" t="n">
        <x:f>'成本明细'!U335+'成本明细'!G335*(E2253-'参数'!$B$6)</x:f>
        <x:v>1436.6218747116666</x:v>
      </x:c>
      <x:c r="H2253" s="26" t="n">
        <x:f>'成本明细'!U341</x:f>
        <x:v>1834.7490753961108</x:v>
      </x:c>
      <x:c r="I2253" s="26" t="n">
        <x:f>'成本明细'!V341</x:f>
        <x:v>4234</x:v>
      </x:c>
      <x:c r="J2253" s="22" t="n">
        <x:f>'参数'!$B$9</x:f>
        <x:v>300</x:v>
      </x:c>
      <x:c r="K2253" s="26" t="n">
        <x:f>J2253*(G2253-H2253)-I2253*ROUNDUP(J2253/F2253,0)</x:f>
        <x:v>-144842.16020533326</x:v>
      </x:c>
      <x:c r="L2253" s="10" t="str">
        <x:f>IF(G2253-H2253&lt;=0,"未回本",IF(ROUNDUP(I2253/(G2253-H2253),0)&gt;MIN(F2253,J2253),"未回本",MAX(1,ROUNDUP(I2253/(G2253-H2253),0))))</x:f>
        <x:v>未回本</x:v>
      </x:c>
    </x:row>
    <x:row r="2254" ht="22" customHeight="1">
      <x:c r="A2254" s="11" t="str">
        <x:v>lade_0829_10aoi</x:v>
      </x:c>
      <x:c r="B2254" s="10" t="n">
        <x:v>10</x:v>
      </x:c>
      <x:c r="C2254" s="10" t="n">
        <x:v>44</x:v>
      </x:c>
      <x:c r="D2254" s="10" t="str">
        <x:v>M1 / M3</x:v>
      </x:c>
      <x:c r="E2254" s="16" t="n">
        <x:v>2</x:v>
      </x:c>
      <x:c r="F2254" s="14" t="n">
        <x:v>10</x:v>
      </x:c>
      <x:c r="G2254" s="26" t="n">
        <x:f>'成本明细'!U332+'成本明细'!G332*(E2254-'参数'!$B$6)</x:f>
        <x:v>1552.6218747116666</x:v>
      </x:c>
      <x:c r="H2254" s="26" t="n">
        <x:f>'成本明细'!U338</x:f>
        <x:v>2316.168220803333</x:v>
      </x:c>
      <x:c r="I2254" s="26" t="n">
        <x:f>'成本明细'!V338</x:f>
        <x:v>4234</x:v>
      </x:c>
      <x:c r="J2254" s="22" t="n">
        <x:f>'参数'!$B$9</x:f>
        <x:v>300</x:v>
      </x:c>
      <x:c r="K2254" s="26" t="n">
        <x:f>J2254*(G2254-H2254)-I2254*ROUNDUP(J2254/F2254,0)</x:f>
        <x:v>-356083.90382749995</x:v>
      </x:c>
      <x:c r="L2254" s="10" t="str">
        <x:f>IF(G2254-H2254&lt;=0,"未回本",IF(ROUNDUP(I2254/(G2254-H2254),0)&gt;MIN(F2254,J2254),"未回本",MAX(1,ROUNDUP(I2254/(G2254-H2254),0))))</x:f>
        <x:v>未回本</x:v>
      </x:c>
    </x:row>
    <x:row r="2255" ht="22" customHeight="1">
      <x:c r="A2255" s="11" t="str">
        <x:v>lade_0829_10aoi</x:v>
      </x:c>
      <x:c r="B2255" s="10" t="n">
        <x:v>10</x:v>
      </x:c>
      <x:c r="C2255" s="10" t="n">
        <x:v>44</x:v>
      </x:c>
      <x:c r="D2255" s="10" t="str">
        <x:v>M2 / M4</x:v>
      </x:c>
      <x:c r="E2255" s="16" t="n">
        <x:v>2</x:v>
      </x:c>
      <x:c r="F2255" s="14" t="n">
        <x:v>10</x:v>
      </x:c>
      <x:c r="G2255" s="26" t="n">
        <x:f>'成本明细'!U335+'成本明细'!G335*(E2255-'参数'!$B$6)</x:f>
        <x:v>1552.6218747116666</x:v>
      </x:c>
      <x:c r="H2255" s="26" t="n">
        <x:f>'成本明细'!U341</x:f>
        <x:v>1834.7490753961108</x:v>
      </x:c>
      <x:c r="I2255" s="26" t="n">
        <x:f>'成本明细'!V341</x:f>
        <x:v>4234</x:v>
      </x:c>
      <x:c r="J2255" s="22" t="n">
        <x:f>'参数'!$B$9</x:f>
        <x:v>300</x:v>
      </x:c>
      <x:c r="K2255" s="26" t="n">
        <x:f>J2255*(G2255-H2255)-I2255*ROUNDUP(J2255/F2255,0)</x:f>
        <x:v>-211658.16020533326</x:v>
      </x:c>
      <x:c r="L2255" s="10" t="str">
        <x:f>IF(G2255-H2255&lt;=0,"未回本",IF(ROUNDUP(I2255/(G2255-H2255),0)&gt;MIN(F2255,J2255),"未回本",MAX(1,ROUNDUP(I2255/(G2255-H2255),0))))</x:f>
        <x:v>未回本</x:v>
      </x:c>
    </x:row>
    <x:row r="2256" ht="22" customHeight="1">
      <x:c r="A2256" s="11" t="str">
        <x:v>lade_0829_10aoi</x:v>
      </x:c>
      <x:c r="B2256" s="10" t="n">
        <x:v>10</x:v>
      </x:c>
      <x:c r="C2256" s="10" t="n">
        <x:v>44</x:v>
      </x:c>
      <x:c r="D2256" s="10" t="str">
        <x:v>M1 / M3</x:v>
      </x:c>
      <x:c r="E2256" s="16" t="n">
        <x:v>2</x:v>
      </x:c>
      <x:c r="F2256" s="14" t="n">
        <x:v>20</x:v>
      </x:c>
      <x:c r="G2256" s="26" t="n">
        <x:f>'成本明细'!U332+'成本明细'!G332*(E2256-'参数'!$B$6)</x:f>
        <x:v>1552.6218747116666</x:v>
      </x:c>
      <x:c r="H2256" s="26" t="n">
        <x:f>'成本明细'!U338</x:f>
        <x:v>2316.168220803333</x:v>
      </x:c>
      <x:c r="I2256" s="26" t="n">
        <x:f>'成本明细'!V338</x:f>
        <x:v>4234</x:v>
      </x:c>
      <x:c r="J2256" s="22" t="n">
        <x:f>'参数'!$B$9</x:f>
        <x:v>300</x:v>
      </x:c>
      <x:c r="K2256" s="26" t="n">
        <x:f>J2256*(G2256-H2256)-I2256*ROUNDUP(J2256/F2256,0)</x:f>
        <x:v>-292573.90382749995</x:v>
      </x:c>
      <x:c r="L2256" s="10" t="str">
        <x:f>IF(G2256-H2256&lt;=0,"未回本",IF(ROUNDUP(I2256/(G2256-H2256),0)&gt;MIN(F2256,J2256),"未回本",MAX(1,ROUNDUP(I2256/(G2256-H2256),0))))</x:f>
        <x:v>未回本</x:v>
      </x:c>
    </x:row>
    <x:row r="2257" ht="22" customHeight="1">
      <x:c r="A2257" s="11" t="str">
        <x:v>lade_0829_10aoi</x:v>
      </x:c>
      <x:c r="B2257" s="10" t="n">
        <x:v>10</x:v>
      </x:c>
      <x:c r="C2257" s="10" t="n">
        <x:v>44</x:v>
      </x:c>
      <x:c r="D2257" s="10" t="str">
        <x:v>M2 / M4</x:v>
      </x:c>
      <x:c r="E2257" s="16" t="n">
        <x:v>2</x:v>
      </x:c>
      <x:c r="F2257" s="14" t="n">
        <x:v>20</x:v>
      </x:c>
      <x:c r="G2257" s="26" t="n">
        <x:f>'成本明细'!U335+'成本明细'!G335*(E2257-'参数'!$B$6)</x:f>
        <x:v>1552.6218747116666</x:v>
      </x:c>
      <x:c r="H2257" s="26" t="n">
        <x:f>'成本明细'!U341</x:f>
        <x:v>1834.7490753961108</x:v>
      </x:c>
      <x:c r="I2257" s="26" t="n">
        <x:f>'成本明细'!V341</x:f>
        <x:v>4234</x:v>
      </x:c>
      <x:c r="J2257" s="22" t="n">
        <x:f>'参数'!$B$9</x:f>
        <x:v>300</x:v>
      </x:c>
      <x:c r="K2257" s="26" t="n">
        <x:f>J2257*(G2257-H2257)-I2257*ROUNDUP(J2257/F2257,0)</x:f>
        <x:v>-148148.16020533326</x:v>
      </x:c>
      <x:c r="L2257" s="10" t="str">
        <x:f>IF(G2257-H2257&lt;=0,"未回本",IF(ROUNDUP(I2257/(G2257-H2257),0)&gt;MIN(F2257,J2257),"未回本",MAX(1,ROUNDUP(I2257/(G2257-H2257),0))))</x:f>
        <x:v>未回本</x:v>
      </x:c>
    </x:row>
    <x:row r="2258" ht="22" customHeight="1">
      <x:c r="A2258" s="11" t="str">
        <x:v>lade_0829_10aoi</x:v>
      </x:c>
      <x:c r="B2258" s="10" t="n">
        <x:v>10</x:v>
      </x:c>
      <x:c r="C2258" s="10" t="n">
        <x:v>44</x:v>
      </x:c>
      <x:c r="D2258" s="10" t="str">
        <x:v>M1 / M3</x:v>
      </x:c>
      <x:c r="E2258" s="16" t="n">
        <x:v>2</x:v>
      </x:c>
      <x:c r="F2258" s="14" t="n">
        <x:v>30</x:v>
      </x:c>
      <x:c r="G2258" s="26" t="n">
        <x:f>'成本明细'!U332+'成本明细'!G332*(E2258-'参数'!$B$6)</x:f>
        <x:v>1552.6218747116666</x:v>
      </x:c>
      <x:c r="H2258" s="26" t="n">
        <x:f>'成本明细'!U338</x:f>
        <x:v>2316.168220803333</x:v>
      </x:c>
      <x:c r="I2258" s="26" t="n">
        <x:f>'成本明细'!V338</x:f>
        <x:v>4234</x:v>
      </x:c>
      <x:c r="J2258" s="22" t="n">
        <x:f>'参数'!$B$9</x:f>
        <x:v>300</x:v>
      </x:c>
      <x:c r="K2258" s="26" t="n">
        <x:f>J2258*(G2258-H2258)-I2258*ROUNDUP(J2258/F2258,0)</x:f>
        <x:v>-271403.90382749995</x:v>
      </x:c>
      <x:c r="L2258" s="10" t="str">
        <x:f>IF(G2258-H2258&lt;=0,"未回本",IF(ROUNDUP(I2258/(G2258-H2258),0)&gt;MIN(F2258,J2258),"未回本",MAX(1,ROUNDUP(I2258/(G2258-H2258),0))))</x:f>
        <x:v>未回本</x:v>
      </x:c>
    </x:row>
    <x:row r="2259" ht="22" customHeight="1">
      <x:c r="A2259" s="11" t="str">
        <x:v>lade_0829_10aoi</x:v>
      </x:c>
      <x:c r="B2259" s="10" t="n">
        <x:v>10</x:v>
      </x:c>
      <x:c r="C2259" s="10" t="n">
        <x:v>44</x:v>
      </x:c>
      <x:c r="D2259" s="10" t="str">
        <x:v>M2 / M4</x:v>
      </x:c>
      <x:c r="E2259" s="16" t="n">
        <x:v>2</x:v>
      </x:c>
      <x:c r="F2259" s="14" t="n">
        <x:v>30</x:v>
      </x:c>
      <x:c r="G2259" s="26" t="n">
        <x:f>'成本明细'!U335+'成本明细'!G335*(E2259-'参数'!$B$6)</x:f>
        <x:v>1552.6218747116666</x:v>
      </x:c>
      <x:c r="H2259" s="26" t="n">
        <x:f>'成本明细'!U341</x:f>
        <x:v>1834.7490753961108</x:v>
      </x:c>
      <x:c r="I2259" s="26" t="n">
        <x:f>'成本明细'!V341</x:f>
        <x:v>4234</x:v>
      </x:c>
      <x:c r="J2259" s="22" t="n">
        <x:f>'参数'!$B$9</x:f>
        <x:v>300</x:v>
      </x:c>
      <x:c r="K2259" s="26" t="n">
        <x:f>J2259*(G2259-H2259)-I2259*ROUNDUP(J2259/F2259,0)</x:f>
        <x:v>-126978.16020533328</x:v>
      </x:c>
      <x:c r="L2259" s="10" t="str">
        <x:f>IF(G2259-H2259&lt;=0,"未回本",IF(ROUNDUP(I2259/(G2259-H2259),0)&gt;MIN(F2259,J2259),"未回本",MAX(1,ROUNDUP(I2259/(G2259-H2259),0))))</x:f>
        <x:v>未回本</x:v>
      </x:c>
    </x:row>
    <x:row r="2260" ht="22" customHeight="1">
      <x:c r="A2260" s="11" t="str">
        <x:v>lade_0829_10aoi</x:v>
      </x:c>
      <x:c r="B2260" s="10" t="n">
        <x:v>10</x:v>
      </x:c>
      <x:c r="C2260" s="10" t="n">
        <x:v>44</x:v>
      </x:c>
      <x:c r="D2260" s="10" t="str">
        <x:v>M1 / M3</x:v>
      </x:c>
      <x:c r="E2260" s="16" t="n">
        <x:v>2</x:v>
      </x:c>
      <x:c r="F2260" s="14" t="n">
        <x:v>50</x:v>
      </x:c>
      <x:c r="G2260" s="26" t="n">
        <x:f>'成本明细'!U332+'成本明细'!G332*(E2260-'参数'!$B$6)</x:f>
        <x:v>1552.6218747116666</x:v>
      </x:c>
      <x:c r="H2260" s="26" t="n">
        <x:f>'成本明细'!U338</x:f>
        <x:v>2316.168220803333</x:v>
      </x:c>
      <x:c r="I2260" s="26" t="n">
        <x:f>'成本明细'!V338</x:f>
        <x:v>4234</x:v>
      </x:c>
      <x:c r="J2260" s="22" t="n">
        <x:f>'参数'!$B$9</x:f>
        <x:v>300</x:v>
      </x:c>
      <x:c r="K2260" s="26" t="n">
        <x:f>J2260*(G2260-H2260)-I2260*ROUNDUP(J2260/F2260,0)</x:f>
        <x:v>-254467.90382749995</x:v>
      </x:c>
      <x:c r="L2260" s="10" t="str">
        <x:f>IF(G2260-H2260&lt;=0,"未回本",IF(ROUNDUP(I2260/(G2260-H2260),0)&gt;MIN(F2260,J2260),"未回本",MAX(1,ROUNDUP(I2260/(G2260-H2260),0))))</x:f>
        <x:v>未回本</x:v>
      </x:c>
    </x:row>
    <x:row r="2261" ht="22" customHeight="1">
      <x:c r="A2261" s="11" t="str">
        <x:v>lade_0829_10aoi</x:v>
      </x:c>
      <x:c r="B2261" s="10" t="n">
        <x:v>10</x:v>
      </x:c>
      <x:c r="C2261" s="10" t="n">
        <x:v>44</x:v>
      </x:c>
      <x:c r="D2261" s="10" t="str">
        <x:v>M2 / M4</x:v>
      </x:c>
      <x:c r="E2261" s="16" t="n">
        <x:v>2</x:v>
      </x:c>
      <x:c r="F2261" s="14" t="n">
        <x:v>50</x:v>
      </x:c>
      <x:c r="G2261" s="26" t="n">
        <x:f>'成本明细'!U335+'成本明细'!G335*(E2261-'参数'!$B$6)</x:f>
        <x:v>1552.6218747116666</x:v>
      </x:c>
      <x:c r="H2261" s="26" t="n">
        <x:f>'成本明细'!U341</x:f>
        <x:v>1834.7490753961108</x:v>
      </x:c>
      <x:c r="I2261" s="26" t="n">
        <x:f>'成本明细'!V341</x:f>
        <x:v>4234</x:v>
      </x:c>
      <x:c r="J2261" s="22" t="n">
        <x:f>'参数'!$B$9</x:f>
        <x:v>300</x:v>
      </x:c>
      <x:c r="K2261" s="26" t="n">
        <x:f>J2261*(G2261-H2261)-I2261*ROUNDUP(J2261/F2261,0)</x:f>
        <x:v>-110042.16020533328</x:v>
      </x:c>
      <x:c r="L2261" s="10" t="str">
        <x:f>IF(G2261-H2261&lt;=0,"未回本",IF(ROUNDUP(I2261/(G2261-H2261),0)&gt;MIN(F2261,J2261),"未回本",MAX(1,ROUNDUP(I2261/(G2261-H2261),0))))</x:f>
        <x:v>未回本</x:v>
      </x:c>
    </x:row>
    <x:row r="2262" ht="22" customHeight="1">
      <x:c r="A2262" s="11" t="str">
        <x:v>lade_0829_10aoi</x:v>
      </x:c>
      <x:c r="B2262" s="10" t="n">
        <x:v>10</x:v>
      </x:c>
      <x:c r="C2262" s="10" t="n">
        <x:v>44</x:v>
      </x:c>
      <x:c r="D2262" s="10" t="str">
        <x:v>M1 / M3</x:v>
      </x:c>
      <x:c r="E2262" s="16" t="n">
        <x:v>3</x:v>
      </x:c>
      <x:c r="F2262" s="14" t="n">
        <x:v>10</x:v>
      </x:c>
      <x:c r="G2262" s="26" t="n">
        <x:f>'成本明细'!U332+'成本明细'!G332*(E2262-'参数'!$B$6)</x:f>
        <x:v>1668.6218747116666</x:v>
      </x:c>
      <x:c r="H2262" s="26" t="n">
        <x:f>'成本明细'!U338</x:f>
        <x:v>2316.168220803333</x:v>
      </x:c>
      <x:c r="I2262" s="26" t="n">
        <x:f>'成本明细'!V338</x:f>
        <x:v>4234</x:v>
      </x:c>
      <x:c r="J2262" s="22" t="n">
        <x:f>'参数'!$B$9</x:f>
        <x:v>300</x:v>
      </x:c>
      <x:c r="K2262" s="26" t="n">
        <x:f>J2262*(G2262-H2262)-I2262*ROUNDUP(J2262/F2262,0)</x:f>
        <x:v>-321283.90382749995</x:v>
      </x:c>
      <x:c r="L2262" s="10" t="str">
        <x:f>IF(G2262-H2262&lt;=0,"未回本",IF(ROUNDUP(I2262/(G2262-H2262),0)&gt;MIN(F2262,J2262),"未回本",MAX(1,ROUNDUP(I2262/(G2262-H2262),0))))</x:f>
        <x:v>未回本</x:v>
      </x:c>
    </x:row>
    <x:row r="2263" ht="22" customHeight="1">
      <x:c r="A2263" s="11" t="str">
        <x:v>lade_0829_10aoi</x:v>
      </x:c>
      <x:c r="B2263" s="10" t="n">
        <x:v>10</x:v>
      </x:c>
      <x:c r="C2263" s="10" t="n">
        <x:v>44</x:v>
      </x:c>
      <x:c r="D2263" s="10" t="str">
        <x:v>M2 / M4</x:v>
      </x:c>
      <x:c r="E2263" s="16" t="n">
        <x:v>3</x:v>
      </x:c>
      <x:c r="F2263" s="14" t="n">
        <x:v>10</x:v>
      </x:c>
      <x:c r="G2263" s="26" t="n">
        <x:f>'成本明细'!U335+'成本明细'!G335*(E2263-'参数'!$B$6)</x:f>
        <x:v>1668.6218747116666</x:v>
      </x:c>
      <x:c r="H2263" s="26" t="n">
        <x:f>'成本明细'!U341</x:f>
        <x:v>1834.7490753961108</x:v>
      </x:c>
      <x:c r="I2263" s="26" t="n">
        <x:f>'成本明细'!V341</x:f>
        <x:v>4234</x:v>
      </x:c>
      <x:c r="J2263" s="22" t="n">
        <x:f>'参数'!$B$9</x:f>
        <x:v>300</x:v>
      </x:c>
      <x:c r="K2263" s="26" t="n">
        <x:f>J2263*(G2263-H2263)-I2263*ROUNDUP(J2263/F2263,0)</x:f>
        <x:v>-176858.16020533326</x:v>
      </x:c>
      <x:c r="L2263" s="10" t="str">
        <x:f>IF(G2263-H2263&lt;=0,"未回本",IF(ROUNDUP(I2263/(G2263-H2263),0)&gt;MIN(F2263,J2263),"未回本",MAX(1,ROUNDUP(I2263/(G2263-H2263),0))))</x:f>
        <x:v>未回本</x:v>
      </x:c>
    </x:row>
    <x:row r="2264" ht="22" customHeight="1">
      <x:c r="A2264" s="11" t="str">
        <x:v>lade_0829_10aoi</x:v>
      </x:c>
      <x:c r="B2264" s="10" t="n">
        <x:v>10</x:v>
      </x:c>
      <x:c r="C2264" s="10" t="n">
        <x:v>44</x:v>
      </x:c>
      <x:c r="D2264" s="10" t="str">
        <x:v>M1 / M3</x:v>
      </x:c>
      <x:c r="E2264" s="16" t="n">
        <x:v>3</x:v>
      </x:c>
      <x:c r="F2264" s="14" t="n">
        <x:v>20</x:v>
      </x:c>
      <x:c r="G2264" s="26" t="n">
        <x:f>'成本明细'!U332+'成本明细'!G332*(E2264-'参数'!$B$6)</x:f>
        <x:v>1668.6218747116666</x:v>
      </x:c>
      <x:c r="H2264" s="26" t="n">
        <x:f>'成本明细'!U338</x:f>
        <x:v>2316.168220803333</x:v>
      </x:c>
      <x:c r="I2264" s="26" t="n">
        <x:f>'成本明细'!V338</x:f>
        <x:v>4234</x:v>
      </x:c>
      <x:c r="J2264" s="22" t="n">
        <x:f>'参数'!$B$9</x:f>
        <x:v>300</x:v>
      </x:c>
      <x:c r="K2264" s="26" t="n">
        <x:f>J2264*(G2264-H2264)-I2264*ROUNDUP(J2264/F2264,0)</x:f>
        <x:v>-257773.90382749995</x:v>
      </x:c>
      <x:c r="L2264" s="10" t="str">
        <x:f>IF(G2264-H2264&lt;=0,"未回本",IF(ROUNDUP(I2264/(G2264-H2264),0)&gt;MIN(F2264,J2264),"未回本",MAX(1,ROUNDUP(I2264/(G2264-H2264),0))))</x:f>
        <x:v>未回本</x:v>
      </x:c>
    </x:row>
    <x:row r="2265" ht="22" customHeight="1">
      <x:c r="A2265" s="11" t="str">
        <x:v>lade_0829_10aoi</x:v>
      </x:c>
      <x:c r="B2265" s="10" t="n">
        <x:v>10</x:v>
      </x:c>
      <x:c r="C2265" s="10" t="n">
        <x:v>44</x:v>
      </x:c>
      <x:c r="D2265" s="10" t="str">
        <x:v>M2 / M4</x:v>
      </x:c>
      <x:c r="E2265" s="16" t="n">
        <x:v>3</x:v>
      </x:c>
      <x:c r="F2265" s="14" t="n">
        <x:v>20</x:v>
      </x:c>
      <x:c r="G2265" s="26" t="n">
        <x:f>'成本明细'!U335+'成本明细'!G335*(E2265-'参数'!$B$6)</x:f>
        <x:v>1668.6218747116666</x:v>
      </x:c>
      <x:c r="H2265" s="26" t="n">
        <x:f>'成本明细'!U341</x:f>
        <x:v>1834.7490753961108</x:v>
      </x:c>
      <x:c r="I2265" s="26" t="n">
        <x:f>'成本明细'!V341</x:f>
        <x:v>4234</x:v>
      </x:c>
      <x:c r="J2265" s="22" t="n">
        <x:f>'参数'!$B$9</x:f>
        <x:v>300</x:v>
      </x:c>
      <x:c r="K2265" s="26" t="n">
        <x:f>J2265*(G2265-H2265)-I2265*ROUNDUP(J2265/F2265,0)</x:f>
        <x:v>-113348.16020533326</x:v>
      </x:c>
      <x:c r="L2265" s="10" t="str">
        <x:f>IF(G2265-H2265&lt;=0,"未回本",IF(ROUNDUP(I2265/(G2265-H2265),0)&gt;MIN(F2265,J2265),"未回本",MAX(1,ROUNDUP(I2265/(G2265-H2265),0))))</x:f>
        <x:v>未回本</x:v>
      </x:c>
    </x:row>
    <x:row r="2266" ht="22" customHeight="1">
      <x:c r="A2266" s="11" t="str">
        <x:v>lade_0829_10aoi</x:v>
      </x:c>
      <x:c r="B2266" s="10" t="n">
        <x:v>10</x:v>
      </x:c>
      <x:c r="C2266" s="10" t="n">
        <x:v>44</x:v>
      </x:c>
      <x:c r="D2266" s="10" t="str">
        <x:v>M1 / M3</x:v>
      </x:c>
      <x:c r="E2266" s="16" t="n">
        <x:v>3</x:v>
      </x:c>
      <x:c r="F2266" s="14" t="n">
        <x:v>30</x:v>
      </x:c>
      <x:c r="G2266" s="26" t="n">
        <x:f>'成本明细'!U332+'成本明细'!G332*(E2266-'参数'!$B$6)</x:f>
        <x:v>1668.6218747116666</x:v>
      </x:c>
      <x:c r="H2266" s="26" t="n">
        <x:f>'成本明细'!U338</x:f>
        <x:v>2316.168220803333</x:v>
      </x:c>
      <x:c r="I2266" s="26" t="n">
        <x:f>'成本明细'!V338</x:f>
        <x:v>4234</x:v>
      </x:c>
      <x:c r="J2266" s="22" t="n">
        <x:f>'参数'!$B$9</x:f>
        <x:v>300</x:v>
      </x:c>
      <x:c r="K2266" s="26" t="n">
        <x:f>J2266*(G2266-H2266)-I2266*ROUNDUP(J2266/F2266,0)</x:f>
        <x:v>-236603.90382749995</x:v>
      </x:c>
      <x:c r="L2266" s="10" t="str">
        <x:f>IF(G2266-H2266&lt;=0,"未回本",IF(ROUNDUP(I2266/(G2266-H2266),0)&gt;MIN(F2266,J2266),"未回本",MAX(1,ROUNDUP(I2266/(G2266-H2266),0))))</x:f>
        <x:v>未回本</x:v>
      </x:c>
    </x:row>
    <x:row r="2267" ht="22" customHeight="1">
      <x:c r="A2267" s="11" t="str">
        <x:v>lade_0829_10aoi</x:v>
      </x:c>
      <x:c r="B2267" s="10" t="n">
        <x:v>10</x:v>
      </x:c>
      <x:c r="C2267" s="10" t="n">
        <x:v>44</x:v>
      </x:c>
      <x:c r="D2267" s="10" t="str">
        <x:v>M2 / M4</x:v>
      </x:c>
      <x:c r="E2267" s="16" t="n">
        <x:v>3</x:v>
      </x:c>
      <x:c r="F2267" s="14" t="n">
        <x:v>30</x:v>
      </x:c>
      <x:c r="G2267" s="26" t="n">
        <x:f>'成本明细'!U335+'成本明细'!G335*(E2267-'参数'!$B$6)</x:f>
        <x:v>1668.6218747116666</x:v>
      </x:c>
      <x:c r="H2267" s="26" t="n">
        <x:f>'成本明细'!U341</x:f>
        <x:v>1834.7490753961108</x:v>
      </x:c>
      <x:c r="I2267" s="26" t="n">
        <x:f>'成本明细'!V341</x:f>
        <x:v>4234</x:v>
      </x:c>
      <x:c r="J2267" s="22" t="n">
        <x:f>'参数'!$B$9</x:f>
        <x:v>300</x:v>
      </x:c>
      <x:c r="K2267" s="26" t="n">
        <x:f>J2267*(G2267-H2267)-I2267*ROUNDUP(J2267/F2267,0)</x:f>
        <x:v>-92178.16020533326</x:v>
      </x:c>
      <x:c r="L2267" s="10" t="str">
        <x:f>IF(G2267-H2267&lt;=0,"未回本",IF(ROUNDUP(I2267/(G2267-H2267),0)&gt;MIN(F2267,J2267),"未回本",MAX(1,ROUNDUP(I2267/(G2267-H2267),0))))</x:f>
        <x:v>未回本</x:v>
      </x:c>
    </x:row>
    <x:row r="2268" ht="22" customHeight="1">
      <x:c r="A2268" s="11" t="str">
        <x:v>lade_0829_10aoi</x:v>
      </x:c>
      <x:c r="B2268" s="10" t="n">
        <x:v>10</x:v>
      </x:c>
      <x:c r="C2268" s="10" t="n">
        <x:v>44</x:v>
      </x:c>
      <x:c r="D2268" s="10" t="str">
        <x:v>M1 / M3</x:v>
      </x:c>
      <x:c r="E2268" s="16" t="n">
        <x:v>3</x:v>
      </x:c>
      <x:c r="F2268" s="14" t="n">
        <x:v>50</x:v>
      </x:c>
      <x:c r="G2268" s="26" t="n">
        <x:f>'成本明细'!U332+'成本明细'!G332*(E2268-'参数'!$B$6)</x:f>
        <x:v>1668.6218747116666</x:v>
      </x:c>
      <x:c r="H2268" s="26" t="n">
        <x:f>'成本明细'!U338</x:f>
        <x:v>2316.168220803333</x:v>
      </x:c>
      <x:c r="I2268" s="26" t="n">
        <x:f>'成本明细'!V338</x:f>
        <x:v>4234</x:v>
      </x:c>
      <x:c r="J2268" s="22" t="n">
        <x:f>'参数'!$B$9</x:f>
        <x:v>300</x:v>
      </x:c>
      <x:c r="K2268" s="26" t="n">
        <x:f>J2268*(G2268-H2268)-I2268*ROUNDUP(J2268/F2268,0)</x:f>
        <x:v>-219667.90382749995</x:v>
      </x:c>
      <x:c r="L2268" s="10" t="str">
        <x:f>IF(G2268-H2268&lt;=0,"未回本",IF(ROUNDUP(I2268/(G2268-H2268),0)&gt;MIN(F2268,J2268),"未回本",MAX(1,ROUNDUP(I2268/(G2268-H2268),0))))</x:f>
        <x:v>未回本</x:v>
      </x:c>
    </x:row>
    <x:row r="2269" ht="22" customHeight="1">
      <x:c r="A2269" s="11" t="str">
        <x:v>lade_0829_10aoi</x:v>
      </x:c>
      <x:c r="B2269" s="10" t="n">
        <x:v>10</x:v>
      </x:c>
      <x:c r="C2269" s="10" t="n">
        <x:v>44</x:v>
      </x:c>
      <x:c r="D2269" s="10" t="str">
        <x:v>M2 / M4</x:v>
      </x:c>
      <x:c r="E2269" s="16" t="n">
        <x:v>3</x:v>
      </x:c>
      <x:c r="F2269" s="14" t="n">
        <x:v>50</x:v>
      </x:c>
      <x:c r="G2269" s="26" t="n">
        <x:f>'成本明细'!U335+'成本明细'!G335*(E2269-'参数'!$B$6)</x:f>
        <x:v>1668.6218747116666</x:v>
      </x:c>
      <x:c r="H2269" s="26" t="n">
        <x:f>'成本明细'!U341</x:f>
        <x:v>1834.7490753961108</x:v>
      </x:c>
      <x:c r="I2269" s="26" t="n">
        <x:f>'成本明细'!V341</x:f>
        <x:v>4234</x:v>
      </x:c>
      <x:c r="J2269" s="22" t="n">
        <x:f>'参数'!$B$9</x:f>
        <x:v>300</x:v>
      </x:c>
      <x:c r="K2269" s="26" t="n">
        <x:f>J2269*(G2269-H2269)-I2269*ROUNDUP(J2269/F2269,0)</x:f>
        <x:v>-75242.16020533326</x:v>
      </x:c>
      <x:c r="L2269" s="10" t="str">
        <x:f>IF(G2269-H2269&lt;=0,"未回本",IF(ROUNDUP(I2269/(G2269-H2269),0)&gt;MIN(F2269,J2269),"未回本",MAX(1,ROUNDUP(I2269/(G2269-H2269),0))))</x:f>
        <x:v>未回本</x:v>
      </x:c>
    </x:row>
    <x:row r="2270" ht="22" customHeight="1">
      <x:c r="A2270" s="11" t="str">
        <x:v>lade_0829_10aoi</x:v>
      </x:c>
      <x:c r="B2270" s="10" t="n">
        <x:v>10</x:v>
      </x:c>
      <x:c r="C2270" s="10" t="n">
        <x:v>44</x:v>
      </x:c>
      <x:c r="D2270" s="10" t="str">
        <x:v>M1 / M3</x:v>
      </x:c>
      <x:c r="E2270" s="16" t="n">
        <x:v>4</x:v>
      </x:c>
      <x:c r="F2270" s="14" t="n">
        <x:v>10</x:v>
      </x:c>
      <x:c r="G2270" s="26" t="n">
        <x:f>'成本明细'!U332+'成本明细'!G332*(E2270-'参数'!$B$6)</x:f>
        <x:v>1784.6218747116666</x:v>
      </x:c>
      <x:c r="H2270" s="26" t="n">
        <x:f>'成本明细'!U338</x:f>
        <x:v>2316.168220803333</x:v>
      </x:c>
      <x:c r="I2270" s="26" t="n">
        <x:f>'成本明细'!V338</x:f>
        <x:v>4234</x:v>
      </x:c>
      <x:c r="J2270" s="22" t="n">
        <x:f>'参数'!$B$9</x:f>
        <x:v>300</x:v>
      </x:c>
      <x:c r="K2270" s="26" t="n">
        <x:f>J2270*(G2270-H2270)-I2270*ROUNDUP(J2270/F2270,0)</x:f>
        <x:v>-286483.90382749995</x:v>
      </x:c>
      <x:c r="L2270" s="10" t="str">
        <x:f>IF(G2270-H2270&lt;=0,"未回本",IF(ROUNDUP(I2270/(G2270-H2270),0)&gt;MIN(F2270,J2270),"未回本",MAX(1,ROUNDUP(I2270/(G2270-H2270),0))))</x:f>
        <x:v>未回本</x:v>
      </x:c>
    </x:row>
    <x:row r="2271" ht="22" customHeight="1">
      <x:c r="A2271" s="11" t="str">
        <x:v>lade_0829_10aoi</x:v>
      </x:c>
      <x:c r="B2271" s="10" t="n">
        <x:v>10</x:v>
      </x:c>
      <x:c r="C2271" s="10" t="n">
        <x:v>44</x:v>
      </x:c>
      <x:c r="D2271" s="10" t="str">
        <x:v>M2 / M4</x:v>
      </x:c>
      <x:c r="E2271" s="16" t="n">
        <x:v>4</x:v>
      </x:c>
      <x:c r="F2271" s="14" t="n">
        <x:v>10</x:v>
      </x:c>
      <x:c r="G2271" s="26" t="n">
        <x:f>'成本明细'!U335+'成本明细'!G335*(E2271-'参数'!$B$6)</x:f>
        <x:v>1784.6218747116666</x:v>
      </x:c>
      <x:c r="H2271" s="26" t="n">
        <x:f>'成本明细'!U341</x:f>
        <x:v>1834.7490753961108</x:v>
      </x:c>
      <x:c r="I2271" s="26" t="n">
        <x:f>'成本明细'!V341</x:f>
        <x:v>4234</x:v>
      </x:c>
      <x:c r="J2271" s="22" t="n">
        <x:f>'参数'!$B$9</x:f>
        <x:v>300</x:v>
      </x:c>
      <x:c r="K2271" s="26" t="n">
        <x:f>J2271*(G2271-H2271)-I2271*ROUNDUP(J2271/F2271,0)</x:f>
        <x:v>-142058.16020533326</x:v>
      </x:c>
      <x:c r="L2271" s="10" t="str">
        <x:f>IF(G2271-H2271&lt;=0,"未回本",IF(ROUNDUP(I2271/(G2271-H2271),0)&gt;MIN(F2271,J2271),"未回本",MAX(1,ROUNDUP(I2271/(G2271-H2271),0))))</x:f>
        <x:v>未回本</x:v>
      </x:c>
    </x:row>
    <x:row r="2272" ht="22" customHeight="1">
      <x:c r="A2272" s="11" t="str">
        <x:v>lade_0829_10aoi</x:v>
      </x:c>
      <x:c r="B2272" s="10" t="n">
        <x:v>10</x:v>
      </x:c>
      <x:c r="C2272" s="10" t="n">
        <x:v>44</x:v>
      </x:c>
      <x:c r="D2272" s="10" t="str">
        <x:v>M1 / M3</x:v>
      </x:c>
      <x:c r="E2272" s="16" t="n">
        <x:v>4</x:v>
      </x:c>
      <x:c r="F2272" s="14" t="n">
        <x:v>20</x:v>
      </x:c>
      <x:c r="G2272" s="26" t="n">
        <x:f>'成本明细'!U332+'成本明细'!G332*(E2272-'参数'!$B$6)</x:f>
        <x:v>1784.6218747116666</x:v>
      </x:c>
      <x:c r="H2272" s="26" t="n">
        <x:f>'成本明细'!U338</x:f>
        <x:v>2316.168220803333</x:v>
      </x:c>
      <x:c r="I2272" s="26" t="n">
        <x:f>'成本明细'!V338</x:f>
        <x:v>4234</x:v>
      </x:c>
      <x:c r="J2272" s="22" t="n">
        <x:f>'参数'!$B$9</x:f>
        <x:v>300</x:v>
      </x:c>
      <x:c r="K2272" s="26" t="n">
        <x:f>J2272*(G2272-H2272)-I2272*ROUNDUP(J2272/F2272,0)</x:f>
        <x:v>-222973.90382749995</x:v>
      </x:c>
      <x:c r="L2272" s="10" t="str">
        <x:f>IF(G2272-H2272&lt;=0,"未回本",IF(ROUNDUP(I2272/(G2272-H2272),0)&gt;MIN(F2272,J2272),"未回本",MAX(1,ROUNDUP(I2272/(G2272-H2272),0))))</x:f>
        <x:v>未回本</x:v>
      </x:c>
    </x:row>
    <x:row r="2273" ht="22" customHeight="1">
      <x:c r="A2273" s="11" t="str">
        <x:v>lade_0829_10aoi</x:v>
      </x:c>
      <x:c r="B2273" s="10" t="n">
        <x:v>10</x:v>
      </x:c>
      <x:c r="C2273" s="10" t="n">
        <x:v>44</x:v>
      </x:c>
      <x:c r="D2273" s="10" t="str">
        <x:v>M2 / M4</x:v>
      </x:c>
      <x:c r="E2273" s="16" t="n">
        <x:v>4</x:v>
      </x:c>
      <x:c r="F2273" s="14" t="n">
        <x:v>20</x:v>
      </x:c>
      <x:c r="G2273" s="26" t="n">
        <x:f>'成本明细'!U335+'成本明细'!G335*(E2273-'参数'!$B$6)</x:f>
        <x:v>1784.6218747116666</x:v>
      </x:c>
      <x:c r="H2273" s="26" t="n">
        <x:f>'成本明细'!U341</x:f>
        <x:v>1834.7490753961108</x:v>
      </x:c>
      <x:c r="I2273" s="26" t="n">
        <x:f>'成本明细'!V341</x:f>
        <x:v>4234</x:v>
      </x:c>
      <x:c r="J2273" s="22" t="n">
        <x:f>'参数'!$B$9</x:f>
        <x:v>300</x:v>
      </x:c>
      <x:c r="K2273" s="26" t="n">
        <x:f>J2273*(G2273-H2273)-I2273*ROUNDUP(J2273/F2273,0)</x:f>
        <x:v>-78548.16020533328</x:v>
      </x:c>
      <x:c r="L2273" s="10" t="str">
        <x:f>IF(G2273-H2273&lt;=0,"未回本",IF(ROUNDUP(I2273/(G2273-H2273),0)&gt;MIN(F2273,J2273),"未回本",MAX(1,ROUNDUP(I2273/(G2273-H2273),0))))</x:f>
        <x:v>未回本</x:v>
      </x:c>
    </x:row>
    <x:row r="2274" ht="22" customHeight="1">
      <x:c r="A2274" s="11" t="str">
        <x:v>lade_0829_10aoi</x:v>
      </x:c>
      <x:c r="B2274" s="10" t="n">
        <x:v>10</x:v>
      </x:c>
      <x:c r="C2274" s="10" t="n">
        <x:v>44</x:v>
      </x:c>
      <x:c r="D2274" s="10" t="str">
        <x:v>M1 / M3</x:v>
      </x:c>
      <x:c r="E2274" s="16" t="n">
        <x:v>4</x:v>
      </x:c>
      <x:c r="F2274" s="14" t="n">
        <x:v>30</x:v>
      </x:c>
      <x:c r="G2274" s="26" t="n">
        <x:f>'成本明细'!U332+'成本明细'!G332*(E2274-'参数'!$B$6)</x:f>
        <x:v>1784.6218747116666</x:v>
      </x:c>
      <x:c r="H2274" s="26" t="n">
        <x:f>'成本明细'!U338</x:f>
        <x:v>2316.168220803333</x:v>
      </x:c>
      <x:c r="I2274" s="26" t="n">
        <x:f>'成本明细'!V338</x:f>
        <x:v>4234</x:v>
      </x:c>
      <x:c r="J2274" s="22" t="n">
        <x:f>'参数'!$B$9</x:f>
        <x:v>300</x:v>
      </x:c>
      <x:c r="K2274" s="26" t="n">
        <x:f>J2274*(G2274-H2274)-I2274*ROUNDUP(J2274/F2274,0)</x:f>
        <x:v>-201803.90382749995</x:v>
      </x:c>
      <x:c r="L2274" s="10" t="str">
        <x:f>IF(G2274-H2274&lt;=0,"未回本",IF(ROUNDUP(I2274/(G2274-H2274),0)&gt;MIN(F2274,J2274),"未回本",MAX(1,ROUNDUP(I2274/(G2274-H2274),0))))</x:f>
        <x:v>未回本</x:v>
      </x:c>
    </x:row>
    <x:row r="2275" ht="22" customHeight="1">
      <x:c r="A2275" s="11" t="str">
        <x:v>lade_0829_10aoi</x:v>
      </x:c>
      <x:c r="B2275" s="10" t="n">
        <x:v>10</x:v>
      </x:c>
      <x:c r="C2275" s="10" t="n">
        <x:v>44</x:v>
      </x:c>
      <x:c r="D2275" s="10" t="str">
        <x:v>M2 / M4</x:v>
      </x:c>
      <x:c r="E2275" s="16" t="n">
        <x:v>4</x:v>
      </x:c>
      <x:c r="F2275" s="14" t="n">
        <x:v>30</x:v>
      </x:c>
      <x:c r="G2275" s="26" t="n">
        <x:f>'成本明细'!U335+'成本明细'!G335*(E2275-'参数'!$B$6)</x:f>
        <x:v>1784.6218747116666</x:v>
      </x:c>
      <x:c r="H2275" s="26" t="n">
        <x:f>'成本明细'!U341</x:f>
        <x:v>1834.7490753961108</x:v>
      </x:c>
      <x:c r="I2275" s="26" t="n">
        <x:f>'成本明细'!V341</x:f>
        <x:v>4234</x:v>
      </x:c>
      <x:c r="J2275" s="22" t="n">
        <x:f>'参数'!$B$9</x:f>
        <x:v>300</x:v>
      </x:c>
      <x:c r="K2275" s="26" t="n">
        <x:f>J2275*(G2275-H2275)-I2275*ROUNDUP(J2275/F2275,0)</x:f>
        <x:v>-57378.16020533327</x:v>
      </x:c>
      <x:c r="L2275" s="10" t="str">
        <x:f>IF(G2275-H2275&lt;=0,"未回本",IF(ROUNDUP(I2275/(G2275-H2275),0)&gt;MIN(F2275,J2275),"未回本",MAX(1,ROUNDUP(I2275/(G2275-H2275),0))))</x:f>
        <x:v>未回本</x:v>
      </x:c>
    </x:row>
    <x:row r="2276" ht="22" customHeight="1">
      <x:c r="A2276" s="11" t="str">
        <x:v>lade_0829_10aoi</x:v>
      </x:c>
      <x:c r="B2276" s="10" t="n">
        <x:v>10</x:v>
      </x:c>
      <x:c r="C2276" s="10" t="n">
        <x:v>44</x:v>
      </x:c>
      <x:c r="D2276" s="10" t="str">
        <x:v>M1 / M3</x:v>
      </x:c>
      <x:c r="E2276" s="16" t="n">
        <x:v>4</x:v>
      </x:c>
      <x:c r="F2276" s="14" t="n">
        <x:v>50</x:v>
      </x:c>
      <x:c r="G2276" s="26" t="n">
        <x:f>'成本明细'!U332+'成本明细'!G332*(E2276-'参数'!$B$6)</x:f>
        <x:v>1784.6218747116666</x:v>
      </x:c>
      <x:c r="H2276" s="26" t="n">
        <x:f>'成本明细'!U338</x:f>
        <x:v>2316.168220803333</x:v>
      </x:c>
      <x:c r="I2276" s="26" t="n">
        <x:f>'成本明细'!V338</x:f>
        <x:v>4234</x:v>
      </x:c>
      <x:c r="J2276" s="22" t="n">
        <x:f>'参数'!$B$9</x:f>
        <x:v>300</x:v>
      </x:c>
      <x:c r="K2276" s="26" t="n">
        <x:f>J2276*(G2276-H2276)-I2276*ROUNDUP(J2276/F2276,0)</x:f>
        <x:v>-184867.90382749995</x:v>
      </x:c>
      <x:c r="L2276" s="10" t="str">
        <x:f>IF(G2276-H2276&lt;=0,"未回本",IF(ROUNDUP(I2276/(G2276-H2276),0)&gt;MIN(F2276,J2276),"未回本",MAX(1,ROUNDUP(I2276/(G2276-H2276),0))))</x:f>
        <x:v>未回本</x:v>
      </x:c>
    </x:row>
    <x:row r="2277" ht="22" customHeight="1">
      <x:c r="A2277" s="11" t="str">
        <x:v>lade_0829_10aoi</x:v>
      </x:c>
      <x:c r="B2277" s="10" t="n">
        <x:v>10</x:v>
      </x:c>
      <x:c r="C2277" s="10" t="n">
        <x:v>44</x:v>
      </x:c>
      <x:c r="D2277" s="10" t="str">
        <x:v>M2 / M4</x:v>
      </x:c>
      <x:c r="E2277" s="16" t="n">
        <x:v>4</x:v>
      </x:c>
      <x:c r="F2277" s="14" t="n">
        <x:v>50</x:v>
      </x:c>
      <x:c r="G2277" s="26" t="n">
        <x:f>'成本明细'!U335+'成本明细'!G335*(E2277-'参数'!$B$6)</x:f>
        <x:v>1784.6218747116666</x:v>
      </x:c>
      <x:c r="H2277" s="26" t="n">
        <x:f>'成本明细'!U341</x:f>
        <x:v>1834.7490753961108</x:v>
      </x:c>
      <x:c r="I2277" s="26" t="n">
        <x:f>'成本明细'!V341</x:f>
        <x:v>4234</x:v>
      </x:c>
      <x:c r="J2277" s="22" t="n">
        <x:f>'参数'!$B$9</x:f>
        <x:v>300</x:v>
      </x:c>
      <x:c r="K2277" s="26" t="n">
        <x:f>J2277*(G2277-H2277)-I2277*ROUNDUP(J2277/F2277,0)</x:f>
        <x:v>-40442.16020533327</x:v>
      </x:c>
      <x:c r="L2277" s="10" t="str">
        <x:f>IF(G2277-H2277&lt;=0,"未回本",IF(ROUNDUP(I2277/(G2277-H2277),0)&gt;MIN(F2277,J2277),"未回本",MAX(1,ROUNDUP(I2277/(G2277-H2277),0))))</x:f>
        <x:v>未回本</x:v>
      </x:c>
    </x:row>
    <x:row r="2278" ht="22" customHeight="1">
      <x:c r="A2278" s="11" t="str">
        <x:v>lade_0829_10aoi</x:v>
      </x:c>
      <x:c r="B2278" s="10" t="n">
        <x:v>10</x:v>
      </x:c>
      <x:c r="C2278" s="10" t="n">
        <x:v>44</x:v>
      </x:c>
      <x:c r="D2278" s="10" t="str">
        <x:v>M1 / M3</x:v>
      </x:c>
      <x:c r="E2278" s="16" t="n">
        <x:v>5</x:v>
      </x:c>
      <x:c r="F2278" s="14" t="n">
        <x:v>10</x:v>
      </x:c>
      <x:c r="G2278" s="26" t="n">
        <x:f>'成本明细'!U332+'成本明细'!G332*(E2278-'参数'!$B$6)</x:f>
        <x:v>1900.6218747116666</x:v>
      </x:c>
      <x:c r="H2278" s="26" t="n">
        <x:f>'成本明细'!U338</x:f>
        <x:v>2316.168220803333</x:v>
      </x:c>
      <x:c r="I2278" s="26" t="n">
        <x:f>'成本明细'!V338</x:f>
        <x:v>4234</x:v>
      </x:c>
      <x:c r="J2278" s="22" t="n">
        <x:f>'参数'!$B$9</x:f>
        <x:v>300</x:v>
      </x:c>
      <x:c r="K2278" s="26" t="n">
        <x:f>J2278*(G2278-H2278)-I2278*ROUNDUP(J2278/F2278,0)</x:f>
        <x:v>-251683.90382749995</x:v>
      </x:c>
      <x:c r="L2278" s="10" t="str">
        <x:f>IF(G2278-H2278&lt;=0,"未回本",IF(ROUNDUP(I2278/(G2278-H2278),0)&gt;MIN(F2278,J2278),"未回本",MAX(1,ROUNDUP(I2278/(G2278-H2278),0))))</x:f>
        <x:v>未回本</x:v>
      </x:c>
    </x:row>
    <x:row r="2279" ht="22" customHeight="1">
      <x:c r="A2279" s="11" t="str">
        <x:v>lade_0829_10aoi</x:v>
      </x:c>
      <x:c r="B2279" s="10" t="n">
        <x:v>10</x:v>
      </x:c>
      <x:c r="C2279" s="10" t="n">
        <x:v>44</x:v>
      </x:c>
      <x:c r="D2279" s="10" t="str">
        <x:v>M2 / M4</x:v>
      </x:c>
      <x:c r="E2279" s="16" t="n">
        <x:v>5</x:v>
      </x:c>
      <x:c r="F2279" s="14" t="n">
        <x:v>10</x:v>
      </x:c>
      <x:c r="G2279" s="26" t="n">
        <x:f>'成本明细'!U335+'成本明细'!G335*(E2279-'参数'!$B$6)</x:f>
        <x:v>1900.6218747116666</x:v>
      </x:c>
      <x:c r="H2279" s="26" t="n">
        <x:f>'成本明细'!U341</x:f>
        <x:v>1834.7490753961108</x:v>
      </x:c>
      <x:c r="I2279" s="26" t="n">
        <x:f>'成本明细'!V341</x:f>
        <x:v>4234</x:v>
      </x:c>
      <x:c r="J2279" s="22" t="n">
        <x:f>'参数'!$B$9</x:f>
        <x:v>300</x:v>
      </x:c>
      <x:c r="K2279" s="26" t="n">
        <x:f>J2279*(G2279-H2279)-I2279*ROUNDUP(J2279/F2279,0)</x:f>
        <x:v>-107258.16020533326</x:v>
      </x:c>
      <x:c r="L2279" s="10" t="str">
        <x:f>IF(G2279-H2279&lt;=0,"未回本",IF(ROUNDUP(I2279/(G2279-H2279),0)&gt;MIN(F2279,J2279),"未回本",MAX(1,ROUNDUP(I2279/(G2279-H2279),0))))</x:f>
        <x:v>未回本</x:v>
      </x:c>
    </x:row>
    <x:row r="2280" ht="22" customHeight="1">
      <x:c r="A2280" s="11" t="str">
        <x:v>lade_0829_10aoi</x:v>
      </x:c>
      <x:c r="B2280" s="10" t="n">
        <x:v>10</x:v>
      </x:c>
      <x:c r="C2280" s="10" t="n">
        <x:v>44</x:v>
      </x:c>
      <x:c r="D2280" s="10" t="str">
        <x:v>M1 / M3</x:v>
      </x:c>
      <x:c r="E2280" s="16" t="n">
        <x:v>5</x:v>
      </x:c>
      <x:c r="F2280" s="14" t="n">
        <x:v>20</x:v>
      </x:c>
      <x:c r="G2280" s="26" t="n">
        <x:f>'成本明细'!U332+'成本明细'!G332*(E2280-'参数'!$B$6)</x:f>
        <x:v>1900.6218747116666</x:v>
      </x:c>
      <x:c r="H2280" s="26" t="n">
        <x:f>'成本明细'!U338</x:f>
        <x:v>2316.168220803333</x:v>
      </x:c>
      <x:c r="I2280" s="26" t="n">
        <x:f>'成本明细'!V338</x:f>
        <x:v>4234</x:v>
      </x:c>
      <x:c r="J2280" s="22" t="n">
        <x:f>'参数'!$B$9</x:f>
        <x:v>300</x:v>
      </x:c>
      <x:c r="K2280" s="26" t="n">
        <x:f>J2280*(G2280-H2280)-I2280*ROUNDUP(J2280/F2280,0)</x:f>
        <x:v>-188173.90382749995</x:v>
      </x:c>
      <x:c r="L2280" s="10" t="str">
        <x:f>IF(G2280-H2280&lt;=0,"未回本",IF(ROUNDUP(I2280/(G2280-H2280),0)&gt;MIN(F2280,J2280),"未回本",MAX(1,ROUNDUP(I2280/(G2280-H2280),0))))</x:f>
        <x:v>未回本</x:v>
      </x:c>
    </x:row>
    <x:row r="2281" ht="22" customHeight="1">
      <x:c r="A2281" s="11" t="str">
        <x:v>lade_0829_10aoi</x:v>
      </x:c>
      <x:c r="B2281" s="10" t="n">
        <x:v>10</x:v>
      </x:c>
      <x:c r="C2281" s="10" t="n">
        <x:v>44</x:v>
      </x:c>
      <x:c r="D2281" s="10" t="str">
        <x:v>M2 / M4</x:v>
      </x:c>
      <x:c r="E2281" s="16" t="n">
        <x:v>5</x:v>
      </x:c>
      <x:c r="F2281" s="14" t="n">
        <x:v>20</x:v>
      </x:c>
      <x:c r="G2281" s="26" t="n">
        <x:f>'成本明细'!U335+'成本明细'!G335*(E2281-'参数'!$B$6)</x:f>
        <x:v>1900.6218747116666</x:v>
      </x:c>
      <x:c r="H2281" s="26" t="n">
        <x:f>'成本明细'!U341</x:f>
        <x:v>1834.7490753961108</x:v>
      </x:c>
      <x:c r="I2281" s="26" t="n">
        <x:f>'成本明细'!V341</x:f>
        <x:v>4234</x:v>
      </x:c>
      <x:c r="J2281" s="22" t="n">
        <x:f>'参数'!$B$9</x:f>
        <x:v>300</x:v>
      </x:c>
      <x:c r="K2281" s="26" t="n">
        <x:f>J2281*(G2281-H2281)-I2281*ROUNDUP(J2281/F2281,0)</x:f>
        <x:v>-43748.16020533327</x:v>
      </x:c>
      <x:c r="L2281" s="10" t="str">
        <x:f>IF(G2281-H2281&lt;=0,"未回本",IF(ROUNDUP(I2281/(G2281-H2281),0)&gt;MIN(F2281,J2281),"未回本",MAX(1,ROUNDUP(I2281/(G2281-H2281),0))))</x:f>
        <x:v>未回本</x:v>
      </x:c>
    </x:row>
    <x:row r="2282" ht="22" customHeight="1">
      <x:c r="A2282" s="11" t="str">
        <x:v>lade_0829_10aoi</x:v>
      </x:c>
      <x:c r="B2282" s="10" t="n">
        <x:v>10</x:v>
      </x:c>
      <x:c r="C2282" s="10" t="n">
        <x:v>44</x:v>
      </x:c>
      <x:c r="D2282" s="10" t="str">
        <x:v>M1 / M3</x:v>
      </x:c>
      <x:c r="E2282" s="16" t="n">
        <x:v>5</x:v>
      </x:c>
      <x:c r="F2282" s="14" t="n">
        <x:v>30</x:v>
      </x:c>
      <x:c r="G2282" s="26" t="n">
        <x:f>'成本明细'!U332+'成本明细'!G332*(E2282-'参数'!$B$6)</x:f>
        <x:v>1900.6218747116666</x:v>
      </x:c>
      <x:c r="H2282" s="26" t="n">
        <x:f>'成本明细'!U338</x:f>
        <x:v>2316.168220803333</x:v>
      </x:c>
      <x:c r="I2282" s="26" t="n">
        <x:f>'成本明细'!V338</x:f>
        <x:v>4234</x:v>
      </x:c>
      <x:c r="J2282" s="22" t="n">
        <x:f>'参数'!$B$9</x:f>
        <x:v>300</x:v>
      </x:c>
      <x:c r="K2282" s="26" t="n">
        <x:f>J2282*(G2282-H2282)-I2282*ROUNDUP(J2282/F2282,0)</x:f>
        <x:v>-167003.90382749995</x:v>
      </x:c>
      <x:c r="L2282" s="10" t="str">
        <x:f>IF(G2282-H2282&lt;=0,"未回本",IF(ROUNDUP(I2282/(G2282-H2282),0)&gt;MIN(F2282,J2282),"未回本",MAX(1,ROUNDUP(I2282/(G2282-H2282),0))))</x:f>
        <x:v>未回本</x:v>
      </x:c>
    </x:row>
    <x:row r="2283" ht="22" customHeight="1">
      <x:c r="A2283" s="11" t="str">
        <x:v>lade_0829_10aoi</x:v>
      </x:c>
      <x:c r="B2283" s="10" t="n">
        <x:v>10</x:v>
      </x:c>
      <x:c r="C2283" s="10" t="n">
        <x:v>44</x:v>
      </x:c>
      <x:c r="D2283" s="10" t="str">
        <x:v>M2 / M4</x:v>
      </x:c>
      <x:c r="E2283" s="16" t="n">
        <x:v>5</x:v>
      </x:c>
      <x:c r="F2283" s="14" t="n">
        <x:v>30</x:v>
      </x:c>
      <x:c r="G2283" s="26" t="n">
        <x:f>'成本明细'!U335+'成本明细'!G335*(E2283-'参数'!$B$6)</x:f>
        <x:v>1900.6218747116666</x:v>
      </x:c>
      <x:c r="H2283" s="26" t="n">
        <x:f>'成本明细'!U341</x:f>
        <x:v>1834.7490753961108</x:v>
      </x:c>
      <x:c r="I2283" s="26" t="n">
        <x:f>'成本明细'!V341</x:f>
        <x:v>4234</x:v>
      </x:c>
      <x:c r="J2283" s="22" t="n">
        <x:f>'参数'!$B$9</x:f>
        <x:v>300</x:v>
      </x:c>
      <x:c r="K2283" s="26" t="n">
        <x:f>J2283*(G2283-H2283)-I2283*ROUNDUP(J2283/F2283,0)</x:f>
        <x:v>-22578.160205333268</x:v>
      </x:c>
      <x:c r="L2283" s="10" t="str">
        <x:f>IF(G2283-H2283&lt;=0,"未回本",IF(ROUNDUP(I2283/(G2283-H2283),0)&gt;MIN(F2283,J2283),"未回本",MAX(1,ROUNDUP(I2283/(G2283-H2283),0))))</x:f>
        <x:v>未回本</x:v>
      </x:c>
    </x:row>
    <x:row r="2284" ht="22" customHeight="1">
      <x:c r="A2284" s="11" t="str">
        <x:v>lade_0829_10aoi</x:v>
      </x:c>
      <x:c r="B2284" s="10" t="n">
        <x:v>10</x:v>
      </x:c>
      <x:c r="C2284" s="10" t="n">
        <x:v>44</x:v>
      </x:c>
      <x:c r="D2284" s="10" t="str">
        <x:v>M1 / M3</x:v>
      </x:c>
      <x:c r="E2284" s="16" t="n">
        <x:v>5</x:v>
      </x:c>
      <x:c r="F2284" s="14" t="n">
        <x:v>50</x:v>
      </x:c>
      <x:c r="G2284" s="26" t="n">
        <x:f>'成本明细'!U332+'成本明细'!G332*(E2284-'参数'!$B$6)</x:f>
        <x:v>1900.6218747116666</x:v>
      </x:c>
      <x:c r="H2284" s="26" t="n">
        <x:f>'成本明细'!U338</x:f>
        <x:v>2316.168220803333</x:v>
      </x:c>
      <x:c r="I2284" s="26" t="n">
        <x:f>'成本明细'!V338</x:f>
        <x:v>4234</x:v>
      </x:c>
      <x:c r="J2284" s="22" t="n">
        <x:f>'参数'!$B$9</x:f>
        <x:v>300</x:v>
      </x:c>
      <x:c r="K2284" s="26" t="n">
        <x:f>J2284*(G2284-H2284)-I2284*ROUNDUP(J2284/F2284,0)</x:f>
        <x:v>-150067.90382749995</x:v>
      </x:c>
      <x:c r="L2284" s="10" t="str">
        <x:f>IF(G2284-H2284&lt;=0,"未回本",IF(ROUNDUP(I2284/(G2284-H2284),0)&gt;MIN(F2284,J2284),"未回本",MAX(1,ROUNDUP(I2284/(G2284-H2284),0))))</x:f>
        <x:v>未回本</x:v>
      </x:c>
    </x:row>
    <x:row r="2285" ht="22" customHeight="1">
      <x:c r="A2285" s="11" t="str">
        <x:v>lade_0829_10aoi</x:v>
      </x:c>
      <x:c r="B2285" s="10" t="n">
        <x:v>10</x:v>
      </x:c>
      <x:c r="C2285" s="10" t="n">
        <x:v>44</x:v>
      </x:c>
      <x:c r="D2285" s="10" t="str">
        <x:v>M2 / M4</x:v>
      </x:c>
      <x:c r="E2285" s="16" t="n">
        <x:v>5</x:v>
      </x:c>
      <x:c r="F2285" s="14" t="n">
        <x:v>50</x:v>
      </x:c>
      <x:c r="G2285" s="26" t="n">
        <x:f>'成本明细'!U335+'成本明细'!G335*(E2285-'参数'!$B$6)</x:f>
        <x:v>1900.6218747116666</x:v>
      </x:c>
      <x:c r="H2285" s="26" t="n">
        <x:f>'成本明细'!U341</x:f>
        <x:v>1834.7490753961108</x:v>
      </x:c>
      <x:c r="I2285" s="26" t="n">
        <x:f>'成本明细'!V341</x:f>
        <x:v>4234</x:v>
      </x:c>
      <x:c r="J2285" s="22" t="n">
        <x:f>'参数'!$B$9</x:f>
        <x:v>300</x:v>
      </x:c>
      <x:c r="K2285" s="26" t="n">
        <x:f>J2285*(G2285-H2285)-I2285*ROUNDUP(J2285/F2285,0)</x:f>
        <x:v>-5642.160205333268</x:v>
      </x:c>
      <x:c r="L2285" s="10" t="str">
        <x:f>IF(G2285-H2285&lt;=0,"未回本",IF(ROUNDUP(I2285/(G2285-H2285),0)&gt;MIN(F2285,J2285),"未回本",MAX(1,ROUNDUP(I2285/(G2285-H2285),0))))</x:f>
        <x:v>未回本</x:v>
      </x:c>
    </x:row>
    <x:row r="2286" ht="22" customHeight="1">
      <x:c r="A2286" s="11" t="str">
        <x:v>lade_0829_20aoi</x:v>
      </x:c>
      <x:c r="B2286" s="10" t="n">
        <x:v>20</x:v>
      </x:c>
      <x:c r="C2286" s="10" t="n">
        <x:v>42</x:v>
      </x:c>
      <x:c r="D2286" s="10" t="str">
        <x:v>M1 / M3</x:v>
      </x:c>
      <x:c r="E2286" s="16" t="n">
        <x:v>1</x:v>
      </x:c>
      <x:c r="F2286" s="14" t="n">
        <x:v>10</x:v>
      </x:c>
      <x:c r="G2286" s="26" t="n">
        <x:f>'成本明细'!U348+'成本明细'!G348*(E2286-'参数'!$B$6)</x:f>
        <x:v>2605.2018359505555</x:v>
      </x:c>
      <x:c r="H2286" s="26" t="n">
        <x:f>'成本明细'!U354</x:f>
        <x:v>3680.2348697605557</x:v>
      </x:c>
      <x:c r="I2286" s="26" t="n">
        <x:f>'成本明细'!V354</x:f>
        <x:v>6497</x:v>
      </x:c>
      <x:c r="J2286" s="22" t="n">
        <x:f>'参数'!$B$9</x:f>
        <x:v>300</x:v>
      </x:c>
      <x:c r="K2286" s="26" t="n">
        <x:f>J2286*(G2286-H2286)-I2286*ROUNDUP(J2286/F2286,0)</x:f>
        <x:v>-517419.9101430001</x:v>
      </x:c>
      <x:c r="L2286" s="10" t="str">
        <x:f>IF(G2286-H2286&lt;=0,"未回本",IF(ROUNDUP(I2286/(G2286-H2286),0)&gt;MIN(F2286,J2286),"未回本",MAX(1,ROUNDUP(I2286/(G2286-H2286),0))))</x:f>
        <x:v>未回本</x:v>
      </x:c>
    </x:row>
    <x:row r="2287" ht="22" customHeight="1">
      <x:c r="A2287" s="11" t="str">
        <x:v>lade_0829_20aoi</x:v>
      </x:c>
      <x:c r="B2287" s="10" t="n">
        <x:v>20</x:v>
      </x:c>
      <x:c r="C2287" s="10" t="n">
        <x:v>42</x:v>
      </x:c>
      <x:c r="D2287" s="10" t="str">
        <x:v>M2 / M4</x:v>
      </x:c>
      <x:c r="E2287" s="16" t="n">
        <x:v>1</x:v>
      </x:c>
      <x:c r="F2287" s="14" t="n">
        <x:v>10</x:v>
      </x:c>
      <x:c r="G2287" s="26" t="n">
        <x:f>'成本明细'!U351+'成本明细'!G351*(E2287-'参数'!$B$6)</x:f>
        <x:v>2356.6705351683336</x:v>
      </x:c>
      <x:c r="H2287" s="26" t="n">
        <x:f>'成本明细'!U357</x:f>
        <x:v>3806.242023653889</x:v>
      </x:c>
      <x:c r="I2287" s="26" t="n">
        <x:f>'成本明细'!V357</x:f>
        <x:v>6497</x:v>
      </x:c>
      <x:c r="J2287" s="22" t="n">
        <x:f>'参数'!$B$9</x:f>
        <x:v>300</x:v>
      </x:c>
      <x:c r="K2287" s="26" t="n">
        <x:f>J2287*(G2287-H2287)-I2287*ROUNDUP(J2287/F2287,0)</x:f>
        <x:v>-629781.4465456667</x:v>
      </x:c>
      <x:c r="L2287" s="10" t="str">
        <x:f>IF(G2287-H2287&lt;=0,"未回本",IF(ROUNDUP(I2287/(G2287-H2287),0)&gt;MIN(F2287,J2287),"未回本",MAX(1,ROUNDUP(I2287/(G2287-H2287),0))))</x:f>
        <x:v>未回本</x:v>
      </x:c>
    </x:row>
    <x:row r="2288" ht="22" customHeight="1">
      <x:c r="A2288" s="11" t="str">
        <x:v>lade_0829_20aoi</x:v>
      </x:c>
      <x:c r="B2288" s="10" t="n">
        <x:v>20</x:v>
      </x:c>
      <x:c r="C2288" s="10" t="n">
        <x:v>42</x:v>
      </x:c>
      <x:c r="D2288" s="10" t="str">
        <x:v>M1 / M3</x:v>
      </x:c>
      <x:c r="E2288" s="16" t="n">
        <x:v>1</x:v>
      </x:c>
      <x:c r="F2288" s="14" t="n">
        <x:v>20</x:v>
      </x:c>
      <x:c r="G2288" s="26" t="n">
        <x:f>'成本明细'!U348+'成本明细'!G348*(E2288-'参数'!$B$6)</x:f>
        <x:v>2605.2018359505555</x:v>
      </x:c>
      <x:c r="H2288" s="26" t="n">
        <x:f>'成本明细'!U354</x:f>
        <x:v>3680.2348697605557</x:v>
      </x:c>
      <x:c r="I2288" s="26" t="n">
        <x:f>'成本明细'!V354</x:f>
        <x:v>6497</x:v>
      </x:c>
      <x:c r="J2288" s="22" t="n">
        <x:f>'参数'!$B$9</x:f>
        <x:v>300</x:v>
      </x:c>
      <x:c r="K2288" s="26" t="n">
        <x:f>J2288*(G2288-H2288)-I2288*ROUNDUP(J2288/F2288,0)</x:f>
        <x:v>-419964.9101430001</x:v>
      </x:c>
      <x:c r="L2288" s="10" t="str">
        <x:f>IF(G2288-H2288&lt;=0,"未回本",IF(ROUNDUP(I2288/(G2288-H2288),0)&gt;MIN(F2288,J2288),"未回本",MAX(1,ROUNDUP(I2288/(G2288-H2288),0))))</x:f>
        <x:v>未回本</x:v>
      </x:c>
    </x:row>
    <x:row r="2289" ht="22" customHeight="1">
      <x:c r="A2289" s="11" t="str">
        <x:v>lade_0829_20aoi</x:v>
      </x:c>
      <x:c r="B2289" s="10" t="n">
        <x:v>20</x:v>
      </x:c>
      <x:c r="C2289" s="10" t="n">
        <x:v>42</x:v>
      </x:c>
      <x:c r="D2289" s="10" t="str">
        <x:v>M2 / M4</x:v>
      </x:c>
      <x:c r="E2289" s="16" t="n">
        <x:v>1</x:v>
      </x:c>
      <x:c r="F2289" s="14" t="n">
        <x:v>20</x:v>
      </x:c>
      <x:c r="G2289" s="26" t="n">
        <x:f>'成本明细'!U351+'成本明细'!G351*(E2289-'参数'!$B$6)</x:f>
        <x:v>2356.6705351683336</x:v>
      </x:c>
      <x:c r="H2289" s="26" t="n">
        <x:f>'成本明细'!U357</x:f>
        <x:v>3806.242023653889</x:v>
      </x:c>
      <x:c r="I2289" s="26" t="n">
        <x:f>'成本明细'!V357</x:f>
        <x:v>6497</x:v>
      </x:c>
      <x:c r="J2289" s="22" t="n">
        <x:f>'参数'!$B$9</x:f>
        <x:v>300</x:v>
      </x:c>
      <x:c r="K2289" s="26" t="n">
        <x:f>J2289*(G2289-H2289)-I2289*ROUNDUP(J2289/F2289,0)</x:f>
        <x:v>-532326.4465456667</x:v>
      </x:c>
      <x:c r="L2289" s="10" t="str">
        <x:f>IF(G2289-H2289&lt;=0,"未回本",IF(ROUNDUP(I2289/(G2289-H2289),0)&gt;MIN(F2289,J2289),"未回本",MAX(1,ROUNDUP(I2289/(G2289-H2289),0))))</x:f>
        <x:v>未回本</x:v>
      </x:c>
    </x:row>
    <x:row r="2290" ht="22" customHeight="1">
      <x:c r="A2290" s="11" t="str">
        <x:v>lade_0829_20aoi</x:v>
      </x:c>
      <x:c r="B2290" s="10" t="n">
        <x:v>20</x:v>
      </x:c>
      <x:c r="C2290" s="10" t="n">
        <x:v>42</x:v>
      </x:c>
      <x:c r="D2290" s="10" t="str">
        <x:v>M1 / M3</x:v>
      </x:c>
      <x:c r="E2290" s="16" t="n">
        <x:v>1</x:v>
      </x:c>
      <x:c r="F2290" s="14" t="n">
        <x:v>30</x:v>
      </x:c>
      <x:c r="G2290" s="26" t="n">
        <x:f>'成本明细'!U348+'成本明细'!G348*(E2290-'参数'!$B$6)</x:f>
        <x:v>2605.2018359505555</x:v>
      </x:c>
      <x:c r="H2290" s="26" t="n">
        <x:f>'成本明细'!U354</x:f>
        <x:v>3680.2348697605557</x:v>
      </x:c>
      <x:c r="I2290" s="26" t="n">
        <x:f>'成本明细'!V354</x:f>
        <x:v>6497</x:v>
      </x:c>
      <x:c r="J2290" s="22" t="n">
        <x:f>'参数'!$B$9</x:f>
        <x:v>300</x:v>
      </x:c>
      <x:c r="K2290" s="26" t="n">
        <x:f>J2290*(G2290-H2290)-I2290*ROUNDUP(J2290/F2290,0)</x:f>
        <x:v>-387479.9101430001</x:v>
      </x:c>
      <x:c r="L2290" s="10" t="str">
        <x:f>IF(G2290-H2290&lt;=0,"未回本",IF(ROUNDUP(I2290/(G2290-H2290),0)&gt;MIN(F2290,J2290),"未回本",MAX(1,ROUNDUP(I2290/(G2290-H2290),0))))</x:f>
        <x:v>未回本</x:v>
      </x:c>
    </x:row>
    <x:row r="2291" ht="22" customHeight="1">
      <x:c r="A2291" s="11" t="str">
        <x:v>lade_0829_20aoi</x:v>
      </x:c>
      <x:c r="B2291" s="10" t="n">
        <x:v>20</x:v>
      </x:c>
      <x:c r="C2291" s="10" t="n">
        <x:v>42</x:v>
      </x:c>
      <x:c r="D2291" s="10" t="str">
        <x:v>M2 / M4</x:v>
      </x:c>
      <x:c r="E2291" s="16" t="n">
        <x:v>1</x:v>
      </x:c>
      <x:c r="F2291" s="14" t="n">
        <x:v>30</x:v>
      </x:c>
      <x:c r="G2291" s="26" t="n">
        <x:f>'成本明细'!U351+'成本明细'!G351*(E2291-'参数'!$B$6)</x:f>
        <x:v>2356.6705351683336</x:v>
      </x:c>
      <x:c r="H2291" s="26" t="n">
        <x:f>'成本明细'!U357</x:f>
        <x:v>3806.242023653889</x:v>
      </x:c>
      <x:c r="I2291" s="26" t="n">
        <x:f>'成本明细'!V357</x:f>
        <x:v>6497</x:v>
      </x:c>
      <x:c r="J2291" s="22" t="n">
        <x:f>'参数'!$B$9</x:f>
        <x:v>300</x:v>
      </x:c>
      <x:c r="K2291" s="26" t="n">
        <x:f>J2291*(G2291-H2291)-I2291*ROUNDUP(J2291/F2291,0)</x:f>
        <x:v>-499841.44654566667</x:v>
      </x:c>
      <x:c r="L2291" s="10" t="str">
        <x:f>IF(G2291-H2291&lt;=0,"未回本",IF(ROUNDUP(I2291/(G2291-H2291),0)&gt;MIN(F2291,J2291),"未回本",MAX(1,ROUNDUP(I2291/(G2291-H2291),0))))</x:f>
        <x:v>未回本</x:v>
      </x:c>
    </x:row>
    <x:row r="2292" ht="22" customHeight="1">
      <x:c r="A2292" s="11" t="str">
        <x:v>lade_0829_20aoi</x:v>
      </x:c>
      <x:c r="B2292" s="10" t="n">
        <x:v>20</x:v>
      </x:c>
      <x:c r="C2292" s="10" t="n">
        <x:v>42</x:v>
      </x:c>
      <x:c r="D2292" s="10" t="str">
        <x:v>M1 / M3</x:v>
      </x:c>
      <x:c r="E2292" s="16" t="n">
        <x:v>1</x:v>
      </x:c>
      <x:c r="F2292" s="14" t="n">
        <x:v>50</x:v>
      </x:c>
      <x:c r="G2292" s="26" t="n">
        <x:f>'成本明细'!U348+'成本明细'!G348*(E2292-'参数'!$B$6)</x:f>
        <x:v>2605.2018359505555</x:v>
      </x:c>
      <x:c r="H2292" s="26" t="n">
        <x:f>'成本明细'!U354</x:f>
        <x:v>3680.2348697605557</x:v>
      </x:c>
      <x:c r="I2292" s="26" t="n">
        <x:f>'成本明细'!V354</x:f>
        <x:v>6497</x:v>
      </x:c>
      <x:c r="J2292" s="22" t="n">
        <x:f>'参数'!$B$9</x:f>
        <x:v>300</x:v>
      </x:c>
      <x:c r="K2292" s="26" t="n">
        <x:f>J2292*(G2292-H2292)-I2292*ROUNDUP(J2292/F2292,0)</x:f>
        <x:v>-361491.9101430001</x:v>
      </x:c>
      <x:c r="L2292" s="10" t="str">
        <x:f>IF(G2292-H2292&lt;=0,"未回本",IF(ROUNDUP(I2292/(G2292-H2292),0)&gt;MIN(F2292,J2292),"未回本",MAX(1,ROUNDUP(I2292/(G2292-H2292),0))))</x:f>
        <x:v>未回本</x:v>
      </x:c>
    </x:row>
    <x:row r="2293" ht="22" customHeight="1">
      <x:c r="A2293" s="11" t="str">
        <x:v>lade_0829_20aoi</x:v>
      </x:c>
      <x:c r="B2293" s="10" t="n">
        <x:v>20</x:v>
      </x:c>
      <x:c r="C2293" s="10" t="n">
        <x:v>42</x:v>
      </x:c>
      <x:c r="D2293" s="10" t="str">
        <x:v>M2 / M4</x:v>
      </x:c>
      <x:c r="E2293" s="16" t="n">
        <x:v>1</x:v>
      </x:c>
      <x:c r="F2293" s="14" t="n">
        <x:v>50</x:v>
      </x:c>
      <x:c r="G2293" s="26" t="n">
        <x:f>'成本明细'!U351+'成本明细'!G351*(E2293-'参数'!$B$6)</x:f>
        <x:v>2356.6705351683336</x:v>
      </x:c>
      <x:c r="H2293" s="26" t="n">
        <x:f>'成本明细'!U357</x:f>
        <x:v>3806.242023653889</x:v>
      </x:c>
      <x:c r="I2293" s="26" t="n">
        <x:f>'成本明细'!V357</x:f>
        <x:v>6497</x:v>
      </x:c>
      <x:c r="J2293" s="22" t="n">
        <x:f>'参数'!$B$9</x:f>
        <x:v>300</x:v>
      </x:c>
      <x:c r="K2293" s="26" t="n">
        <x:f>J2293*(G2293-H2293)-I2293*ROUNDUP(J2293/F2293,0)</x:f>
        <x:v>-473853.44654566667</x:v>
      </x:c>
      <x:c r="L2293" s="10" t="str">
        <x:f>IF(G2293-H2293&lt;=0,"未回本",IF(ROUNDUP(I2293/(G2293-H2293),0)&gt;MIN(F2293,J2293),"未回本",MAX(1,ROUNDUP(I2293/(G2293-H2293),0))))</x:f>
        <x:v>未回本</x:v>
      </x:c>
    </x:row>
    <x:row r="2294" ht="22" customHeight="1">
      <x:c r="A2294" s="11" t="str">
        <x:v>lade_0829_20aoi</x:v>
      </x:c>
      <x:c r="B2294" s="10" t="n">
        <x:v>20</x:v>
      </x:c>
      <x:c r="C2294" s="10" t="n">
        <x:v>42</x:v>
      </x:c>
      <x:c r="D2294" s="10" t="str">
        <x:v>M1 / M3</x:v>
      </x:c>
      <x:c r="E2294" s="16" t="n">
        <x:v>2</x:v>
      </x:c>
      <x:c r="F2294" s="14" t="n">
        <x:v>10</x:v>
      </x:c>
      <x:c r="G2294" s="26" t="n">
        <x:f>'成本明细'!U348+'成本明细'!G348*(E2294-'参数'!$B$6)</x:f>
        <x:v>2783.2018359505555</x:v>
      </x:c>
      <x:c r="H2294" s="26" t="n">
        <x:f>'成本明细'!U354</x:f>
        <x:v>3680.2348697605557</x:v>
      </x:c>
      <x:c r="I2294" s="26" t="n">
        <x:f>'成本明细'!V354</x:f>
        <x:v>6497</x:v>
      </x:c>
      <x:c r="J2294" s="22" t="n">
        <x:f>'参数'!$B$9</x:f>
        <x:v>300</x:v>
      </x:c>
      <x:c r="K2294" s="26" t="n">
        <x:f>J2294*(G2294-H2294)-I2294*ROUNDUP(J2294/F2294,0)</x:f>
        <x:v>-464019.9101430001</x:v>
      </x:c>
      <x:c r="L2294" s="10" t="str">
        <x:f>IF(G2294-H2294&lt;=0,"未回本",IF(ROUNDUP(I2294/(G2294-H2294),0)&gt;MIN(F2294,J2294),"未回本",MAX(1,ROUNDUP(I2294/(G2294-H2294),0))))</x:f>
        <x:v>未回本</x:v>
      </x:c>
    </x:row>
    <x:row r="2295" ht="22" customHeight="1">
      <x:c r="A2295" s="11" t="str">
        <x:v>lade_0829_20aoi</x:v>
      </x:c>
      <x:c r="B2295" s="10" t="n">
        <x:v>20</x:v>
      </x:c>
      <x:c r="C2295" s="10" t="n">
        <x:v>42</x:v>
      </x:c>
      <x:c r="D2295" s="10" t="str">
        <x:v>M2 / M4</x:v>
      </x:c>
      <x:c r="E2295" s="16" t="n">
        <x:v>2</x:v>
      </x:c>
      <x:c r="F2295" s="14" t="n">
        <x:v>10</x:v>
      </x:c>
      <x:c r="G2295" s="26" t="n">
        <x:f>'成本明细'!U351+'成本明细'!G351*(E2295-'参数'!$B$6)</x:f>
        <x:v>2534.6705351683336</x:v>
      </x:c>
      <x:c r="H2295" s="26" t="n">
        <x:f>'成本明细'!U357</x:f>
        <x:v>3806.242023653889</x:v>
      </x:c>
      <x:c r="I2295" s="26" t="n">
        <x:f>'成本明细'!V357</x:f>
        <x:v>6497</x:v>
      </x:c>
      <x:c r="J2295" s="22" t="n">
        <x:f>'参数'!$B$9</x:f>
        <x:v>300</x:v>
      </x:c>
      <x:c r="K2295" s="26" t="n">
        <x:f>J2295*(G2295-H2295)-I2295*ROUNDUP(J2295/F2295,0)</x:f>
        <x:v>-576381.4465456667</x:v>
      </x:c>
      <x:c r="L2295" s="10" t="str">
        <x:f>IF(G2295-H2295&lt;=0,"未回本",IF(ROUNDUP(I2295/(G2295-H2295),0)&gt;MIN(F2295,J2295),"未回本",MAX(1,ROUNDUP(I2295/(G2295-H2295),0))))</x:f>
        <x:v>未回本</x:v>
      </x:c>
    </x:row>
    <x:row r="2296" ht="22" customHeight="1">
      <x:c r="A2296" s="11" t="str">
        <x:v>lade_0829_20aoi</x:v>
      </x:c>
      <x:c r="B2296" s="10" t="n">
        <x:v>20</x:v>
      </x:c>
      <x:c r="C2296" s="10" t="n">
        <x:v>42</x:v>
      </x:c>
      <x:c r="D2296" s="10" t="str">
        <x:v>M1 / M3</x:v>
      </x:c>
      <x:c r="E2296" s="16" t="n">
        <x:v>2</x:v>
      </x:c>
      <x:c r="F2296" s="14" t="n">
        <x:v>20</x:v>
      </x:c>
      <x:c r="G2296" s="26" t="n">
        <x:f>'成本明细'!U348+'成本明细'!G348*(E2296-'参数'!$B$6)</x:f>
        <x:v>2783.2018359505555</x:v>
      </x:c>
      <x:c r="H2296" s="26" t="n">
        <x:f>'成本明细'!U354</x:f>
        <x:v>3680.2348697605557</x:v>
      </x:c>
      <x:c r="I2296" s="26" t="n">
        <x:f>'成本明细'!V354</x:f>
        <x:v>6497</x:v>
      </x:c>
      <x:c r="J2296" s="22" t="n">
        <x:f>'参数'!$B$9</x:f>
        <x:v>300</x:v>
      </x:c>
      <x:c r="K2296" s="26" t="n">
        <x:f>J2296*(G2296-H2296)-I2296*ROUNDUP(J2296/F2296,0)</x:f>
        <x:v>-366564.9101430001</x:v>
      </x:c>
      <x:c r="L2296" s="10" t="str">
        <x:f>IF(G2296-H2296&lt;=0,"未回本",IF(ROUNDUP(I2296/(G2296-H2296),0)&gt;MIN(F2296,J2296),"未回本",MAX(1,ROUNDUP(I2296/(G2296-H2296),0))))</x:f>
        <x:v>未回本</x:v>
      </x:c>
    </x:row>
    <x:row r="2297" ht="22" customHeight="1">
      <x:c r="A2297" s="11" t="str">
        <x:v>lade_0829_20aoi</x:v>
      </x:c>
      <x:c r="B2297" s="10" t="n">
        <x:v>20</x:v>
      </x:c>
      <x:c r="C2297" s="10" t="n">
        <x:v>42</x:v>
      </x:c>
      <x:c r="D2297" s="10" t="str">
        <x:v>M2 / M4</x:v>
      </x:c>
      <x:c r="E2297" s="16" t="n">
        <x:v>2</x:v>
      </x:c>
      <x:c r="F2297" s="14" t="n">
        <x:v>20</x:v>
      </x:c>
      <x:c r="G2297" s="26" t="n">
        <x:f>'成本明细'!U351+'成本明细'!G351*(E2297-'参数'!$B$6)</x:f>
        <x:v>2534.6705351683336</x:v>
      </x:c>
      <x:c r="H2297" s="26" t="n">
        <x:f>'成本明细'!U357</x:f>
        <x:v>3806.242023653889</x:v>
      </x:c>
      <x:c r="I2297" s="26" t="n">
        <x:f>'成本明细'!V357</x:f>
        <x:v>6497</x:v>
      </x:c>
      <x:c r="J2297" s="22" t="n">
        <x:f>'参数'!$B$9</x:f>
        <x:v>300</x:v>
      </x:c>
      <x:c r="K2297" s="26" t="n">
        <x:f>J2297*(G2297-H2297)-I2297*ROUNDUP(J2297/F2297,0)</x:f>
        <x:v>-478926.44654566667</x:v>
      </x:c>
      <x:c r="L2297" s="10" t="str">
        <x:f>IF(G2297-H2297&lt;=0,"未回本",IF(ROUNDUP(I2297/(G2297-H2297),0)&gt;MIN(F2297,J2297),"未回本",MAX(1,ROUNDUP(I2297/(G2297-H2297),0))))</x:f>
        <x:v>未回本</x:v>
      </x:c>
    </x:row>
    <x:row r="2298" ht="22" customHeight="1">
      <x:c r="A2298" s="11" t="str">
        <x:v>lade_0829_20aoi</x:v>
      </x:c>
      <x:c r="B2298" s="10" t="n">
        <x:v>20</x:v>
      </x:c>
      <x:c r="C2298" s="10" t="n">
        <x:v>42</x:v>
      </x:c>
      <x:c r="D2298" s="10" t="str">
        <x:v>M1 / M3</x:v>
      </x:c>
      <x:c r="E2298" s="16" t="n">
        <x:v>2</x:v>
      </x:c>
      <x:c r="F2298" s="14" t="n">
        <x:v>30</x:v>
      </x:c>
      <x:c r="G2298" s="26" t="n">
        <x:f>'成本明细'!U348+'成本明细'!G348*(E2298-'参数'!$B$6)</x:f>
        <x:v>2783.2018359505555</x:v>
      </x:c>
      <x:c r="H2298" s="26" t="n">
        <x:f>'成本明细'!U354</x:f>
        <x:v>3680.2348697605557</x:v>
      </x:c>
      <x:c r="I2298" s="26" t="n">
        <x:f>'成本明细'!V354</x:f>
        <x:v>6497</x:v>
      </x:c>
      <x:c r="J2298" s="22" t="n">
        <x:f>'参数'!$B$9</x:f>
        <x:v>300</x:v>
      </x:c>
      <x:c r="K2298" s="26" t="n">
        <x:f>J2298*(G2298-H2298)-I2298*ROUNDUP(J2298/F2298,0)</x:f>
        <x:v>-334079.9101430001</x:v>
      </x:c>
      <x:c r="L2298" s="10" t="str">
        <x:f>IF(G2298-H2298&lt;=0,"未回本",IF(ROUNDUP(I2298/(G2298-H2298),0)&gt;MIN(F2298,J2298),"未回本",MAX(1,ROUNDUP(I2298/(G2298-H2298),0))))</x:f>
        <x:v>未回本</x:v>
      </x:c>
    </x:row>
    <x:row r="2299" ht="22" customHeight="1">
      <x:c r="A2299" s="11" t="str">
        <x:v>lade_0829_20aoi</x:v>
      </x:c>
      <x:c r="B2299" s="10" t="n">
        <x:v>20</x:v>
      </x:c>
      <x:c r="C2299" s="10" t="n">
        <x:v>42</x:v>
      </x:c>
      <x:c r="D2299" s="10" t="str">
        <x:v>M2 / M4</x:v>
      </x:c>
      <x:c r="E2299" s="16" t="n">
        <x:v>2</x:v>
      </x:c>
      <x:c r="F2299" s="14" t="n">
        <x:v>30</x:v>
      </x:c>
      <x:c r="G2299" s="26" t="n">
        <x:f>'成本明细'!U351+'成本明细'!G351*(E2299-'参数'!$B$6)</x:f>
        <x:v>2534.6705351683336</x:v>
      </x:c>
      <x:c r="H2299" s="26" t="n">
        <x:f>'成本明细'!U357</x:f>
        <x:v>3806.242023653889</x:v>
      </x:c>
      <x:c r="I2299" s="26" t="n">
        <x:f>'成本明细'!V357</x:f>
        <x:v>6497</x:v>
      </x:c>
      <x:c r="J2299" s="22" t="n">
        <x:f>'参数'!$B$9</x:f>
        <x:v>300</x:v>
      </x:c>
      <x:c r="K2299" s="26" t="n">
        <x:f>J2299*(G2299-H2299)-I2299*ROUNDUP(J2299/F2299,0)</x:f>
        <x:v>-446441.44654566667</x:v>
      </x:c>
      <x:c r="L2299" s="10" t="str">
        <x:f>IF(G2299-H2299&lt;=0,"未回本",IF(ROUNDUP(I2299/(G2299-H2299),0)&gt;MIN(F2299,J2299),"未回本",MAX(1,ROUNDUP(I2299/(G2299-H2299),0))))</x:f>
        <x:v>未回本</x:v>
      </x:c>
    </x:row>
    <x:row r="2300" ht="22" customHeight="1">
      <x:c r="A2300" s="11" t="str">
        <x:v>lade_0829_20aoi</x:v>
      </x:c>
      <x:c r="B2300" s="10" t="n">
        <x:v>20</x:v>
      </x:c>
      <x:c r="C2300" s="10" t="n">
        <x:v>42</x:v>
      </x:c>
      <x:c r="D2300" s="10" t="str">
        <x:v>M1 / M3</x:v>
      </x:c>
      <x:c r="E2300" s="16" t="n">
        <x:v>2</x:v>
      </x:c>
      <x:c r="F2300" s="14" t="n">
        <x:v>50</x:v>
      </x:c>
      <x:c r="G2300" s="26" t="n">
        <x:f>'成本明细'!U348+'成本明细'!G348*(E2300-'参数'!$B$6)</x:f>
        <x:v>2783.2018359505555</x:v>
      </x:c>
      <x:c r="H2300" s="26" t="n">
        <x:f>'成本明细'!U354</x:f>
        <x:v>3680.2348697605557</x:v>
      </x:c>
      <x:c r="I2300" s="26" t="n">
        <x:f>'成本明细'!V354</x:f>
        <x:v>6497</x:v>
      </x:c>
      <x:c r="J2300" s="22" t="n">
        <x:f>'参数'!$B$9</x:f>
        <x:v>300</x:v>
      </x:c>
      <x:c r="K2300" s="26" t="n">
        <x:f>J2300*(G2300-H2300)-I2300*ROUNDUP(J2300/F2300,0)</x:f>
        <x:v>-308091.9101430001</x:v>
      </x:c>
      <x:c r="L2300" s="10" t="str">
        <x:f>IF(G2300-H2300&lt;=0,"未回本",IF(ROUNDUP(I2300/(G2300-H2300),0)&gt;MIN(F2300,J2300),"未回本",MAX(1,ROUNDUP(I2300/(G2300-H2300),0))))</x:f>
        <x:v>未回本</x:v>
      </x:c>
    </x:row>
    <x:row r="2301" ht="22" customHeight="1">
      <x:c r="A2301" s="11" t="str">
        <x:v>lade_0829_20aoi</x:v>
      </x:c>
      <x:c r="B2301" s="10" t="n">
        <x:v>20</x:v>
      </x:c>
      <x:c r="C2301" s="10" t="n">
        <x:v>42</x:v>
      </x:c>
      <x:c r="D2301" s="10" t="str">
        <x:v>M2 / M4</x:v>
      </x:c>
      <x:c r="E2301" s="16" t="n">
        <x:v>2</x:v>
      </x:c>
      <x:c r="F2301" s="14" t="n">
        <x:v>50</x:v>
      </x:c>
      <x:c r="G2301" s="26" t="n">
        <x:f>'成本明细'!U351+'成本明细'!G351*(E2301-'参数'!$B$6)</x:f>
        <x:v>2534.6705351683336</x:v>
      </x:c>
      <x:c r="H2301" s="26" t="n">
        <x:f>'成本明细'!U357</x:f>
        <x:v>3806.242023653889</x:v>
      </x:c>
      <x:c r="I2301" s="26" t="n">
        <x:f>'成本明细'!V357</x:f>
        <x:v>6497</x:v>
      </x:c>
      <x:c r="J2301" s="22" t="n">
        <x:f>'参数'!$B$9</x:f>
        <x:v>300</x:v>
      </x:c>
      <x:c r="K2301" s="26" t="n">
        <x:f>J2301*(G2301-H2301)-I2301*ROUNDUP(J2301/F2301,0)</x:f>
        <x:v>-420453.44654566667</x:v>
      </x:c>
      <x:c r="L2301" s="10" t="str">
        <x:f>IF(G2301-H2301&lt;=0,"未回本",IF(ROUNDUP(I2301/(G2301-H2301),0)&gt;MIN(F2301,J2301),"未回本",MAX(1,ROUNDUP(I2301/(G2301-H2301),0))))</x:f>
        <x:v>未回本</x:v>
      </x:c>
    </x:row>
    <x:row r="2302" ht="22" customHeight="1">
      <x:c r="A2302" s="11" t="str">
        <x:v>lade_0829_20aoi</x:v>
      </x:c>
      <x:c r="B2302" s="10" t="n">
        <x:v>20</x:v>
      </x:c>
      <x:c r="C2302" s="10" t="n">
        <x:v>42</x:v>
      </x:c>
      <x:c r="D2302" s="10" t="str">
        <x:v>M1 / M3</x:v>
      </x:c>
      <x:c r="E2302" s="16" t="n">
        <x:v>3</x:v>
      </x:c>
      <x:c r="F2302" s="14" t="n">
        <x:v>10</x:v>
      </x:c>
      <x:c r="G2302" s="26" t="n">
        <x:f>'成本明细'!U348+'成本明细'!G348*(E2302-'参数'!$B$6)</x:f>
        <x:v>2961.2018359505555</x:v>
      </x:c>
      <x:c r="H2302" s="26" t="n">
        <x:f>'成本明细'!U354</x:f>
        <x:v>3680.2348697605557</x:v>
      </x:c>
      <x:c r="I2302" s="26" t="n">
        <x:f>'成本明细'!V354</x:f>
        <x:v>6497</x:v>
      </x:c>
      <x:c r="J2302" s="22" t="n">
        <x:f>'参数'!$B$9</x:f>
        <x:v>300</x:v>
      </x:c>
      <x:c r="K2302" s="26" t="n">
        <x:f>J2302*(G2302-H2302)-I2302*ROUNDUP(J2302/F2302,0)</x:f>
        <x:v>-410619.9101430001</x:v>
      </x:c>
      <x:c r="L2302" s="10" t="str">
        <x:f>IF(G2302-H2302&lt;=0,"未回本",IF(ROUNDUP(I2302/(G2302-H2302),0)&gt;MIN(F2302,J2302),"未回本",MAX(1,ROUNDUP(I2302/(G2302-H2302),0))))</x:f>
        <x:v>未回本</x:v>
      </x:c>
    </x:row>
    <x:row r="2303" ht="22" customHeight="1">
      <x:c r="A2303" s="11" t="str">
        <x:v>lade_0829_20aoi</x:v>
      </x:c>
      <x:c r="B2303" s="10" t="n">
        <x:v>20</x:v>
      </x:c>
      <x:c r="C2303" s="10" t="n">
        <x:v>42</x:v>
      </x:c>
      <x:c r="D2303" s="10" t="str">
        <x:v>M2 / M4</x:v>
      </x:c>
      <x:c r="E2303" s="16" t="n">
        <x:v>3</x:v>
      </x:c>
      <x:c r="F2303" s="14" t="n">
        <x:v>10</x:v>
      </x:c>
      <x:c r="G2303" s="26" t="n">
        <x:f>'成本明细'!U351+'成本明细'!G351*(E2303-'参数'!$B$6)</x:f>
        <x:v>2712.6705351683336</x:v>
      </x:c>
      <x:c r="H2303" s="26" t="n">
        <x:f>'成本明细'!U357</x:f>
        <x:v>3806.242023653889</x:v>
      </x:c>
      <x:c r="I2303" s="26" t="n">
        <x:f>'成本明细'!V357</x:f>
        <x:v>6497</x:v>
      </x:c>
      <x:c r="J2303" s="22" t="n">
        <x:f>'参数'!$B$9</x:f>
        <x:v>300</x:v>
      </x:c>
      <x:c r="K2303" s="26" t="n">
        <x:f>J2303*(G2303-H2303)-I2303*ROUNDUP(J2303/F2303,0)</x:f>
        <x:v>-522981.44654566667</x:v>
      </x:c>
      <x:c r="L2303" s="10" t="str">
        <x:f>IF(G2303-H2303&lt;=0,"未回本",IF(ROUNDUP(I2303/(G2303-H2303),0)&gt;MIN(F2303,J2303),"未回本",MAX(1,ROUNDUP(I2303/(G2303-H2303),0))))</x:f>
        <x:v>未回本</x:v>
      </x:c>
    </x:row>
    <x:row r="2304" ht="22" customHeight="1">
      <x:c r="A2304" s="11" t="str">
        <x:v>lade_0829_20aoi</x:v>
      </x:c>
      <x:c r="B2304" s="10" t="n">
        <x:v>20</x:v>
      </x:c>
      <x:c r="C2304" s="10" t="n">
        <x:v>42</x:v>
      </x:c>
      <x:c r="D2304" s="10" t="str">
        <x:v>M1 / M3</x:v>
      </x:c>
      <x:c r="E2304" s="16" t="n">
        <x:v>3</x:v>
      </x:c>
      <x:c r="F2304" s="14" t="n">
        <x:v>20</x:v>
      </x:c>
      <x:c r="G2304" s="26" t="n">
        <x:f>'成本明细'!U348+'成本明细'!G348*(E2304-'参数'!$B$6)</x:f>
        <x:v>2961.2018359505555</x:v>
      </x:c>
      <x:c r="H2304" s="26" t="n">
        <x:f>'成本明细'!U354</x:f>
        <x:v>3680.2348697605557</x:v>
      </x:c>
      <x:c r="I2304" s="26" t="n">
        <x:f>'成本明细'!V354</x:f>
        <x:v>6497</x:v>
      </x:c>
      <x:c r="J2304" s="22" t="n">
        <x:f>'参数'!$B$9</x:f>
        <x:v>300</x:v>
      </x:c>
      <x:c r="K2304" s="26" t="n">
        <x:f>J2304*(G2304-H2304)-I2304*ROUNDUP(J2304/F2304,0)</x:f>
        <x:v>-313164.9101430001</x:v>
      </x:c>
      <x:c r="L2304" s="10" t="str">
        <x:f>IF(G2304-H2304&lt;=0,"未回本",IF(ROUNDUP(I2304/(G2304-H2304),0)&gt;MIN(F2304,J2304),"未回本",MAX(1,ROUNDUP(I2304/(G2304-H2304),0))))</x:f>
        <x:v>未回本</x:v>
      </x:c>
    </x:row>
    <x:row r="2305" ht="22" customHeight="1">
      <x:c r="A2305" s="11" t="str">
        <x:v>lade_0829_20aoi</x:v>
      </x:c>
      <x:c r="B2305" s="10" t="n">
        <x:v>20</x:v>
      </x:c>
      <x:c r="C2305" s="10" t="n">
        <x:v>42</x:v>
      </x:c>
      <x:c r="D2305" s="10" t="str">
        <x:v>M2 / M4</x:v>
      </x:c>
      <x:c r="E2305" s="16" t="n">
        <x:v>3</x:v>
      </x:c>
      <x:c r="F2305" s="14" t="n">
        <x:v>20</x:v>
      </x:c>
      <x:c r="G2305" s="26" t="n">
        <x:f>'成本明细'!U351+'成本明细'!G351*(E2305-'参数'!$B$6)</x:f>
        <x:v>2712.6705351683336</x:v>
      </x:c>
      <x:c r="H2305" s="26" t="n">
        <x:f>'成本明细'!U357</x:f>
        <x:v>3806.242023653889</x:v>
      </x:c>
      <x:c r="I2305" s="26" t="n">
        <x:f>'成本明细'!V357</x:f>
        <x:v>6497</x:v>
      </x:c>
      <x:c r="J2305" s="22" t="n">
        <x:f>'参数'!$B$9</x:f>
        <x:v>300</x:v>
      </x:c>
      <x:c r="K2305" s="26" t="n">
        <x:f>J2305*(G2305-H2305)-I2305*ROUNDUP(J2305/F2305,0)</x:f>
        <x:v>-425526.44654566667</x:v>
      </x:c>
      <x:c r="L2305" s="10" t="str">
        <x:f>IF(G2305-H2305&lt;=0,"未回本",IF(ROUNDUP(I2305/(G2305-H2305),0)&gt;MIN(F2305,J2305),"未回本",MAX(1,ROUNDUP(I2305/(G2305-H2305),0))))</x:f>
        <x:v>未回本</x:v>
      </x:c>
    </x:row>
    <x:row r="2306" ht="22" customHeight="1">
      <x:c r="A2306" s="11" t="str">
        <x:v>lade_0829_20aoi</x:v>
      </x:c>
      <x:c r="B2306" s="10" t="n">
        <x:v>20</x:v>
      </x:c>
      <x:c r="C2306" s="10" t="n">
        <x:v>42</x:v>
      </x:c>
      <x:c r="D2306" s="10" t="str">
        <x:v>M1 / M3</x:v>
      </x:c>
      <x:c r="E2306" s="16" t="n">
        <x:v>3</x:v>
      </x:c>
      <x:c r="F2306" s="14" t="n">
        <x:v>30</x:v>
      </x:c>
      <x:c r="G2306" s="26" t="n">
        <x:f>'成本明细'!U348+'成本明细'!G348*(E2306-'参数'!$B$6)</x:f>
        <x:v>2961.2018359505555</x:v>
      </x:c>
      <x:c r="H2306" s="26" t="n">
        <x:f>'成本明细'!U354</x:f>
        <x:v>3680.2348697605557</x:v>
      </x:c>
      <x:c r="I2306" s="26" t="n">
        <x:f>'成本明细'!V354</x:f>
        <x:v>6497</x:v>
      </x:c>
      <x:c r="J2306" s="22" t="n">
        <x:f>'参数'!$B$9</x:f>
        <x:v>300</x:v>
      </x:c>
      <x:c r="K2306" s="26" t="n">
        <x:f>J2306*(G2306-H2306)-I2306*ROUNDUP(J2306/F2306,0)</x:f>
        <x:v>-280679.9101430001</x:v>
      </x:c>
      <x:c r="L2306" s="10" t="str">
        <x:f>IF(G2306-H2306&lt;=0,"未回本",IF(ROUNDUP(I2306/(G2306-H2306),0)&gt;MIN(F2306,J2306),"未回本",MAX(1,ROUNDUP(I2306/(G2306-H2306),0))))</x:f>
        <x:v>未回本</x:v>
      </x:c>
    </x:row>
    <x:row r="2307" ht="22" customHeight="1">
      <x:c r="A2307" s="11" t="str">
        <x:v>lade_0829_20aoi</x:v>
      </x:c>
      <x:c r="B2307" s="10" t="n">
        <x:v>20</x:v>
      </x:c>
      <x:c r="C2307" s="10" t="n">
        <x:v>42</x:v>
      </x:c>
      <x:c r="D2307" s="10" t="str">
        <x:v>M2 / M4</x:v>
      </x:c>
      <x:c r="E2307" s="16" t="n">
        <x:v>3</x:v>
      </x:c>
      <x:c r="F2307" s="14" t="n">
        <x:v>30</x:v>
      </x:c>
      <x:c r="G2307" s="26" t="n">
        <x:f>'成本明细'!U351+'成本明细'!G351*(E2307-'参数'!$B$6)</x:f>
        <x:v>2712.6705351683336</x:v>
      </x:c>
      <x:c r="H2307" s="26" t="n">
        <x:f>'成本明细'!U357</x:f>
        <x:v>3806.242023653889</x:v>
      </x:c>
      <x:c r="I2307" s="26" t="n">
        <x:f>'成本明细'!V357</x:f>
        <x:v>6497</x:v>
      </x:c>
      <x:c r="J2307" s="22" t="n">
        <x:f>'参数'!$B$9</x:f>
        <x:v>300</x:v>
      </x:c>
      <x:c r="K2307" s="26" t="n">
        <x:f>J2307*(G2307-H2307)-I2307*ROUNDUP(J2307/F2307,0)</x:f>
        <x:v>-393041.44654566667</x:v>
      </x:c>
      <x:c r="L2307" s="10" t="str">
        <x:f>IF(G2307-H2307&lt;=0,"未回本",IF(ROUNDUP(I2307/(G2307-H2307),0)&gt;MIN(F2307,J2307),"未回本",MAX(1,ROUNDUP(I2307/(G2307-H2307),0))))</x:f>
        <x:v>未回本</x:v>
      </x:c>
    </x:row>
    <x:row r="2308" ht="22" customHeight="1">
      <x:c r="A2308" s="11" t="str">
        <x:v>lade_0829_20aoi</x:v>
      </x:c>
      <x:c r="B2308" s="10" t="n">
        <x:v>20</x:v>
      </x:c>
      <x:c r="C2308" s="10" t="n">
        <x:v>42</x:v>
      </x:c>
      <x:c r="D2308" s="10" t="str">
        <x:v>M1 / M3</x:v>
      </x:c>
      <x:c r="E2308" s="16" t="n">
        <x:v>3</x:v>
      </x:c>
      <x:c r="F2308" s="14" t="n">
        <x:v>50</x:v>
      </x:c>
      <x:c r="G2308" s="26" t="n">
        <x:f>'成本明细'!U348+'成本明细'!G348*(E2308-'参数'!$B$6)</x:f>
        <x:v>2961.2018359505555</x:v>
      </x:c>
      <x:c r="H2308" s="26" t="n">
        <x:f>'成本明细'!U354</x:f>
        <x:v>3680.2348697605557</x:v>
      </x:c>
      <x:c r="I2308" s="26" t="n">
        <x:f>'成本明细'!V354</x:f>
        <x:v>6497</x:v>
      </x:c>
      <x:c r="J2308" s="22" t="n">
        <x:f>'参数'!$B$9</x:f>
        <x:v>300</x:v>
      </x:c>
      <x:c r="K2308" s="26" t="n">
        <x:f>J2308*(G2308-H2308)-I2308*ROUNDUP(J2308/F2308,0)</x:f>
        <x:v>-254691.91014300007</x:v>
      </x:c>
      <x:c r="L2308" s="10" t="str">
        <x:f>IF(G2308-H2308&lt;=0,"未回本",IF(ROUNDUP(I2308/(G2308-H2308),0)&gt;MIN(F2308,J2308),"未回本",MAX(1,ROUNDUP(I2308/(G2308-H2308),0))))</x:f>
        <x:v>未回本</x:v>
      </x:c>
    </x:row>
    <x:row r="2309" ht="22" customHeight="1">
      <x:c r="A2309" s="11" t="str">
        <x:v>lade_0829_20aoi</x:v>
      </x:c>
      <x:c r="B2309" s="10" t="n">
        <x:v>20</x:v>
      </x:c>
      <x:c r="C2309" s="10" t="n">
        <x:v>42</x:v>
      </x:c>
      <x:c r="D2309" s="10" t="str">
        <x:v>M2 / M4</x:v>
      </x:c>
      <x:c r="E2309" s="16" t="n">
        <x:v>3</x:v>
      </x:c>
      <x:c r="F2309" s="14" t="n">
        <x:v>50</x:v>
      </x:c>
      <x:c r="G2309" s="26" t="n">
        <x:f>'成本明细'!U351+'成本明细'!G351*(E2309-'参数'!$B$6)</x:f>
        <x:v>2712.6705351683336</x:v>
      </x:c>
      <x:c r="H2309" s="26" t="n">
        <x:f>'成本明细'!U357</x:f>
        <x:v>3806.242023653889</x:v>
      </x:c>
      <x:c r="I2309" s="26" t="n">
        <x:f>'成本明细'!V357</x:f>
        <x:v>6497</x:v>
      </x:c>
      <x:c r="J2309" s="22" t="n">
        <x:f>'参数'!$B$9</x:f>
        <x:v>300</x:v>
      </x:c>
      <x:c r="K2309" s="26" t="n">
        <x:f>J2309*(G2309-H2309)-I2309*ROUNDUP(J2309/F2309,0)</x:f>
        <x:v>-367053.44654566667</x:v>
      </x:c>
      <x:c r="L2309" s="10" t="str">
        <x:f>IF(G2309-H2309&lt;=0,"未回本",IF(ROUNDUP(I2309/(G2309-H2309),0)&gt;MIN(F2309,J2309),"未回本",MAX(1,ROUNDUP(I2309/(G2309-H2309),0))))</x:f>
        <x:v>未回本</x:v>
      </x:c>
    </x:row>
    <x:row r="2310" ht="22" customHeight="1">
      <x:c r="A2310" s="11" t="str">
        <x:v>lade_0829_20aoi</x:v>
      </x:c>
      <x:c r="B2310" s="10" t="n">
        <x:v>20</x:v>
      </x:c>
      <x:c r="C2310" s="10" t="n">
        <x:v>42</x:v>
      </x:c>
      <x:c r="D2310" s="10" t="str">
        <x:v>M1 / M3</x:v>
      </x:c>
      <x:c r="E2310" s="16" t="n">
        <x:v>4</x:v>
      </x:c>
      <x:c r="F2310" s="14" t="n">
        <x:v>10</x:v>
      </x:c>
      <x:c r="G2310" s="26" t="n">
        <x:f>'成本明细'!U348+'成本明细'!G348*(E2310-'参数'!$B$6)</x:f>
        <x:v>3139.2018359505555</x:v>
      </x:c>
      <x:c r="H2310" s="26" t="n">
        <x:f>'成本明细'!U354</x:f>
        <x:v>3680.2348697605557</x:v>
      </x:c>
      <x:c r="I2310" s="26" t="n">
        <x:f>'成本明细'!V354</x:f>
        <x:v>6497</x:v>
      </x:c>
      <x:c r="J2310" s="22" t="n">
        <x:f>'参数'!$B$9</x:f>
        <x:v>300</x:v>
      </x:c>
      <x:c r="K2310" s="26" t="n">
        <x:f>J2310*(G2310-H2310)-I2310*ROUNDUP(J2310/F2310,0)</x:f>
        <x:v>-357219.9101430001</x:v>
      </x:c>
      <x:c r="L2310" s="10" t="str">
        <x:f>IF(G2310-H2310&lt;=0,"未回本",IF(ROUNDUP(I2310/(G2310-H2310),0)&gt;MIN(F2310,J2310),"未回本",MAX(1,ROUNDUP(I2310/(G2310-H2310),0))))</x:f>
        <x:v>未回本</x:v>
      </x:c>
    </x:row>
    <x:row r="2311" ht="22" customHeight="1">
      <x:c r="A2311" s="11" t="str">
        <x:v>lade_0829_20aoi</x:v>
      </x:c>
      <x:c r="B2311" s="10" t="n">
        <x:v>20</x:v>
      </x:c>
      <x:c r="C2311" s="10" t="n">
        <x:v>42</x:v>
      </x:c>
      <x:c r="D2311" s="10" t="str">
        <x:v>M2 / M4</x:v>
      </x:c>
      <x:c r="E2311" s="16" t="n">
        <x:v>4</x:v>
      </x:c>
      <x:c r="F2311" s="14" t="n">
        <x:v>10</x:v>
      </x:c>
      <x:c r="G2311" s="26" t="n">
        <x:f>'成本明细'!U351+'成本明细'!G351*(E2311-'参数'!$B$6)</x:f>
        <x:v>2890.6705351683336</x:v>
      </x:c>
      <x:c r="H2311" s="26" t="n">
        <x:f>'成本明细'!U357</x:f>
        <x:v>3806.242023653889</x:v>
      </x:c>
      <x:c r="I2311" s="26" t="n">
        <x:f>'成本明细'!V357</x:f>
        <x:v>6497</x:v>
      </x:c>
      <x:c r="J2311" s="22" t="n">
        <x:f>'参数'!$B$9</x:f>
        <x:v>300</x:v>
      </x:c>
      <x:c r="K2311" s="26" t="n">
        <x:f>J2311*(G2311-H2311)-I2311*ROUNDUP(J2311/F2311,0)</x:f>
        <x:v>-469581.44654566667</x:v>
      </x:c>
      <x:c r="L2311" s="10" t="str">
        <x:f>IF(G2311-H2311&lt;=0,"未回本",IF(ROUNDUP(I2311/(G2311-H2311),0)&gt;MIN(F2311,J2311),"未回本",MAX(1,ROUNDUP(I2311/(G2311-H2311),0))))</x:f>
        <x:v>未回本</x:v>
      </x:c>
    </x:row>
    <x:row r="2312" ht="22" customHeight="1">
      <x:c r="A2312" s="11" t="str">
        <x:v>lade_0829_20aoi</x:v>
      </x:c>
      <x:c r="B2312" s="10" t="n">
        <x:v>20</x:v>
      </x:c>
      <x:c r="C2312" s="10" t="n">
        <x:v>42</x:v>
      </x:c>
      <x:c r="D2312" s="10" t="str">
        <x:v>M1 / M3</x:v>
      </x:c>
      <x:c r="E2312" s="16" t="n">
        <x:v>4</x:v>
      </x:c>
      <x:c r="F2312" s="14" t="n">
        <x:v>20</x:v>
      </x:c>
      <x:c r="G2312" s="26" t="n">
        <x:f>'成本明细'!U348+'成本明细'!G348*(E2312-'参数'!$B$6)</x:f>
        <x:v>3139.2018359505555</x:v>
      </x:c>
      <x:c r="H2312" s="26" t="n">
        <x:f>'成本明细'!U354</x:f>
        <x:v>3680.2348697605557</x:v>
      </x:c>
      <x:c r="I2312" s="26" t="n">
        <x:f>'成本明细'!V354</x:f>
        <x:v>6497</x:v>
      </x:c>
      <x:c r="J2312" s="22" t="n">
        <x:f>'参数'!$B$9</x:f>
        <x:v>300</x:v>
      </x:c>
      <x:c r="K2312" s="26" t="n">
        <x:f>J2312*(G2312-H2312)-I2312*ROUNDUP(J2312/F2312,0)</x:f>
        <x:v>-259764.91014300007</x:v>
      </x:c>
      <x:c r="L2312" s="10" t="str">
        <x:f>IF(G2312-H2312&lt;=0,"未回本",IF(ROUNDUP(I2312/(G2312-H2312),0)&gt;MIN(F2312,J2312),"未回本",MAX(1,ROUNDUP(I2312/(G2312-H2312),0))))</x:f>
        <x:v>未回本</x:v>
      </x:c>
    </x:row>
    <x:row r="2313" ht="22" customHeight="1">
      <x:c r="A2313" s="11" t="str">
        <x:v>lade_0829_20aoi</x:v>
      </x:c>
      <x:c r="B2313" s="10" t="n">
        <x:v>20</x:v>
      </x:c>
      <x:c r="C2313" s="10" t="n">
        <x:v>42</x:v>
      </x:c>
      <x:c r="D2313" s="10" t="str">
        <x:v>M2 / M4</x:v>
      </x:c>
      <x:c r="E2313" s="16" t="n">
        <x:v>4</x:v>
      </x:c>
      <x:c r="F2313" s="14" t="n">
        <x:v>20</x:v>
      </x:c>
      <x:c r="G2313" s="26" t="n">
        <x:f>'成本明细'!U351+'成本明细'!G351*(E2313-'参数'!$B$6)</x:f>
        <x:v>2890.6705351683336</x:v>
      </x:c>
      <x:c r="H2313" s="26" t="n">
        <x:f>'成本明细'!U357</x:f>
        <x:v>3806.242023653889</x:v>
      </x:c>
      <x:c r="I2313" s="26" t="n">
        <x:f>'成本明细'!V357</x:f>
        <x:v>6497</x:v>
      </x:c>
      <x:c r="J2313" s="22" t="n">
        <x:f>'参数'!$B$9</x:f>
        <x:v>300</x:v>
      </x:c>
      <x:c r="K2313" s="26" t="n">
        <x:f>J2313*(G2313-H2313)-I2313*ROUNDUP(J2313/F2313,0)</x:f>
        <x:v>-372126.44654566667</x:v>
      </x:c>
      <x:c r="L2313" s="10" t="str">
        <x:f>IF(G2313-H2313&lt;=0,"未回本",IF(ROUNDUP(I2313/(G2313-H2313),0)&gt;MIN(F2313,J2313),"未回本",MAX(1,ROUNDUP(I2313/(G2313-H2313),0))))</x:f>
        <x:v>未回本</x:v>
      </x:c>
    </x:row>
    <x:row r="2314" ht="22" customHeight="1">
      <x:c r="A2314" s="11" t="str">
        <x:v>lade_0829_20aoi</x:v>
      </x:c>
      <x:c r="B2314" s="10" t="n">
        <x:v>20</x:v>
      </x:c>
      <x:c r="C2314" s="10" t="n">
        <x:v>42</x:v>
      </x:c>
      <x:c r="D2314" s="10" t="str">
        <x:v>M1 / M3</x:v>
      </x:c>
      <x:c r="E2314" s="16" t="n">
        <x:v>4</x:v>
      </x:c>
      <x:c r="F2314" s="14" t="n">
        <x:v>30</x:v>
      </x:c>
      <x:c r="G2314" s="26" t="n">
        <x:f>'成本明细'!U348+'成本明细'!G348*(E2314-'参数'!$B$6)</x:f>
        <x:v>3139.2018359505555</x:v>
      </x:c>
      <x:c r="H2314" s="26" t="n">
        <x:f>'成本明细'!U354</x:f>
        <x:v>3680.2348697605557</x:v>
      </x:c>
      <x:c r="I2314" s="26" t="n">
        <x:f>'成本明细'!V354</x:f>
        <x:v>6497</x:v>
      </x:c>
      <x:c r="J2314" s="22" t="n">
        <x:f>'参数'!$B$9</x:f>
        <x:v>300</x:v>
      </x:c>
      <x:c r="K2314" s="26" t="n">
        <x:f>J2314*(G2314-H2314)-I2314*ROUNDUP(J2314/F2314,0)</x:f>
        <x:v>-227279.91014300007</x:v>
      </x:c>
      <x:c r="L2314" s="10" t="str">
        <x:f>IF(G2314-H2314&lt;=0,"未回本",IF(ROUNDUP(I2314/(G2314-H2314),0)&gt;MIN(F2314,J2314),"未回本",MAX(1,ROUNDUP(I2314/(G2314-H2314),0))))</x:f>
        <x:v>未回本</x:v>
      </x:c>
    </x:row>
    <x:row r="2315" ht="22" customHeight="1">
      <x:c r="A2315" s="11" t="str">
        <x:v>lade_0829_20aoi</x:v>
      </x:c>
      <x:c r="B2315" s="10" t="n">
        <x:v>20</x:v>
      </x:c>
      <x:c r="C2315" s="10" t="n">
        <x:v>42</x:v>
      </x:c>
      <x:c r="D2315" s="10" t="str">
        <x:v>M2 / M4</x:v>
      </x:c>
      <x:c r="E2315" s="16" t="n">
        <x:v>4</x:v>
      </x:c>
      <x:c r="F2315" s="14" t="n">
        <x:v>30</x:v>
      </x:c>
      <x:c r="G2315" s="26" t="n">
        <x:f>'成本明细'!U351+'成本明细'!G351*(E2315-'参数'!$B$6)</x:f>
        <x:v>2890.6705351683336</x:v>
      </x:c>
      <x:c r="H2315" s="26" t="n">
        <x:f>'成本明细'!U357</x:f>
        <x:v>3806.242023653889</x:v>
      </x:c>
      <x:c r="I2315" s="26" t="n">
        <x:f>'成本明细'!V357</x:f>
        <x:v>6497</x:v>
      </x:c>
      <x:c r="J2315" s="22" t="n">
        <x:f>'参数'!$B$9</x:f>
        <x:v>300</x:v>
      </x:c>
      <x:c r="K2315" s="26" t="n">
        <x:f>J2315*(G2315-H2315)-I2315*ROUNDUP(J2315/F2315,0)</x:f>
        <x:v>-339641.44654566667</x:v>
      </x:c>
      <x:c r="L2315" s="10" t="str">
        <x:f>IF(G2315-H2315&lt;=0,"未回本",IF(ROUNDUP(I2315/(G2315-H2315),0)&gt;MIN(F2315,J2315),"未回本",MAX(1,ROUNDUP(I2315/(G2315-H2315),0))))</x:f>
        <x:v>未回本</x:v>
      </x:c>
    </x:row>
    <x:row r="2316" ht="22" customHeight="1">
      <x:c r="A2316" s="11" t="str">
        <x:v>lade_0829_20aoi</x:v>
      </x:c>
      <x:c r="B2316" s="10" t="n">
        <x:v>20</x:v>
      </x:c>
      <x:c r="C2316" s="10" t="n">
        <x:v>42</x:v>
      </x:c>
      <x:c r="D2316" s="10" t="str">
        <x:v>M1 / M3</x:v>
      </x:c>
      <x:c r="E2316" s="16" t="n">
        <x:v>4</x:v>
      </x:c>
      <x:c r="F2316" s="14" t="n">
        <x:v>50</x:v>
      </x:c>
      <x:c r="G2316" s="26" t="n">
        <x:f>'成本明细'!U348+'成本明细'!G348*(E2316-'参数'!$B$6)</x:f>
        <x:v>3139.2018359505555</x:v>
      </x:c>
      <x:c r="H2316" s="26" t="n">
        <x:f>'成本明细'!U354</x:f>
        <x:v>3680.2348697605557</x:v>
      </x:c>
      <x:c r="I2316" s="26" t="n">
        <x:f>'成本明细'!V354</x:f>
        <x:v>6497</x:v>
      </x:c>
      <x:c r="J2316" s="22" t="n">
        <x:f>'参数'!$B$9</x:f>
        <x:v>300</x:v>
      </x:c>
      <x:c r="K2316" s="26" t="n">
        <x:f>J2316*(G2316-H2316)-I2316*ROUNDUP(J2316/F2316,0)</x:f>
        <x:v>-201291.91014300007</x:v>
      </x:c>
      <x:c r="L2316" s="10" t="str">
        <x:f>IF(G2316-H2316&lt;=0,"未回本",IF(ROUNDUP(I2316/(G2316-H2316),0)&gt;MIN(F2316,J2316),"未回本",MAX(1,ROUNDUP(I2316/(G2316-H2316),0))))</x:f>
        <x:v>未回本</x:v>
      </x:c>
    </x:row>
    <x:row r="2317" ht="22" customHeight="1">
      <x:c r="A2317" s="11" t="str">
        <x:v>lade_0829_20aoi</x:v>
      </x:c>
      <x:c r="B2317" s="10" t="n">
        <x:v>20</x:v>
      </x:c>
      <x:c r="C2317" s="10" t="n">
        <x:v>42</x:v>
      </x:c>
      <x:c r="D2317" s="10" t="str">
        <x:v>M2 / M4</x:v>
      </x:c>
      <x:c r="E2317" s="16" t="n">
        <x:v>4</x:v>
      </x:c>
      <x:c r="F2317" s="14" t="n">
        <x:v>50</x:v>
      </x:c>
      <x:c r="G2317" s="26" t="n">
        <x:f>'成本明细'!U351+'成本明细'!G351*(E2317-'参数'!$B$6)</x:f>
        <x:v>2890.6705351683336</x:v>
      </x:c>
      <x:c r="H2317" s="26" t="n">
        <x:f>'成本明细'!U357</x:f>
        <x:v>3806.242023653889</x:v>
      </x:c>
      <x:c r="I2317" s="26" t="n">
        <x:f>'成本明细'!V357</x:f>
        <x:v>6497</x:v>
      </x:c>
      <x:c r="J2317" s="22" t="n">
        <x:f>'参数'!$B$9</x:f>
        <x:v>300</x:v>
      </x:c>
      <x:c r="K2317" s="26" t="n">
        <x:f>J2317*(G2317-H2317)-I2317*ROUNDUP(J2317/F2317,0)</x:f>
        <x:v>-313653.44654566667</x:v>
      </x:c>
      <x:c r="L2317" s="10" t="str">
        <x:f>IF(G2317-H2317&lt;=0,"未回本",IF(ROUNDUP(I2317/(G2317-H2317),0)&gt;MIN(F2317,J2317),"未回本",MAX(1,ROUNDUP(I2317/(G2317-H2317),0))))</x:f>
        <x:v>未回本</x:v>
      </x:c>
    </x:row>
    <x:row r="2318" ht="22" customHeight="1">
      <x:c r="A2318" s="11" t="str">
        <x:v>lade_0829_20aoi</x:v>
      </x:c>
      <x:c r="B2318" s="10" t="n">
        <x:v>20</x:v>
      </x:c>
      <x:c r="C2318" s="10" t="n">
        <x:v>42</x:v>
      </x:c>
      <x:c r="D2318" s="10" t="str">
        <x:v>M1 / M3</x:v>
      </x:c>
      <x:c r="E2318" s="16" t="n">
        <x:v>5</x:v>
      </x:c>
      <x:c r="F2318" s="14" t="n">
        <x:v>10</x:v>
      </x:c>
      <x:c r="G2318" s="26" t="n">
        <x:f>'成本明细'!U348+'成本明细'!G348*(E2318-'参数'!$B$6)</x:f>
        <x:v>3317.2018359505555</x:v>
      </x:c>
      <x:c r="H2318" s="26" t="n">
        <x:f>'成本明细'!U354</x:f>
        <x:v>3680.2348697605557</x:v>
      </x:c>
      <x:c r="I2318" s="26" t="n">
        <x:f>'成本明细'!V354</x:f>
        <x:v>6497</x:v>
      </x:c>
      <x:c r="J2318" s="22" t="n">
        <x:f>'参数'!$B$9</x:f>
        <x:v>300</x:v>
      </x:c>
      <x:c r="K2318" s="26" t="n">
        <x:f>J2318*(G2318-H2318)-I2318*ROUNDUP(J2318/F2318,0)</x:f>
        <x:v>-303819.9101430001</x:v>
      </x:c>
      <x:c r="L2318" s="10" t="str">
        <x:f>IF(G2318-H2318&lt;=0,"未回本",IF(ROUNDUP(I2318/(G2318-H2318),0)&gt;MIN(F2318,J2318),"未回本",MAX(1,ROUNDUP(I2318/(G2318-H2318),0))))</x:f>
        <x:v>未回本</x:v>
      </x:c>
    </x:row>
    <x:row r="2319" ht="22" customHeight="1">
      <x:c r="A2319" s="11" t="str">
        <x:v>lade_0829_20aoi</x:v>
      </x:c>
      <x:c r="B2319" s="10" t="n">
        <x:v>20</x:v>
      </x:c>
      <x:c r="C2319" s="10" t="n">
        <x:v>42</x:v>
      </x:c>
      <x:c r="D2319" s="10" t="str">
        <x:v>M2 / M4</x:v>
      </x:c>
      <x:c r="E2319" s="16" t="n">
        <x:v>5</x:v>
      </x:c>
      <x:c r="F2319" s="14" t="n">
        <x:v>10</x:v>
      </x:c>
      <x:c r="G2319" s="26" t="n">
        <x:f>'成本明细'!U351+'成本明细'!G351*(E2319-'参数'!$B$6)</x:f>
        <x:v>3068.6705351683336</x:v>
      </x:c>
      <x:c r="H2319" s="26" t="n">
        <x:f>'成本明细'!U357</x:f>
        <x:v>3806.242023653889</x:v>
      </x:c>
      <x:c r="I2319" s="26" t="n">
        <x:f>'成本明细'!V357</x:f>
        <x:v>6497</x:v>
      </x:c>
      <x:c r="J2319" s="22" t="n">
        <x:f>'参数'!$B$9</x:f>
        <x:v>300</x:v>
      </x:c>
      <x:c r="K2319" s="26" t="n">
        <x:f>J2319*(G2319-H2319)-I2319*ROUNDUP(J2319/F2319,0)</x:f>
        <x:v>-416181.44654566667</x:v>
      </x:c>
      <x:c r="L2319" s="10" t="str">
        <x:f>IF(G2319-H2319&lt;=0,"未回本",IF(ROUNDUP(I2319/(G2319-H2319),0)&gt;MIN(F2319,J2319),"未回本",MAX(1,ROUNDUP(I2319/(G2319-H2319),0))))</x:f>
        <x:v>未回本</x:v>
      </x:c>
    </x:row>
    <x:row r="2320" ht="22" customHeight="1">
      <x:c r="A2320" s="11" t="str">
        <x:v>lade_0829_20aoi</x:v>
      </x:c>
      <x:c r="B2320" s="10" t="n">
        <x:v>20</x:v>
      </x:c>
      <x:c r="C2320" s="10" t="n">
        <x:v>42</x:v>
      </x:c>
      <x:c r="D2320" s="10" t="str">
        <x:v>M1 / M3</x:v>
      </x:c>
      <x:c r="E2320" s="16" t="n">
        <x:v>5</x:v>
      </x:c>
      <x:c r="F2320" s="14" t="n">
        <x:v>20</x:v>
      </x:c>
      <x:c r="G2320" s="26" t="n">
        <x:f>'成本明细'!U348+'成本明细'!G348*(E2320-'参数'!$B$6)</x:f>
        <x:v>3317.2018359505555</x:v>
      </x:c>
      <x:c r="H2320" s="26" t="n">
        <x:f>'成本明细'!U354</x:f>
        <x:v>3680.2348697605557</x:v>
      </x:c>
      <x:c r="I2320" s="26" t="n">
        <x:f>'成本明细'!V354</x:f>
        <x:v>6497</x:v>
      </x:c>
      <x:c r="J2320" s="22" t="n">
        <x:f>'参数'!$B$9</x:f>
        <x:v>300</x:v>
      </x:c>
      <x:c r="K2320" s="26" t="n">
        <x:f>J2320*(G2320-H2320)-I2320*ROUNDUP(J2320/F2320,0)</x:f>
        <x:v>-206364.91014300007</x:v>
      </x:c>
      <x:c r="L2320" s="10" t="str">
        <x:f>IF(G2320-H2320&lt;=0,"未回本",IF(ROUNDUP(I2320/(G2320-H2320),0)&gt;MIN(F2320,J2320),"未回本",MAX(1,ROUNDUP(I2320/(G2320-H2320),0))))</x:f>
        <x:v>未回本</x:v>
      </x:c>
    </x:row>
    <x:row r="2321" ht="22" customHeight="1">
      <x:c r="A2321" s="11" t="str">
        <x:v>lade_0829_20aoi</x:v>
      </x:c>
      <x:c r="B2321" s="10" t="n">
        <x:v>20</x:v>
      </x:c>
      <x:c r="C2321" s="10" t="n">
        <x:v>42</x:v>
      </x:c>
      <x:c r="D2321" s="10" t="str">
        <x:v>M2 / M4</x:v>
      </x:c>
      <x:c r="E2321" s="16" t="n">
        <x:v>5</x:v>
      </x:c>
      <x:c r="F2321" s="14" t="n">
        <x:v>20</x:v>
      </x:c>
      <x:c r="G2321" s="26" t="n">
        <x:f>'成本明细'!U351+'成本明细'!G351*(E2321-'参数'!$B$6)</x:f>
        <x:v>3068.6705351683336</x:v>
      </x:c>
      <x:c r="H2321" s="26" t="n">
        <x:f>'成本明细'!U357</x:f>
        <x:v>3806.242023653889</x:v>
      </x:c>
      <x:c r="I2321" s="26" t="n">
        <x:f>'成本明细'!V357</x:f>
        <x:v>6497</x:v>
      </x:c>
      <x:c r="J2321" s="22" t="n">
        <x:f>'参数'!$B$9</x:f>
        <x:v>300</x:v>
      </x:c>
      <x:c r="K2321" s="26" t="n">
        <x:f>J2321*(G2321-H2321)-I2321*ROUNDUP(J2321/F2321,0)</x:f>
        <x:v>-318726.44654566667</x:v>
      </x:c>
      <x:c r="L2321" s="10" t="str">
        <x:f>IF(G2321-H2321&lt;=0,"未回本",IF(ROUNDUP(I2321/(G2321-H2321),0)&gt;MIN(F2321,J2321),"未回本",MAX(1,ROUNDUP(I2321/(G2321-H2321),0))))</x:f>
        <x:v>未回本</x:v>
      </x:c>
    </x:row>
    <x:row r="2322" ht="22" customHeight="1">
      <x:c r="A2322" s="11" t="str">
        <x:v>lade_0829_20aoi</x:v>
      </x:c>
      <x:c r="B2322" s="10" t="n">
        <x:v>20</x:v>
      </x:c>
      <x:c r="C2322" s="10" t="n">
        <x:v>42</x:v>
      </x:c>
      <x:c r="D2322" s="10" t="str">
        <x:v>M1 / M3</x:v>
      </x:c>
      <x:c r="E2322" s="16" t="n">
        <x:v>5</x:v>
      </x:c>
      <x:c r="F2322" s="14" t="n">
        <x:v>30</x:v>
      </x:c>
      <x:c r="G2322" s="26" t="n">
        <x:f>'成本明细'!U348+'成本明细'!G348*(E2322-'参数'!$B$6)</x:f>
        <x:v>3317.2018359505555</x:v>
      </x:c>
      <x:c r="H2322" s="26" t="n">
        <x:f>'成本明细'!U354</x:f>
        <x:v>3680.2348697605557</x:v>
      </x:c>
      <x:c r="I2322" s="26" t="n">
        <x:f>'成本明细'!V354</x:f>
        <x:v>6497</x:v>
      </x:c>
      <x:c r="J2322" s="22" t="n">
        <x:f>'参数'!$B$9</x:f>
        <x:v>300</x:v>
      </x:c>
      <x:c r="K2322" s="26" t="n">
        <x:f>J2322*(G2322-H2322)-I2322*ROUNDUP(J2322/F2322,0)</x:f>
        <x:v>-173879.91014300007</x:v>
      </x:c>
      <x:c r="L2322" s="10" t="str">
        <x:f>IF(G2322-H2322&lt;=0,"未回本",IF(ROUNDUP(I2322/(G2322-H2322),0)&gt;MIN(F2322,J2322),"未回本",MAX(1,ROUNDUP(I2322/(G2322-H2322),0))))</x:f>
        <x:v>未回本</x:v>
      </x:c>
    </x:row>
    <x:row r="2323" ht="22" customHeight="1">
      <x:c r="A2323" s="11" t="str">
        <x:v>lade_0829_20aoi</x:v>
      </x:c>
      <x:c r="B2323" s="10" t="n">
        <x:v>20</x:v>
      </x:c>
      <x:c r="C2323" s="10" t="n">
        <x:v>42</x:v>
      </x:c>
      <x:c r="D2323" s="10" t="str">
        <x:v>M2 / M4</x:v>
      </x:c>
      <x:c r="E2323" s="16" t="n">
        <x:v>5</x:v>
      </x:c>
      <x:c r="F2323" s="14" t="n">
        <x:v>30</x:v>
      </x:c>
      <x:c r="G2323" s="26" t="n">
        <x:f>'成本明细'!U351+'成本明细'!G351*(E2323-'参数'!$B$6)</x:f>
        <x:v>3068.6705351683336</x:v>
      </x:c>
      <x:c r="H2323" s="26" t="n">
        <x:f>'成本明细'!U357</x:f>
        <x:v>3806.242023653889</x:v>
      </x:c>
      <x:c r="I2323" s="26" t="n">
        <x:f>'成本明细'!V357</x:f>
        <x:v>6497</x:v>
      </x:c>
      <x:c r="J2323" s="22" t="n">
        <x:f>'参数'!$B$9</x:f>
        <x:v>300</x:v>
      </x:c>
      <x:c r="K2323" s="26" t="n">
        <x:f>J2323*(G2323-H2323)-I2323*ROUNDUP(J2323/F2323,0)</x:f>
        <x:v>-286241.44654566667</x:v>
      </x:c>
      <x:c r="L2323" s="10" t="str">
        <x:f>IF(G2323-H2323&lt;=0,"未回本",IF(ROUNDUP(I2323/(G2323-H2323),0)&gt;MIN(F2323,J2323),"未回本",MAX(1,ROUNDUP(I2323/(G2323-H2323),0))))</x:f>
        <x:v>未回本</x:v>
      </x:c>
    </x:row>
    <x:row r="2324" ht="22" customHeight="1">
      <x:c r="A2324" s="11" t="str">
        <x:v>lade_0829_20aoi</x:v>
      </x:c>
      <x:c r="B2324" s="10" t="n">
        <x:v>20</x:v>
      </x:c>
      <x:c r="C2324" s="10" t="n">
        <x:v>42</x:v>
      </x:c>
      <x:c r="D2324" s="10" t="str">
        <x:v>M1 / M3</x:v>
      </x:c>
      <x:c r="E2324" s="16" t="n">
        <x:v>5</x:v>
      </x:c>
      <x:c r="F2324" s="14" t="n">
        <x:v>50</x:v>
      </x:c>
      <x:c r="G2324" s="26" t="n">
        <x:f>'成本明细'!U348+'成本明细'!G348*(E2324-'参数'!$B$6)</x:f>
        <x:v>3317.2018359505555</x:v>
      </x:c>
      <x:c r="H2324" s="26" t="n">
        <x:f>'成本明细'!U354</x:f>
        <x:v>3680.2348697605557</x:v>
      </x:c>
      <x:c r="I2324" s="26" t="n">
        <x:f>'成本明细'!V354</x:f>
        <x:v>6497</x:v>
      </x:c>
      <x:c r="J2324" s="22" t="n">
        <x:f>'参数'!$B$9</x:f>
        <x:v>300</x:v>
      </x:c>
      <x:c r="K2324" s="26" t="n">
        <x:f>J2324*(G2324-H2324)-I2324*ROUNDUP(J2324/F2324,0)</x:f>
        <x:v>-147891.91014300007</x:v>
      </x:c>
      <x:c r="L2324" s="10" t="str">
        <x:f>IF(G2324-H2324&lt;=0,"未回本",IF(ROUNDUP(I2324/(G2324-H2324),0)&gt;MIN(F2324,J2324),"未回本",MAX(1,ROUNDUP(I2324/(G2324-H2324),0))))</x:f>
        <x:v>未回本</x:v>
      </x:c>
    </x:row>
    <x:row r="2325" ht="22" customHeight="1">
      <x:c r="A2325" s="11" t="str">
        <x:v>lade_0829_20aoi</x:v>
      </x:c>
      <x:c r="B2325" s="10" t="n">
        <x:v>20</x:v>
      </x:c>
      <x:c r="C2325" s="10" t="n">
        <x:v>42</x:v>
      </x:c>
      <x:c r="D2325" s="10" t="str">
        <x:v>M2 / M4</x:v>
      </x:c>
      <x:c r="E2325" s="16" t="n">
        <x:v>5</x:v>
      </x:c>
      <x:c r="F2325" s="14" t="n">
        <x:v>50</x:v>
      </x:c>
      <x:c r="G2325" s="26" t="n">
        <x:f>'成本明细'!U351+'成本明细'!G351*(E2325-'参数'!$B$6)</x:f>
        <x:v>3068.6705351683336</x:v>
      </x:c>
      <x:c r="H2325" s="26" t="n">
        <x:f>'成本明细'!U357</x:f>
        <x:v>3806.242023653889</x:v>
      </x:c>
      <x:c r="I2325" s="26" t="n">
        <x:f>'成本明细'!V357</x:f>
        <x:v>6497</x:v>
      </x:c>
      <x:c r="J2325" s="22" t="n">
        <x:f>'参数'!$B$9</x:f>
        <x:v>300</x:v>
      </x:c>
      <x:c r="K2325" s="26" t="n">
        <x:f>J2325*(G2325-H2325)-I2325*ROUNDUP(J2325/F2325,0)</x:f>
        <x:v>-260253.4465456667</x:v>
      </x:c>
      <x:c r="L2325" s="10" t="str">
        <x:f>IF(G2325-H2325&lt;=0,"未回本",IF(ROUNDUP(I2325/(G2325-H2325),0)&gt;MIN(F2325,J2325),"未回本",MAX(1,ROUNDUP(I2325/(G2325-H2325),0))))</x:f>
        <x:v>未回本</x:v>
      </x:c>
    </x:row>
    <x:row r="2326" ht="22" customHeight="1">
      <x:c r="A2326" s="11" t="str">
        <x:v>lade_0829_20aoi</x:v>
      </x:c>
      <x:c r="B2326" s="10" t="n">
        <x:v>20</x:v>
      </x:c>
      <x:c r="C2326" s="10" t="n">
        <x:v>43</x:v>
      </x:c>
      <x:c r="D2326" s="10" t="str">
        <x:v>M1 / M3</x:v>
      </x:c>
      <x:c r="E2326" s="16" t="n">
        <x:v>1</x:v>
      </x:c>
      <x:c r="F2326" s="14" t="n">
        <x:v>10</x:v>
      </x:c>
      <x:c r="G2326" s="26" t="n">
        <x:f>'成本明细'!U349+'成本明细'!G349*(E2326-'参数'!$B$6)</x:f>
        <x:v>2605.2018359505555</x:v>
      </x:c>
      <x:c r="H2326" s="26" t="n">
        <x:f>'成本明细'!U355</x:f>
        <x:v>3674.734802818889</x:v>
      </x:c>
      <x:c r="I2326" s="26" t="n">
        <x:f>'成本明细'!V355</x:f>
        <x:v>6497</x:v>
      </x:c>
      <x:c r="J2326" s="22" t="n">
        <x:f>'参数'!$B$9</x:f>
        <x:v>300</x:v>
      </x:c>
      <x:c r="K2326" s="26" t="n">
        <x:f>J2326*(G2326-H2326)-I2326*ROUNDUP(J2326/F2326,0)</x:f>
        <x:v>-515769.8900605</x:v>
      </x:c>
      <x:c r="L2326" s="10" t="str">
        <x:f>IF(G2326-H2326&lt;=0,"未回本",IF(ROUNDUP(I2326/(G2326-H2326),0)&gt;MIN(F2326,J2326),"未回本",MAX(1,ROUNDUP(I2326/(G2326-H2326),0))))</x:f>
        <x:v>未回本</x:v>
      </x:c>
    </x:row>
    <x:row r="2327" ht="22" customHeight="1">
      <x:c r="A2327" s="11" t="str">
        <x:v>lade_0829_20aoi</x:v>
      </x:c>
      <x:c r="B2327" s="10" t="n">
        <x:v>20</x:v>
      </x:c>
      <x:c r="C2327" s="10" t="n">
        <x:v>43</x:v>
      </x:c>
      <x:c r="D2327" s="10" t="str">
        <x:v>M2 / M4</x:v>
      </x:c>
      <x:c r="E2327" s="16" t="n">
        <x:v>1</x:v>
      </x:c>
      <x:c r="F2327" s="14" t="n">
        <x:v>10</x:v>
      </x:c>
      <x:c r="G2327" s="26" t="n">
        <x:f>'成本明细'!U352+'成本明细'!G352*(E2327-'参数'!$B$6)</x:f>
        <x:v>2352.6267509850004</x:v>
      </x:c>
      <x:c r="H2327" s="26" t="n">
        <x:f>'成本明细'!U358</x:f>
        <x:v>3669.0801981333334</x:v>
      </x:c>
      <x:c r="I2327" s="26" t="n">
        <x:f>'成本明细'!V358</x:f>
        <x:v>6497</x:v>
      </x:c>
      <x:c r="J2327" s="22" t="n">
        <x:f>'参数'!$B$9</x:f>
        <x:v>300</x:v>
      </x:c>
      <x:c r="K2327" s="26" t="n">
        <x:f>J2327*(G2327-H2327)-I2327*ROUNDUP(J2327/F2327,0)</x:f>
        <x:v>-589846.0341444999</x:v>
      </x:c>
      <x:c r="L2327" s="10" t="str">
        <x:f>IF(G2327-H2327&lt;=0,"未回本",IF(ROUNDUP(I2327/(G2327-H2327),0)&gt;MIN(F2327,J2327),"未回本",MAX(1,ROUNDUP(I2327/(G2327-H2327),0))))</x:f>
        <x:v>未回本</x:v>
      </x:c>
    </x:row>
    <x:row r="2328" ht="22" customHeight="1">
      <x:c r="A2328" s="11" t="str">
        <x:v>lade_0829_20aoi</x:v>
      </x:c>
      <x:c r="B2328" s="10" t="n">
        <x:v>20</x:v>
      </x:c>
      <x:c r="C2328" s="10" t="n">
        <x:v>43</x:v>
      </x:c>
      <x:c r="D2328" s="10" t="str">
        <x:v>M1 / M3</x:v>
      </x:c>
      <x:c r="E2328" s="16" t="n">
        <x:v>1</x:v>
      </x:c>
      <x:c r="F2328" s="14" t="n">
        <x:v>20</x:v>
      </x:c>
      <x:c r="G2328" s="26" t="n">
        <x:f>'成本明细'!U349+'成本明细'!G349*(E2328-'参数'!$B$6)</x:f>
        <x:v>2605.2018359505555</x:v>
      </x:c>
      <x:c r="H2328" s="26" t="n">
        <x:f>'成本明细'!U355</x:f>
        <x:v>3674.734802818889</x:v>
      </x:c>
      <x:c r="I2328" s="26" t="n">
        <x:f>'成本明细'!V355</x:f>
        <x:v>6497</x:v>
      </x:c>
      <x:c r="J2328" s="22" t="n">
        <x:f>'参数'!$B$9</x:f>
        <x:v>300</x:v>
      </x:c>
      <x:c r="K2328" s="26" t="n">
        <x:f>J2328*(G2328-H2328)-I2328*ROUNDUP(J2328/F2328,0)</x:f>
        <x:v>-418314.8900605</x:v>
      </x:c>
      <x:c r="L2328" s="10" t="str">
        <x:f>IF(G2328-H2328&lt;=0,"未回本",IF(ROUNDUP(I2328/(G2328-H2328),0)&gt;MIN(F2328,J2328),"未回本",MAX(1,ROUNDUP(I2328/(G2328-H2328),0))))</x:f>
        <x:v>未回本</x:v>
      </x:c>
    </x:row>
    <x:row r="2329" ht="22" customHeight="1">
      <x:c r="A2329" s="11" t="str">
        <x:v>lade_0829_20aoi</x:v>
      </x:c>
      <x:c r="B2329" s="10" t="n">
        <x:v>20</x:v>
      </x:c>
      <x:c r="C2329" s="10" t="n">
        <x:v>43</x:v>
      </x:c>
      <x:c r="D2329" s="10" t="str">
        <x:v>M2 / M4</x:v>
      </x:c>
      <x:c r="E2329" s="16" t="n">
        <x:v>1</x:v>
      </x:c>
      <x:c r="F2329" s="14" t="n">
        <x:v>20</x:v>
      </x:c>
      <x:c r="G2329" s="26" t="n">
        <x:f>'成本明细'!U352+'成本明细'!G352*(E2329-'参数'!$B$6)</x:f>
        <x:v>2352.6267509850004</x:v>
      </x:c>
      <x:c r="H2329" s="26" t="n">
        <x:f>'成本明细'!U358</x:f>
        <x:v>3669.0801981333334</x:v>
      </x:c>
      <x:c r="I2329" s="26" t="n">
        <x:f>'成本明细'!V358</x:f>
        <x:v>6497</x:v>
      </x:c>
      <x:c r="J2329" s="22" t="n">
        <x:f>'参数'!$B$9</x:f>
        <x:v>300</x:v>
      </x:c>
      <x:c r="K2329" s="26" t="n">
        <x:f>J2329*(G2329-H2329)-I2329*ROUNDUP(J2329/F2329,0)</x:f>
        <x:v>-492391.0341444999</x:v>
      </x:c>
      <x:c r="L2329" s="10" t="str">
        <x:f>IF(G2329-H2329&lt;=0,"未回本",IF(ROUNDUP(I2329/(G2329-H2329),0)&gt;MIN(F2329,J2329),"未回本",MAX(1,ROUNDUP(I2329/(G2329-H2329),0))))</x:f>
        <x:v>未回本</x:v>
      </x:c>
    </x:row>
    <x:row r="2330" ht="22" customHeight="1">
      <x:c r="A2330" s="11" t="str">
        <x:v>lade_0829_20aoi</x:v>
      </x:c>
      <x:c r="B2330" s="10" t="n">
        <x:v>20</x:v>
      </x:c>
      <x:c r="C2330" s="10" t="n">
        <x:v>43</x:v>
      </x:c>
      <x:c r="D2330" s="10" t="str">
        <x:v>M1 / M3</x:v>
      </x:c>
      <x:c r="E2330" s="16" t="n">
        <x:v>1</x:v>
      </x:c>
      <x:c r="F2330" s="14" t="n">
        <x:v>30</x:v>
      </x:c>
      <x:c r="G2330" s="26" t="n">
        <x:f>'成本明细'!U349+'成本明细'!G349*(E2330-'参数'!$B$6)</x:f>
        <x:v>2605.2018359505555</x:v>
      </x:c>
      <x:c r="H2330" s="26" t="n">
        <x:f>'成本明细'!U355</x:f>
        <x:v>3674.734802818889</x:v>
      </x:c>
      <x:c r="I2330" s="26" t="n">
        <x:f>'成本明细'!V355</x:f>
        <x:v>6497</x:v>
      </x:c>
      <x:c r="J2330" s="22" t="n">
        <x:f>'参数'!$B$9</x:f>
        <x:v>300</x:v>
      </x:c>
      <x:c r="K2330" s="26" t="n">
        <x:f>J2330*(G2330-H2330)-I2330*ROUNDUP(J2330/F2330,0)</x:f>
        <x:v>-385829.8900605</x:v>
      </x:c>
      <x:c r="L2330" s="10" t="str">
        <x:f>IF(G2330-H2330&lt;=0,"未回本",IF(ROUNDUP(I2330/(G2330-H2330),0)&gt;MIN(F2330,J2330),"未回本",MAX(1,ROUNDUP(I2330/(G2330-H2330),0))))</x:f>
        <x:v>未回本</x:v>
      </x:c>
    </x:row>
    <x:row r="2331" ht="22" customHeight="1">
      <x:c r="A2331" s="11" t="str">
        <x:v>lade_0829_20aoi</x:v>
      </x:c>
      <x:c r="B2331" s="10" t="n">
        <x:v>20</x:v>
      </x:c>
      <x:c r="C2331" s="10" t="n">
        <x:v>43</x:v>
      </x:c>
      <x:c r="D2331" s="10" t="str">
        <x:v>M2 / M4</x:v>
      </x:c>
      <x:c r="E2331" s="16" t="n">
        <x:v>1</x:v>
      </x:c>
      <x:c r="F2331" s="14" t="n">
        <x:v>30</x:v>
      </x:c>
      <x:c r="G2331" s="26" t="n">
        <x:f>'成本明细'!U352+'成本明细'!G352*(E2331-'参数'!$B$6)</x:f>
        <x:v>2352.6267509850004</x:v>
      </x:c>
      <x:c r="H2331" s="26" t="n">
        <x:f>'成本明细'!U358</x:f>
        <x:v>3669.0801981333334</x:v>
      </x:c>
      <x:c r="I2331" s="26" t="n">
        <x:f>'成本明细'!V358</x:f>
        <x:v>6497</x:v>
      </x:c>
      <x:c r="J2331" s="22" t="n">
        <x:f>'参数'!$B$9</x:f>
        <x:v>300</x:v>
      </x:c>
      <x:c r="K2331" s="26" t="n">
        <x:f>J2331*(G2331-H2331)-I2331*ROUNDUP(J2331/F2331,0)</x:f>
        <x:v>-459906.0341444999</x:v>
      </x:c>
      <x:c r="L2331" s="10" t="str">
        <x:f>IF(G2331-H2331&lt;=0,"未回本",IF(ROUNDUP(I2331/(G2331-H2331),0)&gt;MIN(F2331,J2331),"未回本",MAX(1,ROUNDUP(I2331/(G2331-H2331),0))))</x:f>
        <x:v>未回本</x:v>
      </x:c>
    </x:row>
    <x:row r="2332" ht="22" customHeight="1">
      <x:c r="A2332" s="11" t="str">
        <x:v>lade_0829_20aoi</x:v>
      </x:c>
      <x:c r="B2332" s="10" t="n">
        <x:v>20</x:v>
      </x:c>
      <x:c r="C2332" s="10" t="n">
        <x:v>43</x:v>
      </x:c>
      <x:c r="D2332" s="10" t="str">
        <x:v>M1 / M3</x:v>
      </x:c>
      <x:c r="E2332" s="16" t="n">
        <x:v>1</x:v>
      </x:c>
      <x:c r="F2332" s="14" t="n">
        <x:v>50</x:v>
      </x:c>
      <x:c r="G2332" s="26" t="n">
        <x:f>'成本明细'!U349+'成本明细'!G349*(E2332-'参数'!$B$6)</x:f>
        <x:v>2605.2018359505555</x:v>
      </x:c>
      <x:c r="H2332" s="26" t="n">
        <x:f>'成本明细'!U355</x:f>
        <x:v>3674.734802818889</x:v>
      </x:c>
      <x:c r="I2332" s="26" t="n">
        <x:f>'成本明细'!V355</x:f>
        <x:v>6497</x:v>
      </x:c>
      <x:c r="J2332" s="22" t="n">
        <x:f>'参数'!$B$9</x:f>
        <x:v>300</x:v>
      </x:c>
      <x:c r="K2332" s="26" t="n">
        <x:f>J2332*(G2332-H2332)-I2332*ROUNDUP(J2332/F2332,0)</x:f>
        <x:v>-359841.8900605</x:v>
      </x:c>
      <x:c r="L2332" s="10" t="str">
        <x:f>IF(G2332-H2332&lt;=0,"未回本",IF(ROUNDUP(I2332/(G2332-H2332),0)&gt;MIN(F2332,J2332),"未回本",MAX(1,ROUNDUP(I2332/(G2332-H2332),0))))</x:f>
        <x:v>未回本</x:v>
      </x:c>
    </x:row>
    <x:row r="2333" ht="22" customHeight="1">
      <x:c r="A2333" s="11" t="str">
        <x:v>lade_0829_20aoi</x:v>
      </x:c>
      <x:c r="B2333" s="10" t="n">
        <x:v>20</x:v>
      </x:c>
      <x:c r="C2333" s="10" t="n">
        <x:v>43</x:v>
      </x:c>
      <x:c r="D2333" s="10" t="str">
        <x:v>M2 / M4</x:v>
      </x:c>
      <x:c r="E2333" s="16" t="n">
        <x:v>1</x:v>
      </x:c>
      <x:c r="F2333" s="14" t="n">
        <x:v>50</x:v>
      </x:c>
      <x:c r="G2333" s="26" t="n">
        <x:f>'成本明细'!U352+'成本明细'!G352*(E2333-'参数'!$B$6)</x:f>
        <x:v>2352.6267509850004</x:v>
      </x:c>
      <x:c r="H2333" s="26" t="n">
        <x:f>'成本明细'!U358</x:f>
        <x:v>3669.0801981333334</x:v>
      </x:c>
      <x:c r="I2333" s="26" t="n">
        <x:f>'成本明细'!V358</x:f>
        <x:v>6497</x:v>
      </x:c>
      <x:c r="J2333" s="22" t="n">
        <x:f>'参数'!$B$9</x:f>
        <x:v>300</x:v>
      </x:c>
      <x:c r="K2333" s="26" t="n">
        <x:f>J2333*(G2333-H2333)-I2333*ROUNDUP(J2333/F2333,0)</x:f>
        <x:v>-433918.0341444999</x:v>
      </x:c>
      <x:c r="L2333" s="10" t="str">
        <x:f>IF(G2333-H2333&lt;=0,"未回本",IF(ROUNDUP(I2333/(G2333-H2333),0)&gt;MIN(F2333,J2333),"未回本",MAX(1,ROUNDUP(I2333/(G2333-H2333),0))))</x:f>
        <x:v>未回本</x:v>
      </x:c>
    </x:row>
    <x:row r="2334" ht="22" customHeight="1">
      <x:c r="A2334" s="11" t="str">
        <x:v>lade_0829_20aoi</x:v>
      </x:c>
      <x:c r="B2334" s="10" t="n">
        <x:v>20</x:v>
      </x:c>
      <x:c r="C2334" s="10" t="n">
        <x:v>43</x:v>
      </x:c>
      <x:c r="D2334" s="10" t="str">
        <x:v>M1 / M3</x:v>
      </x:c>
      <x:c r="E2334" s="16" t="n">
        <x:v>2</x:v>
      </x:c>
      <x:c r="F2334" s="14" t="n">
        <x:v>10</x:v>
      </x:c>
      <x:c r="G2334" s="26" t="n">
        <x:f>'成本明细'!U349+'成本明细'!G349*(E2334-'参数'!$B$6)</x:f>
        <x:v>2783.2018359505555</x:v>
      </x:c>
      <x:c r="H2334" s="26" t="n">
        <x:f>'成本明细'!U355</x:f>
        <x:v>3674.734802818889</x:v>
      </x:c>
      <x:c r="I2334" s="26" t="n">
        <x:f>'成本明细'!V355</x:f>
        <x:v>6497</x:v>
      </x:c>
      <x:c r="J2334" s="22" t="n">
        <x:f>'参数'!$B$9</x:f>
        <x:v>300</x:v>
      </x:c>
      <x:c r="K2334" s="26" t="n">
        <x:f>J2334*(G2334-H2334)-I2334*ROUNDUP(J2334/F2334,0)</x:f>
        <x:v>-462369.8900605</x:v>
      </x:c>
      <x:c r="L2334" s="10" t="str">
        <x:f>IF(G2334-H2334&lt;=0,"未回本",IF(ROUNDUP(I2334/(G2334-H2334),0)&gt;MIN(F2334,J2334),"未回本",MAX(1,ROUNDUP(I2334/(G2334-H2334),0))))</x:f>
        <x:v>未回本</x:v>
      </x:c>
    </x:row>
    <x:row r="2335" ht="22" customHeight="1">
      <x:c r="A2335" s="11" t="str">
        <x:v>lade_0829_20aoi</x:v>
      </x:c>
      <x:c r="B2335" s="10" t="n">
        <x:v>20</x:v>
      </x:c>
      <x:c r="C2335" s="10" t="n">
        <x:v>43</x:v>
      </x:c>
      <x:c r="D2335" s="10" t="str">
        <x:v>M2 / M4</x:v>
      </x:c>
      <x:c r="E2335" s="16" t="n">
        <x:v>2</x:v>
      </x:c>
      <x:c r="F2335" s="14" t="n">
        <x:v>10</x:v>
      </x:c>
      <x:c r="G2335" s="26" t="n">
        <x:f>'成本明细'!U352+'成本明细'!G352*(E2335-'参数'!$B$6)</x:f>
        <x:v>2530.6267509850004</x:v>
      </x:c>
      <x:c r="H2335" s="26" t="n">
        <x:f>'成本明细'!U358</x:f>
        <x:v>3669.0801981333334</x:v>
      </x:c>
      <x:c r="I2335" s="26" t="n">
        <x:f>'成本明细'!V358</x:f>
        <x:v>6497</x:v>
      </x:c>
      <x:c r="J2335" s="22" t="n">
        <x:f>'参数'!$B$9</x:f>
        <x:v>300</x:v>
      </x:c>
      <x:c r="K2335" s="26" t="n">
        <x:f>J2335*(G2335-H2335)-I2335*ROUNDUP(J2335/F2335,0)</x:f>
        <x:v>-536446.0341444999</x:v>
      </x:c>
      <x:c r="L2335" s="10" t="str">
        <x:f>IF(G2335-H2335&lt;=0,"未回本",IF(ROUNDUP(I2335/(G2335-H2335),0)&gt;MIN(F2335,J2335),"未回本",MAX(1,ROUNDUP(I2335/(G2335-H2335),0))))</x:f>
        <x:v>未回本</x:v>
      </x:c>
    </x:row>
    <x:row r="2336" ht="22" customHeight="1">
      <x:c r="A2336" s="11" t="str">
        <x:v>lade_0829_20aoi</x:v>
      </x:c>
      <x:c r="B2336" s="10" t="n">
        <x:v>20</x:v>
      </x:c>
      <x:c r="C2336" s="10" t="n">
        <x:v>43</x:v>
      </x:c>
      <x:c r="D2336" s="10" t="str">
        <x:v>M1 / M3</x:v>
      </x:c>
      <x:c r="E2336" s="16" t="n">
        <x:v>2</x:v>
      </x:c>
      <x:c r="F2336" s="14" t="n">
        <x:v>20</x:v>
      </x:c>
      <x:c r="G2336" s="26" t="n">
        <x:f>'成本明细'!U349+'成本明细'!G349*(E2336-'参数'!$B$6)</x:f>
        <x:v>2783.2018359505555</x:v>
      </x:c>
      <x:c r="H2336" s="26" t="n">
        <x:f>'成本明细'!U355</x:f>
        <x:v>3674.734802818889</x:v>
      </x:c>
      <x:c r="I2336" s="26" t="n">
        <x:f>'成本明细'!V355</x:f>
        <x:v>6497</x:v>
      </x:c>
      <x:c r="J2336" s="22" t="n">
        <x:f>'参数'!$B$9</x:f>
        <x:v>300</x:v>
      </x:c>
      <x:c r="K2336" s="26" t="n">
        <x:f>J2336*(G2336-H2336)-I2336*ROUNDUP(J2336/F2336,0)</x:f>
        <x:v>-364914.8900605</x:v>
      </x:c>
      <x:c r="L2336" s="10" t="str">
        <x:f>IF(G2336-H2336&lt;=0,"未回本",IF(ROUNDUP(I2336/(G2336-H2336),0)&gt;MIN(F2336,J2336),"未回本",MAX(1,ROUNDUP(I2336/(G2336-H2336),0))))</x:f>
        <x:v>未回本</x:v>
      </x:c>
    </x:row>
    <x:row r="2337" ht="22" customHeight="1">
      <x:c r="A2337" s="11" t="str">
        <x:v>lade_0829_20aoi</x:v>
      </x:c>
      <x:c r="B2337" s="10" t="n">
        <x:v>20</x:v>
      </x:c>
      <x:c r="C2337" s="10" t="n">
        <x:v>43</x:v>
      </x:c>
      <x:c r="D2337" s="10" t="str">
        <x:v>M2 / M4</x:v>
      </x:c>
      <x:c r="E2337" s="16" t="n">
        <x:v>2</x:v>
      </x:c>
      <x:c r="F2337" s="14" t="n">
        <x:v>20</x:v>
      </x:c>
      <x:c r="G2337" s="26" t="n">
        <x:f>'成本明细'!U352+'成本明细'!G352*(E2337-'参数'!$B$6)</x:f>
        <x:v>2530.6267509850004</x:v>
      </x:c>
      <x:c r="H2337" s="26" t="n">
        <x:f>'成本明细'!U358</x:f>
        <x:v>3669.0801981333334</x:v>
      </x:c>
      <x:c r="I2337" s="26" t="n">
        <x:f>'成本明细'!V358</x:f>
        <x:v>6497</x:v>
      </x:c>
      <x:c r="J2337" s="22" t="n">
        <x:f>'参数'!$B$9</x:f>
        <x:v>300</x:v>
      </x:c>
      <x:c r="K2337" s="26" t="n">
        <x:f>J2337*(G2337-H2337)-I2337*ROUNDUP(J2337/F2337,0)</x:f>
        <x:v>-438991.0341444999</x:v>
      </x:c>
      <x:c r="L2337" s="10" t="str">
        <x:f>IF(G2337-H2337&lt;=0,"未回本",IF(ROUNDUP(I2337/(G2337-H2337),0)&gt;MIN(F2337,J2337),"未回本",MAX(1,ROUNDUP(I2337/(G2337-H2337),0))))</x:f>
        <x:v>未回本</x:v>
      </x:c>
    </x:row>
    <x:row r="2338" ht="22" customHeight="1">
      <x:c r="A2338" s="11" t="str">
        <x:v>lade_0829_20aoi</x:v>
      </x:c>
      <x:c r="B2338" s="10" t="n">
        <x:v>20</x:v>
      </x:c>
      <x:c r="C2338" s="10" t="n">
        <x:v>43</x:v>
      </x:c>
      <x:c r="D2338" s="10" t="str">
        <x:v>M1 / M3</x:v>
      </x:c>
      <x:c r="E2338" s="16" t="n">
        <x:v>2</x:v>
      </x:c>
      <x:c r="F2338" s="14" t="n">
        <x:v>30</x:v>
      </x:c>
      <x:c r="G2338" s="26" t="n">
        <x:f>'成本明细'!U349+'成本明细'!G349*(E2338-'参数'!$B$6)</x:f>
        <x:v>2783.2018359505555</x:v>
      </x:c>
      <x:c r="H2338" s="26" t="n">
        <x:f>'成本明细'!U355</x:f>
        <x:v>3674.734802818889</x:v>
      </x:c>
      <x:c r="I2338" s="26" t="n">
        <x:f>'成本明细'!V355</x:f>
        <x:v>6497</x:v>
      </x:c>
      <x:c r="J2338" s="22" t="n">
        <x:f>'参数'!$B$9</x:f>
        <x:v>300</x:v>
      </x:c>
      <x:c r="K2338" s="26" t="n">
        <x:f>J2338*(G2338-H2338)-I2338*ROUNDUP(J2338/F2338,0)</x:f>
        <x:v>-332429.8900605</x:v>
      </x:c>
      <x:c r="L2338" s="10" t="str">
        <x:f>IF(G2338-H2338&lt;=0,"未回本",IF(ROUNDUP(I2338/(G2338-H2338),0)&gt;MIN(F2338,J2338),"未回本",MAX(1,ROUNDUP(I2338/(G2338-H2338),0))))</x:f>
        <x:v>未回本</x:v>
      </x:c>
    </x:row>
    <x:row r="2339" ht="22" customHeight="1">
      <x:c r="A2339" s="11" t="str">
        <x:v>lade_0829_20aoi</x:v>
      </x:c>
      <x:c r="B2339" s="10" t="n">
        <x:v>20</x:v>
      </x:c>
      <x:c r="C2339" s="10" t="n">
        <x:v>43</x:v>
      </x:c>
      <x:c r="D2339" s="10" t="str">
        <x:v>M2 / M4</x:v>
      </x:c>
      <x:c r="E2339" s="16" t="n">
        <x:v>2</x:v>
      </x:c>
      <x:c r="F2339" s="14" t="n">
        <x:v>30</x:v>
      </x:c>
      <x:c r="G2339" s="26" t="n">
        <x:f>'成本明细'!U352+'成本明细'!G352*(E2339-'参数'!$B$6)</x:f>
        <x:v>2530.6267509850004</x:v>
      </x:c>
      <x:c r="H2339" s="26" t="n">
        <x:f>'成本明细'!U358</x:f>
        <x:v>3669.0801981333334</x:v>
      </x:c>
      <x:c r="I2339" s="26" t="n">
        <x:f>'成本明细'!V358</x:f>
        <x:v>6497</x:v>
      </x:c>
      <x:c r="J2339" s="22" t="n">
        <x:f>'参数'!$B$9</x:f>
        <x:v>300</x:v>
      </x:c>
      <x:c r="K2339" s="26" t="n">
        <x:f>J2339*(G2339-H2339)-I2339*ROUNDUP(J2339/F2339,0)</x:f>
        <x:v>-406506.0341444999</x:v>
      </x:c>
      <x:c r="L2339" s="10" t="str">
        <x:f>IF(G2339-H2339&lt;=0,"未回本",IF(ROUNDUP(I2339/(G2339-H2339),0)&gt;MIN(F2339,J2339),"未回本",MAX(1,ROUNDUP(I2339/(G2339-H2339),0))))</x:f>
        <x:v>未回本</x:v>
      </x:c>
    </x:row>
    <x:row r="2340" ht="22" customHeight="1">
      <x:c r="A2340" s="11" t="str">
        <x:v>lade_0829_20aoi</x:v>
      </x:c>
      <x:c r="B2340" s="10" t="n">
        <x:v>20</x:v>
      </x:c>
      <x:c r="C2340" s="10" t="n">
        <x:v>43</x:v>
      </x:c>
      <x:c r="D2340" s="10" t="str">
        <x:v>M1 / M3</x:v>
      </x:c>
      <x:c r="E2340" s="16" t="n">
        <x:v>2</x:v>
      </x:c>
      <x:c r="F2340" s="14" t="n">
        <x:v>50</x:v>
      </x:c>
      <x:c r="G2340" s="26" t="n">
        <x:f>'成本明细'!U349+'成本明细'!G349*(E2340-'参数'!$B$6)</x:f>
        <x:v>2783.2018359505555</x:v>
      </x:c>
      <x:c r="H2340" s="26" t="n">
        <x:f>'成本明细'!U355</x:f>
        <x:v>3674.734802818889</x:v>
      </x:c>
      <x:c r="I2340" s="26" t="n">
        <x:f>'成本明细'!V355</x:f>
        <x:v>6497</x:v>
      </x:c>
      <x:c r="J2340" s="22" t="n">
        <x:f>'参数'!$B$9</x:f>
        <x:v>300</x:v>
      </x:c>
      <x:c r="K2340" s="26" t="n">
        <x:f>J2340*(G2340-H2340)-I2340*ROUNDUP(J2340/F2340,0)</x:f>
        <x:v>-306441.8900605</x:v>
      </x:c>
      <x:c r="L2340" s="10" t="str">
        <x:f>IF(G2340-H2340&lt;=0,"未回本",IF(ROUNDUP(I2340/(G2340-H2340),0)&gt;MIN(F2340,J2340),"未回本",MAX(1,ROUNDUP(I2340/(G2340-H2340),0))))</x:f>
        <x:v>未回本</x:v>
      </x:c>
    </x:row>
    <x:row r="2341" ht="22" customHeight="1">
      <x:c r="A2341" s="11" t="str">
        <x:v>lade_0829_20aoi</x:v>
      </x:c>
      <x:c r="B2341" s="10" t="n">
        <x:v>20</x:v>
      </x:c>
      <x:c r="C2341" s="10" t="n">
        <x:v>43</x:v>
      </x:c>
      <x:c r="D2341" s="10" t="str">
        <x:v>M2 / M4</x:v>
      </x:c>
      <x:c r="E2341" s="16" t="n">
        <x:v>2</x:v>
      </x:c>
      <x:c r="F2341" s="14" t="n">
        <x:v>50</x:v>
      </x:c>
      <x:c r="G2341" s="26" t="n">
        <x:f>'成本明细'!U352+'成本明细'!G352*(E2341-'参数'!$B$6)</x:f>
        <x:v>2530.6267509850004</x:v>
      </x:c>
      <x:c r="H2341" s="26" t="n">
        <x:f>'成本明细'!U358</x:f>
        <x:v>3669.0801981333334</x:v>
      </x:c>
      <x:c r="I2341" s="26" t="n">
        <x:f>'成本明细'!V358</x:f>
        <x:v>6497</x:v>
      </x:c>
      <x:c r="J2341" s="22" t="n">
        <x:f>'参数'!$B$9</x:f>
        <x:v>300</x:v>
      </x:c>
      <x:c r="K2341" s="26" t="n">
        <x:f>J2341*(G2341-H2341)-I2341*ROUNDUP(J2341/F2341,0)</x:f>
        <x:v>-380518.0341444999</x:v>
      </x:c>
      <x:c r="L2341" s="10" t="str">
        <x:f>IF(G2341-H2341&lt;=0,"未回本",IF(ROUNDUP(I2341/(G2341-H2341),0)&gt;MIN(F2341,J2341),"未回本",MAX(1,ROUNDUP(I2341/(G2341-H2341),0))))</x:f>
        <x:v>未回本</x:v>
      </x:c>
    </x:row>
    <x:row r="2342" ht="22" customHeight="1">
      <x:c r="A2342" s="11" t="str">
        <x:v>lade_0829_20aoi</x:v>
      </x:c>
      <x:c r="B2342" s="10" t="n">
        <x:v>20</x:v>
      </x:c>
      <x:c r="C2342" s="10" t="n">
        <x:v>43</x:v>
      </x:c>
      <x:c r="D2342" s="10" t="str">
        <x:v>M1 / M3</x:v>
      </x:c>
      <x:c r="E2342" s="16" t="n">
        <x:v>3</x:v>
      </x:c>
      <x:c r="F2342" s="14" t="n">
        <x:v>10</x:v>
      </x:c>
      <x:c r="G2342" s="26" t="n">
        <x:f>'成本明细'!U349+'成本明细'!G349*(E2342-'参数'!$B$6)</x:f>
        <x:v>2961.2018359505555</x:v>
      </x:c>
      <x:c r="H2342" s="26" t="n">
        <x:f>'成本明细'!U355</x:f>
        <x:v>3674.734802818889</x:v>
      </x:c>
      <x:c r="I2342" s="26" t="n">
        <x:f>'成本明细'!V355</x:f>
        <x:v>6497</x:v>
      </x:c>
      <x:c r="J2342" s="22" t="n">
        <x:f>'参数'!$B$9</x:f>
        <x:v>300</x:v>
      </x:c>
      <x:c r="K2342" s="26" t="n">
        <x:f>J2342*(G2342-H2342)-I2342*ROUNDUP(J2342/F2342,0)</x:f>
        <x:v>-408969.8900605</x:v>
      </x:c>
      <x:c r="L2342" s="10" t="str">
        <x:f>IF(G2342-H2342&lt;=0,"未回本",IF(ROUNDUP(I2342/(G2342-H2342),0)&gt;MIN(F2342,J2342),"未回本",MAX(1,ROUNDUP(I2342/(G2342-H2342),0))))</x:f>
        <x:v>未回本</x:v>
      </x:c>
    </x:row>
    <x:row r="2343" ht="22" customHeight="1">
      <x:c r="A2343" s="11" t="str">
        <x:v>lade_0829_20aoi</x:v>
      </x:c>
      <x:c r="B2343" s="10" t="n">
        <x:v>20</x:v>
      </x:c>
      <x:c r="C2343" s="10" t="n">
        <x:v>43</x:v>
      </x:c>
      <x:c r="D2343" s="10" t="str">
        <x:v>M2 / M4</x:v>
      </x:c>
      <x:c r="E2343" s="16" t="n">
        <x:v>3</x:v>
      </x:c>
      <x:c r="F2343" s="14" t="n">
        <x:v>10</x:v>
      </x:c>
      <x:c r="G2343" s="26" t="n">
        <x:f>'成本明细'!U352+'成本明细'!G352*(E2343-'参数'!$B$6)</x:f>
        <x:v>2708.6267509850004</x:v>
      </x:c>
      <x:c r="H2343" s="26" t="n">
        <x:f>'成本明细'!U358</x:f>
        <x:v>3669.0801981333334</x:v>
      </x:c>
      <x:c r="I2343" s="26" t="n">
        <x:f>'成本明细'!V358</x:f>
        <x:v>6497</x:v>
      </x:c>
      <x:c r="J2343" s="22" t="n">
        <x:f>'参数'!$B$9</x:f>
        <x:v>300</x:v>
      </x:c>
      <x:c r="K2343" s="26" t="n">
        <x:f>J2343*(G2343-H2343)-I2343*ROUNDUP(J2343/F2343,0)</x:f>
        <x:v>-483046.0341444999</x:v>
      </x:c>
      <x:c r="L2343" s="10" t="str">
        <x:f>IF(G2343-H2343&lt;=0,"未回本",IF(ROUNDUP(I2343/(G2343-H2343),0)&gt;MIN(F2343,J2343),"未回本",MAX(1,ROUNDUP(I2343/(G2343-H2343),0))))</x:f>
        <x:v>未回本</x:v>
      </x:c>
    </x:row>
    <x:row r="2344" ht="22" customHeight="1">
      <x:c r="A2344" s="11" t="str">
        <x:v>lade_0829_20aoi</x:v>
      </x:c>
      <x:c r="B2344" s="10" t="n">
        <x:v>20</x:v>
      </x:c>
      <x:c r="C2344" s="10" t="n">
        <x:v>43</x:v>
      </x:c>
      <x:c r="D2344" s="10" t="str">
        <x:v>M1 / M3</x:v>
      </x:c>
      <x:c r="E2344" s="16" t="n">
        <x:v>3</x:v>
      </x:c>
      <x:c r="F2344" s="14" t="n">
        <x:v>20</x:v>
      </x:c>
      <x:c r="G2344" s="26" t="n">
        <x:f>'成本明细'!U349+'成本明细'!G349*(E2344-'参数'!$B$6)</x:f>
        <x:v>2961.2018359505555</x:v>
      </x:c>
      <x:c r="H2344" s="26" t="n">
        <x:f>'成本明细'!U355</x:f>
        <x:v>3674.734802818889</x:v>
      </x:c>
      <x:c r="I2344" s="26" t="n">
        <x:f>'成本明细'!V355</x:f>
        <x:v>6497</x:v>
      </x:c>
      <x:c r="J2344" s="22" t="n">
        <x:f>'参数'!$B$9</x:f>
        <x:v>300</x:v>
      </x:c>
      <x:c r="K2344" s="26" t="n">
        <x:f>J2344*(G2344-H2344)-I2344*ROUNDUP(J2344/F2344,0)</x:f>
        <x:v>-311514.8900605</x:v>
      </x:c>
      <x:c r="L2344" s="10" t="str">
        <x:f>IF(G2344-H2344&lt;=0,"未回本",IF(ROUNDUP(I2344/(G2344-H2344),0)&gt;MIN(F2344,J2344),"未回本",MAX(1,ROUNDUP(I2344/(G2344-H2344),0))))</x:f>
        <x:v>未回本</x:v>
      </x:c>
    </x:row>
    <x:row r="2345" ht="22" customHeight="1">
      <x:c r="A2345" s="11" t="str">
        <x:v>lade_0829_20aoi</x:v>
      </x:c>
      <x:c r="B2345" s="10" t="n">
        <x:v>20</x:v>
      </x:c>
      <x:c r="C2345" s="10" t="n">
        <x:v>43</x:v>
      </x:c>
      <x:c r="D2345" s="10" t="str">
        <x:v>M2 / M4</x:v>
      </x:c>
      <x:c r="E2345" s="16" t="n">
        <x:v>3</x:v>
      </x:c>
      <x:c r="F2345" s="14" t="n">
        <x:v>20</x:v>
      </x:c>
      <x:c r="G2345" s="26" t="n">
        <x:f>'成本明细'!U352+'成本明细'!G352*(E2345-'参数'!$B$6)</x:f>
        <x:v>2708.6267509850004</x:v>
      </x:c>
      <x:c r="H2345" s="26" t="n">
        <x:f>'成本明细'!U358</x:f>
        <x:v>3669.0801981333334</x:v>
      </x:c>
      <x:c r="I2345" s="26" t="n">
        <x:f>'成本明细'!V358</x:f>
        <x:v>6497</x:v>
      </x:c>
      <x:c r="J2345" s="22" t="n">
        <x:f>'参数'!$B$9</x:f>
        <x:v>300</x:v>
      </x:c>
      <x:c r="K2345" s="26" t="n">
        <x:f>J2345*(G2345-H2345)-I2345*ROUNDUP(J2345/F2345,0)</x:f>
        <x:v>-385591.0341444999</x:v>
      </x:c>
      <x:c r="L2345" s="10" t="str">
        <x:f>IF(G2345-H2345&lt;=0,"未回本",IF(ROUNDUP(I2345/(G2345-H2345),0)&gt;MIN(F2345,J2345),"未回本",MAX(1,ROUNDUP(I2345/(G2345-H2345),0))))</x:f>
        <x:v>未回本</x:v>
      </x:c>
    </x:row>
    <x:row r="2346" ht="22" customHeight="1">
      <x:c r="A2346" s="11" t="str">
        <x:v>lade_0829_20aoi</x:v>
      </x:c>
      <x:c r="B2346" s="10" t="n">
        <x:v>20</x:v>
      </x:c>
      <x:c r="C2346" s="10" t="n">
        <x:v>43</x:v>
      </x:c>
      <x:c r="D2346" s="10" t="str">
        <x:v>M1 / M3</x:v>
      </x:c>
      <x:c r="E2346" s="16" t="n">
        <x:v>3</x:v>
      </x:c>
      <x:c r="F2346" s="14" t="n">
        <x:v>30</x:v>
      </x:c>
      <x:c r="G2346" s="26" t="n">
        <x:f>'成本明细'!U349+'成本明细'!G349*(E2346-'参数'!$B$6)</x:f>
        <x:v>2961.2018359505555</x:v>
      </x:c>
      <x:c r="H2346" s="26" t="n">
        <x:f>'成本明细'!U355</x:f>
        <x:v>3674.734802818889</x:v>
      </x:c>
      <x:c r="I2346" s="26" t="n">
        <x:f>'成本明细'!V355</x:f>
        <x:v>6497</x:v>
      </x:c>
      <x:c r="J2346" s="22" t="n">
        <x:f>'参数'!$B$9</x:f>
        <x:v>300</x:v>
      </x:c>
      <x:c r="K2346" s="26" t="n">
        <x:f>J2346*(G2346-H2346)-I2346*ROUNDUP(J2346/F2346,0)</x:f>
        <x:v>-279029.8900605</x:v>
      </x:c>
      <x:c r="L2346" s="10" t="str">
        <x:f>IF(G2346-H2346&lt;=0,"未回本",IF(ROUNDUP(I2346/(G2346-H2346),0)&gt;MIN(F2346,J2346),"未回本",MAX(1,ROUNDUP(I2346/(G2346-H2346),0))))</x:f>
        <x:v>未回本</x:v>
      </x:c>
    </x:row>
    <x:row r="2347" ht="22" customHeight="1">
      <x:c r="A2347" s="11" t="str">
        <x:v>lade_0829_20aoi</x:v>
      </x:c>
      <x:c r="B2347" s="10" t="n">
        <x:v>20</x:v>
      </x:c>
      <x:c r="C2347" s="10" t="n">
        <x:v>43</x:v>
      </x:c>
      <x:c r="D2347" s="10" t="str">
        <x:v>M2 / M4</x:v>
      </x:c>
      <x:c r="E2347" s="16" t="n">
        <x:v>3</x:v>
      </x:c>
      <x:c r="F2347" s="14" t="n">
        <x:v>30</x:v>
      </x:c>
      <x:c r="G2347" s="26" t="n">
        <x:f>'成本明细'!U352+'成本明细'!G352*(E2347-'参数'!$B$6)</x:f>
        <x:v>2708.6267509850004</x:v>
      </x:c>
      <x:c r="H2347" s="26" t="n">
        <x:f>'成本明细'!U358</x:f>
        <x:v>3669.0801981333334</x:v>
      </x:c>
      <x:c r="I2347" s="26" t="n">
        <x:f>'成本明细'!V358</x:f>
        <x:v>6497</x:v>
      </x:c>
      <x:c r="J2347" s="22" t="n">
        <x:f>'参数'!$B$9</x:f>
        <x:v>300</x:v>
      </x:c>
      <x:c r="K2347" s="26" t="n">
        <x:f>J2347*(G2347-H2347)-I2347*ROUNDUP(J2347/F2347,0)</x:f>
        <x:v>-353106.0341444999</x:v>
      </x:c>
      <x:c r="L2347" s="10" t="str">
        <x:f>IF(G2347-H2347&lt;=0,"未回本",IF(ROUNDUP(I2347/(G2347-H2347),0)&gt;MIN(F2347,J2347),"未回本",MAX(1,ROUNDUP(I2347/(G2347-H2347),0))))</x:f>
        <x:v>未回本</x:v>
      </x:c>
    </x:row>
    <x:row r="2348" ht="22" customHeight="1">
      <x:c r="A2348" s="11" t="str">
        <x:v>lade_0829_20aoi</x:v>
      </x:c>
      <x:c r="B2348" s="10" t="n">
        <x:v>20</x:v>
      </x:c>
      <x:c r="C2348" s="10" t="n">
        <x:v>43</x:v>
      </x:c>
      <x:c r="D2348" s="10" t="str">
        <x:v>M1 / M3</x:v>
      </x:c>
      <x:c r="E2348" s="16" t="n">
        <x:v>3</x:v>
      </x:c>
      <x:c r="F2348" s="14" t="n">
        <x:v>50</x:v>
      </x:c>
      <x:c r="G2348" s="26" t="n">
        <x:f>'成本明细'!U349+'成本明细'!G349*(E2348-'参数'!$B$6)</x:f>
        <x:v>2961.2018359505555</x:v>
      </x:c>
      <x:c r="H2348" s="26" t="n">
        <x:f>'成本明细'!U355</x:f>
        <x:v>3674.734802818889</x:v>
      </x:c>
      <x:c r="I2348" s="26" t="n">
        <x:f>'成本明细'!V355</x:f>
        <x:v>6497</x:v>
      </x:c>
      <x:c r="J2348" s="22" t="n">
        <x:f>'参数'!$B$9</x:f>
        <x:v>300</x:v>
      </x:c>
      <x:c r="K2348" s="26" t="n">
        <x:f>J2348*(G2348-H2348)-I2348*ROUNDUP(J2348/F2348,0)</x:f>
        <x:v>-253041.89006050004</x:v>
      </x:c>
      <x:c r="L2348" s="10" t="str">
        <x:f>IF(G2348-H2348&lt;=0,"未回本",IF(ROUNDUP(I2348/(G2348-H2348),0)&gt;MIN(F2348,J2348),"未回本",MAX(1,ROUNDUP(I2348/(G2348-H2348),0))))</x:f>
        <x:v>未回本</x:v>
      </x:c>
    </x:row>
    <x:row r="2349" ht="22" customHeight="1">
      <x:c r="A2349" s="11" t="str">
        <x:v>lade_0829_20aoi</x:v>
      </x:c>
      <x:c r="B2349" s="10" t="n">
        <x:v>20</x:v>
      </x:c>
      <x:c r="C2349" s="10" t="n">
        <x:v>43</x:v>
      </x:c>
      <x:c r="D2349" s="10" t="str">
        <x:v>M2 / M4</x:v>
      </x:c>
      <x:c r="E2349" s="16" t="n">
        <x:v>3</x:v>
      </x:c>
      <x:c r="F2349" s="14" t="n">
        <x:v>50</x:v>
      </x:c>
      <x:c r="G2349" s="26" t="n">
        <x:f>'成本明细'!U352+'成本明细'!G352*(E2349-'参数'!$B$6)</x:f>
        <x:v>2708.6267509850004</x:v>
      </x:c>
      <x:c r="H2349" s="26" t="n">
        <x:f>'成本明细'!U358</x:f>
        <x:v>3669.0801981333334</x:v>
      </x:c>
      <x:c r="I2349" s="26" t="n">
        <x:f>'成本明细'!V358</x:f>
        <x:v>6497</x:v>
      </x:c>
      <x:c r="J2349" s="22" t="n">
        <x:f>'参数'!$B$9</x:f>
        <x:v>300</x:v>
      </x:c>
      <x:c r="K2349" s="26" t="n">
        <x:f>J2349*(G2349-H2349)-I2349*ROUNDUP(J2349/F2349,0)</x:f>
        <x:v>-327118.0341444999</x:v>
      </x:c>
      <x:c r="L2349" s="10" t="str">
        <x:f>IF(G2349-H2349&lt;=0,"未回本",IF(ROUNDUP(I2349/(G2349-H2349),0)&gt;MIN(F2349,J2349),"未回本",MAX(1,ROUNDUP(I2349/(G2349-H2349),0))))</x:f>
        <x:v>未回本</x:v>
      </x:c>
    </x:row>
    <x:row r="2350" ht="22" customHeight="1">
      <x:c r="A2350" s="11" t="str">
        <x:v>lade_0829_20aoi</x:v>
      </x:c>
      <x:c r="B2350" s="10" t="n">
        <x:v>20</x:v>
      </x:c>
      <x:c r="C2350" s="10" t="n">
        <x:v>43</x:v>
      </x:c>
      <x:c r="D2350" s="10" t="str">
        <x:v>M1 / M3</x:v>
      </x:c>
      <x:c r="E2350" s="16" t="n">
        <x:v>4</x:v>
      </x:c>
      <x:c r="F2350" s="14" t="n">
        <x:v>10</x:v>
      </x:c>
      <x:c r="G2350" s="26" t="n">
        <x:f>'成本明细'!U349+'成本明细'!G349*(E2350-'参数'!$B$6)</x:f>
        <x:v>3139.2018359505555</x:v>
      </x:c>
      <x:c r="H2350" s="26" t="n">
        <x:f>'成本明细'!U355</x:f>
        <x:v>3674.734802818889</x:v>
      </x:c>
      <x:c r="I2350" s="26" t="n">
        <x:f>'成本明细'!V355</x:f>
        <x:v>6497</x:v>
      </x:c>
      <x:c r="J2350" s="22" t="n">
        <x:f>'参数'!$B$9</x:f>
        <x:v>300</x:v>
      </x:c>
      <x:c r="K2350" s="26" t="n">
        <x:f>J2350*(G2350-H2350)-I2350*ROUNDUP(J2350/F2350,0)</x:f>
        <x:v>-355569.8900605</x:v>
      </x:c>
      <x:c r="L2350" s="10" t="str">
        <x:f>IF(G2350-H2350&lt;=0,"未回本",IF(ROUNDUP(I2350/(G2350-H2350),0)&gt;MIN(F2350,J2350),"未回本",MAX(1,ROUNDUP(I2350/(G2350-H2350),0))))</x:f>
        <x:v>未回本</x:v>
      </x:c>
    </x:row>
    <x:row r="2351" ht="22" customHeight="1">
      <x:c r="A2351" s="11" t="str">
        <x:v>lade_0829_20aoi</x:v>
      </x:c>
      <x:c r="B2351" s="10" t="n">
        <x:v>20</x:v>
      </x:c>
      <x:c r="C2351" s="10" t="n">
        <x:v>43</x:v>
      </x:c>
      <x:c r="D2351" s="10" t="str">
        <x:v>M2 / M4</x:v>
      </x:c>
      <x:c r="E2351" s="16" t="n">
        <x:v>4</x:v>
      </x:c>
      <x:c r="F2351" s="14" t="n">
        <x:v>10</x:v>
      </x:c>
      <x:c r="G2351" s="26" t="n">
        <x:f>'成本明细'!U352+'成本明细'!G352*(E2351-'参数'!$B$6)</x:f>
        <x:v>2886.6267509850004</x:v>
      </x:c>
      <x:c r="H2351" s="26" t="n">
        <x:f>'成本明细'!U358</x:f>
        <x:v>3669.0801981333334</x:v>
      </x:c>
      <x:c r="I2351" s="26" t="n">
        <x:f>'成本明细'!V358</x:f>
        <x:v>6497</x:v>
      </x:c>
      <x:c r="J2351" s="22" t="n">
        <x:f>'参数'!$B$9</x:f>
        <x:v>300</x:v>
      </x:c>
      <x:c r="K2351" s="26" t="n">
        <x:f>J2351*(G2351-H2351)-I2351*ROUNDUP(J2351/F2351,0)</x:f>
        <x:v>-429646.0341444999</x:v>
      </x:c>
      <x:c r="L2351" s="10" t="str">
        <x:f>IF(G2351-H2351&lt;=0,"未回本",IF(ROUNDUP(I2351/(G2351-H2351),0)&gt;MIN(F2351,J2351),"未回本",MAX(1,ROUNDUP(I2351/(G2351-H2351),0))))</x:f>
        <x:v>未回本</x:v>
      </x:c>
    </x:row>
    <x:row r="2352" ht="22" customHeight="1">
      <x:c r="A2352" s="11" t="str">
        <x:v>lade_0829_20aoi</x:v>
      </x:c>
      <x:c r="B2352" s="10" t="n">
        <x:v>20</x:v>
      </x:c>
      <x:c r="C2352" s="10" t="n">
        <x:v>43</x:v>
      </x:c>
      <x:c r="D2352" s="10" t="str">
        <x:v>M1 / M3</x:v>
      </x:c>
      <x:c r="E2352" s="16" t="n">
        <x:v>4</x:v>
      </x:c>
      <x:c r="F2352" s="14" t="n">
        <x:v>20</x:v>
      </x:c>
      <x:c r="G2352" s="26" t="n">
        <x:f>'成本明细'!U349+'成本明细'!G349*(E2352-'参数'!$B$6)</x:f>
        <x:v>3139.2018359505555</x:v>
      </x:c>
      <x:c r="H2352" s="26" t="n">
        <x:f>'成本明细'!U355</x:f>
        <x:v>3674.734802818889</x:v>
      </x:c>
      <x:c r="I2352" s="26" t="n">
        <x:f>'成本明细'!V355</x:f>
        <x:v>6497</x:v>
      </x:c>
      <x:c r="J2352" s="22" t="n">
        <x:f>'参数'!$B$9</x:f>
        <x:v>300</x:v>
      </x:c>
      <x:c r="K2352" s="26" t="n">
        <x:f>J2352*(G2352-H2352)-I2352*ROUNDUP(J2352/F2352,0)</x:f>
        <x:v>-258114.89006050004</x:v>
      </x:c>
      <x:c r="L2352" s="10" t="str">
        <x:f>IF(G2352-H2352&lt;=0,"未回本",IF(ROUNDUP(I2352/(G2352-H2352),0)&gt;MIN(F2352,J2352),"未回本",MAX(1,ROUNDUP(I2352/(G2352-H2352),0))))</x:f>
        <x:v>未回本</x:v>
      </x:c>
    </x:row>
    <x:row r="2353" ht="22" customHeight="1">
      <x:c r="A2353" s="11" t="str">
        <x:v>lade_0829_20aoi</x:v>
      </x:c>
      <x:c r="B2353" s="10" t="n">
        <x:v>20</x:v>
      </x:c>
      <x:c r="C2353" s="10" t="n">
        <x:v>43</x:v>
      </x:c>
      <x:c r="D2353" s="10" t="str">
        <x:v>M2 / M4</x:v>
      </x:c>
      <x:c r="E2353" s="16" t="n">
        <x:v>4</x:v>
      </x:c>
      <x:c r="F2353" s="14" t="n">
        <x:v>20</x:v>
      </x:c>
      <x:c r="G2353" s="26" t="n">
        <x:f>'成本明细'!U352+'成本明细'!G352*(E2353-'参数'!$B$6)</x:f>
        <x:v>2886.6267509850004</x:v>
      </x:c>
      <x:c r="H2353" s="26" t="n">
        <x:f>'成本明细'!U358</x:f>
        <x:v>3669.0801981333334</x:v>
      </x:c>
      <x:c r="I2353" s="26" t="n">
        <x:f>'成本明细'!V358</x:f>
        <x:v>6497</x:v>
      </x:c>
      <x:c r="J2353" s="22" t="n">
        <x:f>'参数'!$B$9</x:f>
        <x:v>300</x:v>
      </x:c>
      <x:c r="K2353" s="26" t="n">
        <x:f>J2353*(G2353-H2353)-I2353*ROUNDUP(J2353/F2353,0)</x:f>
        <x:v>-332191.0341444999</x:v>
      </x:c>
      <x:c r="L2353" s="10" t="str">
        <x:f>IF(G2353-H2353&lt;=0,"未回本",IF(ROUNDUP(I2353/(G2353-H2353),0)&gt;MIN(F2353,J2353),"未回本",MAX(1,ROUNDUP(I2353/(G2353-H2353),0))))</x:f>
        <x:v>未回本</x:v>
      </x:c>
    </x:row>
    <x:row r="2354" ht="22" customHeight="1">
      <x:c r="A2354" s="11" t="str">
        <x:v>lade_0829_20aoi</x:v>
      </x:c>
      <x:c r="B2354" s="10" t="n">
        <x:v>20</x:v>
      </x:c>
      <x:c r="C2354" s="10" t="n">
        <x:v>43</x:v>
      </x:c>
      <x:c r="D2354" s="10" t="str">
        <x:v>M1 / M3</x:v>
      </x:c>
      <x:c r="E2354" s="16" t="n">
        <x:v>4</x:v>
      </x:c>
      <x:c r="F2354" s="14" t="n">
        <x:v>30</x:v>
      </x:c>
      <x:c r="G2354" s="26" t="n">
        <x:f>'成本明细'!U349+'成本明细'!G349*(E2354-'参数'!$B$6)</x:f>
        <x:v>3139.2018359505555</x:v>
      </x:c>
      <x:c r="H2354" s="26" t="n">
        <x:f>'成本明细'!U355</x:f>
        <x:v>3674.734802818889</x:v>
      </x:c>
      <x:c r="I2354" s="26" t="n">
        <x:f>'成本明细'!V355</x:f>
        <x:v>6497</x:v>
      </x:c>
      <x:c r="J2354" s="22" t="n">
        <x:f>'参数'!$B$9</x:f>
        <x:v>300</x:v>
      </x:c>
      <x:c r="K2354" s="26" t="n">
        <x:f>J2354*(G2354-H2354)-I2354*ROUNDUP(J2354/F2354,0)</x:f>
        <x:v>-225629.89006050004</x:v>
      </x:c>
      <x:c r="L2354" s="10" t="str">
        <x:f>IF(G2354-H2354&lt;=0,"未回本",IF(ROUNDUP(I2354/(G2354-H2354),0)&gt;MIN(F2354,J2354),"未回本",MAX(1,ROUNDUP(I2354/(G2354-H2354),0))))</x:f>
        <x:v>未回本</x:v>
      </x:c>
    </x:row>
    <x:row r="2355" ht="22" customHeight="1">
      <x:c r="A2355" s="11" t="str">
        <x:v>lade_0829_20aoi</x:v>
      </x:c>
      <x:c r="B2355" s="10" t="n">
        <x:v>20</x:v>
      </x:c>
      <x:c r="C2355" s="10" t="n">
        <x:v>43</x:v>
      </x:c>
      <x:c r="D2355" s="10" t="str">
        <x:v>M2 / M4</x:v>
      </x:c>
      <x:c r="E2355" s="16" t="n">
        <x:v>4</x:v>
      </x:c>
      <x:c r="F2355" s="14" t="n">
        <x:v>30</x:v>
      </x:c>
      <x:c r="G2355" s="26" t="n">
        <x:f>'成本明细'!U352+'成本明细'!G352*(E2355-'参数'!$B$6)</x:f>
        <x:v>2886.6267509850004</x:v>
      </x:c>
      <x:c r="H2355" s="26" t="n">
        <x:f>'成本明细'!U358</x:f>
        <x:v>3669.0801981333334</x:v>
      </x:c>
      <x:c r="I2355" s="26" t="n">
        <x:f>'成本明细'!V358</x:f>
        <x:v>6497</x:v>
      </x:c>
      <x:c r="J2355" s="22" t="n">
        <x:f>'参数'!$B$9</x:f>
        <x:v>300</x:v>
      </x:c>
      <x:c r="K2355" s="26" t="n">
        <x:f>J2355*(G2355-H2355)-I2355*ROUNDUP(J2355/F2355,0)</x:f>
        <x:v>-299706.0341444999</x:v>
      </x:c>
      <x:c r="L2355" s="10" t="str">
        <x:f>IF(G2355-H2355&lt;=0,"未回本",IF(ROUNDUP(I2355/(G2355-H2355),0)&gt;MIN(F2355,J2355),"未回本",MAX(1,ROUNDUP(I2355/(G2355-H2355),0))))</x:f>
        <x:v>未回本</x:v>
      </x:c>
    </x:row>
    <x:row r="2356" ht="22" customHeight="1">
      <x:c r="A2356" s="11" t="str">
        <x:v>lade_0829_20aoi</x:v>
      </x:c>
      <x:c r="B2356" s="10" t="n">
        <x:v>20</x:v>
      </x:c>
      <x:c r="C2356" s="10" t="n">
        <x:v>43</x:v>
      </x:c>
      <x:c r="D2356" s="10" t="str">
        <x:v>M1 / M3</x:v>
      </x:c>
      <x:c r="E2356" s="16" t="n">
        <x:v>4</x:v>
      </x:c>
      <x:c r="F2356" s="14" t="n">
        <x:v>50</x:v>
      </x:c>
      <x:c r="G2356" s="26" t="n">
        <x:f>'成本明细'!U349+'成本明细'!G349*(E2356-'参数'!$B$6)</x:f>
        <x:v>3139.2018359505555</x:v>
      </x:c>
      <x:c r="H2356" s="26" t="n">
        <x:f>'成本明细'!U355</x:f>
        <x:v>3674.734802818889</x:v>
      </x:c>
      <x:c r="I2356" s="26" t="n">
        <x:f>'成本明细'!V355</x:f>
        <x:v>6497</x:v>
      </x:c>
      <x:c r="J2356" s="22" t="n">
        <x:f>'参数'!$B$9</x:f>
        <x:v>300</x:v>
      </x:c>
      <x:c r="K2356" s="26" t="n">
        <x:f>J2356*(G2356-H2356)-I2356*ROUNDUP(J2356/F2356,0)</x:f>
        <x:v>-199641.89006050004</x:v>
      </x:c>
      <x:c r="L2356" s="10" t="str">
        <x:f>IF(G2356-H2356&lt;=0,"未回本",IF(ROUNDUP(I2356/(G2356-H2356),0)&gt;MIN(F2356,J2356),"未回本",MAX(1,ROUNDUP(I2356/(G2356-H2356),0))))</x:f>
        <x:v>未回本</x:v>
      </x:c>
    </x:row>
    <x:row r="2357" ht="22" customHeight="1">
      <x:c r="A2357" s="11" t="str">
        <x:v>lade_0829_20aoi</x:v>
      </x:c>
      <x:c r="B2357" s="10" t="n">
        <x:v>20</x:v>
      </x:c>
      <x:c r="C2357" s="10" t="n">
        <x:v>43</x:v>
      </x:c>
      <x:c r="D2357" s="10" t="str">
        <x:v>M2 / M4</x:v>
      </x:c>
      <x:c r="E2357" s="16" t="n">
        <x:v>4</x:v>
      </x:c>
      <x:c r="F2357" s="14" t="n">
        <x:v>50</x:v>
      </x:c>
      <x:c r="G2357" s="26" t="n">
        <x:f>'成本明细'!U352+'成本明细'!G352*(E2357-'参数'!$B$6)</x:f>
        <x:v>2886.6267509850004</x:v>
      </x:c>
      <x:c r="H2357" s="26" t="n">
        <x:f>'成本明细'!U358</x:f>
        <x:v>3669.0801981333334</x:v>
      </x:c>
      <x:c r="I2357" s="26" t="n">
        <x:f>'成本明细'!V358</x:f>
        <x:v>6497</x:v>
      </x:c>
      <x:c r="J2357" s="22" t="n">
        <x:f>'参数'!$B$9</x:f>
        <x:v>300</x:v>
      </x:c>
      <x:c r="K2357" s="26" t="n">
        <x:f>J2357*(G2357-H2357)-I2357*ROUNDUP(J2357/F2357,0)</x:f>
        <x:v>-273718.0341444999</x:v>
      </x:c>
      <x:c r="L2357" s="10" t="str">
        <x:f>IF(G2357-H2357&lt;=0,"未回本",IF(ROUNDUP(I2357/(G2357-H2357),0)&gt;MIN(F2357,J2357),"未回本",MAX(1,ROUNDUP(I2357/(G2357-H2357),0))))</x:f>
        <x:v>未回本</x:v>
      </x:c>
    </x:row>
    <x:row r="2358" ht="22" customHeight="1">
      <x:c r="A2358" s="11" t="str">
        <x:v>lade_0829_20aoi</x:v>
      </x:c>
      <x:c r="B2358" s="10" t="n">
        <x:v>20</x:v>
      </x:c>
      <x:c r="C2358" s="10" t="n">
        <x:v>43</x:v>
      </x:c>
      <x:c r="D2358" s="10" t="str">
        <x:v>M1 / M3</x:v>
      </x:c>
      <x:c r="E2358" s="16" t="n">
        <x:v>5</x:v>
      </x:c>
      <x:c r="F2358" s="14" t="n">
        <x:v>10</x:v>
      </x:c>
      <x:c r="G2358" s="26" t="n">
        <x:f>'成本明细'!U349+'成本明细'!G349*(E2358-'参数'!$B$6)</x:f>
        <x:v>3317.2018359505555</x:v>
      </x:c>
      <x:c r="H2358" s="26" t="n">
        <x:f>'成本明细'!U355</x:f>
        <x:v>3674.734802818889</x:v>
      </x:c>
      <x:c r="I2358" s="26" t="n">
        <x:f>'成本明细'!V355</x:f>
        <x:v>6497</x:v>
      </x:c>
      <x:c r="J2358" s="22" t="n">
        <x:f>'参数'!$B$9</x:f>
        <x:v>300</x:v>
      </x:c>
      <x:c r="K2358" s="26" t="n">
        <x:f>J2358*(G2358-H2358)-I2358*ROUNDUP(J2358/F2358,0)</x:f>
        <x:v>-302169.8900605</x:v>
      </x:c>
      <x:c r="L2358" s="10" t="str">
        <x:f>IF(G2358-H2358&lt;=0,"未回本",IF(ROUNDUP(I2358/(G2358-H2358),0)&gt;MIN(F2358,J2358),"未回本",MAX(1,ROUNDUP(I2358/(G2358-H2358),0))))</x:f>
        <x:v>未回本</x:v>
      </x:c>
    </x:row>
    <x:row r="2359" ht="22" customHeight="1">
      <x:c r="A2359" s="11" t="str">
        <x:v>lade_0829_20aoi</x:v>
      </x:c>
      <x:c r="B2359" s="10" t="n">
        <x:v>20</x:v>
      </x:c>
      <x:c r="C2359" s="10" t="n">
        <x:v>43</x:v>
      </x:c>
      <x:c r="D2359" s="10" t="str">
        <x:v>M2 / M4</x:v>
      </x:c>
      <x:c r="E2359" s="16" t="n">
        <x:v>5</x:v>
      </x:c>
      <x:c r="F2359" s="14" t="n">
        <x:v>10</x:v>
      </x:c>
      <x:c r="G2359" s="26" t="n">
        <x:f>'成本明细'!U352+'成本明细'!G352*(E2359-'参数'!$B$6)</x:f>
        <x:v>3064.6267509850004</x:v>
      </x:c>
      <x:c r="H2359" s="26" t="n">
        <x:f>'成本明细'!U358</x:f>
        <x:v>3669.0801981333334</x:v>
      </x:c>
      <x:c r="I2359" s="26" t="n">
        <x:f>'成本明细'!V358</x:f>
        <x:v>6497</x:v>
      </x:c>
      <x:c r="J2359" s="22" t="n">
        <x:f>'参数'!$B$9</x:f>
        <x:v>300</x:v>
      </x:c>
      <x:c r="K2359" s="26" t="n">
        <x:f>J2359*(G2359-H2359)-I2359*ROUNDUP(J2359/F2359,0)</x:f>
        <x:v>-376246.0341444999</x:v>
      </x:c>
      <x:c r="L2359" s="10" t="str">
        <x:f>IF(G2359-H2359&lt;=0,"未回本",IF(ROUNDUP(I2359/(G2359-H2359),0)&gt;MIN(F2359,J2359),"未回本",MAX(1,ROUNDUP(I2359/(G2359-H2359),0))))</x:f>
        <x:v>未回本</x:v>
      </x:c>
    </x:row>
    <x:row r="2360" ht="22" customHeight="1">
      <x:c r="A2360" s="11" t="str">
        <x:v>lade_0829_20aoi</x:v>
      </x:c>
      <x:c r="B2360" s="10" t="n">
        <x:v>20</x:v>
      </x:c>
      <x:c r="C2360" s="10" t="n">
        <x:v>43</x:v>
      </x:c>
      <x:c r="D2360" s="10" t="str">
        <x:v>M1 / M3</x:v>
      </x:c>
      <x:c r="E2360" s="16" t="n">
        <x:v>5</x:v>
      </x:c>
      <x:c r="F2360" s="14" t="n">
        <x:v>20</x:v>
      </x:c>
      <x:c r="G2360" s="26" t="n">
        <x:f>'成本明细'!U349+'成本明细'!G349*(E2360-'参数'!$B$6)</x:f>
        <x:v>3317.2018359505555</x:v>
      </x:c>
      <x:c r="H2360" s="26" t="n">
        <x:f>'成本明细'!U355</x:f>
        <x:v>3674.734802818889</x:v>
      </x:c>
      <x:c r="I2360" s="26" t="n">
        <x:f>'成本明细'!V355</x:f>
        <x:v>6497</x:v>
      </x:c>
      <x:c r="J2360" s="22" t="n">
        <x:f>'参数'!$B$9</x:f>
        <x:v>300</x:v>
      </x:c>
      <x:c r="K2360" s="26" t="n">
        <x:f>J2360*(G2360-H2360)-I2360*ROUNDUP(J2360/F2360,0)</x:f>
        <x:v>-204714.89006050004</x:v>
      </x:c>
      <x:c r="L2360" s="10" t="str">
        <x:f>IF(G2360-H2360&lt;=0,"未回本",IF(ROUNDUP(I2360/(G2360-H2360),0)&gt;MIN(F2360,J2360),"未回本",MAX(1,ROUNDUP(I2360/(G2360-H2360),0))))</x:f>
        <x:v>未回本</x:v>
      </x:c>
    </x:row>
    <x:row r="2361" ht="22" customHeight="1">
      <x:c r="A2361" s="11" t="str">
        <x:v>lade_0829_20aoi</x:v>
      </x:c>
      <x:c r="B2361" s="10" t="n">
        <x:v>20</x:v>
      </x:c>
      <x:c r="C2361" s="10" t="n">
        <x:v>43</x:v>
      </x:c>
      <x:c r="D2361" s="10" t="str">
        <x:v>M2 / M4</x:v>
      </x:c>
      <x:c r="E2361" s="16" t="n">
        <x:v>5</x:v>
      </x:c>
      <x:c r="F2361" s="14" t="n">
        <x:v>20</x:v>
      </x:c>
      <x:c r="G2361" s="26" t="n">
        <x:f>'成本明细'!U352+'成本明细'!G352*(E2361-'参数'!$B$6)</x:f>
        <x:v>3064.6267509850004</x:v>
      </x:c>
      <x:c r="H2361" s="26" t="n">
        <x:f>'成本明细'!U358</x:f>
        <x:v>3669.0801981333334</x:v>
      </x:c>
      <x:c r="I2361" s="26" t="n">
        <x:f>'成本明细'!V358</x:f>
        <x:v>6497</x:v>
      </x:c>
      <x:c r="J2361" s="22" t="n">
        <x:f>'参数'!$B$9</x:f>
        <x:v>300</x:v>
      </x:c>
      <x:c r="K2361" s="26" t="n">
        <x:f>J2361*(G2361-H2361)-I2361*ROUNDUP(J2361/F2361,0)</x:f>
        <x:v>-278791.0341444999</x:v>
      </x:c>
      <x:c r="L2361" s="10" t="str">
        <x:f>IF(G2361-H2361&lt;=0,"未回本",IF(ROUNDUP(I2361/(G2361-H2361),0)&gt;MIN(F2361,J2361),"未回本",MAX(1,ROUNDUP(I2361/(G2361-H2361),0))))</x:f>
        <x:v>未回本</x:v>
      </x:c>
    </x:row>
    <x:row r="2362" ht="22" customHeight="1">
      <x:c r="A2362" s="11" t="str">
        <x:v>lade_0829_20aoi</x:v>
      </x:c>
      <x:c r="B2362" s="10" t="n">
        <x:v>20</x:v>
      </x:c>
      <x:c r="C2362" s="10" t="n">
        <x:v>43</x:v>
      </x:c>
      <x:c r="D2362" s="10" t="str">
        <x:v>M1 / M3</x:v>
      </x:c>
      <x:c r="E2362" s="16" t="n">
        <x:v>5</x:v>
      </x:c>
      <x:c r="F2362" s="14" t="n">
        <x:v>30</x:v>
      </x:c>
      <x:c r="G2362" s="26" t="n">
        <x:f>'成本明细'!U349+'成本明细'!G349*(E2362-'参数'!$B$6)</x:f>
        <x:v>3317.2018359505555</x:v>
      </x:c>
      <x:c r="H2362" s="26" t="n">
        <x:f>'成本明细'!U355</x:f>
        <x:v>3674.734802818889</x:v>
      </x:c>
      <x:c r="I2362" s="26" t="n">
        <x:f>'成本明细'!V355</x:f>
        <x:v>6497</x:v>
      </x:c>
      <x:c r="J2362" s="22" t="n">
        <x:f>'参数'!$B$9</x:f>
        <x:v>300</x:v>
      </x:c>
      <x:c r="K2362" s="26" t="n">
        <x:f>J2362*(G2362-H2362)-I2362*ROUNDUP(J2362/F2362,0)</x:f>
        <x:v>-172229.89006050004</x:v>
      </x:c>
      <x:c r="L2362" s="10" t="str">
        <x:f>IF(G2362-H2362&lt;=0,"未回本",IF(ROUNDUP(I2362/(G2362-H2362),0)&gt;MIN(F2362,J2362),"未回本",MAX(1,ROUNDUP(I2362/(G2362-H2362),0))))</x:f>
        <x:v>未回本</x:v>
      </x:c>
    </x:row>
    <x:row r="2363" ht="22" customHeight="1">
      <x:c r="A2363" s="11" t="str">
        <x:v>lade_0829_20aoi</x:v>
      </x:c>
      <x:c r="B2363" s="10" t="n">
        <x:v>20</x:v>
      </x:c>
      <x:c r="C2363" s="10" t="n">
        <x:v>43</x:v>
      </x:c>
      <x:c r="D2363" s="10" t="str">
        <x:v>M2 / M4</x:v>
      </x:c>
      <x:c r="E2363" s="16" t="n">
        <x:v>5</x:v>
      </x:c>
      <x:c r="F2363" s="14" t="n">
        <x:v>30</x:v>
      </x:c>
      <x:c r="G2363" s="26" t="n">
        <x:f>'成本明细'!U352+'成本明细'!G352*(E2363-'参数'!$B$6)</x:f>
        <x:v>3064.6267509850004</x:v>
      </x:c>
      <x:c r="H2363" s="26" t="n">
        <x:f>'成本明细'!U358</x:f>
        <x:v>3669.0801981333334</x:v>
      </x:c>
      <x:c r="I2363" s="26" t="n">
        <x:f>'成本明细'!V358</x:f>
        <x:v>6497</x:v>
      </x:c>
      <x:c r="J2363" s="22" t="n">
        <x:f>'参数'!$B$9</x:f>
        <x:v>300</x:v>
      </x:c>
      <x:c r="K2363" s="26" t="n">
        <x:f>J2363*(G2363-H2363)-I2363*ROUNDUP(J2363/F2363,0)</x:f>
        <x:v>-246306.0341444999</x:v>
      </x:c>
      <x:c r="L2363" s="10" t="str">
        <x:f>IF(G2363-H2363&lt;=0,"未回本",IF(ROUNDUP(I2363/(G2363-H2363),0)&gt;MIN(F2363,J2363),"未回本",MAX(1,ROUNDUP(I2363/(G2363-H2363),0))))</x:f>
        <x:v>未回本</x:v>
      </x:c>
    </x:row>
    <x:row r="2364" ht="22" customHeight="1">
      <x:c r="A2364" s="11" t="str">
        <x:v>lade_0829_20aoi</x:v>
      </x:c>
      <x:c r="B2364" s="10" t="n">
        <x:v>20</x:v>
      </x:c>
      <x:c r="C2364" s="10" t="n">
        <x:v>43</x:v>
      </x:c>
      <x:c r="D2364" s="10" t="str">
        <x:v>M1 / M3</x:v>
      </x:c>
      <x:c r="E2364" s="16" t="n">
        <x:v>5</x:v>
      </x:c>
      <x:c r="F2364" s="14" t="n">
        <x:v>50</x:v>
      </x:c>
      <x:c r="G2364" s="26" t="n">
        <x:f>'成本明细'!U349+'成本明细'!G349*(E2364-'参数'!$B$6)</x:f>
        <x:v>3317.2018359505555</x:v>
      </x:c>
      <x:c r="H2364" s="26" t="n">
        <x:f>'成本明细'!U355</x:f>
        <x:v>3674.734802818889</x:v>
      </x:c>
      <x:c r="I2364" s="26" t="n">
        <x:f>'成本明细'!V355</x:f>
        <x:v>6497</x:v>
      </x:c>
      <x:c r="J2364" s="22" t="n">
        <x:f>'参数'!$B$9</x:f>
        <x:v>300</x:v>
      </x:c>
      <x:c r="K2364" s="26" t="n">
        <x:f>J2364*(G2364-H2364)-I2364*ROUNDUP(J2364/F2364,0)</x:f>
        <x:v>-146241.89006050004</x:v>
      </x:c>
      <x:c r="L2364" s="10" t="str">
        <x:f>IF(G2364-H2364&lt;=0,"未回本",IF(ROUNDUP(I2364/(G2364-H2364),0)&gt;MIN(F2364,J2364),"未回本",MAX(1,ROUNDUP(I2364/(G2364-H2364),0))))</x:f>
        <x:v>未回本</x:v>
      </x:c>
    </x:row>
    <x:row r="2365" ht="22" customHeight="1">
      <x:c r="A2365" s="11" t="str">
        <x:v>lade_0829_20aoi</x:v>
      </x:c>
      <x:c r="B2365" s="10" t="n">
        <x:v>20</x:v>
      </x:c>
      <x:c r="C2365" s="10" t="n">
        <x:v>43</x:v>
      </x:c>
      <x:c r="D2365" s="10" t="str">
        <x:v>M2 / M4</x:v>
      </x:c>
      <x:c r="E2365" s="16" t="n">
        <x:v>5</x:v>
      </x:c>
      <x:c r="F2365" s="14" t="n">
        <x:v>50</x:v>
      </x:c>
      <x:c r="G2365" s="26" t="n">
        <x:f>'成本明细'!U352+'成本明细'!G352*(E2365-'参数'!$B$6)</x:f>
        <x:v>3064.6267509850004</x:v>
      </x:c>
      <x:c r="H2365" s="26" t="n">
        <x:f>'成本明细'!U358</x:f>
        <x:v>3669.0801981333334</x:v>
      </x:c>
      <x:c r="I2365" s="26" t="n">
        <x:f>'成本明细'!V358</x:f>
        <x:v>6497</x:v>
      </x:c>
      <x:c r="J2365" s="22" t="n">
        <x:f>'参数'!$B$9</x:f>
        <x:v>300</x:v>
      </x:c>
      <x:c r="K2365" s="26" t="n">
        <x:f>J2365*(G2365-H2365)-I2365*ROUNDUP(J2365/F2365,0)</x:f>
        <x:v>-220318.0341444999</x:v>
      </x:c>
      <x:c r="L2365" s="10" t="str">
        <x:f>IF(G2365-H2365&lt;=0,"未回本",IF(ROUNDUP(I2365/(G2365-H2365),0)&gt;MIN(F2365,J2365),"未回本",MAX(1,ROUNDUP(I2365/(G2365-H2365),0))))</x:f>
        <x:v>未回本</x:v>
      </x:c>
    </x:row>
    <x:row r="2366" ht="22" customHeight="1">
      <x:c r="A2366" s="11" t="str">
        <x:v>lade_0829_20aoi</x:v>
      </x:c>
      <x:c r="B2366" s="10" t="n">
        <x:v>20</x:v>
      </x:c>
      <x:c r="C2366" s="10" t="n">
        <x:v>44</x:v>
      </x:c>
      <x:c r="D2366" s="10" t="str">
        <x:v>M1 / M3</x:v>
      </x:c>
      <x:c r="E2366" s="16" t="n">
        <x:v>1</x:v>
      </x:c>
      <x:c r="F2366" s="14" t="n">
        <x:v>10</x:v>
      </x:c>
      <x:c r="G2366" s="26" t="n">
        <x:f>'成本明细'!U350+'成本明细'!G350*(E2366-'参数'!$B$6)</x:f>
        <x:v>2274.8584607344446</x:v>
      </x:c>
      <x:c r="H2366" s="26" t="n">
        <x:f>'成本明细'!U356</x:f>
        <x:v>3674.0483427688887</x:v>
      </x:c>
      <x:c r="I2366" s="26" t="n">
        <x:f>'成本明细'!V356</x:f>
        <x:v>6497</x:v>
      </x:c>
      <x:c r="J2366" s="22" t="n">
        <x:f>'参数'!$B$9</x:f>
        <x:v>300</x:v>
      </x:c>
      <x:c r="K2366" s="26" t="n">
        <x:f>J2366*(G2366-H2366)-I2366*ROUNDUP(J2366/F2366,0)</x:f>
        <x:v>-614666.9646103332</x:v>
      </x:c>
      <x:c r="L2366" s="10" t="str">
        <x:f>IF(G2366-H2366&lt;=0,"未回本",IF(ROUNDUP(I2366/(G2366-H2366),0)&gt;MIN(F2366,J2366),"未回本",MAX(1,ROUNDUP(I2366/(G2366-H2366),0))))</x:f>
        <x:v>未回本</x:v>
      </x:c>
    </x:row>
    <x:row r="2367" ht="22" customHeight="1">
      <x:c r="A2367" s="11" t="str">
        <x:v>lade_0829_20aoi</x:v>
      </x:c>
      <x:c r="B2367" s="10" t="n">
        <x:v>20</x:v>
      </x:c>
      <x:c r="C2367" s="10" t="n">
        <x:v>44</x:v>
      </x:c>
      <x:c r="D2367" s="10" t="str">
        <x:v>M2 / M4</x:v>
      </x:c>
      <x:c r="E2367" s="16" t="n">
        <x:v>1</x:v>
      </x:c>
      <x:c r="F2367" s="14" t="n">
        <x:v>10</x:v>
      </x:c>
      <x:c r="G2367" s="26" t="n">
        <x:f>'成本明细'!U353+'成本明细'!G353*(E2367-'参数'!$B$6)</x:f>
        <x:v>2352.6267509850004</x:v>
      </x:c>
      <x:c r="H2367" s="26" t="n">
        <x:f>'成本明细'!U359</x:f>
        <x:v>3646.088604367778</x:v>
      </x:c>
      <x:c r="I2367" s="26" t="n">
        <x:f>'成本明细'!V359</x:f>
        <x:v>6497</x:v>
      </x:c>
      <x:c r="J2367" s="22" t="n">
        <x:f>'参数'!$B$9</x:f>
        <x:v>300</x:v>
      </x:c>
      <x:c r="K2367" s="26" t="n">
        <x:f>J2367*(G2367-H2367)-I2367*ROUNDUP(J2367/F2367,0)</x:f>
        <x:v>-582948.5560148333</x:v>
      </x:c>
      <x:c r="L2367" s="10" t="str">
        <x:f>IF(G2367-H2367&lt;=0,"未回本",IF(ROUNDUP(I2367/(G2367-H2367),0)&gt;MIN(F2367,J2367),"未回本",MAX(1,ROUNDUP(I2367/(G2367-H2367),0))))</x:f>
        <x:v>未回本</x:v>
      </x:c>
    </x:row>
    <x:row r="2368" ht="22" customHeight="1">
      <x:c r="A2368" s="11" t="str">
        <x:v>lade_0829_20aoi</x:v>
      </x:c>
      <x:c r="B2368" s="10" t="n">
        <x:v>20</x:v>
      </x:c>
      <x:c r="C2368" s="10" t="n">
        <x:v>44</x:v>
      </x:c>
      <x:c r="D2368" s="10" t="str">
        <x:v>M1 / M3</x:v>
      </x:c>
      <x:c r="E2368" s="16" t="n">
        <x:v>1</x:v>
      </x:c>
      <x:c r="F2368" s="14" t="n">
        <x:v>20</x:v>
      </x:c>
      <x:c r="G2368" s="26" t="n">
        <x:f>'成本明细'!U350+'成本明细'!G350*(E2368-'参数'!$B$6)</x:f>
        <x:v>2274.8584607344446</x:v>
      </x:c>
      <x:c r="H2368" s="26" t="n">
        <x:f>'成本明细'!U356</x:f>
        <x:v>3674.0483427688887</x:v>
      </x:c>
      <x:c r="I2368" s="26" t="n">
        <x:f>'成本明细'!V356</x:f>
        <x:v>6497</x:v>
      </x:c>
      <x:c r="J2368" s="22" t="n">
        <x:f>'参数'!$B$9</x:f>
        <x:v>300</x:v>
      </x:c>
      <x:c r="K2368" s="26" t="n">
        <x:f>J2368*(G2368-H2368)-I2368*ROUNDUP(J2368/F2368,0)</x:f>
        <x:v>-517211.9646103332</x:v>
      </x:c>
      <x:c r="L2368" s="10" t="str">
        <x:f>IF(G2368-H2368&lt;=0,"未回本",IF(ROUNDUP(I2368/(G2368-H2368),0)&gt;MIN(F2368,J2368),"未回本",MAX(1,ROUNDUP(I2368/(G2368-H2368),0))))</x:f>
        <x:v>未回本</x:v>
      </x:c>
    </x:row>
    <x:row r="2369" ht="22" customHeight="1">
      <x:c r="A2369" s="11" t="str">
        <x:v>lade_0829_20aoi</x:v>
      </x:c>
      <x:c r="B2369" s="10" t="n">
        <x:v>20</x:v>
      </x:c>
      <x:c r="C2369" s="10" t="n">
        <x:v>44</x:v>
      </x:c>
      <x:c r="D2369" s="10" t="str">
        <x:v>M2 / M4</x:v>
      </x:c>
      <x:c r="E2369" s="16" t="n">
        <x:v>1</x:v>
      </x:c>
      <x:c r="F2369" s="14" t="n">
        <x:v>20</x:v>
      </x:c>
      <x:c r="G2369" s="26" t="n">
        <x:f>'成本明细'!U353+'成本明细'!G353*(E2369-'参数'!$B$6)</x:f>
        <x:v>2352.6267509850004</x:v>
      </x:c>
      <x:c r="H2369" s="26" t="n">
        <x:f>'成本明细'!U359</x:f>
        <x:v>3646.088604367778</x:v>
      </x:c>
      <x:c r="I2369" s="26" t="n">
        <x:f>'成本明细'!V359</x:f>
        <x:v>6497</x:v>
      </x:c>
      <x:c r="J2369" s="22" t="n">
        <x:f>'参数'!$B$9</x:f>
        <x:v>300</x:v>
      </x:c>
      <x:c r="K2369" s="26" t="n">
        <x:f>J2369*(G2369-H2369)-I2369*ROUNDUP(J2369/F2369,0)</x:f>
        <x:v>-485493.5560148332</x:v>
      </x:c>
      <x:c r="L2369" s="10" t="str">
        <x:f>IF(G2369-H2369&lt;=0,"未回本",IF(ROUNDUP(I2369/(G2369-H2369),0)&gt;MIN(F2369,J2369),"未回本",MAX(1,ROUNDUP(I2369/(G2369-H2369),0))))</x:f>
        <x:v>未回本</x:v>
      </x:c>
    </x:row>
    <x:row r="2370" ht="22" customHeight="1">
      <x:c r="A2370" s="11" t="str">
        <x:v>lade_0829_20aoi</x:v>
      </x:c>
      <x:c r="B2370" s="10" t="n">
        <x:v>20</x:v>
      </x:c>
      <x:c r="C2370" s="10" t="n">
        <x:v>44</x:v>
      </x:c>
      <x:c r="D2370" s="10" t="str">
        <x:v>M1 / M3</x:v>
      </x:c>
      <x:c r="E2370" s="16" t="n">
        <x:v>1</x:v>
      </x:c>
      <x:c r="F2370" s="14" t="n">
        <x:v>30</x:v>
      </x:c>
      <x:c r="G2370" s="26" t="n">
        <x:f>'成本明细'!U350+'成本明细'!G350*(E2370-'参数'!$B$6)</x:f>
        <x:v>2274.8584607344446</x:v>
      </x:c>
      <x:c r="H2370" s="26" t="n">
        <x:f>'成本明细'!U356</x:f>
        <x:v>3674.0483427688887</x:v>
      </x:c>
      <x:c r="I2370" s="26" t="n">
        <x:f>'成本明细'!V356</x:f>
        <x:v>6497</x:v>
      </x:c>
      <x:c r="J2370" s="22" t="n">
        <x:f>'参数'!$B$9</x:f>
        <x:v>300</x:v>
      </x:c>
      <x:c r="K2370" s="26" t="n">
        <x:f>J2370*(G2370-H2370)-I2370*ROUNDUP(J2370/F2370,0)</x:f>
        <x:v>-484726.9646103332</x:v>
      </x:c>
      <x:c r="L2370" s="10" t="str">
        <x:f>IF(G2370-H2370&lt;=0,"未回本",IF(ROUNDUP(I2370/(G2370-H2370),0)&gt;MIN(F2370,J2370),"未回本",MAX(1,ROUNDUP(I2370/(G2370-H2370),0))))</x:f>
        <x:v>未回本</x:v>
      </x:c>
    </x:row>
    <x:row r="2371" ht="22" customHeight="1">
      <x:c r="A2371" s="11" t="str">
        <x:v>lade_0829_20aoi</x:v>
      </x:c>
      <x:c r="B2371" s="10" t="n">
        <x:v>20</x:v>
      </x:c>
      <x:c r="C2371" s="10" t="n">
        <x:v>44</x:v>
      </x:c>
      <x:c r="D2371" s="10" t="str">
        <x:v>M2 / M4</x:v>
      </x:c>
      <x:c r="E2371" s="16" t="n">
        <x:v>1</x:v>
      </x:c>
      <x:c r="F2371" s="14" t="n">
        <x:v>30</x:v>
      </x:c>
      <x:c r="G2371" s="26" t="n">
        <x:f>'成本明细'!U353+'成本明细'!G353*(E2371-'参数'!$B$6)</x:f>
        <x:v>2352.6267509850004</x:v>
      </x:c>
      <x:c r="H2371" s="26" t="n">
        <x:f>'成本明细'!U359</x:f>
        <x:v>3646.088604367778</x:v>
      </x:c>
      <x:c r="I2371" s="26" t="n">
        <x:f>'成本明细'!V359</x:f>
        <x:v>6497</x:v>
      </x:c>
      <x:c r="J2371" s="22" t="n">
        <x:f>'参数'!$B$9</x:f>
        <x:v>300</x:v>
      </x:c>
      <x:c r="K2371" s="26" t="n">
        <x:f>J2371*(G2371-H2371)-I2371*ROUNDUP(J2371/F2371,0)</x:f>
        <x:v>-453008.5560148332</x:v>
      </x:c>
      <x:c r="L2371" s="10" t="str">
        <x:f>IF(G2371-H2371&lt;=0,"未回本",IF(ROUNDUP(I2371/(G2371-H2371),0)&gt;MIN(F2371,J2371),"未回本",MAX(1,ROUNDUP(I2371/(G2371-H2371),0))))</x:f>
        <x:v>未回本</x:v>
      </x:c>
    </x:row>
    <x:row r="2372" ht="22" customHeight="1">
      <x:c r="A2372" s="11" t="str">
        <x:v>lade_0829_20aoi</x:v>
      </x:c>
      <x:c r="B2372" s="10" t="n">
        <x:v>20</x:v>
      </x:c>
      <x:c r="C2372" s="10" t="n">
        <x:v>44</x:v>
      </x:c>
      <x:c r="D2372" s="10" t="str">
        <x:v>M1 / M3</x:v>
      </x:c>
      <x:c r="E2372" s="16" t="n">
        <x:v>1</x:v>
      </x:c>
      <x:c r="F2372" s="14" t="n">
        <x:v>50</x:v>
      </x:c>
      <x:c r="G2372" s="26" t="n">
        <x:f>'成本明细'!U350+'成本明细'!G350*(E2372-'参数'!$B$6)</x:f>
        <x:v>2274.8584607344446</x:v>
      </x:c>
      <x:c r="H2372" s="26" t="n">
        <x:f>'成本明细'!U356</x:f>
        <x:v>3674.0483427688887</x:v>
      </x:c>
      <x:c r="I2372" s="26" t="n">
        <x:f>'成本明细'!V356</x:f>
        <x:v>6497</x:v>
      </x:c>
      <x:c r="J2372" s="22" t="n">
        <x:f>'参数'!$B$9</x:f>
        <x:v>300</x:v>
      </x:c>
      <x:c r="K2372" s="26" t="n">
        <x:f>J2372*(G2372-H2372)-I2372*ROUNDUP(J2372/F2372,0)</x:f>
        <x:v>-458738.9646103332</x:v>
      </x:c>
      <x:c r="L2372" s="10" t="str">
        <x:f>IF(G2372-H2372&lt;=0,"未回本",IF(ROUNDUP(I2372/(G2372-H2372),0)&gt;MIN(F2372,J2372),"未回本",MAX(1,ROUNDUP(I2372/(G2372-H2372),0))))</x:f>
        <x:v>未回本</x:v>
      </x:c>
    </x:row>
    <x:row r="2373" ht="22" customHeight="1">
      <x:c r="A2373" s="11" t="str">
        <x:v>lade_0829_20aoi</x:v>
      </x:c>
      <x:c r="B2373" s="10" t="n">
        <x:v>20</x:v>
      </x:c>
      <x:c r="C2373" s="10" t="n">
        <x:v>44</x:v>
      </x:c>
      <x:c r="D2373" s="10" t="str">
        <x:v>M2 / M4</x:v>
      </x:c>
      <x:c r="E2373" s="16" t="n">
        <x:v>1</x:v>
      </x:c>
      <x:c r="F2373" s="14" t="n">
        <x:v>50</x:v>
      </x:c>
      <x:c r="G2373" s="26" t="n">
        <x:f>'成本明细'!U353+'成本明细'!G353*(E2373-'参数'!$B$6)</x:f>
        <x:v>2352.6267509850004</x:v>
      </x:c>
      <x:c r="H2373" s="26" t="n">
        <x:f>'成本明细'!U359</x:f>
        <x:v>3646.088604367778</x:v>
      </x:c>
      <x:c r="I2373" s="26" t="n">
        <x:f>'成本明细'!V359</x:f>
        <x:v>6497</x:v>
      </x:c>
      <x:c r="J2373" s="22" t="n">
        <x:f>'参数'!$B$9</x:f>
        <x:v>300</x:v>
      </x:c>
      <x:c r="K2373" s="26" t="n">
        <x:f>J2373*(G2373-H2373)-I2373*ROUNDUP(J2373/F2373,0)</x:f>
        <x:v>-427020.5560148332</x:v>
      </x:c>
      <x:c r="L2373" s="10" t="str">
        <x:f>IF(G2373-H2373&lt;=0,"未回本",IF(ROUNDUP(I2373/(G2373-H2373),0)&gt;MIN(F2373,J2373),"未回本",MAX(1,ROUNDUP(I2373/(G2373-H2373),0))))</x:f>
        <x:v>未回本</x:v>
      </x:c>
    </x:row>
    <x:row r="2374" ht="22" customHeight="1">
      <x:c r="A2374" s="11" t="str">
        <x:v>lade_0829_20aoi</x:v>
      </x:c>
      <x:c r="B2374" s="10" t="n">
        <x:v>20</x:v>
      </x:c>
      <x:c r="C2374" s="10" t="n">
        <x:v>44</x:v>
      </x:c>
      <x:c r="D2374" s="10" t="str">
        <x:v>M1 / M3</x:v>
      </x:c>
      <x:c r="E2374" s="16" t="n">
        <x:v>2</x:v>
      </x:c>
      <x:c r="F2374" s="14" t="n">
        <x:v>10</x:v>
      </x:c>
      <x:c r="G2374" s="26" t="n">
        <x:f>'成本明细'!U350+'成本明细'!G350*(E2374-'参数'!$B$6)</x:f>
        <x:v>2452.8584607344446</x:v>
      </x:c>
      <x:c r="H2374" s="26" t="n">
        <x:f>'成本明细'!U356</x:f>
        <x:v>3674.0483427688887</x:v>
      </x:c>
      <x:c r="I2374" s="26" t="n">
        <x:f>'成本明细'!V356</x:f>
        <x:v>6497</x:v>
      </x:c>
      <x:c r="J2374" s="22" t="n">
        <x:f>'参数'!$B$9</x:f>
        <x:v>300</x:v>
      </x:c>
      <x:c r="K2374" s="26" t="n">
        <x:f>J2374*(G2374-H2374)-I2374*ROUNDUP(J2374/F2374,0)</x:f>
        <x:v>-561266.9646103332</x:v>
      </x:c>
      <x:c r="L2374" s="10" t="str">
        <x:f>IF(G2374-H2374&lt;=0,"未回本",IF(ROUNDUP(I2374/(G2374-H2374),0)&gt;MIN(F2374,J2374),"未回本",MAX(1,ROUNDUP(I2374/(G2374-H2374),0))))</x:f>
        <x:v>未回本</x:v>
      </x:c>
    </x:row>
    <x:row r="2375" ht="22" customHeight="1">
      <x:c r="A2375" s="11" t="str">
        <x:v>lade_0829_20aoi</x:v>
      </x:c>
      <x:c r="B2375" s="10" t="n">
        <x:v>20</x:v>
      </x:c>
      <x:c r="C2375" s="10" t="n">
        <x:v>44</x:v>
      </x:c>
      <x:c r="D2375" s="10" t="str">
        <x:v>M2 / M4</x:v>
      </x:c>
      <x:c r="E2375" s="16" t="n">
        <x:v>2</x:v>
      </x:c>
      <x:c r="F2375" s="14" t="n">
        <x:v>10</x:v>
      </x:c>
      <x:c r="G2375" s="26" t="n">
        <x:f>'成本明细'!U353+'成本明细'!G353*(E2375-'参数'!$B$6)</x:f>
        <x:v>2530.6267509850004</x:v>
      </x:c>
      <x:c r="H2375" s="26" t="n">
        <x:f>'成本明细'!U359</x:f>
        <x:v>3646.088604367778</x:v>
      </x:c>
      <x:c r="I2375" s="26" t="n">
        <x:f>'成本明细'!V359</x:f>
        <x:v>6497</x:v>
      </x:c>
      <x:c r="J2375" s="22" t="n">
        <x:f>'参数'!$B$9</x:f>
        <x:v>300</x:v>
      </x:c>
      <x:c r="K2375" s="26" t="n">
        <x:f>J2375*(G2375-H2375)-I2375*ROUNDUP(J2375/F2375,0)</x:f>
        <x:v>-529548.5560148333</x:v>
      </x:c>
      <x:c r="L2375" s="10" t="str">
        <x:f>IF(G2375-H2375&lt;=0,"未回本",IF(ROUNDUP(I2375/(G2375-H2375),0)&gt;MIN(F2375,J2375),"未回本",MAX(1,ROUNDUP(I2375/(G2375-H2375),0))))</x:f>
        <x:v>未回本</x:v>
      </x:c>
    </x:row>
    <x:row r="2376" ht="22" customHeight="1">
      <x:c r="A2376" s="11" t="str">
        <x:v>lade_0829_20aoi</x:v>
      </x:c>
      <x:c r="B2376" s="10" t="n">
        <x:v>20</x:v>
      </x:c>
      <x:c r="C2376" s="10" t="n">
        <x:v>44</x:v>
      </x:c>
      <x:c r="D2376" s="10" t="str">
        <x:v>M1 / M3</x:v>
      </x:c>
      <x:c r="E2376" s="16" t="n">
        <x:v>2</x:v>
      </x:c>
      <x:c r="F2376" s="14" t="n">
        <x:v>20</x:v>
      </x:c>
      <x:c r="G2376" s="26" t="n">
        <x:f>'成本明细'!U350+'成本明细'!G350*(E2376-'参数'!$B$6)</x:f>
        <x:v>2452.8584607344446</x:v>
      </x:c>
      <x:c r="H2376" s="26" t="n">
        <x:f>'成本明细'!U356</x:f>
        <x:v>3674.0483427688887</x:v>
      </x:c>
      <x:c r="I2376" s="26" t="n">
        <x:f>'成本明细'!V356</x:f>
        <x:v>6497</x:v>
      </x:c>
      <x:c r="J2376" s="22" t="n">
        <x:f>'参数'!$B$9</x:f>
        <x:v>300</x:v>
      </x:c>
      <x:c r="K2376" s="26" t="n">
        <x:f>J2376*(G2376-H2376)-I2376*ROUNDUP(J2376/F2376,0)</x:f>
        <x:v>-463811.9646103332</x:v>
      </x:c>
      <x:c r="L2376" s="10" t="str">
        <x:f>IF(G2376-H2376&lt;=0,"未回本",IF(ROUNDUP(I2376/(G2376-H2376),0)&gt;MIN(F2376,J2376),"未回本",MAX(1,ROUNDUP(I2376/(G2376-H2376),0))))</x:f>
        <x:v>未回本</x:v>
      </x:c>
    </x:row>
    <x:row r="2377" ht="22" customHeight="1">
      <x:c r="A2377" s="11" t="str">
        <x:v>lade_0829_20aoi</x:v>
      </x:c>
      <x:c r="B2377" s="10" t="n">
        <x:v>20</x:v>
      </x:c>
      <x:c r="C2377" s="10" t="n">
        <x:v>44</x:v>
      </x:c>
      <x:c r="D2377" s="10" t="str">
        <x:v>M2 / M4</x:v>
      </x:c>
      <x:c r="E2377" s="16" t="n">
        <x:v>2</x:v>
      </x:c>
      <x:c r="F2377" s="14" t="n">
        <x:v>20</x:v>
      </x:c>
      <x:c r="G2377" s="26" t="n">
        <x:f>'成本明细'!U353+'成本明细'!G353*(E2377-'参数'!$B$6)</x:f>
        <x:v>2530.6267509850004</x:v>
      </x:c>
      <x:c r="H2377" s="26" t="n">
        <x:f>'成本明细'!U359</x:f>
        <x:v>3646.088604367778</x:v>
      </x:c>
      <x:c r="I2377" s="26" t="n">
        <x:f>'成本明细'!V359</x:f>
        <x:v>6497</x:v>
      </x:c>
      <x:c r="J2377" s="22" t="n">
        <x:f>'参数'!$B$9</x:f>
        <x:v>300</x:v>
      </x:c>
      <x:c r="K2377" s="26" t="n">
        <x:f>J2377*(G2377-H2377)-I2377*ROUNDUP(J2377/F2377,0)</x:f>
        <x:v>-432093.5560148332</x:v>
      </x:c>
      <x:c r="L2377" s="10" t="str">
        <x:f>IF(G2377-H2377&lt;=0,"未回本",IF(ROUNDUP(I2377/(G2377-H2377),0)&gt;MIN(F2377,J2377),"未回本",MAX(1,ROUNDUP(I2377/(G2377-H2377),0))))</x:f>
        <x:v>未回本</x:v>
      </x:c>
    </x:row>
    <x:row r="2378" ht="22" customHeight="1">
      <x:c r="A2378" s="11" t="str">
        <x:v>lade_0829_20aoi</x:v>
      </x:c>
      <x:c r="B2378" s="10" t="n">
        <x:v>20</x:v>
      </x:c>
      <x:c r="C2378" s="10" t="n">
        <x:v>44</x:v>
      </x:c>
      <x:c r="D2378" s="10" t="str">
        <x:v>M1 / M3</x:v>
      </x:c>
      <x:c r="E2378" s="16" t="n">
        <x:v>2</x:v>
      </x:c>
      <x:c r="F2378" s="14" t="n">
        <x:v>30</x:v>
      </x:c>
      <x:c r="G2378" s="26" t="n">
        <x:f>'成本明细'!U350+'成本明细'!G350*(E2378-'参数'!$B$6)</x:f>
        <x:v>2452.8584607344446</x:v>
      </x:c>
      <x:c r="H2378" s="26" t="n">
        <x:f>'成本明细'!U356</x:f>
        <x:v>3674.0483427688887</x:v>
      </x:c>
      <x:c r="I2378" s="26" t="n">
        <x:f>'成本明细'!V356</x:f>
        <x:v>6497</x:v>
      </x:c>
      <x:c r="J2378" s="22" t="n">
        <x:f>'参数'!$B$9</x:f>
        <x:v>300</x:v>
      </x:c>
      <x:c r="K2378" s="26" t="n">
        <x:f>J2378*(G2378-H2378)-I2378*ROUNDUP(J2378/F2378,0)</x:f>
        <x:v>-431326.9646103332</x:v>
      </x:c>
      <x:c r="L2378" s="10" t="str">
        <x:f>IF(G2378-H2378&lt;=0,"未回本",IF(ROUNDUP(I2378/(G2378-H2378),0)&gt;MIN(F2378,J2378),"未回本",MAX(1,ROUNDUP(I2378/(G2378-H2378),0))))</x:f>
        <x:v>未回本</x:v>
      </x:c>
    </x:row>
    <x:row r="2379" ht="22" customHeight="1">
      <x:c r="A2379" s="11" t="str">
        <x:v>lade_0829_20aoi</x:v>
      </x:c>
      <x:c r="B2379" s="10" t="n">
        <x:v>20</x:v>
      </x:c>
      <x:c r="C2379" s="10" t="n">
        <x:v>44</x:v>
      </x:c>
      <x:c r="D2379" s="10" t="str">
        <x:v>M2 / M4</x:v>
      </x:c>
      <x:c r="E2379" s="16" t="n">
        <x:v>2</x:v>
      </x:c>
      <x:c r="F2379" s="14" t="n">
        <x:v>30</x:v>
      </x:c>
      <x:c r="G2379" s="26" t="n">
        <x:f>'成本明细'!U353+'成本明细'!G353*(E2379-'参数'!$B$6)</x:f>
        <x:v>2530.6267509850004</x:v>
      </x:c>
      <x:c r="H2379" s="26" t="n">
        <x:f>'成本明细'!U359</x:f>
        <x:v>3646.088604367778</x:v>
      </x:c>
      <x:c r="I2379" s="26" t="n">
        <x:f>'成本明细'!V359</x:f>
        <x:v>6497</x:v>
      </x:c>
      <x:c r="J2379" s="22" t="n">
        <x:f>'参数'!$B$9</x:f>
        <x:v>300</x:v>
      </x:c>
      <x:c r="K2379" s="26" t="n">
        <x:f>J2379*(G2379-H2379)-I2379*ROUNDUP(J2379/F2379,0)</x:f>
        <x:v>-399608.5560148332</x:v>
      </x:c>
      <x:c r="L2379" s="10" t="str">
        <x:f>IF(G2379-H2379&lt;=0,"未回本",IF(ROUNDUP(I2379/(G2379-H2379),0)&gt;MIN(F2379,J2379),"未回本",MAX(1,ROUNDUP(I2379/(G2379-H2379),0))))</x:f>
        <x:v>未回本</x:v>
      </x:c>
    </x:row>
    <x:row r="2380" ht="22" customHeight="1">
      <x:c r="A2380" s="11" t="str">
        <x:v>lade_0829_20aoi</x:v>
      </x:c>
      <x:c r="B2380" s="10" t="n">
        <x:v>20</x:v>
      </x:c>
      <x:c r="C2380" s="10" t="n">
        <x:v>44</x:v>
      </x:c>
      <x:c r="D2380" s="10" t="str">
        <x:v>M1 / M3</x:v>
      </x:c>
      <x:c r="E2380" s="16" t="n">
        <x:v>2</x:v>
      </x:c>
      <x:c r="F2380" s="14" t="n">
        <x:v>50</x:v>
      </x:c>
      <x:c r="G2380" s="26" t="n">
        <x:f>'成本明细'!U350+'成本明细'!G350*(E2380-'参数'!$B$6)</x:f>
        <x:v>2452.8584607344446</x:v>
      </x:c>
      <x:c r="H2380" s="26" t="n">
        <x:f>'成本明细'!U356</x:f>
        <x:v>3674.0483427688887</x:v>
      </x:c>
      <x:c r="I2380" s="26" t="n">
        <x:f>'成本明细'!V356</x:f>
        <x:v>6497</x:v>
      </x:c>
      <x:c r="J2380" s="22" t="n">
        <x:f>'参数'!$B$9</x:f>
        <x:v>300</x:v>
      </x:c>
      <x:c r="K2380" s="26" t="n">
        <x:f>J2380*(G2380-H2380)-I2380*ROUNDUP(J2380/F2380,0)</x:f>
        <x:v>-405338.9646103332</x:v>
      </x:c>
      <x:c r="L2380" s="10" t="str">
        <x:f>IF(G2380-H2380&lt;=0,"未回本",IF(ROUNDUP(I2380/(G2380-H2380),0)&gt;MIN(F2380,J2380),"未回本",MAX(1,ROUNDUP(I2380/(G2380-H2380),0))))</x:f>
        <x:v>未回本</x:v>
      </x:c>
    </x:row>
    <x:row r="2381" ht="22" customHeight="1">
      <x:c r="A2381" s="11" t="str">
        <x:v>lade_0829_20aoi</x:v>
      </x:c>
      <x:c r="B2381" s="10" t="n">
        <x:v>20</x:v>
      </x:c>
      <x:c r="C2381" s="10" t="n">
        <x:v>44</x:v>
      </x:c>
      <x:c r="D2381" s="10" t="str">
        <x:v>M2 / M4</x:v>
      </x:c>
      <x:c r="E2381" s="16" t="n">
        <x:v>2</x:v>
      </x:c>
      <x:c r="F2381" s="14" t="n">
        <x:v>50</x:v>
      </x:c>
      <x:c r="G2381" s="26" t="n">
        <x:f>'成本明细'!U353+'成本明细'!G353*(E2381-'参数'!$B$6)</x:f>
        <x:v>2530.6267509850004</x:v>
      </x:c>
      <x:c r="H2381" s="26" t="n">
        <x:f>'成本明细'!U359</x:f>
        <x:v>3646.088604367778</x:v>
      </x:c>
      <x:c r="I2381" s="26" t="n">
        <x:f>'成本明细'!V359</x:f>
        <x:v>6497</x:v>
      </x:c>
      <x:c r="J2381" s="22" t="n">
        <x:f>'参数'!$B$9</x:f>
        <x:v>300</x:v>
      </x:c>
      <x:c r="K2381" s="26" t="n">
        <x:f>J2381*(G2381-H2381)-I2381*ROUNDUP(J2381/F2381,0)</x:f>
        <x:v>-373620.5560148332</x:v>
      </x:c>
      <x:c r="L2381" s="10" t="str">
        <x:f>IF(G2381-H2381&lt;=0,"未回本",IF(ROUNDUP(I2381/(G2381-H2381),0)&gt;MIN(F2381,J2381),"未回本",MAX(1,ROUNDUP(I2381/(G2381-H2381),0))))</x:f>
        <x:v>未回本</x:v>
      </x:c>
    </x:row>
    <x:row r="2382" ht="22" customHeight="1">
      <x:c r="A2382" s="11" t="str">
        <x:v>lade_0829_20aoi</x:v>
      </x:c>
      <x:c r="B2382" s="10" t="n">
        <x:v>20</x:v>
      </x:c>
      <x:c r="C2382" s="10" t="n">
        <x:v>44</x:v>
      </x:c>
      <x:c r="D2382" s="10" t="str">
        <x:v>M1 / M3</x:v>
      </x:c>
      <x:c r="E2382" s="16" t="n">
        <x:v>3</x:v>
      </x:c>
      <x:c r="F2382" s="14" t="n">
        <x:v>10</x:v>
      </x:c>
      <x:c r="G2382" s="26" t="n">
        <x:f>'成本明细'!U350+'成本明细'!G350*(E2382-'参数'!$B$6)</x:f>
        <x:v>2630.8584607344446</x:v>
      </x:c>
      <x:c r="H2382" s="26" t="n">
        <x:f>'成本明细'!U356</x:f>
        <x:v>3674.0483427688887</x:v>
      </x:c>
      <x:c r="I2382" s="26" t="n">
        <x:f>'成本明细'!V356</x:f>
        <x:v>6497</x:v>
      </x:c>
      <x:c r="J2382" s="22" t="n">
        <x:f>'参数'!$B$9</x:f>
        <x:v>300</x:v>
      </x:c>
      <x:c r="K2382" s="26" t="n">
        <x:f>J2382*(G2382-H2382)-I2382*ROUNDUP(J2382/F2382,0)</x:f>
        <x:v>-507866.9646103332</x:v>
      </x:c>
      <x:c r="L2382" s="10" t="str">
        <x:f>IF(G2382-H2382&lt;=0,"未回本",IF(ROUNDUP(I2382/(G2382-H2382),0)&gt;MIN(F2382,J2382),"未回本",MAX(1,ROUNDUP(I2382/(G2382-H2382),0))))</x:f>
        <x:v>未回本</x:v>
      </x:c>
    </x:row>
    <x:row r="2383" ht="22" customHeight="1">
      <x:c r="A2383" s="11" t="str">
        <x:v>lade_0829_20aoi</x:v>
      </x:c>
      <x:c r="B2383" s="10" t="n">
        <x:v>20</x:v>
      </x:c>
      <x:c r="C2383" s="10" t="n">
        <x:v>44</x:v>
      </x:c>
      <x:c r="D2383" s="10" t="str">
        <x:v>M2 / M4</x:v>
      </x:c>
      <x:c r="E2383" s="16" t="n">
        <x:v>3</x:v>
      </x:c>
      <x:c r="F2383" s="14" t="n">
        <x:v>10</x:v>
      </x:c>
      <x:c r="G2383" s="26" t="n">
        <x:f>'成本明细'!U353+'成本明细'!G353*(E2383-'参数'!$B$6)</x:f>
        <x:v>2708.6267509850004</x:v>
      </x:c>
      <x:c r="H2383" s="26" t="n">
        <x:f>'成本明细'!U359</x:f>
        <x:v>3646.088604367778</x:v>
      </x:c>
      <x:c r="I2383" s="26" t="n">
        <x:f>'成本明细'!V359</x:f>
        <x:v>6497</x:v>
      </x:c>
      <x:c r="J2383" s="22" t="n">
        <x:f>'参数'!$B$9</x:f>
        <x:v>300</x:v>
      </x:c>
      <x:c r="K2383" s="26" t="n">
        <x:f>J2383*(G2383-H2383)-I2383*ROUNDUP(J2383/F2383,0)</x:f>
        <x:v>-476148.5560148332</x:v>
      </x:c>
      <x:c r="L2383" s="10" t="str">
        <x:f>IF(G2383-H2383&lt;=0,"未回本",IF(ROUNDUP(I2383/(G2383-H2383),0)&gt;MIN(F2383,J2383),"未回本",MAX(1,ROUNDUP(I2383/(G2383-H2383),0))))</x:f>
        <x:v>未回本</x:v>
      </x:c>
    </x:row>
    <x:row r="2384" ht="22" customHeight="1">
      <x:c r="A2384" s="11" t="str">
        <x:v>lade_0829_20aoi</x:v>
      </x:c>
      <x:c r="B2384" s="10" t="n">
        <x:v>20</x:v>
      </x:c>
      <x:c r="C2384" s="10" t="n">
        <x:v>44</x:v>
      </x:c>
      <x:c r="D2384" s="10" t="str">
        <x:v>M1 / M3</x:v>
      </x:c>
      <x:c r="E2384" s="16" t="n">
        <x:v>3</x:v>
      </x:c>
      <x:c r="F2384" s="14" t="n">
        <x:v>20</x:v>
      </x:c>
      <x:c r="G2384" s="26" t="n">
        <x:f>'成本明细'!U350+'成本明细'!G350*(E2384-'参数'!$B$6)</x:f>
        <x:v>2630.8584607344446</x:v>
      </x:c>
      <x:c r="H2384" s="26" t="n">
        <x:f>'成本明细'!U356</x:f>
        <x:v>3674.0483427688887</x:v>
      </x:c>
      <x:c r="I2384" s="26" t="n">
        <x:f>'成本明细'!V356</x:f>
        <x:v>6497</x:v>
      </x:c>
      <x:c r="J2384" s="22" t="n">
        <x:f>'参数'!$B$9</x:f>
        <x:v>300</x:v>
      </x:c>
      <x:c r="K2384" s="26" t="n">
        <x:f>J2384*(G2384-H2384)-I2384*ROUNDUP(J2384/F2384,0)</x:f>
        <x:v>-410411.9646103332</x:v>
      </x:c>
      <x:c r="L2384" s="10" t="str">
        <x:f>IF(G2384-H2384&lt;=0,"未回本",IF(ROUNDUP(I2384/(G2384-H2384),0)&gt;MIN(F2384,J2384),"未回本",MAX(1,ROUNDUP(I2384/(G2384-H2384),0))))</x:f>
        <x:v>未回本</x:v>
      </x:c>
    </x:row>
    <x:row r="2385" ht="22" customHeight="1">
      <x:c r="A2385" s="11" t="str">
        <x:v>lade_0829_20aoi</x:v>
      </x:c>
      <x:c r="B2385" s="10" t="n">
        <x:v>20</x:v>
      </x:c>
      <x:c r="C2385" s="10" t="n">
        <x:v>44</x:v>
      </x:c>
      <x:c r="D2385" s="10" t="str">
        <x:v>M2 / M4</x:v>
      </x:c>
      <x:c r="E2385" s="16" t="n">
        <x:v>3</x:v>
      </x:c>
      <x:c r="F2385" s="14" t="n">
        <x:v>20</x:v>
      </x:c>
      <x:c r="G2385" s="26" t="n">
        <x:f>'成本明细'!U353+'成本明细'!G353*(E2385-'参数'!$B$6)</x:f>
        <x:v>2708.6267509850004</x:v>
      </x:c>
      <x:c r="H2385" s="26" t="n">
        <x:f>'成本明细'!U359</x:f>
        <x:v>3646.088604367778</x:v>
      </x:c>
      <x:c r="I2385" s="26" t="n">
        <x:f>'成本明细'!V359</x:f>
        <x:v>6497</x:v>
      </x:c>
      <x:c r="J2385" s="22" t="n">
        <x:f>'参数'!$B$9</x:f>
        <x:v>300</x:v>
      </x:c>
      <x:c r="K2385" s="26" t="n">
        <x:f>J2385*(G2385-H2385)-I2385*ROUNDUP(J2385/F2385,0)</x:f>
        <x:v>-378693.5560148332</x:v>
      </x:c>
      <x:c r="L2385" s="10" t="str">
        <x:f>IF(G2385-H2385&lt;=0,"未回本",IF(ROUNDUP(I2385/(G2385-H2385),0)&gt;MIN(F2385,J2385),"未回本",MAX(1,ROUNDUP(I2385/(G2385-H2385),0))))</x:f>
        <x:v>未回本</x:v>
      </x:c>
    </x:row>
    <x:row r="2386" ht="22" customHeight="1">
      <x:c r="A2386" s="11" t="str">
        <x:v>lade_0829_20aoi</x:v>
      </x:c>
      <x:c r="B2386" s="10" t="n">
        <x:v>20</x:v>
      </x:c>
      <x:c r="C2386" s="10" t="n">
        <x:v>44</x:v>
      </x:c>
      <x:c r="D2386" s="10" t="str">
        <x:v>M1 / M3</x:v>
      </x:c>
      <x:c r="E2386" s="16" t="n">
        <x:v>3</x:v>
      </x:c>
      <x:c r="F2386" s="14" t="n">
        <x:v>30</x:v>
      </x:c>
      <x:c r="G2386" s="26" t="n">
        <x:f>'成本明细'!U350+'成本明细'!G350*(E2386-'参数'!$B$6)</x:f>
        <x:v>2630.8584607344446</x:v>
      </x:c>
      <x:c r="H2386" s="26" t="n">
        <x:f>'成本明细'!U356</x:f>
        <x:v>3674.0483427688887</x:v>
      </x:c>
      <x:c r="I2386" s="26" t="n">
        <x:f>'成本明细'!V356</x:f>
        <x:v>6497</x:v>
      </x:c>
      <x:c r="J2386" s="22" t="n">
        <x:f>'参数'!$B$9</x:f>
        <x:v>300</x:v>
      </x:c>
      <x:c r="K2386" s="26" t="n">
        <x:f>J2386*(G2386-H2386)-I2386*ROUNDUP(J2386/F2386,0)</x:f>
        <x:v>-377926.9646103332</x:v>
      </x:c>
      <x:c r="L2386" s="10" t="str">
        <x:f>IF(G2386-H2386&lt;=0,"未回本",IF(ROUNDUP(I2386/(G2386-H2386),0)&gt;MIN(F2386,J2386),"未回本",MAX(1,ROUNDUP(I2386/(G2386-H2386),0))))</x:f>
        <x:v>未回本</x:v>
      </x:c>
    </x:row>
    <x:row r="2387" ht="22" customHeight="1">
      <x:c r="A2387" s="11" t="str">
        <x:v>lade_0829_20aoi</x:v>
      </x:c>
      <x:c r="B2387" s="10" t="n">
        <x:v>20</x:v>
      </x:c>
      <x:c r="C2387" s="10" t="n">
        <x:v>44</x:v>
      </x:c>
      <x:c r="D2387" s="10" t="str">
        <x:v>M2 / M4</x:v>
      </x:c>
      <x:c r="E2387" s="16" t="n">
        <x:v>3</x:v>
      </x:c>
      <x:c r="F2387" s="14" t="n">
        <x:v>30</x:v>
      </x:c>
      <x:c r="G2387" s="26" t="n">
        <x:f>'成本明细'!U353+'成本明细'!G353*(E2387-'参数'!$B$6)</x:f>
        <x:v>2708.6267509850004</x:v>
      </x:c>
      <x:c r="H2387" s="26" t="n">
        <x:f>'成本明细'!U359</x:f>
        <x:v>3646.088604367778</x:v>
      </x:c>
      <x:c r="I2387" s="26" t="n">
        <x:f>'成本明细'!V359</x:f>
        <x:v>6497</x:v>
      </x:c>
      <x:c r="J2387" s="22" t="n">
        <x:f>'参数'!$B$9</x:f>
        <x:v>300</x:v>
      </x:c>
      <x:c r="K2387" s="26" t="n">
        <x:f>J2387*(G2387-H2387)-I2387*ROUNDUP(J2387/F2387,0)</x:f>
        <x:v>-346208.5560148332</x:v>
      </x:c>
      <x:c r="L2387" s="10" t="str">
        <x:f>IF(G2387-H2387&lt;=0,"未回本",IF(ROUNDUP(I2387/(G2387-H2387),0)&gt;MIN(F2387,J2387),"未回本",MAX(1,ROUNDUP(I2387/(G2387-H2387),0))))</x:f>
        <x:v>未回本</x:v>
      </x:c>
    </x:row>
    <x:row r="2388" ht="22" customHeight="1">
      <x:c r="A2388" s="11" t="str">
        <x:v>lade_0829_20aoi</x:v>
      </x:c>
      <x:c r="B2388" s="10" t="n">
        <x:v>20</x:v>
      </x:c>
      <x:c r="C2388" s="10" t="n">
        <x:v>44</x:v>
      </x:c>
      <x:c r="D2388" s="10" t="str">
        <x:v>M1 / M3</x:v>
      </x:c>
      <x:c r="E2388" s="16" t="n">
        <x:v>3</x:v>
      </x:c>
      <x:c r="F2388" s="14" t="n">
        <x:v>50</x:v>
      </x:c>
      <x:c r="G2388" s="26" t="n">
        <x:f>'成本明细'!U350+'成本明细'!G350*(E2388-'参数'!$B$6)</x:f>
        <x:v>2630.8584607344446</x:v>
      </x:c>
      <x:c r="H2388" s="26" t="n">
        <x:f>'成本明细'!U356</x:f>
        <x:v>3674.0483427688887</x:v>
      </x:c>
      <x:c r="I2388" s="26" t="n">
        <x:f>'成本明细'!V356</x:f>
        <x:v>6497</x:v>
      </x:c>
      <x:c r="J2388" s="22" t="n">
        <x:f>'参数'!$B$9</x:f>
        <x:v>300</x:v>
      </x:c>
      <x:c r="K2388" s="26" t="n">
        <x:f>J2388*(G2388-H2388)-I2388*ROUNDUP(J2388/F2388,0)</x:f>
        <x:v>-351938.9646103332</x:v>
      </x:c>
      <x:c r="L2388" s="10" t="str">
        <x:f>IF(G2388-H2388&lt;=0,"未回本",IF(ROUNDUP(I2388/(G2388-H2388),0)&gt;MIN(F2388,J2388),"未回本",MAX(1,ROUNDUP(I2388/(G2388-H2388),0))))</x:f>
        <x:v>未回本</x:v>
      </x:c>
    </x:row>
    <x:row r="2389" ht="22" customHeight="1">
      <x:c r="A2389" s="11" t="str">
        <x:v>lade_0829_20aoi</x:v>
      </x:c>
      <x:c r="B2389" s="10" t="n">
        <x:v>20</x:v>
      </x:c>
      <x:c r="C2389" s="10" t="n">
        <x:v>44</x:v>
      </x:c>
      <x:c r="D2389" s="10" t="str">
        <x:v>M2 / M4</x:v>
      </x:c>
      <x:c r="E2389" s="16" t="n">
        <x:v>3</x:v>
      </x:c>
      <x:c r="F2389" s="14" t="n">
        <x:v>50</x:v>
      </x:c>
      <x:c r="G2389" s="26" t="n">
        <x:f>'成本明细'!U353+'成本明细'!G353*(E2389-'参数'!$B$6)</x:f>
        <x:v>2708.6267509850004</x:v>
      </x:c>
      <x:c r="H2389" s="26" t="n">
        <x:f>'成本明细'!U359</x:f>
        <x:v>3646.088604367778</x:v>
      </x:c>
      <x:c r="I2389" s="26" t="n">
        <x:f>'成本明细'!V359</x:f>
        <x:v>6497</x:v>
      </x:c>
      <x:c r="J2389" s="22" t="n">
        <x:f>'参数'!$B$9</x:f>
        <x:v>300</x:v>
      </x:c>
      <x:c r="K2389" s="26" t="n">
        <x:f>J2389*(G2389-H2389)-I2389*ROUNDUP(J2389/F2389,0)</x:f>
        <x:v>-320220.5560148332</x:v>
      </x:c>
      <x:c r="L2389" s="10" t="str">
        <x:f>IF(G2389-H2389&lt;=0,"未回本",IF(ROUNDUP(I2389/(G2389-H2389),0)&gt;MIN(F2389,J2389),"未回本",MAX(1,ROUNDUP(I2389/(G2389-H2389),0))))</x:f>
        <x:v>未回本</x:v>
      </x:c>
    </x:row>
    <x:row r="2390" ht="22" customHeight="1">
      <x:c r="A2390" s="11" t="str">
        <x:v>lade_0829_20aoi</x:v>
      </x:c>
      <x:c r="B2390" s="10" t="n">
        <x:v>20</x:v>
      </x:c>
      <x:c r="C2390" s="10" t="n">
        <x:v>44</x:v>
      </x:c>
      <x:c r="D2390" s="10" t="str">
        <x:v>M1 / M3</x:v>
      </x:c>
      <x:c r="E2390" s="16" t="n">
        <x:v>4</x:v>
      </x:c>
      <x:c r="F2390" s="14" t="n">
        <x:v>10</x:v>
      </x:c>
      <x:c r="G2390" s="26" t="n">
        <x:f>'成本明细'!U350+'成本明细'!G350*(E2390-'参数'!$B$6)</x:f>
        <x:v>2808.8584607344446</x:v>
      </x:c>
      <x:c r="H2390" s="26" t="n">
        <x:f>'成本明细'!U356</x:f>
        <x:v>3674.0483427688887</x:v>
      </x:c>
      <x:c r="I2390" s="26" t="n">
        <x:f>'成本明细'!V356</x:f>
        <x:v>6497</x:v>
      </x:c>
      <x:c r="J2390" s="22" t="n">
        <x:f>'参数'!$B$9</x:f>
        <x:v>300</x:v>
      </x:c>
      <x:c r="K2390" s="26" t="n">
        <x:f>J2390*(G2390-H2390)-I2390*ROUNDUP(J2390/F2390,0)</x:f>
        <x:v>-454466.9646103332</x:v>
      </x:c>
      <x:c r="L2390" s="10" t="str">
        <x:f>IF(G2390-H2390&lt;=0,"未回本",IF(ROUNDUP(I2390/(G2390-H2390),0)&gt;MIN(F2390,J2390),"未回本",MAX(1,ROUNDUP(I2390/(G2390-H2390),0))))</x:f>
        <x:v>未回本</x:v>
      </x:c>
    </x:row>
    <x:row r="2391" ht="22" customHeight="1">
      <x:c r="A2391" s="11" t="str">
        <x:v>lade_0829_20aoi</x:v>
      </x:c>
      <x:c r="B2391" s="10" t="n">
        <x:v>20</x:v>
      </x:c>
      <x:c r="C2391" s="10" t="n">
        <x:v>44</x:v>
      </x:c>
      <x:c r="D2391" s="10" t="str">
        <x:v>M2 / M4</x:v>
      </x:c>
      <x:c r="E2391" s="16" t="n">
        <x:v>4</x:v>
      </x:c>
      <x:c r="F2391" s="14" t="n">
        <x:v>10</x:v>
      </x:c>
      <x:c r="G2391" s="26" t="n">
        <x:f>'成本明细'!U353+'成本明细'!G353*(E2391-'参数'!$B$6)</x:f>
        <x:v>2886.6267509850004</x:v>
      </x:c>
      <x:c r="H2391" s="26" t="n">
        <x:f>'成本明细'!U359</x:f>
        <x:v>3646.088604367778</x:v>
      </x:c>
      <x:c r="I2391" s="26" t="n">
        <x:f>'成本明细'!V359</x:f>
        <x:v>6497</x:v>
      </x:c>
      <x:c r="J2391" s="22" t="n">
        <x:f>'参数'!$B$9</x:f>
        <x:v>300</x:v>
      </x:c>
      <x:c r="K2391" s="26" t="n">
        <x:f>J2391*(G2391-H2391)-I2391*ROUNDUP(J2391/F2391,0)</x:f>
        <x:v>-422748.5560148333</x:v>
      </x:c>
      <x:c r="L2391" s="10" t="str">
        <x:f>IF(G2391-H2391&lt;=0,"未回本",IF(ROUNDUP(I2391/(G2391-H2391),0)&gt;MIN(F2391,J2391),"未回本",MAX(1,ROUNDUP(I2391/(G2391-H2391),0))))</x:f>
        <x:v>未回本</x:v>
      </x:c>
    </x:row>
    <x:row r="2392" ht="22" customHeight="1">
      <x:c r="A2392" s="11" t="str">
        <x:v>lade_0829_20aoi</x:v>
      </x:c>
      <x:c r="B2392" s="10" t="n">
        <x:v>20</x:v>
      </x:c>
      <x:c r="C2392" s="10" t="n">
        <x:v>44</x:v>
      </x:c>
      <x:c r="D2392" s="10" t="str">
        <x:v>M1 / M3</x:v>
      </x:c>
      <x:c r="E2392" s="16" t="n">
        <x:v>4</x:v>
      </x:c>
      <x:c r="F2392" s="14" t="n">
        <x:v>20</x:v>
      </x:c>
      <x:c r="G2392" s="26" t="n">
        <x:f>'成本明细'!U350+'成本明细'!G350*(E2392-'参数'!$B$6)</x:f>
        <x:v>2808.8584607344446</x:v>
      </x:c>
      <x:c r="H2392" s="26" t="n">
        <x:f>'成本明细'!U356</x:f>
        <x:v>3674.0483427688887</x:v>
      </x:c>
      <x:c r="I2392" s="26" t="n">
        <x:f>'成本明细'!V356</x:f>
        <x:v>6497</x:v>
      </x:c>
      <x:c r="J2392" s="22" t="n">
        <x:f>'参数'!$B$9</x:f>
        <x:v>300</x:v>
      </x:c>
      <x:c r="K2392" s="26" t="n">
        <x:f>J2392*(G2392-H2392)-I2392*ROUNDUP(J2392/F2392,0)</x:f>
        <x:v>-357011.9646103332</x:v>
      </x:c>
      <x:c r="L2392" s="10" t="str">
        <x:f>IF(G2392-H2392&lt;=0,"未回本",IF(ROUNDUP(I2392/(G2392-H2392),0)&gt;MIN(F2392,J2392),"未回本",MAX(1,ROUNDUP(I2392/(G2392-H2392),0))))</x:f>
        <x:v>未回本</x:v>
      </x:c>
    </x:row>
    <x:row r="2393" ht="22" customHeight="1">
      <x:c r="A2393" s="11" t="str">
        <x:v>lade_0829_20aoi</x:v>
      </x:c>
      <x:c r="B2393" s="10" t="n">
        <x:v>20</x:v>
      </x:c>
      <x:c r="C2393" s="10" t="n">
        <x:v>44</x:v>
      </x:c>
      <x:c r="D2393" s="10" t="str">
        <x:v>M2 / M4</x:v>
      </x:c>
      <x:c r="E2393" s="16" t="n">
        <x:v>4</x:v>
      </x:c>
      <x:c r="F2393" s="14" t="n">
        <x:v>20</x:v>
      </x:c>
      <x:c r="G2393" s="26" t="n">
        <x:f>'成本明细'!U353+'成本明细'!G353*(E2393-'参数'!$B$6)</x:f>
        <x:v>2886.6267509850004</x:v>
      </x:c>
      <x:c r="H2393" s="26" t="n">
        <x:f>'成本明细'!U359</x:f>
        <x:v>3646.088604367778</x:v>
      </x:c>
      <x:c r="I2393" s="26" t="n">
        <x:f>'成本明细'!V359</x:f>
        <x:v>6497</x:v>
      </x:c>
      <x:c r="J2393" s="22" t="n">
        <x:f>'参数'!$B$9</x:f>
        <x:v>300</x:v>
      </x:c>
      <x:c r="K2393" s="26" t="n">
        <x:f>J2393*(G2393-H2393)-I2393*ROUNDUP(J2393/F2393,0)</x:f>
        <x:v>-325293.5560148333</x:v>
      </x:c>
      <x:c r="L2393" s="10" t="str">
        <x:f>IF(G2393-H2393&lt;=0,"未回本",IF(ROUNDUP(I2393/(G2393-H2393),0)&gt;MIN(F2393,J2393),"未回本",MAX(1,ROUNDUP(I2393/(G2393-H2393),0))))</x:f>
        <x:v>未回本</x:v>
      </x:c>
    </x:row>
    <x:row r="2394" ht="22" customHeight="1">
      <x:c r="A2394" s="11" t="str">
        <x:v>lade_0829_20aoi</x:v>
      </x:c>
      <x:c r="B2394" s="10" t="n">
        <x:v>20</x:v>
      </x:c>
      <x:c r="C2394" s="10" t="n">
        <x:v>44</x:v>
      </x:c>
      <x:c r="D2394" s="10" t="str">
        <x:v>M1 / M3</x:v>
      </x:c>
      <x:c r="E2394" s="16" t="n">
        <x:v>4</x:v>
      </x:c>
      <x:c r="F2394" s="14" t="n">
        <x:v>30</x:v>
      </x:c>
      <x:c r="G2394" s="26" t="n">
        <x:f>'成本明细'!U350+'成本明细'!G350*(E2394-'参数'!$B$6)</x:f>
        <x:v>2808.8584607344446</x:v>
      </x:c>
      <x:c r="H2394" s="26" t="n">
        <x:f>'成本明细'!U356</x:f>
        <x:v>3674.0483427688887</x:v>
      </x:c>
      <x:c r="I2394" s="26" t="n">
        <x:f>'成本明细'!V356</x:f>
        <x:v>6497</x:v>
      </x:c>
      <x:c r="J2394" s="22" t="n">
        <x:f>'参数'!$B$9</x:f>
        <x:v>300</x:v>
      </x:c>
      <x:c r="K2394" s="26" t="n">
        <x:f>J2394*(G2394-H2394)-I2394*ROUNDUP(J2394/F2394,0)</x:f>
        <x:v>-324526.9646103332</x:v>
      </x:c>
      <x:c r="L2394" s="10" t="str">
        <x:f>IF(G2394-H2394&lt;=0,"未回本",IF(ROUNDUP(I2394/(G2394-H2394),0)&gt;MIN(F2394,J2394),"未回本",MAX(1,ROUNDUP(I2394/(G2394-H2394),0))))</x:f>
        <x:v>未回本</x:v>
      </x:c>
    </x:row>
    <x:row r="2395" ht="22" customHeight="1">
      <x:c r="A2395" s="11" t="str">
        <x:v>lade_0829_20aoi</x:v>
      </x:c>
      <x:c r="B2395" s="10" t="n">
        <x:v>20</x:v>
      </x:c>
      <x:c r="C2395" s="10" t="n">
        <x:v>44</x:v>
      </x:c>
      <x:c r="D2395" s="10" t="str">
        <x:v>M2 / M4</x:v>
      </x:c>
      <x:c r="E2395" s="16" t="n">
        <x:v>4</x:v>
      </x:c>
      <x:c r="F2395" s="14" t="n">
        <x:v>30</x:v>
      </x:c>
      <x:c r="G2395" s="26" t="n">
        <x:f>'成本明细'!U353+'成本明细'!G353*(E2395-'参数'!$B$6)</x:f>
        <x:v>2886.6267509850004</x:v>
      </x:c>
      <x:c r="H2395" s="26" t="n">
        <x:f>'成本明细'!U359</x:f>
        <x:v>3646.088604367778</x:v>
      </x:c>
      <x:c r="I2395" s="26" t="n">
        <x:f>'成本明细'!V359</x:f>
        <x:v>6497</x:v>
      </x:c>
      <x:c r="J2395" s="22" t="n">
        <x:f>'参数'!$B$9</x:f>
        <x:v>300</x:v>
      </x:c>
      <x:c r="K2395" s="26" t="n">
        <x:f>J2395*(G2395-H2395)-I2395*ROUNDUP(J2395/F2395,0)</x:f>
        <x:v>-292808.5560148333</x:v>
      </x:c>
      <x:c r="L2395" s="10" t="str">
        <x:f>IF(G2395-H2395&lt;=0,"未回本",IF(ROUNDUP(I2395/(G2395-H2395),0)&gt;MIN(F2395,J2395),"未回本",MAX(1,ROUNDUP(I2395/(G2395-H2395),0))))</x:f>
        <x:v>未回本</x:v>
      </x:c>
    </x:row>
    <x:row r="2396" ht="22" customHeight="1">
      <x:c r="A2396" s="11" t="str">
        <x:v>lade_0829_20aoi</x:v>
      </x:c>
      <x:c r="B2396" s="10" t="n">
        <x:v>20</x:v>
      </x:c>
      <x:c r="C2396" s="10" t="n">
        <x:v>44</x:v>
      </x:c>
      <x:c r="D2396" s="10" t="str">
        <x:v>M1 / M3</x:v>
      </x:c>
      <x:c r="E2396" s="16" t="n">
        <x:v>4</x:v>
      </x:c>
      <x:c r="F2396" s="14" t="n">
        <x:v>50</x:v>
      </x:c>
      <x:c r="G2396" s="26" t="n">
        <x:f>'成本明细'!U350+'成本明细'!G350*(E2396-'参数'!$B$6)</x:f>
        <x:v>2808.8584607344446</x:v>
      </x:c>
      <x:c r="H2396" s="26" t="n">
        <x:f>'成本明细'!U356</x:f>
        <x:v>3674.0483427688887</x:v>
      </x:c>
      <x:c r="I2396" s="26" t="n">
        <x:f>'成本明细'!V356</x:f>
        <x:v>6497</x:v>
      </x:c>
      <x:c r="J2396" s="22" t="n">
        <x:f>'参数'!$B$9</x:f>
        <x:v>300</x:v>
      </x:c>
      <x:c r="K2396" s="26" t="n">
        <x:f>J2396*(G2396-H2396)-I2396*ROUNDUP(J2396/F2396,0)</x:f>
        <x:v>-298538.9646103332</x:v>
      </x:c>
      <x:c r="L2396" s="10" t="str">
        <x:f>IF(G2396-H2396&lt;=0,"未回本",IF(ROUNDUP(I2396/(G2396-H2396),0)&gt;MIN(F2396,J2396),"未回本",MAX(1,ROUNDUP(I2396/(G2396-H2396),0))))</x:f>
        <x:v>未回本</x:v>
      </x:c>
    </x:row>
    <x:row r="2397" ht="22" customHeight="1">
      <x:c r="A2397" s="11" t="str">
        <x:v>lade_0829_20aoi</x:v>
      </x:c>
      <x:c r="B2397" s="10" t="n">
        <x:v>20</x:v>
      </x:c>
      <x:c r="C2397" s="10" t="n">
        <x:v>44</x:v>
      </x:c>
      <x:c r="D2397" s="10" t="str">
        <x:v>M2 / M4</x:v>
      </x:c>
      <x:c r="E2397" s="16" t="n">
        <x:v>4</x:v>
      </x:c>
      <x:c r="F2397" s="14" t="n">
        <x:v>50</x:v>
      </x:c>
      <x:c r="G2397" s="26" t="n">
        <x:f>'成本明细'!U353+'成本明细'!G353*(E2397-'参数'!$B$6)</x:f>
        <x:v>2886.6267509850004</x:v>
      </x:c>
      <x:c r="H2397" s="26" t="n">
        <x:f>'成本明细'!U359</x:f>
        <x:v>3646.088604367778</x:v>
      </x:c>
      <x:c r="I2397" s="26" t="n">
        <x:f>'成本明细'!V359</x:f>
        <x:v>6497</x:v>
      </x:c>
      <x:c r="J2397" s="22" t="n">
        <x:f>'参数'!$B$9</x:f>
        <x:v>300</x:v>
      </x:c>
      <x:c r="K2397" s="26" t="n">
        <x:f>J2397*(G2397-H2397)-I2397*ROUNDUP(J2397/F2397,0)</x:f>
        <x:v>-266820.5560148333</x:v>
      </x:c>
      <x:c r="L2397" s="10" t="str">
        <x:f>IF(G2397-H2397&lt;=0,"未回本",IF(ROUNDUP(I2397/(G2397-H2397),0)&gt;MIN(F2397,J2397),"未回本",MAX(1,ROUNDUP(I2397/(G2397-H2397),0))))</x:f>
        <x:v>未回本</x:v>
      </x:c>
    </x:row>
    <x:row r="2398" ht="22" customHeight="1">
      <x:c r="A2398" s="11" t="str">
        <x:v>lade_0829_20aoi</x:v>
      </x:c>
      <x:c r="B2398" s="10" t="n">
        <x:v>20</x:v>
      </x:c>
      <x:c r="C2398" s="10" t="n">
        <x:v>44</x:v>
      </x:c>
      <x:c r="D2398" s="10" t="str">
        <x:v>M1 / M3</x:v>
      </x:c>
      <x:c r="E2398" s="16" t="n">
        <x:v>5</x:v>
      </x:c>
      <x:c r="F2398" s="14" t="n">
        <x:v>10</x:v>
      </x:c>
      <x:c r="G2398" s="26" t="n">
        <x:f>'成本明细'!U350+'成本明细'!G350*(E2398-'参数'!$B$6)</x:f>
        <x:v>2986.8584607344446</x:v>
      </x:c>
      <x:c r="H2398" s="26" t="n">
        <x:f>'成本明细'!U356</x:f>
        <x:v>3674.0483427688887</x:v>
      </x:c>
      <x:c r="I2398" s="26" t="n">
        <x:f>'成本明细'!V356</x:f>
        <x:v>6497</x:v>
      </x:c>
      <x:c r="J2398" s="22" t="n">
        <x:f>'参数'!$B$9</x:f>
        <x:v>300</x:v>
      </x:c>
      <x:c r="K2398" s="26" t="n">
        <x:f>J2398*(G2398-H2398)-I2398*ROUNDUP(J2398/F2398,0)</x:f>
        <x:v>-401066.9646103332</x:v>
      </x:c>
      <x:c r="L2398" s="10" t="str">
        <x:f>IF(G2398-H2398&lt;=0,"未回本",IF(ROUNDUP(I2398/(G2398-H2398),0)&gt;MIN(F2398,J2398),"未回本",MAX(1,ROUNDUP(I2398/(G2398-H2398),0))))</x:f>
        <x:v>未回本</x:v>
      </x:c>
    </x:row>
    <x:row r="2399" ht="22" customHeight="1">
      <x:c r="A2399" s="11" t="str">
        <x:v>lade_0829_20aoi</x:v>
      </x:c>
      <x:c r="B2399" s="10" t="n">
        <x:v>20</x:v>
      </x:c>
      <x:c r="C2399" s="10" t="n">
        <x:v>44</x:v>
      </x:c>
      <x:c r="D2399" s="10" t="str">
        <x:v>M2 / M4</x:v>
      </x:c>
      <x:c r="E2399" s="16" t="n">
        <x:v>5</x:v>
      </x:c>
      <x:c r="F2399" s="14" t="n">
        <x:v>10</x:v>
      </x:c>
      <x:c r="G2399" s="26" t="n">
        <x:f>'成本明细'!U353+'成本明细'!G353*(E2399-'参数'!$B$6)</x:f>
        <x:v>3064.6267509850004</x:v>
      </x:c>
      <x:c r="H2399" s="26" t="n">
        <x:f>'成本明细'!U359</x:f>
        <x:v>3646.088604367778</x:v>
      </x:c>
      <x:c r="I2399" s="26" t="n">
        <x:f>'成本明细'!V359</x:f>
        <x:v>6497</x:v>
      </x:c>
      <x:c r="J2399" s="22" t="n">
        <x:f>'参数'!$B$9</x:f>
        <x:v>300</x:v>
      </x:c>
      <x:c r="K2399" s="26" t="n">
        <x:f>J2399*(G2399-H2399)-I2399*ROUNDUP(J2399/F2399,0)</x:f>
        <x:v>-369348.5560148333</x:v>
      </x:c>
      <x:c r="L2399" s="10" t="str">
        <x:f>IF(G2399-H2399&lt;=0,"未回本",IF(ROUNDUP(I2399/(G2399-H2399),0)&gt;MIN(F2399,J2399),"未回本",MAX(1,ROUNDUP(I2399/(G2399-H2399),0))))</x:f>
        <x:v>未回本</x:v>
      </x:c>
    </x:row>
    <x:row r="2400" ht="22" customHeight="1">
      <x:c r="A2400" s="11" t="str">
        <x:v>lade_0829_20aoi</x:v>
      </x:c>
      <x:c r="B2400" s="10" t="n">
        <x:v>20</x:v>
      </x:c>
      <x:c r="C2400" s="10" t="n">
        <x:v>44</x:v>
      </x:c>
      <x:c r="D2400" s="10" t="str">
        <x:v>M1 / M3</x:v>
      </x:c>
      <x:c r="E2400" s="16" t="n">
        <x:v>5</x:v>
      </x:c>
      <x:c r="F2400" s="14" t="n">
        <x:v>20</x:v>
      </x:c>
      <x:c r="G2400" s="26" t="n">
        <x:f>'成本明细'!U350+'成本明细'!G350*(E2400-'参数'!$B$6)</x:f>
        <x:v>2986.8584607344446</x:v>
      </x:c>
      <x:c r="H2400" s="26" t="n">
        <x:f>'成本明细'!U356</x:f>
        <x:v>3674.0483427688887</x:v>
      </x:c>
      <x:c r="I2400" s="26" t="n">
        <x:f>'成本明细'!V356</x:f>
        <x:v>6497</x:v>
      </x:c>
      <x:c r="J2400" s="22" t="n">
        <x:f>'参数'!$B$9</x:f>
        <x:v>300</x:v>
      </x:c>
      <x:c r="K2400" s="26" t="n">
        <x:f>J2400*(G2400-H2400)-I2400*ROUNDUP(J2400/F2400,0)</x:f>
        <x:v>-303611.9646103332</x:v>
      </x:c>
      <x:c r="L2400" s="10" t="str">
        <x:f>IF(G2400-H2400&lt;=0,"未回本",IF(ROUNDUP(I2400/(G2400-H2400),0)&gt;MIN(F2400,J2400),"未回本",MAX(1,ROUNDUP(I2400/(G2400-H2400),0))))</x:f>
        <x:v>未回本</x:v>
      </x:c>
    </x:row>
    <x:row r="2401" ht="22" customHeight="1">
      <x:c r="A2401" s="11" t="str">
        <x:v>lade_0829_20aoi</x:v>
      </x:c>
      <x:c r="B2401" s="10" t="n">
        <x:v>20</x:v>
      </x:c>
      <x:c r="C2401" s="10" t="n">
        <x:v>44</x:v>
      </x:c>
      <x:c r="D2401" s="10" t="str">
        <x:v>M2 / M4</x:v>
      </x:c>
      <x:c r="E2401" s="16" t="n">
        <x:v>5</x:v>
      </x:c>
      <x:c r="F2401" s="14" t="n">
        <x:v>20</x:v>
      </x:c>
      <x:c r="G2401" s="26" t="n">
        <x:f>'成本明细'!U353+'成本明细'!G353*(E2401-'参数'!$B$6)</x:f>
        <x:v>3064.6267509850004</x:v>
      </x:c>
      <x:c r="H2401" s="26" t="n">
        <x:f>'成本明细'!U359</x:f>
        <x:v>3646.088604367778</x:v>
      </x:c>
      <x:c r="I2401" s="26" t="n">
        <x:f>'成本明细'!V359</x:f>
        <x:v>6497</x:v>
      </x:c>
      <x:c r="J2401" s="22" t="n">
        <x:f>'参数'!$B$9</x:f>
        <x:v>300</x:v>
      </x:c>
      <x:c r="K2401" s="26" t="n">
        <x:f>J2401*(G2401-H2401)-I2401*ROUNDUP(J2401/F2401,0)</x:f>
        <x:v>-271893.5560148333</x:v>
      </x:c>
      <x:c r="L2401" s="10" t="str">
        <x:f>IF(G2401-H2401&lt;=0,"未回本",IF(ROUNDUP(I2401/(G2401-H2401),0)&gt;MIN(F2401,J2401),"未回本",MAX(1,ROUNDUP(I2401/(G2401-H2401),0))))</x:f>
        <x:v>未回本</x:v>
      </x:c>
    </x:row>
    <x:row r="2402" ht="22" customHeight="1">
      <x:c r="A2402" s="11" t="str">
        <x:v>lade_0829_20aoi</x:v>
      </x:c>
      <x:c r="B2402" s="10" t="n">
        <x:v>20</x:v>
      </x:c>
      <x:c r="C2402" s="10" t="n">
        <x:v>44</x:v>
      </x:c>
      <x:c r="D2402" s="10" t="str">
        <x:v>M1 / M3</x:v>
      </x:c>
      <x:c r="E2402" s="16" t="n">
        <x:v>5</x:v>
      </x:c>
      <x:c r="F2402" s="14" t="n">
        <x:v>30</x:v>
      </x:c>
      <x:c r="G2402" s="26" t="n">
        <x:f>'成本明细'!U350+'成本明细'!G350*(E2402-'参数'!$B$6)</x:f>
        <x:v>2986.8584607344446</x:v>
      </x:c>
      <x:c r="H2402" s="26" t="n">
        <x:f>'成本明细'!U356</x:f>
        <x:v>3674.0483427688887</x:v>
      </x:c>
      <x:c r="I2402" s="26" t="n">
        <x:f>'成本明细'!V356</x:f>
        <x:v>6497</x:v>
      </x:c>
      <x:c r="J2402" s="22" t="n">
        <x:f>'参数'!$B$9</x:f>
        <x:v>300</x:v>
      </x:c>
      <x:c r="K2402" s="26" t="n">
        <x:f>J2402*(G2402-H2402)-I2402*ROUNDUP(J2402/F2402,0)</x:f>
        <x:v>-271126.9646103332</x:v>
      </x:c>
      <x:c r="L2402" s="10" t="str">
        <x:f>IF(G2402-H2402&lt;=0,"未回本",IF(ROUNDUP(I2402/(G2402-H2402),0)&gt;MIN(F2402,J2402),"未回本",MAX(1,ROUNDUP(I2402/(G2402-H2402),0))))</x:f>
        <x:v>未回本</x:v>
      </x:c>
    </x:row>
    <x:row r="2403" ht="22" customHeight="1">
      <x:c r="A2403" s="11" t="str">
        <x:v>lade_0829_20aoi</x:v>
      </x:c>
      <x:c r="B2403" s="10" t="n">
        <x:v>20</x:v>
      </x:c>
      <x:c r="C2403" s="10" t="n">
        <x:v>44</x:v>
      </x:c>
      <x:c r="D2403" s="10" t="str">
        <x:v>M2 / M4</x:v>
      </x:c>
      <x:c r="E2403" s="16" t="n">
        <x:v>5</x:v>
      </x:c>
      <x:c r="F2403" s="14" t="n">
        <x:v>30</x:v>
      </x:c>
      <x:c r="G2403" s="26" t="n">
        <x:f>'成本明细'!U353+'成本明细'!G353*(E2403-'参数'!$B$6)</x:f>
        <x:v>3064.6267509850004</x:v>
      </x:c>
      <x:c r="H2403" s="26" t="n">
        <x:f>'成本明细'!U359</x:f>
        <x:v>3646.088604367778</x:v>
      </x:c>
      <x:c r="I2403" s="26" t="n">
        <x:f>'成本明细'!V359</x:f>
        <x:v>6497</x:v>
      </x:c>
      <x:c r="J2403" s="22" t="n">
        <x:f>'参数'!$B$9</x:f>
        <x:v>300</x:v>
      </x:c>
      <x:c r="K2403" s="26" t="n">
        <x:f>J2403*(G2403-H2403)-I2403*ROUNDUP(J2403/F2403,0)</x:f>
        <x:v>-239408.55601483324</x:v>
      </x:c>
      <x:c r="L2403" s="10" t="str">
        <x:f>IF(G2403-H2403&lt;=0,"未回本",IF(ROUNDUP(I2403/(G2403-H2403),0)&gt;MIN(F2403,J2403),"未回本",MAX(1,ROUNDUP(I2403/(G2403-H2403),0))))</x:f>
        <x:v>未回本</x:v>
      </x:c>
    </x:row>
    <x:row r="2404" ht="22" customHeight="1">
      <x:c r="A2404" s="11" t="str">
        <x:v>lade_0829_20aoi</x:v>
      </x:c>
      <x:c r="B2404" s="10" t="n">
        <x:v>20</x:v>
      </x:c>
      <x:c r="C2404" s="10" t="n">
        <x:v>44</x:v>
      </x:c>
      <x:c r="D2404" s="10" t="str">
        <x:v>M1 / M3</x:v>
      </x:c>
      <x:c r="E2404" s="16" t="n">
        <x:v>5</x:v>
      </x:c>
      <x:c r="F2404" s="14" t="n">
        <x:v>50</x:v>
      </x:c>
      <x:c r="G2404" s="26" t="n">
        <x:f>'成本明细'!U350+'成本明细'!G350*(E2404-'参数'!$B$6)</x:f>
        <x:v>2986.8584607344446</x:v>
      </x:c>
      <x:c r="H2404" s="26" t="n">
        <x:f>'成本明细'!U356</x:f>
        <x:v>3674.0483427688887</x:v>
      </x:c>
      <x:c r="I2404" s="26" t="n">
        <x:f>'成本明细'!V356</x:f>
        <x:v>6497</x:v>
      </x:c>
      <x:c r="J2404" s="22" t="n">
        <x:f>'参数'!$B$9</x:f>
        <x:v>300</x:v>
      </x:c>
      <x:c r="K2404" s="26" t="n">
        <x:f>J2404*(G2404-H2404)-I2404*ROUNDUP(J2404/F2404,0)</x:f>
        <x:v>-245138.9646103332</x:v>
      </x:c>
      <x:c r="L2404" s="10" t="str">
        <x:f>IF(G2404-H2404&lt;=0,"未回本",IF(ROUNDUP(I2404/(G2404-H2404),0)&gt;MIN(F2404,J2404),"未回本",MAX(1,ROUNDUP(I2404/(G2404-H2404),0))))</x:f>
        <x:v>未回本</x:v>
      </x:c>
    </x:row>
    <x:row r="2405" ht="22" customHeight="1">
      <x:c r="A2405" s="11" t="str">
        <x:v>lade_0829_20aoi</x:v>
      </x:c>
      <x:c r="B2405" s="10" t="n">
        <x:v>20</x:v>
      </x:c>
      <x:c r="C2405" s="10" t="n">
        <x:v>44</x:v>
      </x:c>
      <x:c r="D2405" s="10" t="str">
        <x:v>M2 / M4</x:v>
      </x:c>
      <x:c r="E2405" s="16" t="n">
        <x:v>5</x:v>
      </x:c>
      <x:c r="F2405" s="14" t="n">
        <x:v>50</x:v>
      </x:c>
      <x:c r="G2405" s="26" t="n">
        <x:f>'成本明细'!U353+'成本明细'!G353*(E2405-'参数'!$B$6)</x:f>
        <x:v>3064.6267509850004</x:v>
      </x:c>
      <x:c r="H2405" s="26" t="n">
        <x:f>'成本明细'!U359</x:f>
        <x:v>3646.088604367778</x:v>
      </x:c>
      <x:c r="I2405" s="26" t="n">
        <x:f>'成本明细'!V359</x:f>
        <x:v>6497</x:v>
      </x:c>
      <x:c r="J2405" s="22" t="n">
        <x:f>'参数'!$B$9</x:f>
        <x:v>300</x:v>
      </x:c>
      <x:c r="K2405" s="26" t="n">
        <x:f>J2405*(G2405-H2405)-I2405*ROUNDUP(J2405/F2405,0)</x:f>
        <x:v>-213420.55601483324</x:v>
      </x:c>
      <x:c r="L2405" s="10" t="str">
        <x:f>IF(G2405-H2405&lt;=0,"未回本",IF(ROUNDUP(I2405/(G2405-H2405),0)&gt;MIN(F2405,J2405),"未回本",MAX(1,ROUNDUP(I2405/(G2405-H2405),0))))</x:f>
        <x:v>未回本</x:v>
      </x:c>
    </x:row>
    <x:row r="2406" ht="22" customHeight="1">
      <x:c r="A2406" s="11" t="str">
        <x:v>lade_0829_30aoi</x:v>
      </x:c>
      <x:c r="B2406" s="10" t="n">
        <x:v>30</x:v>
      </x:c>
      <x:c r="C2406" s="10" t="n">
        <x:v>42</x:v>
      </x:c>
      <x:c r="D2406" s="10" t="str">
        <x:v>M1 / M3</x:v>
      </x:c>
      <x:c r="E2406" s="16" t="n">
        <x:v>1</x:v>
      </x:c>
      <x:c r="F2406" s="14" t="n">
        <x:v>10</x:v>
      </x:c>
      <x:c r="G2406" s="26" t="n">
        <x:f>'成本明细'!U366+'成本明细'!G366*(E2406-'参数'!$B$6)</x:f>
        <x:v>2693.1342447805555</x:v>
      </x:c>
      <x:c r="H2406" s="26" t="n">
        <x:f>'成本明细'!U372</x:f>
        <x:v>4027.9009913377777</x:v>
      </x:c>
      <x:c r="I2406" s="26" t="n">
        <x:f>'成本明细'!V372</x:f>
        <x:v>8577.5</x:v>
      </x:c>
      <x:c r="J2406" s="22" t="n">
        <x:f>'参数'!$B$9</x:f>
        <x:v>300</x:v>
      </x:c>
      <x:c r="K2406" s="26" t="n">
        <x:f>J2406*(G2406-H2406)-I2406*ROUNDUP(J2406/F2406,0)</x:f>
        <x:v>-657755.0239671667</x:v>
      </x:c>
      <x:c r="L2406" s="10" t="str">
        <x:f>IF(G2406-H2406&lt;=0,"未回本",IF(ROUNDUP(I2406/(G2406-H2406),0)&gt;MIN(F2406,J2406),"未回本",MAX(1,ROUNDUP(I2406/(G2406-H2406),0))))</x:f>
        <x:v>未回本</x:v>
      </x:c>
    </x:row>
    <x:row r="2407" ht="22" customHeight="1">
      <x:c r="A2407" s="11" t="str">
        <x:v>lade_0829_30aoi</x:v>
      </x:c>
      <x:c r="B2407" s="10" t="n">
        <x:v>30</x:v>
      </x:c>
      <x:c r="C2407" s="10" t="n">
        <x:v>42</x:v>
      </x:c>
      <x:c r="D2407" s="10" t="str">
        <x:v>M2 / M4</x:v>
      </x:c>
      <x:c r="E2407" s="16" t="n">
        <x:v>1</x:v>
      </x:c>
      <x:c r="F2407" s="14" t="n">
        <x:v>10</x:v>
      </x:c>
      <x:c r="G2407" s="26" t="n">
        <x:f>'成本明细'!U369+'成本明细'!G369*(E2407-'参数'!$B$6)</x:f>
        <x:v>2264.0131921383336</x:v>
      </x:c>
      <x:c r="H2407" s="26" t="n">
        <x:f>'成本明细'!U375</x:f>
        <x:v>4030.8475010211114</x:v>
      </x:c>
      <x:c r="I2407" s="26" t="n">
        <x:f>'成本明细'!V375</x:f>
        <x:v>8577.5</x:v>
      </x:c>
      <x:c r="J2407" s="22" t="n">
        <x:f>'参数'!$B$9</x:f>
        <x:v>300</x:v>
      </x:c>
      <x:c r="K2407" s="26" t="n">
        <x:f>J2407*(G2407-H2407)-I2407*ROUNDUP(J2407/F2407,0)</x:f>
        <x:v>-787375.2926648334</x:v>
      </x:c>
      <x:c r="L2407" s="10" t="str">
        <x:f>IF(G2407-H2407&lt;=0,"未回本",IF(ROUNDUP(I2407/(G2407-H2407),0)&gt;MIN(F2407,J2407),"未回本",MAX(1,ROUNDUP(I2407/(G2407-H2407),0))))</x:f>
        <x:v>未回本</x:v>
      </x:c>
    </x:row>
    <x:row r="2408" ht="22" customHeight="1">
      <x:c r="A2408" s="11" t="str">
        <x:v>lade_0829_30aoi</x:v>
      </x:c>
      <x:c r="B2408" s="10" t="n">
        <x:v>30</x:v>
      </x:c>
      <x:c r="C2408" s="10" t="n">
        <x:v>42</x:v>
      </x:c>
      <x:c r="D2408" s="10" t="str">
        <x:v>M1 / M3</x:v>
      </x:c>
      <x:c r="E2408" s="16" t="n">
        <x:v>1</x:v>
      </x:c>
      <x:c r="F2408" s="14" t="n">
        <x:v>20</x:v>
      </x:c>
      <x:c r="G2408" s="26" t="n">
        <x:f>'成本明细'!U366+'成本明细'!G366*(E2408-'参数'!$B$6)</x:f>
        <x:v>2693.1342447805555</x:v>
      </x:c>
      <x:c r="H2408" s="26" t="n">
        <x:f>'成本明细'!U372</x:f>
        <x:v>4027.9009913377777</x:v>
      </x:c>
      <x:c r="I2408" s="26" t="n">
        <x:f>'成本明细'!V372</x:f>
        <x:v>8577.5</x:v>
      </x:c>
      <x:c r="J2408" s="22" t="n">
        <x:f>'参数'!$B$9</x:f>
        <x:v>300</x:v>
      </x:c>
      <x:c r="K2408" s="26" t="n">
        <x:f>J2408*(G2408-H2408)-I2408*ROUNDUP(J2408/F2408,0)</x:f>
        <x:v>-529092.5239671667</x:v>
      </x:c>
      <x:c r="L2408" s="10" t="str">
        <x:f>IF(G2408-H2408&lt;=0,"未回本",IF(ROUNDUP(I2408/(G2408-H2408),0)&gt;MIN(F2408,J2408),"未回本",MAX(1,ROUNDUP(I2408/(G2408-H2408),0))))</x:f>
        <x:v>未回本</x:v>
      </x:c>
    </x:row>
    <x:row r="2409" ht="22" customHeight="1">
      <x:c r="A2409" s="11" t="str">
        <x:v>lade_0829_30aoi</x:v>
      </x:c>
      <x:c r="B2409" s="10" t="n">
        <x:v>30</x:v>
      </x:c>
      <x:c r="C2409" s="10" t="n">
        <x:v>42</x:v>
      </x:c>
      <x:c r="D2409" s="10" t="str">
        <x:v>M2 / M4</x:v>
      </x:c>
      <x:c r="E2409" s="16" t="n">
        <x:v>1</x:v>
      </x:c>
      <x:c r="F2409" s="14" t="n">
        <x:v>20</x:v>
      </x:c>
      <x:c r="G2409" s="26" t="n">
        <x:f>'成本明细'!U369+'成本明细'!G369*(E2409-'参数'!$B$6)</x:f>
        <x:v>2264.0131921383336</x:v>
      </x:c>
      <x:c r="H2409" s="26" t="n">
        <x:f>'成本明细'!U375</x:f>
        <x:v>4030.8475010211114</x:v>
      </x:c>
      <x:c r="I2409" s="26" t="n">
        <x:f>'成本明细'!V375</x:f>
        <x:v>8577.5</x:v>
      </x:c>
      <x:c r="J2409" s="22" t="n">
        <x:f>'参数'!$B$9</x:f>
        <x:v>300</x:v>
      </x:c>
      <x:c r="K2409" s="26" t="n">
        <x:f>J2409*(G2409-H2409)-I2409*ROUNDUP(J2409/F2409,0)</x:f>
        <x:v>-658712.7926648334</x:v>
      </x:c>
      <x:c r="L2409" s="10" t="str">
        <x:f>IF(G2409-H2409&lt;=0,"未回本",IF(ROUNDUP(I2409/(G2409-H2409),0)&gt;MIN(F2409,J2409),"未回本",MAX(1,ROUNDUP(I2409/(G2409-H2409),0))))</x:f>
        <x:v>未回本</x:v>
      </x:c>
    </x:row>
    <x:row r="2410" ht="22" customHeight="1">
      <x:c r="A2410" s="11" t="str">
        <x:v>lade_0829_30aoi</x:v>
      </x:c>
      <x:c r="B2410" s="10" t="n">
        <x:v>30</x:v>
      </x:c>
      <x:c r="C2410" s="10" t="n">
        <x:v>42</x:v>
      </x:c>
      <x:c r="D2410" s="10" t="str">
        <x:v>M1 / M3</x:v>
      </x:c>
      <x:c r="E2410" s="16" t="n">
        <x:v>1</x:v>
      </x:c>
      <x:c r="F2410" s="14" t="n">
        <x:v>30</x:v>
      </x:c>
      <x:c r="G2410" s="26" t="n">
        <x:f>'成本明细'!U366+'成本明细'!G366*(E2410-'参数'!$B$6)</x:f>
        <x:v>2693.1342447805555</x:v>
      </x:c>
      <x:c r="H2410" s="26" t="n">
        <x:f>'成本明细'!U372</x:f>
        <x:v>4027.9009913377777</x:v>
      </x:c>
      <x:c r="I2410" s="26" t="n">
        <x:f>'成本明细'!V372</x:f>
        <x:v>8577.5</x:v>
      </x:c>
      <x:c r="J2410" s="22" t="n">
        <x:f>'参数'!$B$9</x:f>
        <x:v>300</x:v>
      </x:c>
      <x:c r="K2410" s="26" t="n">
        <x:f>J2410*(G2410-H2410)-I2410*ROUNDUP(J2410/F2410,0)</x:f>
        <x:v>-486205.02396716666</x:v>
      </x:c>
      <x:c r="L2410" s="10" t="str">
        <x:f>IF(G2410-H2410&lt;=0,"未回本",IF(ROUNDUP(I2410/(G2410-H2410),0)&gt;MIN(F2410,J2410),"未回本",MAX(1,ROUNDUP(I2410/(G2410-H2410),0))))</x:f>
        <x:v>未回本</x:v>
      </x:c>
    </x:row>
    <x:row r="2411" ht="22" customHeight="1">
      <x:c r="A2411" s="11" t="str">
        <x:v>lade_0829_30aoi</x:v>
      </x:c>
      <x:c r="B2411" s="10" t="n">
        <x:v>30</x:v>
      </x:c>
      <x:c r="C2411" s="10" t="n">
        <x:v>42</x:v>
      </x:c>
      <x:c r="D2411" s="10" t="str">
        <x:v>M2 / M4</x:v>
      </x:c>
      <x:c r="E2411" s="16" t="n">
        <x:v>1</x:v>
      </x:c>
      <x:c r="F2411" s="14" t="n">
        <x:v>30</x:v>
      </x:c>
      <x:c r="G2411" s="26" t="n">
        <x:f>'成本明细'!U369+'成本明细'!G369*(E2411-'参数'!$B$6)</x:f>
        <x:v>2264.0131921383336</x:v>
      </x:c>
      <x:c r="H2411" s="26" t="n">
        <x:f>'成本明细'!U375</x:f>
        <x:v>4030.8475010211114</x:v>
      </x:c>
      <x:c r="I2411" s="26" t="n">
        <x:f>'成本明细'!V375</x:f>
        <x:v>8577.5</x:v>
      </x:c>
      <x:c r="J2411" s="22" t="n">
        <x:f>'参数'!$B$9</x:f>
        <x:v>300</x:v>
      </x:c>
      <x:c r="K2411" s="26" t="n">
        <x:f>J2411*(G2411-H2411)-I2411*ROUNDUP(J2411/F2411,0)</x:f>
        <x:v>-615825.2926648334</x:v>
      </x:c>
      <x:c r="L2411" s="10" t="str">
        <x:f>IF(G2411-H2411&lt;=0,"未回本",IF(ROUNDUP(I2411/(G2411-H2411),0)&gt;MIN(F2411,J2411),"未回本",MAX(1,ROUNDUP(I2411/(G2411-H2411),0))))</x:f>
        <x:v>未回本</x:v>
      </x:c>
    </x:row>
    <x:row r="2412" ht="22" customHeight="1">
      <x:c r="A2412" s="11" t="str">
        <x:v>lade_0829_30aoi</x:v>
      </x:c>
      <x:c r="B2412" s="10" t="n">
        <x:v>30</x:v>
      </x:c>
      <x:c r="C2412" s="10" t="n">
        <x:v>42</x:v>
      </x:c>
      <x:c r="D2412" s="10" t="str">
        <x:v>M1 / M3</x:v>
      </x:c>
      <x:c r="E2412" s="16" t="n">
        <x:v>1</x:v>
      </x:c>
      <x:c r="F2412" s="14" t="n">
        <x:v>50</x:v>
      </x:c>
      <x:c r="G2412" s="26" t="n">
        <x:f>'成本明细'!U366+'成本明细'!G366*(E2412-'参数'!$B$6)</x:f>
        <x:v>2693.1342447805555</x:v>
      </x:c>
      <x:c r="H2412" s="26" t="n">
        <x:f>'成本明细'!U372</x:f>
        <x:v>4027.9009913377777</x:v>
      </x:c>
      <x:c r="I2412" s="26" t="n">
        <x:f>'成本明细'!V372</x:f>
        <x:v>8577.5</x:v>
      </x:c>
      <x:c r="J2412" s="22" t="n">
        <x:f>'参数'!$B$9</x:f>
        <x:v>300</x:v>
      </x:c>
      <x:c r="K2412" s="26" t="n">
        <x:f>J2412*(G2412-H2412)-I2412*ROUNDUP(J2412/F2412,0)</x:f>
        <x:v>-451895.02396716666</x:v>
      </x:c>
      <x:c r="L2412" s="10" t="str">
        <x:f>IF(G2412-H2412&lt;=0,"未回本",IF(ROUNDUP(I2412/(G2412-H2412),0)&gt;MIN(F2412,J2412),"未回本",MAX(1,ROUNDUP(I2412/(G2412-H2412),0))))</x:f>
        <x:v>未回本</x:v>
      </x:c>
    </x:row>
    <x:row r="2413" ht="22" customHeight="1">
      <x:c r="A2413" s="11" t="str">
        <x:v>lade_0829_30aoi</x:v>
      </x:c>
      <x:c r="B2413" s="10" t="n">
        <x:v>30</x:v>
      </x:c>
      <x:c r="C2413" s="10" t="n">
        <x:v>42</x:v>
      </x:c>
      <x:c r="D2413" s="10" t="str">
        <x:v>M2 / M4</x:v>
      </x:c>
      <x:c r="E2413" s="16" t="n">
        <x:v>1</x:v>
      </x:c>
      <x:c r="F2413" s="14" t="n">
        <x:v>50</x:v>
      </x:c>
      <x:c r="G2413" s="26" t="n">
        <x:f>'成本明细'!U369+'成本明细'!G369*(E2413-'参数'!$B$6)</x:f>
        <x:v>2264.0131921383336</x:v>
      </x:c>
      <x:c r="H2413" s="26" t="n">
        <x:f>'成本明细'!U375</x:f>
        <x:v>4030.8475010211114</x:v>
      </x:c>
      <x:c r="I2413" s="26" t="n">
        <x:f>'成本明细'!V375</x:f>
        <x:v>8577.5</x:v>
      </x:c>
      <x:c r="J2413" s="22" t="n">
        <x:f>'参数'!$B$9</x:f>
        <x:v>300</x:v>
      </x:c>
      <x:c r="K2413" s="26" t="n">
        <x:f>J2413*(G2413-H2413)-I2413*ROUNDUP(J2413/F2413,0)</x:f>
        <x:v>-581515.2926648334</x:v>
      </x:c>
      <x:c r="L2413" s="10" t="str">
        <x:f>IF(G2413-H2413&lt;=0,"未回本",IF(ROUNDUP(I2413/(G2413-H2413),0)&gt;MIN(F2413,J2413),"未回本",MAX(1,ROUNDUP(I2413/(G2413-H2413),0))))</x:f>
        <x:v>未回本</x:v>
      </x:c>
    </x:row>
    <x:row r="2414" ht="22" customHeight="1">
      <x:c r="A2414" s="11" t="str">
        <x:v>lade_0829_30aoi</x:v>
      </x:c>
      <x:c r="B2414" s="10" t="n">
        <x:v>30</x:v>
      </x:c>
      <x:c r="C2414" s="10" t="n">
        <x:v>42</x:v>
      </x:c>
      <x:c r="D2414" s="10" t="str">
        <x:v>M1 / M3</x:v>
      </x:c>
      <x:c r="E2414" s="16" t="n">
        <x:v>2</x:v>
      </x:c>
      <x:c r="F2414" s="14" t="n">
        <x:v>10</x:v>
      </x:c>
      <x:c r="G2414" s="26" t="n">
        <x:f>'成本明细'!U366+'成本明细'!G366*(E2414-'参数'!$B$6)</x:f>
        <x:v>2928.1342447805555</x:v>
      </x:c>
      <x:c r="H2414" s="26" t="n">
        <x:f>'成本明细'!U372</x:f>
        <x:v>4027.9009913377777</x:v>
      </x:c>
      <x:c r="I2414" s="26" t="n">
        <x:f>'成本明细'!V372</x:f>
        <x:v>8577.5</x:v>
      </x:c>
      <x:c r="J2414" s="22" t="n">
        <x:f>'参数'!$B$9</x:f>
        <x:v>300</x:v>
      </x:c>
      <x:c r="K2414" s="26" t="n">
        <x:f>J2414*(G2414-H2414)-I2414*ROUNDUP(J2414/F2414,0)</x:f>
        <x:v>-587255.0239671667</x:v>
      </x:c>
      <x:c r="L2414" s="10" t="str">
        <x:f>IF(G2414-H2414&lt;=0,"未回本",IF(ROUNDUP(I2414/(G2414-H2414),0)&gt;MIN(F2414,J2414),"未回本",MAX(1,ROUNDUP(I2414/(G2414-H2414),0))))</x:f>
        <x:v>未回本</x:v>
      </x:c>
    </x:row>
    <x:row r="2415" ht="22" customHeight="1">
      <x:c r="A2415" s="11" t="str">
        <x:v>lade_0829_30aoi</x:v>
      </x:c>
      <x:c r="B2415" s="10" t="n">
        <x:v>30</x:v>
      </x:c>
      <x:c r="C2415" s="10" t="n">
        <x:v>42</x:v>
      </x:c>
      <x:c r="D2415" s="10" t="str">
        <x:v>M2 / M4</x:v>
      </x:c>
      <x:c r="E2415" s="16" t="n">
        <x:v>2</x:v>
      </x:c>
      <x:c r="F2415" s="14" t="n">
        <x:v>10</x:v>
      </x:c>
      <x:c r="G2415" s="26" t="n">
        <x:f>'成本明细'!U369+'成本明细'!G369*(E2415-'参数'!$B$6)</x:f>
        <x:v>2499.0131921383336</x:v>
      </x:c>
      <x:c r="H2415" s="26" t="n">
        <x:f>'成本明细'!U375</x:f>
        <x:v>4030.8475010211114</x:v>
      </x:c>
      <x:c r="I2415" s="26" t="n">
        <x:f>'成本明细'!V375</x:f>
        <x:v>8577.5</x:v>
      </x:c>
      <x:c r="J2415" s="22" t="n">
        <x:f>'参数'!$B$9</x:f>
        <x:v>300</x:v>
      </x:c>
      <x:c r="K2415" s="26" t="n">
        <x:f>J2415*(G2415-H2415)-I2415*ROUNDUP(J2415/F2415,0)</x:f>
        <x:v>-716875.2926648334</x:v>
      </x:c>
      <x:c r="L2415" s="10" t="str">
        <x:f>IF(G2415-H2415&lt;=0,"未回本",IF(ROUNDUP(I2415/(G2415-H2415),0)&gt;MIN(F2415,J2415),"未回本",MAX(1,ROUNDUP(I2415/(G2415-H2415),0))))</x:f>
        <x:v>未回本</x:v>
      </x:c>
    </x:row>
    <x:row r="2416" ht="22" customHeight="1">
      <x:c r="A2416" s="11" t="str">
        <x:v>lade_0829_30aoi</x:v>
      </x:c>
      <x:c r="B2416" s="10" t="n">
        <x:v>30</x:v>
      </x:c>
      <x:c r="C2416" s="10" t="n">
        <x:v>42</x:v>
      </x:c>
      <x:c r="D2416" s="10" t="str">
        <x:v>M1 / M3</x:v>
      </x:c>
      <x:c r="E2416" s="16" t="n">
        <x:v>2</x:v>
      </x:c>
      <x:c r="F2416" s="14" t="n">
        <x:v>20</x:v>
      </x:c>
      <x:c r="G2416" s="26" t="n">
        <x:f>'成本明细'!U366+'成本明细'!G366*(E2416-'参数'!$B$6)</x:f>
        <x:v>2928.1342447805555</x:v>
      </x:c>
      <x:c r="H2416" s="26" t="n">
        <x:f>'成本明细'!U372</x:f>
        <x:v>4027.9009913377777</x:v>
      </x:c>
      <x:c r="I2416" s="26" t="n">
        <x:f>'成本明细'!V372</x:f>
        <x:v>8577.5</x:v>
      </x:c>
      <x:c r="J2416" s="22" t="n">
        <x:f>'参数'!$B$9</x:f>
        <x:v>300</x:v>
      </x:c>
      <x:c r="K2416" s="26" t="n">
        <x:f>J2416*(G2416-H2416)-I2416*ROUNDUP(J2416/F2416,0)</x:f>
        <x:v>-458592.52396716666</x:v>
      </x:c>
      <x:c r="L2416" s="10" t="str">
        <x:f>IF(G2416-H2416&lt;=0,"未回本",IF(ROUNDUP(I2416/(G2416-H2416),0)&gt;MIN(F2416,J2416),"未回本",MAX(1,ROUNDUP(I2416/(G2416-H2416),0))))</x:f>
        <x:v>未回本</x:v>
      </x:c>
    </x:row>
    <x:row r="2417" ht="22" customHeight="1">
      <x:c r="A2417" s="11" t="str">
        <x:v>lade_0829_30aoi</x:v>
      </x:c>
      <x:c r="B2417" s="10" t="n">
        <x:v>30</x:v>
      </x:c>
      <x:c r="C2417" s="10" t="n">
        <x:v>42</x:v>
      </x:c>
      <x:c r="D2417" s="10" t="str">
        <x:v>M2 / M4</x:v>
      </x:c>
      <x:c r="E2417" s="16" t="n">
        <x:v>2</x:v>
      </x:c>
      <x:c r="F2417" s="14" t="n">
        <x:v>20</x:v>
      </x:c>
      <x:c r="G2417" s="26" t="n">
        <x:f>'成本明细'!U369+'成本明细'!G369*(E2417-'参数'!$B$6)</x:f>
        <x:v>2499.0131921383336</x:v>
      </x:c>
      <x:c r="H2417" s="26" t="n">
        <x:f>'成本明细'!U375</x:f>
        <x:v>4030.8475010211114</x:v>
      </x:c>
      <x:c r="I2417" s="26" t="n">
        <x:f>'成本明细'!V375</x:f>
        <x:v>8577.5</x:v>
      </x:c>
      <x:c r="J2417" s="22" t="n">
        <x:f>'参数'!$B$9</x:f>
        <x:v>300</x:v>
      </x:c>
      <x:c r="K2417" s="26" t="n">
        <x:f>J2417*(G2417-H2417)-I2417*ROUNDUP(J2417/F2417,0)</x:f>
        <x:v>-588212.7926648334</x:v>
      </x:c>
      <x:c r="L2417" s="10" t="str">
        <x:f>IF(G2417-H2417&lt;=0,"未回本",IF(ROUNDUP(I2417/(G2417-H2417),0)&gt;MIN(F2417,J2417),"未回本",MAX(1,ROUNDUP(I2417/(G2417-H2417),0))))</x:f>
        <x:v>未回本</x:v>
      </x:c>
    </x:row>
    <x:row r="2418" ht="22" customHeight="1">
      <x:c r="A2418" s="11" t="str">
        <x:v>lade_0829_30aoi</x:v>
      </x:c>
      <x:c r="B2418" s="10" t="n">
        <x:v>30</x:v>
      </x:c>
      <x:c r="C2418" s="10" t="n">
        <x:v>42</x:v>
      </x:c>
      <x:c r="D2418" s="10" t="str">
        <x:v>M1 / M3</x:v>
      </x:c>
      <x:c r="E2418" s="16" t="n">
        <x:v>2</x:v>
      </x:c>
      <x:c r="F2418" s="14" t="n">
        <x:v>30</x:v>
      </x:c>
      <x:c r="G2418" s="26" t="n">
        <x:f>'成本明细'!U366+'成本明细'!G366*(E2418-'参数'!$B$6)</x:f>
        <x:v>2928.1342447805555</x:v>
      </x:c>
      <x:c r="H2418" s="26" t="n">
        <x:f>'成本明细'!U372</x:f>
        <x:v>4027.9009913377777</x:v>
      </x:c>
      <x:c r="I2418" s="26" t="n">
        <x:f>'成本明细'!V372</x:f>
        <x:v>8577.5</x:v>
      </x:c>
      <x:c r="J2418" s="22" t="n">
        <x:f>'参数'!$B$9</x:f>
        <x:v>300</x:v>
      </x:c>
      <x:c r="K2418" s="26" t="n">
        <x:f>J2418*(G2418-H2418)-I2418*ROUNDUP(J2418/F2418,0)</x:f>
        <x:v>-415705.02396716666</x:v>
      </x:c>
      <x:c r="L2418" s="10" t="str">
        <x:f>IF(G2418-H2418&lt;=0,"未回本",IF(ROUNDUP(I2418/(G2418-H2418),0)&gt;MIN(F2418,J2418),"未回本",MAX(1,ROUNDUP(I2418/(G2418-H2418),0))))</x:f>
        <x:v>未回本</x:v>
      </x:c>
    </x:row>
    <x:row r="2419" ht="22" customHeight="1">
      <x:c r="A2419" s="11" t="str">
        <x:v>lade_0829_30aoi</x:v>
      </x:c>
      <x:c r="B2419" s="10" t="n">
        <x:v>30</x:v>
      </x:c>
      <x:c r="C2419" s="10" t="n">
        <x:v>42</x:v>
      </x:c>
      <x:c r="D2419" s="10" t="str">
        <x:v>M2 / M4</x:v>
      </x:c>
      <x:c r="E2419" s="16" t="n">
        <x:v>2</x:v>
      </x:c>
      <x:c r="F2419" s="14" t="n">
        <x:v>30</x:v>
      </x:c>
      <x:c r="G2419" s="26" t="n">
        <x:f>'成本明细'!U369+'成本明细'!G369*(E2419-'参数'!$B$6)</x:f>
        <x:v>2499.0131921383336</x:v>
      </x:c>
      <x:c r="H2419" s="26" t="n">
        <x:f>'成本明细'!U375</x:f>
        <x:v>4030.8475010211114</x:v>
      </x:c>
      <x:c r="I2419" s="26" t="n">
        <x:f>'成本明细'!V375</x:f>
        <x:v>8577.5</x:v>
      </x:c>
      <x:c r="J2419" s="22" t="n">
        <x:f>'参数'!$B$9</x:f>
        <x:v>300</x:v>
      </x:c>
      <x:c r="K2419" s="26" t="n">
        <x:f>J2419*(G2419-H2419)-I2419*ROUNDUP(J2419/F2419,0)</x:f>
        <x:v>-545325.2926648334</x:v>
      </x:c>
      <x:c r="L2419" s="10" t="str">
        <x:f>IF(G2419-H2419&lt;=0,"未回本",IF(ROUNDUP(I2419/(G2419-H2419),0)&gt;MIN(F2419,J2419),"未回本",MAX(1,ROUNDUP(I2419/(G2419-H2419),0))))</x:f>
        <x:v>未回本</x:v>
      </x:c>
    </x:row>
    <x:row r="2420" ht="22" customHeight="1">
      <x:c r="A2420" s="11" t="str">
        <x:v>lade_0829_30aoi</x:v>
      </x:c>
      <x:c r="B2420" s="10" t="n">
        <x:v>30</x:v>
      </x:c>
      <x:c r="C2420" s="10" t="n">
        <x:v>42</x:v>
      </x:c>
      <x:c r="D2420" s="10" t="str">
        <x:v>M1 / M3</x:v>
      </x:c>
      <x:c r="E2420" s="16" t="n">
        <x:v>2</x:v>
      </x:c>
      <x:c r="F2420" s="14" t="n">
        <x:v>50</x:v>
      </x:c>
      <x:c r="G2420" s="26" t="n">
        <x:f>'成本明细'!U366+'成本明细'!G366*(E2420-'参数'!$B$6)</x:f>
        <x:v>2928.1342447805555</x:v>
      </x:c>
      <x:c r="H2420" s="26" t="n">
        <x:f>'成本明细'!U372</x:f>
        <x:v>4027.9009913377777</x:v>
      </x:c>
      <x:c r="I2420" s="26" t="n">
        <x:f>'成本明细'!V372</x:f>
        <x:v>8577.5</x:v>
      </x:c>
      <x:c r="J2420" s="22" t="n">
        <x:f>'参数'!$B$9</x:f>
        <x:v>300</x:v>
      </x:c>
      <x:c r="K2420" s="26" t="n">
        <x:f>J2420*(G2420-H2420)-I2420*ROUNDUP(J2420/F2420,0)</x:f>
        <x:v>-381395.02396716666</x:v>
      </x:c>
      <x:c r="L2420" s="10" t="str">
        <x:f>IF(G2420-H2420&lt;=0,"未回本",IF(ROUNDUP(I2420/(G2420-H2420),0)&gt;MIN(F2420,J2420),"未回本",MAX(1,ROUNDUP(I2420/(G2420-H2420),0))))</x:f>
        <x:v>未回本</x:v>
      </x:c>
    </x:row>
    <x:row r="2421" ht="22" customHeight="1">
      <x:c r="A2421" s="11" t="str">
        <x:v>lade_0829_30aoi</x:v>
      </x:c>
      <x:c r="B2421" s="10" t="n">
        <x:v>30</x:v>
      </x:c>
      <x:c r="C2421" s="10" t="n">
        <x:v>42</x:v>
      </x:c>
      <x:c r="D2421" s="10" t="str">
        <x:v>M2 / M4</x:v>
      </x:c>
      <x:c r="E2421" s="16" t="n">
        <x:v>2</x:v>
      </x:c>
      <x:c r="F2421" s="14" t="n">
        <x:v>50</x:v>
      </x:c>
      <x:c r="G2421" s="26" t="n">
        <x:f>'成本明细'!U369+'成本明细'!G369*(E2421-'参数'!$B$6)</x:f>
        <x:v>2499.0131921383336</x:v>
      </x:c>
      <x:c r="H2421" s="26" t="n">
        <x:f>'成本明细'!U375</x:f>
        <x:v>4030.8475010211114</x:v>
      </x:c>
      <x:c r="I2421" s="26" t="n">
        <x:f>'成本明细'!V375</x:f>
        <x:v>8577.5</x:v>
      </x:c>
      <x:c r="J2421" s="22" t="n">
        <x:f>'参数'!$B$9</x:f>
        <x:v>300</x:v>
      </x:c>
      <x:c r="K2421" s="26" t="n">
        <x:f>J2421*(G2421-H2421)-I2421*ROUNDUP(J2421/F2421,0)</x:f>
        <x:v>-511015.29266483337</x:v>
      </x:c>
      <x:c r="L2421" s="10" t="str">
        <x:f>IF(G2421-H2421&lt;=0,"未回本",IF(ROUNDUP(I2421/(G2421-H2421),0)&gt;MIN(F2421,J2421),"未回本",MAX(1,ROUNDUP(I2421/(G2421-H2421),0))))</x:f>
        <x:v>未回本</x:v>
      </x:c>
    </x:row>
    <x:row r="2422" ht="22" customHeight="1">
      <x:c r="A2422" s="11" t="str">
        <x:v>lade_0829_30aoi</x:v>
      </x:c>
      <x:c r="B2422" s="10" t="n">
        <x:v>30</x:v>
      </x:c>
      <x:c r="C2422" s="10" t="n">
        <x:v>42</x:v>
      </x:c>
      <x:c r="D2422" s="10" t="str">
        <x:v>M1 / M3</x:v>
      </x:c>
      <x:c r="E2422" s="16" t="n">
        <x:v>3</x:v>
      </x:c>
      <x:c r="F2422" s="14" t="n">
        <x:v>10</x:v>
      </x:c>
      <x:c r="G2422" s="26" t="n">
        <x:f>'成本明细'!U366+'成本明细'!G366*(E2422-'参数'!$B$6)</x:f>
        <x:v>3163.1342447805555</x:v>
      </x:c>
      <x:c r="H2422" s="26" t="n">
        <x:f>'成本明细'!U372</x:f>
        <x:v>4027.9009913377777</x:v>
      </x:c>
      <x:c r="I2422" s="26" t="n">
        <x:f>'成本明细'!V372</x:f>
        <x:v>8577.5</x:v>
      </x:c>
      <x:c r="J2422" s="22" t="n">
        <x:f>'参数'!$B$9</x:f>
        <x:v>300</x:v>
      </x:c>
      <x:c r="K2422" s="26" t="n">
        <x:f>J2422*(G2422-H2422)-I2422*ROUNDUP(J2422/F2422,0)</x:f>
        <x:v>-516755.02396716666</x:v>
      </x:c>
      <x:c r="L2422" s="10" t="str">
        <x:f>IF(G2422-H2422&lt;=0,"未回本",IF(ROUNDUP(I2422/(G2422-H2422),0)&gt;MIN(F2422,J2422),"未回本",MAX(1,ROUNDUP(I2422/(G2422-H2422),0))))</x:f>
        <x:v>未回本</x:v>
      </x:c>
    </x:row>
    <x:row r="2423" ht="22" customHeight="1">
      <x:c r="A2423" s="11" t="str">
        <x:v>lade_0829_30aoi</x:v>
      </x:c>
      <x:c r="B2423" s="10" t="n">
        <x:v>30</x:v>
      </x:c>
      <x:c r="C2423" s="10" t="n">
        <x:v>42</x:v>
      </x:c>
      <x:c r="D2423" s="10" t="str">
        <x:v>M2 / M4</x:v>
      </x:c>
      <x:c r="E2423" s="16" t="n">
        <x:v>3</x:v>
      </x:c>
      <x:c r="F2423" s="14" t="n">
        <x:v>10</x:v>
      </x:c>
      <x:c r="G2423" s="26" t="n">
        <x:f>'成本明细'!U369+'成本明细'!G369*(E2423-'参数'!$B$6)</x:f>
        <x:v>2734.0131921383336</x:v>
      </x:c>
      <x:c r="H2423" s="26" t="n">
        <x:f>'成本明细'!U375</x:f>
        <x:v>4030.8475010211114</x:v>
      </x:c>
      <x:c r="I2423" s="26" t="n">
        <x:f>'成本明细'!V375</x:f>
        <x:v>8577.5</x:v>
      </x:c>
      <x:c r="J2423" s="22" t="n">
        <x:f>'参数'!$B$9</x:f>
        <x:v>300</x:v>
      </x:c>
      <x:c r="K2423" s="26" t="n">
        <x:f>J2423*(G2423-H2423)-I2423*ROUNDUP(J2423/F2423,0)</x:f>
        <x:v>-646375.2926648334</x:v>
      </x:c>
      <x:c r="L2423" s="10" t="str">
        <x:f>IF(G2423-H2423&lt;=0,"未回本",IF(ROUNDUP(I2423/(G2423-H2423),0)&gt;MIN(F2423,J2423),"未回本",MAX(1,ROUNDUP(I2423/(G2423-H2423),0))))</x:f>
        <x:v>未回本</x:v>
      </x:c>
    </x:row>
    <x:row r="2424" ht="22" customHeight="1">
      <x:c r="A2424" s="11" t="str">
        <x:v>lade_0829_30aoi</x:v>
      </x:c>
      <x:c r="B2424" s="10" t="n">
        <x:v>30</x:v>
      </x:c>
      <x:c r="C2424" s="10" t="n">
        <x:v>42</x:v>
      </x:c>
      <x:c r="D2424" s="10" t="str">
        <x:v>M1 / M3</x:v>
      </x:c>
      <x:c r="E2424" s="16" t="n">
        <x:v>3</x:v>
      </x:c>
      <x:c r="F2424" s="14" t="n">
        <x:v>20</x:v>
      </x:c>
      <x:c r="G2424" s="26" t="n">
        <x:f>'成本明细'!U366+'成本明细'!G366*(E2424-'参数'!$B$6)</x:f>
        <x:v>3163.1342447805555</x:v>
      </x:c>
      <x:c r="H2424" s="26" t="n">
        <x:f>'成本明细'!U372</x:f>
        <x:v>4027.9009913377777</x:v>
      </x:c>
      <x:c r="I2424" s="26" t="n">
        <x:f>'成本明细'!V372</x:f>
        <x:v>8577.5</x:v>
      </x:c>
      <x:c r="J2424" s="22" t="n">
        <x:f>'参数'!$B$9</x:f>
        <x:v>300</x:v>
      </x:c>
      <x:c r="K2424" s="26" t="n">
        <x:f>J2424*(G2424-H2424)-I2424*ROUNDUP(J2424/F2424,0)</x:f>
        <x:v>-388092.52396716666</x:v>
      </x:c>
      <x:c r="L2424" s="10" t="str">
        <x:f>IF(G2424-H2424&lt;=0,"未回本",IF(ROUNDUP(I2424/(G2424-H2424),0)&gt;MIN(F2424,J2424),"未回本",MAX(1,ROUNDUP(I2424/(G2424-H2424),0))))</x:f>
        <x:v>未回本</x:v>
      </x:c>
    </x:row>
    <x:row r="2425" ht="22" customHeight="1">
      <x:c r="A2425" s="11" t="str">
        <x:v>lade_0829_30aoi</x:v>
      </x:c>
      <x:c r="B2425" s="10" t="n">
        <x:v>30</x:v>
      </x:c>
      <x:c r="C2425" s="10" t="n">
        <x:v>42</x:v>
      </x:c>
      <x:c r="D2425" s="10" t="str">
        <x:v>M2 / M4</x:v>
      </x:c>
      <x:c r="E2425" s="16" t="n">
        <x:v>3</x:v>
      </x:c>
      <x:c r="F2425" s="14" t="n">
        <x:v>20</x:v>
      </x:c>
      <x:c r="G2425" s="26" t="n">
        <x:f>'成本明细'!U369+'成本明细'!G369*(E2425-'参数'!$B$6)</x:f>
        <x:v>2734.0131921383336</x:v>
      </x:c>
      <x:c r="H2425" s="26" t="n">
        <x:f>'成本明细'!U375</x:f>
        <x:v>4030.8475010211114</x:v>
      </x:c>
      <x:c r="I2425" s="26" t="n">
        <x:f>'成本明细'!V375</x:f>
        <x:v>8577.5</x:v>
      </x:c>
      <x:c r="J2425" s="22" t="n">
        <x:f>'参数'!$B$9</x:f>
        <x:v>300</x:v>
      </x:c>
      <x:c r="K2425" s="26" t="n">
        <x:f>J2425*(G2425-H2425)-I2425*ROUNDUP(J2425/F2425,0)</x:f>
        <x:v>-517712.79266483337</x:v>
      </x:c>
      <x:c r="L2425" s="10" t="str">
        <x:f>IF(G2425-H2425&lt;=0,"未回本",IF(ROUNDUP(I2425/(G2425-H2425),0)&gt;MIN(F2425,J2425),"未回本",MAX(1,ROUNDUP(I2425/(G2425-H2425),0))))</x:f>
        <x:v>未回本</x:v>
      </x:c>
    </x:row>
    <x:row r="2426" ht="22" customHeight="1">
      <x:c r="A2426" s="11" t="str">
        <x:v>lade_0829_30aoi</x:v>
      </x:c>
      <x:c r="B2426" s="10" t="n">
        <x:v>30</x:v>
      </x:c>
      <x:c r="C2426" s="10" t="n">
        <x:v>42</x:v>
      </x:c>
      <x:c r="D2426" s="10" t="str">
        <x:v>M1 / M3</x:v>
      </x:c>
      <x:c r="E2426" s="16" t="n">
        <x:v>3</x:v>
      </x:c>
      <x:c r="F2426" s="14" t="n">
        <x:v>30</x:v>
      </x:c>
      <x:c r="G2426" s="26" t="n">
        <x:f>'成本明细'!U366+'成本明细'!G366*(E2426-'参数'!$B$6)</x:f>
        <x:v>3163.1342447805555</x:v>
      </x:c>
      <x:c r="H2426" s="26" t="n">
        <x:f>'成本明细'!U372</x:f>
        <x:v>4027.9009913377777</x:v>
      </x:c>
      <x:c r="I2426" s="26" t="n">
        <x:f>'成本明细'!V372</x:f>
        <x:v>8577.5</x:v>
      </x:c>
      <x:c r="J2426" s="22" t="n">
        <x:f>'参数'!$B$9</x:f>
        <x:v>300</x:v>
      </x:c>
      <x:c r="K2426" s="26" t="n">
        <x:f>J2426*(G2426-H2426)-I2426*ROUNDUP(J2426/F2426,0)</x:f>
        <x:v>-345205.02396716666</x:v>
      </x:c>
      <x:c r="L2426" s="10" t="str">
        <x:f>IF(G2426-H2426&lt;=0,"未回本",IF(ROUNDUP(I2426/(G2426-H2426),0)&gt;MIN(F2426,J2426),"未回本",MAX(1,ROUNDUP(I2426/(G2426-H2426),0))))</x:f>
        <x:v>未回本</x:v>
      </x:c>
    </x:row>
    <x:row r="2427" ht="22" customHeight="1">
      <x:c r="A2427" s="11" t="str">
        <x:v>lade_0829_30aoi</x:v>
      </x:c>
      <x:c r="B2427" s="10" t="n">
        <x:v>30</x:v>
      </x:c>
      <x:c r="C2427" s="10" t="n">
        <x:v>42</x:v>
      </x:c>
      <x:c r="D2427" s="10" t="str">
        <x:v>M2 / M4</x:v>
      </x:c>
      <x:c r="E2427" s="16" t="n">
        <x:v>3</x:v>
      </x:c>
      <x:c r="F2427" s="14" t="n">
        <x:v>30</x:v>
      </x:c>
      <x:c r="G2427" s="26" t="n">
        <x:f>'成本明细'!U369+'成本明细'!G369*(E2427-'参数'!$B$6)</x:f>
        <x:v>2734.0131921383336</x:v>
      </x:c>
      <x:c r="H2427" s="26" t="n">
        <x:f>'成本明细'!U375</x:f>
        <x:v>4030.8475010211114</x:v>
      </x:c>
      <x:c r="I2427" s="26" t="n">
        <x:f>'成本明细'!V375</x:f>
        <x:v>8577.5</x:v>
      </x:c>
      <x:c r="J2427" s="22" t="n">
        <x:f>'参数'!$B$9</x:f>
        <x:v>300</x:v>
      </x:c>
      <x:c r="K2427" s="26" t="n">
        <x:f>J2427*(G2427-H2427)-I2427*ROUNDUP(J2427/F2427,0)</x:f>
        <x:v>-474825.29266483337</x:v>
      </x:c>
      <x:c r="L2427" s="10" t="str">
        <x:f>IF(G2427-H2427&lt;=0,"未回本",IF(ROUNDUP(I2427/(G2427-H2427),0)&gt;MIN(F2427,J2427),"未回本",MAX(1,ROUNDUP(I2427/(G2427-H2427),0))))</x:f>
        <x:v>未回本</x:v>
      </x:c>
    </x:row>
    <x:row r="2428" ht="22" customHeight="1">
      <x:c r="A2428" s="11" t="str">
        <x:v>lade_0829_30aoi</x:v>
      </x:c>
      <x:c r="B2428" s="10" t="n">
        <x:v>30</x:v>
      </x:c>
      <x:c r="C2428" s="10" t="n">
        <x:v>42</x:v>
      </x:c>
      <x:c r="D2428" s="10" t="str">
        <x:v>M1 / M3</x:v>
      </x:c>
      <x:c r="E2428" s="16" t="n">
        <x:v>3</x:v>
      </x:c>
      <x:c r="F2428" s="14" t="n">
        <x:v>50</x:v>
      </x:c>
      <x:c r="G2428" s="26" t="n">
        <x:f>'成本明细'!U366+'成本明细'!G366*(E2428-'参数'!$B$6)</x:f>
        <x:v>3163.1342447805555</x:v>
      </x:c>
      <x:c r="H2428" s="26" t="n">
        <x:f>'成本明细'!U372</x:f>
        <x:v>4027.9009913377777</x:v>
      </x:c>
      <x:c r="I2428" s="26" t="n">
        <x:f>'成本明细'!V372</x:f>
        <x:v>8577.5</x:v>
      </x:c>
      <x:c r="J2428" s="22" t="n">
        <x:f>'参数'!$B$9</x:f>
        <x:v>300</x:v>
      </x:c>
      <x:c r="K2428" s="26" t="n">
        <x:f>J2428*(G2428-H2428)-I2428*ROUNDUP(J2428/F2428,0)</x:f>
        <x:v>-310895.02396716666</x:v>
      </x:c>
      <x:c r="L2428" s="10" t="str">
        <x:f>IF(G2428-H2428&lt;=0,"未回本",IF(ROUNDUP(I2428/(G2428-H2428),0)&gt;MIN(F2428,J2428),"未回本",MAX(1,ROUNDUP(I2428/(G2428-H2428),0))))</x:f>
        <x:v>未回本</x:v>
      </x:c>
    </x:row>
    <x:row r="2429" ht="22" customHeight="1">
      <x:c r="A2429" s="11" t="str">
        <x:v>lade_0829_30aoi</x:v>
      </x:c>
      <x:c r="B2429" s="10" t="n">
        <x:v>30</x:v>
      </x:c>
      <x:c r="C2429" s="10" t="n">
        <x:v>42</x:v>
      </x:c>
      <x:c r="D2429" s="10" t="str">
        <x:v>M2 / M4</x:v>
      </x:c>
      <x:c r="E2429" s="16" t="n">
        <x:v>3</x:v>
      </x:c>
      <x:c r="F2429" s="14" t="n">
        <x:v>50</x:v>
      </x:c>
      <x:c r="G2429" s="26" t="n">
        <x:f>'成本明细'!U369+'成本明细'!G369*(E2429-'参数'!$B$6)</x:f>
        <x:v>2734.0131921383336</x:v>
      </x:c>
      <x:c r="H2429" s="26" t="n">
        <x:f>'成本明细'!U375</x:f>
        <x:v>4030.8475010211114</x:v>
      </x:c>
      <x:c r="I2429" s="26" t="n">
        <x:f>'成本明细'!V375</x:f>
        <x:v>8577.5</x:v>
      </x:c>
      <x:c r="J2429" s="22" t="n">
        <x:f>'参数'!$B$9</x:f>
        <x:v>300</x:v>
      </x:c>
      <x:c r="K2429" s="26" t="n">
        <x:f>J2429*(G2429-H2429)-I2429*ROUNDUP(J2429/F2429,0)</x:f>
        <x:v>-440515.29266483337</x:v>
      </x:c>
      <x:c r="L2429" s="10" t="str">
        <x:f>IF(G2429-H2429&lt;=0,"未回本",IF(ROUNDUP(I2429/(G2429-H2429),0)&gt;MIN(F2429,J2429),"未回本",MAX(1,ROUNDUP(I2429/(G2429-H2429),0))))</x:f>
        <x:v>未回本</x:v>
      </x:c>
    </x:row>
    <x:row r="2430" ht="22" customHeight="1">
      <x:c r="A2430" s="11" t="str">
        <x:v>lade_0829_30aoi</x:v>
      </x:c>
      <x:c r="B2430" s="10" t="n">
        <x:v>30</x:v>
      </x:c>
      <x:c r="C2430" s="10" t="n">
        <x:v>42</x:v>
      </x:c>
      <x:c r="D2430" s="10" t="str">
        <x:v>M1 / M3</x:v>
      </x:c>
      <x:c r="E2430" s="16" t="n">
        <x:v>4</x:v>
      </x:c>
      <x:c r="F2430" s="14" t="n">
        <x:v>10</x:v>
      </x:c>
      <x:c r="G2430" s="26" t="n">
        <x:f>'成本明细'!U366+'成本明细'!G366*(E2430-'参数'!$B$6)</x:f>
        <x:v>3398.1342447805555</x:v>
      </x:c>
      <x:c r="H2430" s="26" t="n">
        <x:f>'成本明细'!U372</x:f>
        <x:v>4027.9009913377777</x:v>
      </x:c>
      <x:c r="I2430" s="26" t="n">
        <x:f>'成本明细'!V372</x:f>
        <x:v>8577.5</x:v>
      </x:c>
      <x:c r="J2430" s="22" t="n">
        <x:f>'参数'!$B$9</x:f>
        <x:v>300</x:v>
      </x:c>
      <x:c r="K2430" s="26" t="n">
        <x:f>J2430*(G2430-H2430)-I2430*ROUNDUP(J2430/F2430,0)</x:f>
        <x:v>-446255.02396716666</x:v>
      </x:c>
      <x:c r="L2430" s="10" t="str">
        <x:f>IF(G2430-H2430&lt;=0,"未回本",IF(ROUNDUP(I2430/(G2430-H2430),0)&gt;MIN(F2430,J2430),"未回本",MAX(1,ROUNDUP(I2430/(G2430-H2430),0))))</x:f>
        <x:v>未回本</x:v>
      </x:c>
    </x:row>
    <x:row r="2431" ht="22" customHeight="1">
      <x:c r="A2431" s="11" t="str">
        <x:v>lade_0829_30aoi</x:v>
      </x:c>
      <x:c r="B2431" s="10" t="n">
        <x:v>30</x:v>
      </x:c>
      <x:c r="C2431" s="10" t="n">
        <x:v>42</x:v>
      </x:c>
      <x:c r="D2431" s="10" t="str">
        <x:v>M2 / M4</x:v>
      </x:c>
      <x:c r="E2431" s="16" t="n">
        <x:v>4</x:v>
      </x:c>
      <x:c r="F2431" s="14" t="n">
        <x:v>10</x:v>
      </x:c>
      <x:c r="G2431" s="26" t="n">
        <x:f>'成本明细'!U369+'成本明细'!G369*(E2431-'参数'!$B$6)</x:f>
        <x:v>2969.0131921383336</x:v>
      </x:c>
      <x:c r="H2431" s="26" t="n">
        <x:f>'成本明细'!U375</x:f>
        <x:v>4030.8475010211114</x:v>
      </x:c>
      <x:c r="I2431" s="26" t="n">
        <x:f>'成本明细'!V375</x:f>
        <x:v>8577.5</x:v>
      </x:c>
      <x:c r="J2431" s="22" t="n">
        <x:f>'参数'!$B$9</x:f>
        <x:v>300</x:v>
      </x:c>
      <x:c r="K2431" s="26" t="n">
        <x:f>J2431*(G2431-H2431)-I2431*ROUNDUP(J2431/F2431,0)</x:f>
        <x:v>-575875.2926648334</x:v>
      </x:c>
      <x:c r="L2431" s="10" t="str">
        <x:f>IF(G2431-H2431&lt;=0,"未回本",IF(ROUNDUP(I2431/(G2431-H2431),0)&gt;MIN(F2431,J2431),"未回本",MAX(1,ROUNDUP(I2431/(G2431-H2431),0))))</x:f>
        <x:v>未回本</x:v>
      </x:c>
    </x:row>
    <x:row r="2432" ht="22" customHeight="1">
      <x:c r="A2432" s="11" t="str">
        <x:v>lade_0829_30aoi</x:v>
      </x:c>
      <x:c r="B2432" s="10" t="n">
        <x:v>30</x:v>
      </x:c>
      <x:c r="C2432" s="10" t="n">
        <x:v>42</x:v>
      </x:c>
      <x:c r="D2432" s="10" t="str">
        <x:v>M1 / M3</x:v>
      </x:c>
      <x:c r="E2432" s="16" t="n">
        <x:v>4</x:v>
      </x:c>
      <x:c r="F2432" s="14" t="n">
        <x:v>20</x:v>
      </x:c>
      <x:c r="G2432" s="26" t="n">
        <x:f>'成本明细'!U366+'成本明细'!G366*(E2432-'参数'!$B$6)</x:f>
        <x:v>3398.1342447805555</x:v>
      </x:c>
      <x:c r="H2432" s="26" t="n">
        <x:f>'成本明细'!U372</x:f>
        <x:v>4027.9009913377777</x:v>
      </x:c>
      <x:c r="I2432" s="26" t="n">
        <x:f>'成本明细'!V372</x:f>
        <x:v>8577.5</x:v>
      </x:c>
      <x:c r="J2432" s="22" t="n">
        <x:f>'参数'!$B$9</x:f>
        <x:v>300</x:v>
      </x:c>
      <x:c r="K2432" s="26" t="n">
        <x:f>J2432*(G2432-H2432)-I2432*ROUNDUP(J2432/F2432,0)</x:f>
        <x:v>-317592.52396716666</x:v>
      </x:c>
      <x:c r="L2432" s="10" t="str">
        <x:f>IF(G2432-H2432&lt;=0,"未回本",IF(ROUNDUP(I2432/(G2432-H2432),0)&gt;MIN(F2432,J2432),"未回本",MAX(1,ROUNDUP(I2432/(G2432-H2432),0))))</x:f>
        <x:v>未回本</x:v>
      </x:c>
    </x:row>
    <x:row r="2433" ht="22" customHeight="1">
      <x:c r="A2433" s="11" t="str">
        <x:v>lade_0829_30aoi</x:v>
      </x:c>
      <x:c r="B2433" s="10" t="n">
        <x:v>30</x:v>
      </x:c>
      <x:c r="C2433" s="10" t="n">
        <x:v>42</x:v>
      </x:c>
      <x:c r="D2433" s="10" t="str">
        <x:v>M2 / M4</x:v>
      </x:c>
      <x:c r="E2433" s="16" t="n">
        <x:v>4</x:v>
      </x:c>
      <x:c r="F2433" s="14" t="n">
        <x:v>20</x:v>
      </x:c>
      <x:c r="G2433" s="26" t="n">
        <x:f>'成本明细'!U369+'成本明细'!G369*(E2433-'参数'!$B$6)</x:f>
        <x:v>2969.0131921383336</x:v>
      </x:c>
      <x:c r="H2433" s="26" t="n">
        <x:f>'成本明细'!U375</x:f>
        <x:v>4030.8475010211114</x:v>
      </x:c>
      <x:c r="I2433" s="26" t="n">
        <x:f>'成本明细'!V375</x:f>
        <x:v>8577.5</x:v>
      </x:c>
      <x:c r="J2433" s="22" t="n">
        <x:f>'参数'!$B$9</x:f>
        <x:v>300</x:v>
      </x:c>
      <x:c r="K2433" s="26" t="n">
        <x:f>J2433*(G2433-H2433)-I2433*ROUNDUP(J2433/F2433,0)</x:f>
        <x:v>-447212.79266483337</x:v>
      </x:c>
      <x:c r="L2433" s="10" t="str">
        <x:f>IF(G2433-H2433&lt;=0,"未回本",IF(ROUNDUP(I2433/(G2433-H2433),0)&gt;MIN(F2433,J2433),"未回本",MAX(1,ROUNDUP(I2433/(G2433-H2433),0))))</x:f>
        <x:v>未回本</x:v>
      </x:c>
    </x:row>
    <x:row r="2434" ht="22" customHeight="1">
      <x:c r="A2434" s="11" t="str">
        <x:v>lade_0829_30aoi</x:v>
      </x:c>
      <x:c r="B2434" s="10" t="n">
        <x:v>30</x:v>
      </x:c>
      <x:c r="C2434" s="10" t="n">
        <x:v>42</x:v>
      </x:c>
      <x:c r="D2434" s="10" t="str">
        <x:v>M1 / M3</x:v>
      </x:c>
      <x:c r="E2434" s="16" t="n">
        <x:v>4</x:v>
      </x:c>
      <x:c r="F2434" s="14" t="n">
        <x:v>30</x:v>
      </x:c>
      <x:c r="G2434" s="26" t="n">
        <x:f>'成本明细'!U366+'成本明细'!G366*(E2434-'参数'!$B$6)</x:f>
        <x:v>3398.1342447805555</x:v>
      </x:c>
      <x:c r="H2434" s="26" t="n">
        <x:f>'成本明细'!U372</x:f>
        <x:v>4027.9009913377777</x:v>
      </x:c>
      <x:c r="I2434" s="26" t="n">
        <x:f>'成本明细'!V372</x:f>
        <x:v>8577.5</x:v>
      </x:c>
      <x:c r="J2434" s="22" t="n">
        <x:f>'参数'!$B$9</x:f>
        <x:v>300</x:v>
      </x:c>
      <x:c r="K2434" s="26" t="n">
        <x:f>J2434*(G2434-H2434)-I2434*ROUNDUP(J2434/F2434,0)</x:f>
        <x:v>-274705.02396716666</x:v>
      </x:c>
      <x:c r="L2434" s="10" t="str">
        <x:f>IF(G2434-H2434&lt;=0,"未回本",IF(ROUNDUP(I2434/(G2434-H2434),0)&gt;MIN(F2434,J2434),"未回本",MAX(1,ROUNDUP(I2434/(G2434-H2434),0))))</x:f>
        <x:v>未回本</x:v>
      </x:c>
    </x:row>
    <x:row r="2435" ht="22" customHeight="1">
      <x:c r="A2435" s="11" t="str">
        <x:v>lade_0829_30aoi</x:v>
      </x:c>
      <x:c r="B2435" s="10" t="n">
        <x:v>30</x:v>
      </x:c>
      <x:c r="C2435" s="10" t="n">
        <x:v>42</x:v>
      </x:c>
      <x:c r="D2435" s="10" t="str">
        <x:v>M2 / M4</x:v>
      </x:c>
      <x:c r="E2435" s="16" t="n">
        <x:v>4</x:v>
      </x:c>
      <x:c r="F2435" s="14" t="n">
        <x:v>30</x:v>
      </x:c>
      <x:c r="G2435" s="26" t="n">
        <x:f>'成本明细'!U369+'成本明细'!G369*(E2435-'参数'!$B$6)</x:f>
        <x:v>2969.0131921383336</x:v>
      </x:c>
      <x:c r="H2435" s="26" t="n">
        <x:f>'成本明细'!U375</x:f>
        <x:v>4030.8475010211114</x:v>
      </x:c>
      <x:c r="I2435" s="26" t="n">
        <x:f>'成本明细'!V375</x:f>
        <x:v>8577.5</x:v>
      </x:c>
      <x:c r="J2435" s="22" t="n">
        <x:f>'参数'!$B$9</x:f>
        <x:v>300</x:v>
      </x:c>
      <x:c r="K2435" s="26" t="n">
        <x:f>J2435*(G2435-H2435)-I2435*ROUNDUP(J2435/F2435,0)</x:f>
        <x:v>-404325.29266483337</x:v>
      </x:c>
      <x:c r="L2435" s="10" t="str">
        <x:f>IF(G2435-H2435&lt;=0,"未回本",IF(ROUNDUP(I2435/(G2435-H2435),0)&gt;MIN(F2435,J2435),"未回本",MAX(1,ROUNDUP(I2435/(G2435-H2435),0))))</x:f>
        <x:v>未回本</x:v>
      </x:c>
    </x:row>
    <x:row r="2436" ht="22" customHeight="1">
      <x:c r="A2436" s="11" t="str">
        <x:v>lade_0829_30aoi</x:v>
      </x:c>
      <x:c r="B2436" s="10" t="n">
        <x:v>30</x:v>
      </x:c>
      <x:c r="C2436" s="10" t="n">
        <x:v>42</x:v>
      </x:c>
      <x:c r="D2436" s="10" t="str">
        <x:v>M1 / M3</x:v>
      </x:c>
      <x:c r="E2436" s="16" t="n">
        <x:v>4</x:v>
      </x:c>
      <x:c r="F2436" s="14" t="n">
        <x:v>50</x:v>
      </x:c>
      <x:c r="G2436" s="26" t="n">
        <x:f>'成本明细'!U366+'成本明细'!G366*(E2436-'参数'!$B$6)</x:f>
        <x:v>3398.1342447805555</x:v>
      </x:c>
      <x:c r="H2436" s="26" t="n">
        <x:f>'成本明细'!U372</x:f>
        <x:v>4027.9009913377777</x:v>
      </x:c>
      <x:c r="I2436" s="26" t="n">
        <x:f>'成本明细'!V372</x:f>
        <x:v>8577.5</x:v>
      </x:c>
      <x:c r="J2436" s="22" t="n">
        <x:f>'参数'!$B$9</x:f>
        <x:v>300</x:v>
      </x:c>
      <x:c r="K2436" s="26" t="n">
        <x:f>J2436*(G2436-H2436)-I2436*ROUNDUP(J2436/F2436,0)</x:f>
        <x:v>-240395.02396716666</x:v>
      </x:c>
      <x:c r="L2436" s="10" t="str">
        <x:f>IF(G2436-H2436&lt;=0,"未回本",IF(ROUNDUP(I2436/(G2436-H2436),0)&gt;MIN(F2436,J2436),"未回本",MAX(1,ROUNDUP(I2436/(G2436-H2436),0))))</x:f>
        <x:v>未回本</x:v>
      </x:c>
    </x:row>
    <x:row r="2437" ht="22" customHeight="1">
      <x:c r="A2437" s="11" t="str">
        <x:v>lade_0829_30aoi</x:v>
      </x:c>
      <x:c r="B2437" s="10" t="n">
        <x:v>30</x:v>
      </x:c>
      <x:c r="C2437" s="10" t="n">
        <x:v>42</x:v>
      </x:c>
      <x:c r="D2437" s="10" t="str">
        <x:v>M2 / M4</x:v>
      </x:c>
      <x:c r="E2437" s="16" t="n">
        <x:v>4</x:v>
      </x:c>
      <x:c r="F2437" s="14" t="n">
        <x:v>50</x:v>
      </x:c>
      <x:c r="G2437" s="26" t="n">
        <x:f>'成本明细'!U369+'成本明细'!G369*(E2437-'参数'!$B$6)</x:f>
        <x:v>2969.0131921383336</x:v>
      </x:c>
      <x:c r="H2437" s="26" t="n">
        <x:f>'成本明细'!U375</x:f>
        <x:v>4030.8475010211114</x:v>
      </x:c>
      <x:c r="I2437" s="26" t="n">
        <x:f>'成本明细'!V375</x:f>
        <x:v>8577.5</x:v>
      </x:c>
      <x:c r="J2437" s="22" t="n">
        <x:f>'参数'!$B$9</x:f>
        <x:v>300</x:v>
      </x:c>
      <x:c r="K2437" s="26" t="n">
        <x:f>J2437*(G2437-H2437)-I2437*ROUNDUP(J2437/F2437,0)</x:f>
        <x:v>-370015.29266483337</x:v>
      </x:c>
      <x:c r="L2437" s="10" t="str">
        <x:f>IF(G2437-H2437&lt;=0,"未回本",IF(ROUNDUP(I2437/(G2437-H2437),0)&gt;MIN(F2437,J2437),"未回本",MAX(1,ROUNDUP(I2437/(G2437-H2437),0))))</x:f>
        <x:v>未回本</x:v>
      </x:c>
    </x:row>
    <x:row r="2438" ht="22" customHeight="1">
      <x:c r="A2438" s="11" t="str">
        <x:v>lade_0829_30aoi</x:v>
      </x:c>
      <x:c r="B2438" s="10" t="n">
        <x:v>30</x:v>
      </x:c>
      <x:c r="C2438" s="10" t="n">
        <x:v>42</x:v>
      </x:c>
      <x:c r="D2438" s="10" t="str">
        <x:v>M1 / M3</x:v>
      </x:c>
      <x:c r="E2438" s="16" t="n">
        <x:v>5</x:v>
      </x:c>
      <x:c r="F2438" s="14" t="n">
        <x:v>10</x:v>
      </x:c>
      <x:c r="G2438" s="26" t="n">
        <x:f>'成本明细'!U366+'成本明细'!G366*(E2438-'参数'!$B$6)</x:f>
        <x:v>3633.1342447805555</x:v>
      </x:c>
      <x:c r="H2438" s="26" t="n">
        <x:f>'成本明细'!U372</x:f>
        <x:v>4027.9009913377777</x:v>
      </x:c>
      <x:c r="I2438" s="26" t="n">
        <x:f>'成本明细'!V372</x:f>
        <x:v>8577.5</x:v>
      </x:c>
      <x:c r="J2438" s="22" t="n">
        <x:f>'参数'!$B$9</x:f>
        <x:v>300</x:v>
      </x:c>
      <x:c r="K2438" s="26" t="n">
        <x:f>J2438*(G2438-H2438)-I2438*ROUNDUP(J2438/F2438,0)</x:f>
        <x:v>-375755.02396716666</x:v>
      </x:c>
      <x:c r="L2438" s="10" t="str">
        <x:f>IF(G2438-H2438&lt;=0,"未回本",IF(ROUNDUP(I2438/(G2438-H2438),0)&gt;MIN(F2438,J2438),"未回本",MAX(1,ROUNDUP(I2438/(G2438-H2438),0))))</x:f>
        <x:v>未回本</x:v>
      </x:c>
    </x:row>
    <x:row r="2439" ht="22" customHeight="1">
      <x:c r="A2439" s="11" t="str">
        <x:v>lade_0829_30aoi</x:v>
      </x:c>
      <x:c r="B2439" s="10" t="n">
        <x:v>30</x:v>
      </x:c>
      <x:c r="C2439" s="10" t="n">
        <x:v>42</x:v>
      </x:c>
      <x:c r="D2439" s="10" t="str">
        <x:v>M2 / M4</x:v>
      </x:c>
      <x:c r="E2439" s="16" t="n">
        <x:v>5</x:v>
      </x:c>
      <x:c r="F2439" s="14" t="n">
        <x:v>10</x:v>
      </x:c>
      <x:c r="G2439" s="26" t="n">
        <x:f>'成本明细'!U369+'成本明细'!G369*(E2439-'参数'!$B$6)</x:f>
        <x:v>3204.0131921383336</x:v>
      </x:c>
      <x:c r="H2439" s="26" t="n">
        <x:f>'成本明细'!U375</x:f>
        <x:v>4030.8475010211114</x:v>
      </x:c>
      <x:c r="I2439" s="26" t="n">
        <x:f>'成本明细'!V375</x:f>
        <x:v>8577.5</x:v>
      </x:c>
      <x:c r="J2439" s="22" t="n">
        <x:f>'参数'!$B$9</x:f>
        <x:v>300</x:v>
      </x:c>
      <x:c r="K2439" s="26" t="n">
        <x:f>J2439*(G2439-H2439)-I2439*ROUNDUP(J2439/F2439,0)</x:f>
        <x:v>-505375.29266483337</x:v>
      </x:c>
      <x:c r="L2439" s="10" t="str">
        <x:f>IF(G2439-H2439&lt;=0,"未回本",IF(ROUNDUP(I2439/(G2439-H2439),0)&gt;MIN(F2439,J2439),"未回本",MAX(1,ROUNDUP(I2439/(G2439-H2439),0))))</x:f>
        <x:v>未回本</x:v>
      </x:c>
    </x:row>
    <x:row r="2440" ht="22" customHeight="1">
      <x:c r="A2440" s="11" t="str">
        <x:v>lade_0829_30aoi</x:v>
      </x:c>
      <x:c r="B2440" s="10" t="n">
        <x:v>30</x:v>
      </x:c>
      <x:c r="C2440" s="10" t="n">
        <x:v>42</x:v>
      </x:c>
      <x:c r="D2440" s="10" t="str">
        <x:v>M1 / M3</x:v>
      </x:c>
      <x:c r="E2440" s="16" t="n">
        <x:v>5</x:v>
      </x:c>
      <x:c r="F2440" s="14" t="n">
        <x:v>20</x:v>
      </x:c>
      <x:c r="G2440" s="26" t="n">
        <x:f>'成本明细'!U366+'成本明细'!G366*(E2440-'参数'!$B$6)</x:f>
        <x:v>3633.1342447805555</x:v>
      </x:c>
      <x:c r="H2440" s="26" t="n">
        <x:f>'成本明细'!U372</x:f>
        <x:v>4027.9009913377777</x:v>
      </x:c>
      <x:c r="I2440" s="26" t="n">
        <x:f>'成本明细'!V372</x:f>
        <x:v>8577.5</x:v>
      </x:c>
      <x:c r="J2440" s="22" t="n">
        <x:f>'参数'!$B$9</x:f>
        <x:v>300</x:v>
      </x:c>
      <x:c r="K2440" s="26" t="n">
        <x:f>J2440*(G2440-H2440)-I2440*ROUNDUP(J2440/F2440,0)</x:f>
        <x:v>-247092.52396716666</x:v>
      </x:c>
      <x:c r="L2440" s="10" t="str">
        <x:f>IF(G2440-H2440&lt;=0,"未回本",IF(ROUNDUP(I2440/(G2440-H2440),0)&gt;MIN(F2440,J2440),"未回本",MAX(1,ROUNDUP(I2440/(G2440-H2440),0))))</x:f>
        <x:v>未回本</x:v>
      </x:c>
    </x:row>
    <x:row r="2441" ht="22" customHeight="1">
      <x:c r="A2441" s="11" t="str">
        <x:v>lade_0829_30aoi</x:v>
      </x:c>
      <x:c r="B2441" s="10" t="n">
        <x:v>30</x:v>
      </x:c>
      <x:c r="C2441" s="10" t="n">
        <x:v>42</x:v>
      </x:c>
      <x:c r="D2441" s="10" t="str">
        <x:v>M2 / M4</x:v>
      </x:c>
      <x:c r="E2441" s="16" t="n">
        <x:v>5</x:v>
      </x:c>
      <x:c r="F2441" s="14" t="n">
        <x:v>20</x:v>
      </x:c>
      <x:c r="G2441" s="26" t="n">
        <x:f>'成本明细'!U369+'成本明细'!G369*(E2441-'参数'!$B$6)</x:f>
        <x:v>3204.0131921383336</x:v>
      </x:c>
      <x:c r="H2441" s="26" t="n">
        <x:f>'成本明细'!U375</x:f>
        <x:v>4030.8475010211114</x:v>
      </x:c>
      <x:c r="I2441" s="26" t="n">
        <x:f>'成本明细'!V375</x:f>
        <x:v>8577.5</x:v>
      </x:c>
      <x:c r="J2441" s="22" t="n">
        <x:f>'参数'!$B$9</x:f>
        <x:v>300</x:v>
      </x:c>
      <x:c r="K2441" s="26" t="n">
        <x:f>J2441*(G2441-H2441)-I2441*ROUNDUP(J2441/F2441,0)</x:f>
        <x:v>-376712.79266483337</x:v>
      </x:c>
      <x:c r="L2441" s="10" t="str">
        <x:f>IF(G2441-H2441&lt;=0,"未回本",IF(ROUNDUP(I2441/(G2441-H2441),0)&gt;MIN(F2441,J2441),"未回本",MAX(1,ROUNDUP(I2441/(G2441-H2441),0))))</x:f>
        <x:v>未回本</x:v>
      </x:c>
    </x:row>
    <x:row r="2442" ht="22" customHeight="1">
      <x:c r="A2442" s="11" t="str">
        <x:v>lade_0829_30aoi</x:v>
      </x:c>
      <x:c r="B2442" s="10" t="n">
        <x:v>30</x:v>
      </x:c>
      <x:c r="C2442" s="10" t="n">
        <x:v>42</x:v>
      </x:c>
      <x:c r="D2442" s="10" t="str">
        <x:v>M1 / M3</x:v>
      </x:c>
      <x:c r="E2442" s="16" t="n">
        <x:v>5</x:v>
      </x:c>
      <x:c r="F2442" s="14" t="n">
        <x:v>30</x:v>
      </x:c>
      <x:c r="G2442" s="26" t="n">
        <x:f>'成本明细'!U366+'成本明细'!G366*(E2442-'参数'!$B$6)</x:f>
        <x:v>3633.1342447805555</x:v>
      </x:c>
      <x:c r="H2442" s="26" t="n">
        <x:f>'成本明细'!U372</x:f>
        <x:v>4027.9009913377777</x:v>
      </x:c>
      <x:c r="I2442" s="26" t="n">
        <x:f>'成本明细'!V372</x:f>
        <x:v>8577.5</x:v>
      </x:c>
      <x:c r="J2442" s="22" t="n">
        <x:f>'参数'!$B$9</x:f>
        <x:v>300</x:v>
      </x:c>
      <x:c r="K2442" s="26" t="n">
        <x:f>J2442*(G2442-H2442)-I2442*ROUNDUP(J2442/F2442,0)</x:f>
        <x:v>-204205.02396716666</x:v>
      </x:c>
      <x:c r="L2442" s="10" t="str">
        <x:f>IF(G2442-H2442&lt;=0,"未回本",IF(ROUNDUP(I2442/(G2442-H2442),0)&gt;MIN(F2442,J2442),"未回本",MAX(1,ROUNDUP(I2442/(G2442-H2442),0))))</x:f>
        <x:v>未回本</x:v>
      </x:c>
    </x:row>
    <x:row r="2443" ht="22" customHeight="1">
      <x:c r="A2443" s="11" t="str">
        <x:v>lade_0829_30aoi</x:v>
      </x:c>
      <x:c r="B2443" s="10" t="n">
        <x:v>30</x:v>
      </x:c>
      <x:c r="C2443" s="10" t="n">
        <x:v>42</x:v>
      </x:c>
      <x:c r="D2443" s="10" t="str">
        <x:v>M2 / M4</x:v>
      </x:c>
      <x:c r="E2443" s="16" t="n">
        <x:v>5</x:v>
      </x:c>
      <x:c r="F2443" s="14" t="n">
        <x:v>30</x:v>
      </x:c>
      <x:c r="G2443" s="26" t="n">
        <x:f>'成本明细'!U369+'成本明细'!G369*(E2443-'参数'!$B$6)</x:f>
        <x:v>3204.0131921383336</x:v>
      </x:c>
      <x:c r="H2443" s="26" t="n">
        <x:f>'成本明细'!U375</x:f>
        <x:v>4030.8475010211114</x:v>
      </x:c>
      <x:c r="I2443" s="26" t="n">
        <x:f>'成本明细'!V375</x:f>
        <x:v>8577.5</x:v>
      </x:c>
      <x:c r="J2443" s="22" t="n">
        <x:f>'参数'!$B$9</x:f>
        <x:v>300</x:v>
      </x:c>
      <x:c r="K2443" s="26" t="n">
        <x:f>J2443*(G2443-H2443)-I2443*ROUNDUP(J2443/F2443,0)</x:f>
        <x:v>-333825.29266483337</x:v>
      </x:c>
      <x:c r="L2443" s="10" t="str">
        <x:f>IF(G2443-H2443&lt;=0,"未回本",IF(ROUNDUP(I2443/(G2443-H2443),0)&gt;MIN(F2443,J2443),"未回本",MAX(1,ROUNDUP(I2443/(G2443-H2443),0))))</x:f>
        <x:v>未回本</x:v>
      </x:c>
    </x:row>
    <x:row r="2444" ht="22" customHeight="1">
      <x:c r="A2444" s="11" t="str">
        <x:v>lade_0829_30aoi</x:v>
      </x:c>
      <x:c r="B2444" s="10" t="n">
        <x:v>30</x:v>
      </x:c>
      <x:c r="C2444" s="10" t="n">
        <x:v>42</x:v>
      </x:c>
      <x:c r="D2444" s="10" t="str">
        <x:v>M1 / M3</x:v>
      </x:c>
      <x:c r="E2444" s="16" t="n">
        <x:v>5</x:v>
      </x:c>
      <x:c r="F2444" s="14" t="n">
        <x:v>50</x:v>
      </x:c>
      <x:c r="G2444" s="26" t="n">
        <x:f>'成本明细'!U366+'成本明细'!G366*(E2444-'参数'!$B$6)</x:f>
        <x:v>3633.1342447805555</x:v>
      </x:c>
      <x:c r="H2444" s="26" t="n">
        <x:f>'成本明细'!U372</x:f>
        <x:v>4027.9009913377777</x:v>
      </x:c>
      <x:c r="I2444" s="26" t="n">
        <x:f>'成本明细'!V372</x:f>
        <x:v>8577.5</x:v>
      </x:c>
      <x:c r="J2444" s="22" t="n">
        <x:f>'参数'!$B$9</x:f>
        <x:v>300</x:v>
      </x:c>
      <x:c r="K2444" s="26" t="n">
        <x:f>J2444*(G2444-H2444)-I2444*ROUNDUP(J2444/F2444,0)</x:f>
        <x:v>-169895.02396716666</x:v>
      </x:c>
      <x:c r="L2444" s="10" t="str">
        <x:f>IF(G2444-H2444&lt;=0,"未回本",IF(ROUNDUP(I2444/(G2444-H2444),0)&gt;MIN(F2444,J2444),"未回本",MAX(1,ROUNDUP(I2444/(G2444-H2444),0))))</x:f>
        <x:v>未回本</x:v>
      </x:c>
    </x:row>
    <x:row r="2445" ht="22" customHeight="1">
      <x:c r="A2445" s="11" t="str">
        <x:v>lade_0829_30aoi</x:v>
      </x:c>
      <x:c r="B2445" s="10" t="n">
        <x:v>30</x:v>
      </x:c>
      <x:c r="C2445" s="10" t="n">
        <x:v>42</x:v>
      </x:c>
      <x:c r="D2445" s="10" t="str">
        <x:v>M2 / M4</x:v>
      </x:c>
      <x:c r="E2445" s="16" t="n">
        <x:v>5</x:v>
      </x:c>
      <x:c r="F2445" s="14" t="n">
        <x:v>50</x:v>
      </x:c>
      <x:c r="G2445" s="26" t="n">
        <x:f>'成本明细'!U369+'成本明细'!G369*(E2445-'参数'!$B$6)</x:f>
        <x:v>3204.0131921383336</x:v>
      </x:c>
      <x:c r="H2445" s="26" t="n">
        <x:f>'成本明细'!U375</x:f>
        <x:v>4030.8475010211114</x:v>
      </x:c>
      <x:c r="I2445" s="26" t="n">
        <x:f>'成本明细'!V375</x:f>
        <x:v>8577.5</x:v>
      </x:c>
      <x:c r="J2445" s="22" t="n">
        <x:f>'参数'!$B$9</x:f>
        <x:v>300</x:v>
      </x:c>
      <x:c r="K2445" s="26" t="n">
        <x:f>J2445*(G2445-H2445)-I2445*ROUNDUP(J2445/F2445,0)</x:f>
        <x:v>-299515.29266483337</x:v>
      </x:c>
      <x:c r="L2445" s="10" t="str">
        <x:f>IF(G2445-H2445&lt;=0,"未回本",IF(ROUNDUP(I2445/(G2445-H2445),0)&gt;MIN(F2445,J2445),"未回本",MAX(1,ROUNDUP(I2445/(G2445-H2445),0))))</x:f>
        <x:v>未回本</x:v>
      </x:c>
    </x:row>
    <x:row r="2446" ht="22" customHeight="1">
      <x:c r="A2446" s="11" t="str">
        <x:v>lade_0829_30aoi</x:v>
      </x:c>
      <x:c r="B2446" s="10" t="n">
        <x:v>30</x:v>
      </x:c>
      <x:c r="C2446" s="10" t="n">
        <x:v>43</x:v>
      </x:c>
      <x:c r="D2446" s="10" t="str">
        <x:v>M1 / M3</x:v>
      </x:c>
      <x:c r="E2446" s="16" t="n">
        <x:v>1</x:v>
      </x:c>
      <x:c r="F2446" s="14" t="n">
        <x:v>10</x:v>
      </x:c>
      <x:c r="G2446" s="26" t="n">
        <x:f>'成本明细'!U367+'成本明细'!G367*(E2446-'参数'!$B$6)</x:f>
        <x:v>2694.449591368889</x:v>
      </x:c>
      <x:c r="H2446" s="26" t="n">
        <x:f>'成本明细'!U373</x:f>
        <x:v>4026.7072719311113</x:v>
      </x:c>
      <x:c r="I2446" s="26" t="n">
        <x:f>'成本明细'!V373</x:f>
        <x:v>8577.5</x:v>
      </x:c>
      <x:c r="J2446" s="22" t="n">
        <x:f>'参数'!$B$9</x:f>
        <x:v>300</x:v>
      </x:c>
      <x:c r="K2446" s="26" t="n">
        <x:f>J2446*(G2446-H2446)-I2446*ROUNDUP(J2446/F2446,0)</x:f>
        <x:v>-657002.3041686667</x:v>
      </x:c>
      <x:c r="L2446" s="10" t="str">
        <x:f>IF(G2446-H2446&lt;=0,"未回本",IF(ROUNDUP(I2446/(G2446-H2446),0)&gt;MIN(F2446,J2446),"未回本",MAX(1,ROUNDUP(I2446/(G2446-H2446),0))))</x:f>
        <x:v>未回本</x:v>
      </x:c>
    </x:row>
    <x:row r="2447" ht="22" customHeight="1">
      <x:c r="A2447" s="11" t="str">
        <x:v>lade_0829_30aoi</x:v>
      </x:c>
      <x:c r="B2447" s="10" t="n">
        <x:v>30</x:v>
      </x:c>
      <x:c r="C2447" s="10" t="n">
        <x:v>43</x:v>
      </x:c>
      <x:c r="D2447" s="10" t="str">
        <x:v>M2 / M4</x:v>
      </x:c>
      <x:c r="E2447" s="16" t="n">
        <x:v>1</x:v>
      </x:c>
      <x:c r="F2447" s="14" t="n">
        <x:v>10</x:v>
      </x:c>
      <x:c r="G2447" s="26" t="n">
        <x:f>'成本明细'!U370+'成本明细'!G370*(E2447-'参数'!$B$6)</x:f>
        <x:v>2262.551779295</x:v>
      </x:c>
      <x:c r="H2447" s="26" t="n">
        <x:f>'成本明细'!U376</x:f>
        <x:v>3707.921149573889</x:v>
      </x:c>
      <x:c r="I2447" s="26" t="n">
        <x:f>'成本明细'!V376</x:f>
        <x:v>8577.5</x:v>
      </x:c>
      <x:c r="J2447" s="22" t="n">
        <x:f>'参数'!$B$9</x:f>
        <x:v>300</x:v>
      </x:c>
      <x:c r="K2447" s="26" t="n">
        <x:f>J2447*(G2447-H2447)-I2447*ROUNDUP(J2447/F2447,0)</x:f>
        <x:v>-690935.8110836667</x:v>
      </x:c>
      <x:c r="L2447" s="10" t="str">
        <x:f>IF(G2447-H2447&lt;=0,"未回本",IF(ROUNDUP(I2447/(G2447-H2447),0)&gt;MIN(F2447,J2447),"未回本",MAX(1,ROUNDUP(I2447/(G2447-H2447),0))))</x:f>
        <x:v>未回本</x:v>
      </x:c>
    </x:row>
    <x:row r="2448" ht="22" customHeight="1">
      <x:c r="A2448" s="11" t="str">
        <x:v>lade_0829_30aoi</x:v>
      </x:c>
      <x:c r="B2448" s="10" t="n">
        <x:v>30</x:v>
      </x:c>
      <x:c r="C2448" s="10" t="n">
        <x:v>43</x:v>
      </x:c>
      <x:c r="D2448" s="10" t="str">
        <x:v>M1 / M3</x:v>
      </x:c>
      <x:c r="E2448" s="16" t="n">
        <x:v>1</x:v>
      </x:c>
      <x:c r="F2448" s="14" t="n">
        <x:v>20</x:v>
      </x:c>
      <x:c r="G2448" s="26" t="n">
        <x:f>'成本明细'!U367+'成本明细'!G367*(E2448-'参数'!$B$6)</x:f>
        <x:v>2694.449591368889</x:v>
      </x:c>
      <x:c r="H2448" s="26" t="n">
        <x:f>'成本明细'!U373</x:f>
        <x:v>4026.7072719311113</x:v>
      </x:c>
      <x:c r="I2448" s="26" t="n">
        <x:f>'成本明细'!V373</x:f>
        <x:v>8577.5</x:v>
      </x:c>
      <x:c r="J2448" s="22" t="n">
        <x:f>'参数'!$B$9</x:f>
        <x:v>300</x:v>
      </x:c>
      <x:c r="K2448" s="26" t="n">
        <x:f>J2448*(G2448-H2448)-I2448*ROUNDUP(J2448/F2448,0)</x:f>
        <x:v>-528339.8041686667</x:v>
      </x:c>
      <x:c r="L2448" s="10" t="str">
        <x:f>IF(G2448-H2448&lt;=0,"未回本",IF(ROUNDUP(I2448/(G2448-H2448),0)&gt;MIN(F2448,J2448),"未回本",MAX(1,ROUNDUP(I2448/(G2448-H2448),0))))</x:f>
        <x:v>未回本</x:v>
      </x:c>
    </x:row>
    <x:row r="2449" ht="22" customHeight="1">
      <x:c r="A2449" s="11" t="str">
        <x:v>lade_0829_30aoi</x:v>
      </x:c>
      <x:c r="B2449" s="10" t="n">
        <x:v>30</x:v>
      </x:c>
      <x:c r="C2449" s="10" t="n">
        <x:v>43</x:v>
      </x:c>
      <x:c r="D2449" s="10" t="str">
        <x:v>M2 / M4</x:v>
      </x:c>
      <x:c r="E2449" s="16" t="n">
        <x:v>1</x:v>
      </x:c>
      <x:c r="F2449" s="14" t="n">
        <x:v>20</x:v>
      </x:c>
      <x:c r="G2449" s="26" t="n">
        <x:f>'成本明细'!U370+'成本明细'!G370*(E2449-'参数'!$B$6)</x:f>
        <x:v>2262.551779295</x:v>
      </x:c>
      <x:c r="H2449" s="26" t="n">
        <x:f>'成本明细'!U376</x:f>
        <x:v>3707.921149573889</x:v>
      </x:c>
      <x:c r="I2449" s="26" t="n">
        <x:f>'成本明细'!V376</x:f>
        <x:v>8577.5</x:v>
      </x:c>
      <x:c r="J2449" s="22" t="n">
        <x:f>'参数'!$B$9</x:f>
        <x:v>300</x:v>
      </x:c>
      <x:c r="K2449" s="26" t="n">
        <x:f>J2449*(G2449-H2449)-I2449*ROUNDUP(J2449/F2449,0)</x:f>
        <x:v>-562273.3110836667</x:v>
      </x:c>
      <x:c r="L2449" s="10" t="str">
        <x:f>IF(G2449-H2449&lt;=0,"未回本",IF(ROUNDUP(I2449/(G2449-H2449),0)&gt;MIN(F2449,J2449),"未回本",MAX(1,ROUNDUP(I2449/(G2449-H2449),0))))</x:f>
        <x:v>未回本</x:v>
      </x:c>
    </x:row>
    <x:row r="2450" ht="22" customHeight="1">
      <x:c r="A2450" s="11" t="str">
        <x:v>lade_0829_30aoi</x:v>
      </x:c>
      <x:c r="B2450" s="10" t="n">
        <x:v>30</x:v>
      </x:c>
      <x:c r="C2450" s="10" t="n">
        <x:v>43</x:v>
      </x:c>
      <x:c r="D2450" s="10" t="str">
        <x:v>M1 / M3</x:v>
      </x:c>
      <x:c r="E2450" s="16" t="n">
        <x:v>1</x:v>
      </x:c>
      <x:c r="F2450" s="14" t="n">
        <x:v>30</x:v>
      </x:c>
      <x:c r="G2450" s="26" t="n">
        <x:f>'成本明细'!U367+'成本明细'!G367*(E2450-'参数'!$B$6)</x:f>
        <x:v>2694.449591368889</x:v>
      </x:c>
      <x:c r="H2450" s="26" t="n">
        <x:f>'成本明细'!U373</x:f>
        <x:v>4026.7072719311113</x:v>
      </x:c>
      <x:c r="I2450" s="26" t="n">
        <x:f>'成本明细'!V373</x:f>
        <x:v>8577.5</x:v>
      </x:c>
      <x:c r="J2450" s="22" t="n">
        <x:f>'参数'!$B$9</x:f>
        <x:v>300</x:v>
      </x:c>
      <x:c r="K2450" s="26" t="n">
        <x:f>J2450*(G2450-H2450)-I2450*ROUNDUP(J2450/F2450,0)</x:f>
        <x:v>-485452.3041686668</x:v>
      </x:c>
      <x:c r="L2450" s="10" t="str">
        <x:f>IF(G2450-H2450&lt;=0,"未回本",IF(ROUNDUP(I2450/(G2450-H2450),0)&gt;MIN(F2450,J2450),"未回本",MAX(1,ROUNDUP(I2450/(G2450-H2450),0))))</x:f>
        <x:v>未回本</x:v>
      </x:c>
    </x:row>
    <x:row r="2451" ht="22" customHeight="1">
      <x:c r="A2451" s="11" t="str">
        <x:v>lade_0829_30aoi</x:v>
      </x:c>
      <x:c r="B2451" s="10" t="n">
        <x:v>30</x:v>
      </x:c>
      <x:c r="C2451" s="10" t="n">
        <x:v>43</x:v>
      </x:c>
      <x:c r="D2451" s="10" t="str">
        <x:v>M2 / M4</x:v>
      </x:c>
      <x:c r="E2451" s="16" t="n">
        <x:v>1</x:v>
      </x:c>
      <x:c r="F2451" s="14" t="n">
        <x:v>30</x:v>
      </x:c>
      <x:c r="G2451" s="26" t="n">
        <x:f>'成本明细'!U370+'成本明细'!G370*(E2451-'参数'!$B$6)</x:f>
        <x:v>2262.551779295</x:v>
      </x:c>
      <x:c r="H2451" s="26" t="n">
        <x:f>'成本明细'!U376</x:f>
        <x:v>3707.921149573889</x:v>
      </x:c>
      <x:c r="I2451" s="26" t="n">
        <x:f>'成本明细'!V376</x:f>
        <x:v>8577.5</x:v>
      </x:c>
      <x:c r="J2451" s="22" t="n">
        <x:f>'参数'!$B$9</x:f>
        <x:v>300</x:v>
      </x:c>
      <x:c r="K2451" s="26" t="n">
        <x:f>J2451*(G2451-H2451)-I2451*ROUNDUP(J2451/F2451,0)</x:f>
        <x:v>-519385.81108366675</x:v>
      </x:c>
      <x:c r="L2451" s="10" t="str">
        <x:f>IF(G2451-H2451&lt;=0,"未回本",IF(ROUNDUP(I2451/(G2451-H2451),0)&gt;MIN(F2451,J2451),"未回本",MAX(1,ROUNDUP(I2451/(G2451-H2451),0))))</x:f>
        <x:v>未回本</x:v>
      </x:c>
    </x:row>
    <x:row r="2452" ht="22" customHeight="1">
      <x:c r="A2452" s="11" t="str">
        <x:v>lade_0829_30aoi</x:v>
      </x:c>
      <x:c r="B2452" s="10" t="n">
        <x:v>30</x:v>
      </x:c>
      <x:c r="C2452" s="10" t="n">
        <x:v>43</x:v>
      </x:c>
      <x:c r="D2452" s="10" t="str">
        <x:v>M1 / M3</x:v>
      </x:c>
      <x:c r="E2452" s="16" t="n">
        <x:v>1</x:v>
      </x:c>
      <x:c r="F2452" s="14" t="n">
        <x:v>50</x:v>
      </x:c>
      <x:c r="G2452" s="26" t="n">
        <x:f>'成本明细'!U367+'成本明细'!G367*(E2452-'参数'!$B$6)</x:f>
        <x:v>2694.449591368889</x:v>
      </x:c>
      <x:c r="H2452" s="26" t="n">
        <x:f>'成本明细'!U373</x:f>
        <x:v>4026.7072719311113</x:v>
      </x:c>
      <x:c r="I2452" s="26" t="n">
        <x:f>'成本明细'!V373</x:f>
        <x:v>8577.5</x:v>
      </x:c>
      <x:c r="J2452" s="22" t="n">
        <x:f>'参数'!$B$9</x:f>
        <x:v>300</x:v>
      </x:c>
      <x:c r="K2452" s="26" t="n">
        <x:f>J2452*(G2452-H2452)-I2452*ROUNDUP(J2452/F2452,0)</x:f>
        <x:v>-451142.3041686668</x:v>
      </x:c>
      <x:c r="L2452" s="10" t="str">
        <x:f>IF(G2452-H2452&lt;=0,"未回本",IF(ROUNDUP(I2452/(G2452-H2452),0)&gt;MIN(F2452,J2452),"未回本",MAX(1,ROUNDUP(I2452/(G2452-H2452),0))))</x:f>
        <x:v>未回本</x:v>
      </x:c>
    </x:row>
    <x:row r="2453" ht="22" customHeight="1">
      <x:c r="A2453" s="11" t="str">
        <x:v>lade_0829_30aoi</x:v>
      </x:c>
      <x:c r="B2453" s="10" t="n">
        <x:v>30</x:v>
      </x:c>
      <x:c r="C2453" s="10" t="n">
        <x:v>43</x:v>
      </x:c>
      <x:c r="D2453" s="10" t="str">
        <x:v>M2 / M4</x:v>
      </x:c>
      <x:c r="E2453" s="16" t="n">
        <x:v>1</x:v>
      </x:c>
      <x:c r="F2453" s="14" t="n">
        <x:v>50</x:v>
      </x:c>
      <x:c r="G2453" s="26" t="n">
        <x:f>'成本明细'!U370+'成本明细'!G370*(E2453-'参数'!$B$6)</x:f>
        <x:v>2262.551779295</x:v>
      </x:c>
      <x:c r="H2453" s="26" t="n">
        <x:f>'成本明细'!U376</x:f>
        <x:v>3707.921149573889</x:v>
      </x:c>
      <x:c r="I2453" s="26" t="n">
        <x:f>'成本明细'!V376</x:f>
        <x:v>8577.5</x:v>
      </x:c>
      <x:c r="J2453" s="22" t="n">
        <x:f>'参数'!$B$9</x:f>
        <x:v>300</x:v>
      </x:c>
      <x:c r="K2453" s="26" t="n">
        <x:f>J2453*(G2453-H2453)-I2453*ROUNDUP(J2453/F2453,0)</x:f>
        <x:v>-485075.81108366675</x:v>
      </x:c>
      <x:c r="L2453" s="10" t="str">
        <x:f>IF(G2453-H2453&lt;=0,"未回本",IF(ROUNDUP(I2453/(G2453-H2453),0)&gt;MIN(F2453,J2453),"未回本",MAX(1,ROUNDUP(I2453/(G2453-H2453),0))))</x:f>
        <x:v>未回本</x:v>
      </x:c>
    </x:row>
    <x:row r="2454" ht="22" customHeight="1">
      <x:c r="A2454" s="11" t="str">
        <x:v>lade_0829_30aoi</x:v>
      </x:c>
      <x:c r="B2454" s="10" t="n">
        <x:v>30</x:v>
      </x:c>
      <x:c r="C2454" s="10" t="n">
        <x:v>43</x:v>
      </x:c>
      <x:c r="D2454" s="10" t="str">
        <x:v>M1 / M3</x:v>
      </x:c>
      <x:c r="E2454" s="16" t="n">
        <x:v>2</x:v>
      </x:c>
      <x:c r="F2454" s="14" t="n">
        <x:v>10</x:v>
      </x:c>
      <x:c r="G2454" s="26" t="n">
        <x:f>'成本明细'!U367+'成本明细'!G367*(E2454-'参数'!$B$6)</x:f>
        <x:v>2929.449591368889</x:v>
      </x:c>
      <x:c r="H2454" s="26" t="n">
        <x:f>'成本明细'!U373</x:f>
        <x:v>4026.7072719311113</x:v>
      </x:c>
      <x:c r="I2454" s="26" t="n">
        <x:f>'成本明细'!V373</x:f>
        <x:v>8577.5</x:v>
      </x:c>
      <x:c r="J2454" s="22" t="n">
        <x:f>'参数'!$B$9</x:f>
        <x:v>300</x:v>
      </x:c>
      <x:c r="K2454" s="26" t="n">
        <x:f>J2454*(G2454-H2454)-I2454*ROUNDUP(J2454/F2454,0)</x:f>
        <x:v>-586502.3041686667</x:v>
      </x:c>
      <x:c r="L2454" s="10" t="str">
        <x:f>IF(G2454-H2454&lt;=0,"未回本",IF(ROUNDUP(I2454/(G2454-H2454),0)&gt;MIN(F2454,J2454),"未回本",MAX(1,ROUNDUP(I2454/(G2454-H2454),0))))</x:f>
        <x:v>未回本</x:v>
      </x:c>
    </x:row>
    <x:row r="2455" ht="22" customHeight="1">
      <x:c r="A2455" s="11" t="str">
        <x:v>lade_0829_30aoi</x:v>
      </x:c>
      <x:c r="B2455" s="10" t="n">
        <x:v>30</x:v>
      </x:c>
      <x:c r="C2455" s="10" t="n">
        <x:v>43</x:v>
      </x:c>
      <x:c r="D2455" s="10" t="str">
        <x:v>M2 / M4</x:v>
      </x:c>
      <x:c r="E2455" s="16" t="n">
        <x:v>2</x:v>
      </x:c>
      <x:c r="F2455" s="14" t="n">
        <x:v>10</x:v>
      </x:c>
      <x:c r="G2455" s="26" t="n">
        <x:f>'成本明细'!U370+'成本明细'!G370*(E2455-'参数'!$B$6)</x:f>
        <x:v>2497.551779295</x:v>
      </x:c>
      <x:c r="H2455" s="26" t="n">
        <x:f>'成本明细'!U376</x:f>
        <x:v>3707.921149573889</x:v>
      </x:c>
      <x:c r="I2455" s="26" t="n">
        <x:f>'成本明细'!V376</x:f>
        <x:v>8577.5</x:v>
      </x:c>
      <x:c r="J2455" s="22" t="n">
        <x:f>'参数'!$B$9</x:f>
        <x:v>300</x:v>
      </x:c>
      <x:c r="K2455" s="26" t="n">
        <x:f>J2455*(G2455-H2455)-I2455*ROUNDUP(J2455/F2455,0)</x:f>
        <x:v>-620435.8110836667</x:v>
      </x:c>
      <x:c r="L2455" s="10" t="str">
        <x:f>IF(G2455-H2455&lt;=0,"未回本",IF(ROUNDUP(I2455/(G2455-H2455),0)&gt;MIN(F2455,J2455),"未回本",MAX(1,ROUNDUP(I2455/(G2455-H2455),0))))</x:f>
        <x:v>未回本</x:v>
      </x:c>
    </x:row>
    <x:row r="2456" ht="22" customHeight="1">
      <x:c r="A2456" s="11" t="str">
        <x:v>lade_0829_30aoi</x:v>
      </x:c>
      <x:c r="B2456" s="10" t="n">
        <x:v>30</x:v>
      </x:c>
      <x:c r="C2456" s="10" t="n">
        <x:v>43</x:v>
      </x:c>
      <x:c r="D2456" s="10" t="str">
        <x:v>M1 / M3</x:v>
      </x:c>
      <x:c r="E2456" s="16" t="n">
        <x:v>2</x:v>
      </x:c>
      <x:c r="F2456" s="14" t="n">
        <x:v>20</x:v>
      </x:c>
      <x:c r="G2456" s="26" t="n">
        <x:f>'成本明细'!U367+'成本明细'!G367*(E2456-'参数'!$B$6)</x:f>
        <x:v>2929.449591368889</x:v>
      </x:c>
      <x:c r="H2456" s="26" t="n">
        <x:f>'成本明细'!U373</x:f>
        <x:v>4026.7072719311113</x:v>
      </x:c>
      <x:c r="I2456" s="26" t="n">
        <x:f>'成本明细'!V373</x:f>
        <x:v>8577.5</x:v>
      </x:c>
      <x:c r="J2456" s="22" t="n">
        <x:f>'参数'!$B$9</x:f>
        <x:v>300</x:v>
      </x:c>
      <x:c r="K2456" s="26" t="n">
        <x:f>J2456*(G2456-H2456)-I2456*ROUNDUP(J2456/F2456,0)</x:f>
        <x:v>-457839.8041686668</x:v>
      </x:c>
      <x:c r="L2456" s="10" t="str">
        <x:f>IF(G2456-H2456&lt;=0,"未回本",IF(ROUNDUP(I2456/(G2456-H2456),0)&gt;MIN(F2456,J2456),"未回本",MAX(1,ROUNDUP(I2456/(G2456-H2456),0))))</x:f>
        <x:v>未回本</x:v>
      </x:c>
    </x:row>
    <x:row r="2457" ht="22" customHeight="1">
      <x:c r="A2457" s="11" t="str">
        <x:v>lade_0829_30aoi</x:v>
      </x:c>
      <x:c r="B2457" s="10" t="n">
        <x:v>30</x:v>
      </x:c>
      <x:c r="C2457" s="10" t="n">
        <x:v>43</x:v>
      </x:c>
      <x:c r="D2457" s="10" t="str">
        <x:v>M2 / M4</x:v>
      </x:c>
      <x:c r="E2457" s="16" t="n">
        <x:v>2</x:v>
      </x:c>
      <x:c r="F2457" s="14" t="n">
        <x:v>20</x:v>
      </x:c>
      <x:c r="G2457" s="26" t="n">
        <x:f>'成本明细'!U370+'成本明细'!G370*(E2457-'参数'!$B$6)</x:f>
        <x:v>2497.551779295</x:v>
      </x:c>
      <x:c r="H2457" s="26" t="n">
        <x:f>'成本明细'!U376</x:f>
        <x:v>3707.921149573889</x:v>
      </x:c>
      <x:c r="I2457" s="26" t="n">
        <x:f>'成本明细'!V376</x:f>
        <x:v>8577.5</x:v>
      </x:c>
      <x:c r="J2457" s="22" t="n">
        <x:f>'参数'!$B$9</x:f>
        <x:v>300</x:v>
      </x:c>
      <x:c r="K2457" s="26" t="n">
        <x:f>J2457*(G2457-H2457)-I2457*ROUNDUP(J2457/F2457,0)</x:f>
        <x:v>-491773.31108366675</x:v>
      </x:c>
      <x:c r="L2457" s="10" t="str">
        <x:f>IF(G2457-H2457&lt;=0,"未回本",IF(ROUNDUP(I2457/(G2457-H2457),0)&gt;MIN(F2457,J2457),"未回本",MAX(1,ROUNDUP(I2457/(G2457-H2457),0))))</x:f>
        <x:v>未回本</x:v>
      </x:c>
    </x:row>
    <x:row r="2458" ht="22" customHeight="1">
      <x:c r="A2458" s="11" t="str">
        <x:v>lade_0829_30aoi</x:v>
      </x:c>
      <x:c r="B2458" s="10" t="n">
        <x:v>30</x:v>
      </x:c>
      <x:c r="C2458" s="10" t="n">
        <x:v>43</x:v>
      </x:c>
      <x:c r="D2458" s="10" t="str">
        <x:v>M1 / M3</x:v>
      </x:c>
      <x:c r="E2458" s="16" t="n">
        <x:v>2</x:v>
      </x:c>
      <x:c r="F2458" s="14" t="n">
        <x:v>30</x:v>
      </x:c>
      <x:c r="G2458" s="26" t="n">
        <x:f>'成本明细'!U367+'成本明细'!G367*(E2458-'参数'!$B$6)</x:f>
        <x:v>2929.449591368889</x:v>
      </x:c>
      <x:c r="H2458" s="26" t="n">
        <x:f>'成本明细'!U373</x:f>
        <x:v>4026.7072719311113</x:v>
      </x:c>
      <x:c r="I2458" s="26" t="n">
        <x:f>'成本明细'!V373</x:f>
        <x:v>8577.5</x:v>
      </x:c>
      <x:c r="J2458" s="22" t="n">
        <x:f>'参数'!$B$9</x:f>
        <x:v>300</x:v>
      </x:c>
      <x:c r="K2458" s="26" t="n">
        <x:f>J2458*(G2458-H2458)-I2458*ROUNDUP(J2458/F2458,0)</x:f>
        <x:v>-414952.3041686668</x:v>
      </x:c>
      <x:c r="L2458" s="10" t="str">
        <x:f>IF(G2458-H2458&lt;=0,"未回本",IF(ROUNDUP(I2458/(G2458-H2458),0)&gt;MIN(F2458,J2458),"未回本",MAX(1,ROUNDUP(I2458/(G2458-H2458),0))))</x:f>
        <x:v>未回本</x:v>
      </x:c>
    </x:row>
    <x:row r="2459" ht="22" customHeight="1">
      <x:c r="A2459" s="11" t="str">
        <x:v>lade_0829_30aoi</x:v>
      </x:c>
      <x:c r="B2459" s="10" t="n">
        <x:v>30</x:v>
      </x:c>
      <x:c r="C2459" s="10" t="n">
        <x:v>43</x:v>
      </x:c>
      <x:c r="D2459" s="10" t="str">
        <x:v>M2 / M4</x:v>
      </x:c>
      <x:c r="E2459" s="16" t="n">
        <x:v>2</x:v>
      </x:c>
      <x:c r="F2459" s="14" t="n">
        <x:v>30</x:v>
      </x:c>
      <x:c r="G2459" s="26" t="n">
        <x:f>'成本明细'!U370+'成本明细'!G370*(E2459-'参数'!$B$6)</x:f>
        <x:v>2497.551779295</x:v>
      </x:c>
      <x:c r="H2459" s="26" t="n">
        <x:f>'成本明细'!U376</x:f>
        <x:v>3707.921149573889</x:v>
      </x:c>
      <x:c r="I2459" s="26" t="n">
        <x:f>'成本明细'!V376</x:f>
        <x:v>8577.5</x:v>
      </x:c>
      <x:c r="J2459" s="22" t="n">
        <x:f>'参数'!$B$9</x:f>
        <x:v>300</x:v>
      </x:c>
      <x:c r="K2459" s="26" t="n">
        <x:f>J2459*(G2459-H2459)-I2459*ROUNDUP(J2459/F2459,0)</x:f>
        <x:v>-448885.81108366675</x:v>
      </x:c>
      <x:c r="L2459" s="10" t="str">
        <x:f>IF(G2459-H2459&lt;=0,"未回本",IF(ROUNDUP(I2459/(G2459-H2459),0)&gt;MIN(F2459,J2459),"未回本",MAX(1,ROUNDUP(I2459/(G2459-H2459),0))))</x:f>
        <x:v>未回本</x:v>
      </x:c>
    </x:row>
    <x:row r="2460" ht="22" customHeight="1">
      <x:c r="A2460" s="11" t="str">
        <x:v>lade_0829_30aoi</x:v>
      </x:c>
      <x:c r="B2460" s="10" t="n">
        <x:v>30</x:v>
      </x:c>
      <x:c r="C2460" s="10" t="n">
        <x:v>43</x:v>
      </x:c>
      <x:c r="D2460" s="10" t="str">
        <x:v>M1 / M3</x:v>
      </x:c>
      <x:c r="E2460" s="16" t="n">
        <x:v>2</x:v>
      </x:c>
      <x:c r="F2460" s="14" t="n">
        <x:v>50</x:v>
      </x:c>
      <x:c r="G2460" s="26" t="n">
        <x:f>'成本明细'!U367+'成本明细'!G367*(E2460-'参数'!$B$6)</x:f>
        <x:v>2929.449591368889</x:v>
      </x:c>
      <x:c r="H2460" s="26" t="n">
        <x:f>'成本明细'!U373</x:f>
        <x:v>4026.7072719311113</x:v>
      </x:c>
      <x:c r="I2460" s="26" t="n">
        <x:f>'成本明细'!V373</x:f>
        <x:v>8577.5</x:v>
      </x:c>
      <x:c r="J2460" s="22" t="n">
        <x:f>'参数'!$B$9</x:f>
        <x:v>300</x:v>
      </x:c>
      <x:c r="K2460" s="26" t="n">
        <x:f>J2460*(G2460-H2460)-I2460*ROUNDUP(J2460/F2460,0)</x:f>
        <x:v>-380642.3041686668</x:v>
      </x:c>
      <x:c r="L2460" s="10" t="str">
        <x:f>IF(G2460-H2460&lt;=0,"未回本",IF(ROUNDUP(I2460/(G2460-H2460),0)&gt;MIN(F2460,J2460),"未回本",MAX(1,ROUNDUP(I2460/(G2460-H2460),0))))</x:f>
        <x:v>未回本</x:v>
      </x:c>
    </x:row>
    <x:row r="2461" ht="22" customHeight="1">
      <x:c r="A2461" s="11" t="str">
        <x:v>lade_0829_30aoi</x:v>
      </x:c>
      <x:c r="B2461" s="10" t="n">
        <x:v>30</x:v>
      </x:c>
      <x:c r="C2461" s="10" t="n">
        <x:v>43</x:v>
      </x:c>
      <x:c r="D2461" s="10" t="str">
        <x:v>M2 / M4</x:v>
      </x:c>
      <x:c r="E2461" s="16" t="n">
        <x:v>2</x:v>
      </x:c>
      <x:c r="F2461" s="14" t="n">
        <x:v>50</x:v>
      </x:c>
      <x:c r="G2461" s="26" t="n">
        <x:f>'成本明细'!U370+'成本明细'!G370*(E2461-'参数'!$B$6)</x:f>
        <x:v>2497.551779295</x:v>
      </x:c>
      <x:c r="H2461" s="26" t="n">
        <x:f>'成本明细'!U376</x:f>
        <x:v>3707.921149573889</x:v>
      </x:c>
      <x:c r="I2461" s="26" t="n">
        <x:f>'成本明细'!V376</x:f>
        <x:v>8577.5</x:v>
      </x:c>
      <x:c r="J2461" s="22" t="n">
        <x:f>'参数'!$B$9</x:f>
        <x:v>300</x:v>
      </x:c>
      <x:c r="K2461" s="26" t="n">
        <x:f>J2461*(G2461-H2461)-I2461*ROUNDUP(J2461/F2461,0)</x:f>
        <x:v>-414575.81108366675</x:v>
      </x:c>
      <x:c r="L2461" s="10" t="str">
        <x:f>IF(G2461-H2461&lt;=0,"未回本",IF(ROUNDUP(I2461/(G2461-H2461),0)&gt;MIN(F2461,J2461),"未回本",MAX(1,ROUNDUP(I2461/(G2461-H2461),0))))</x:f>
        <x:v>未回本</x:v>
      </x:c>
    </x:row>
    <x:row r="2462" ht="22" customHeight="1">
      <x:c r="A2462" s="11" t="str">
        <x:v>lade_0829_30aoi</x:v>
      </x:c>
      <x:c r="B2462" s="10" t="n">
        <x:v>30</x:v>
      </x:c>
      <x:c r="C2462" s="10" t="n">
        <x:v>43</x:v>
      </x:c>
      <x:c r="D2462" s="10" t="str">
        <x:v>M1 / M3</x:v>
      </x:c>
      <x:c r="E2462" s="16" t="n">
        <x:v>3</x:v>
      </x:c>
      <x:c r="F2462" s="14" t="n">
        <x:v>10</x:v>
      </x:c>
      <x:c r="G2462" s="26" t="n">
        <x:f>'成本明细'!U367+'成本明细'!G367*(E2462-'参数'!$B$6)</x:f>
        <x:v>3164.449591368889</x:v>
      </x:c>
      <x:c r="H2462" s="26" t="n">
        <x:f>'成本明细'!U373</x:f>
        <x:v>4026.7072719311113</x:v>
      </x:c>
      <x:c r="I2462" s="26" t="n">
        <x:f>'成本明细'!V373</x:f>
        <x:v>8577.5</x:v>
      </x:c>
      <x:c r="J2462" s="22" t="n">
        <x:f>'参数'!$B$9</x:f>
        <x:v>300</x:v>
      </x:c>
      <x:c r="K2462" s="26" t="n">
        <x:f>J2462*(G2462-H2462)-I2462*ROUNDUP(J2462/F2462,0)</x:f>
        <x:v>-516002.3041686667</x:v>
      </x:c>
      <x:c r="L2462" s="10" t="str">
        <x:f>IF(G2462-H2462&lt;=0,"未回本",IF(ROUNDUP(I2462/(G2462-H2462),0)&gt;MIN(F2462,J2462),"未回本",MAX(1,ROUNDUP(I2462/(G2462-H2462),0))))</x:f>
        <x:v>未回本</x:v>
      </x:c>
    </x:row>
    <x:row r="2463" ht="22" customHeight="1">
      <x:c r="A2463" s="11" t="str">
        <x:v>lade_0829_30aoi</x:v>
      </x:c>
      <x:c r="B2463" s="10" t="n">
        <x:v>30</x:v>
      </x:c>
      <x:c r="C2463" s="10" t="n">
        <x:v>43</x:v>
      </x:c>
      <x:c r="D2463" s="10" t="str">
        <x:v>M2 / M4</x:v>
      </x:c>
      <x:c r="E2463" s="16" t="n">
        <x:v>3</x:v>
      </x:c>
      <x:c r="F2463" s="14" t="n">
        <x:v>10</x:v>
      </x:c>
      <x:c r="G2463" s="26" t="n">
        <x:f>'成本明细'!U370+'成本明细'!G370*(E2463-'参数'!$B$6)</x:f>
        <x:v>2732.551779295</x:v>
      </x:c>
      <x:c r="H2463" s="26" t="n">
        <x:f>'成本明细'!U376</x:f>
        <x:v>3707.921149573889</x:v>
      </x:c>
      <x:c r="I2463" s="26" t="n">
        <x:f>'成本明细'!V376</x:f>
        <x:v>8577.5</x:v>
      </x:c>
      <x:c r="J2463" s="22" t="n">
        <x:f>'参数'!$B$9</x:f>
        <x:v>300</x:v>
      </x:c>
      <x:c r="K2463" s="26" t="n">
        <x:f>J2463*(G2463-H2463)-I2463*ROUNDUP(J2463/F2463,0)</x:f>
        <x:v>-549935.8110836667</x:v>
      </x:c>
      <x:c r="L2463" s="10" t="str">
        <x:f>IF(G2463-H2463&lt;=0,"未回本",IF(ROUNDUP(I2463/(G2463-H2463),0)&gt;MIN(F2463,J2463),"未回本",MAX(1,ROUNDUP(I2463/(G2463-H2463),0))))</x:f>
        <x:v>未回本</x:v>
      </x:c>
    </x:row>
    <x:row r="2464" ht="22" customHeight="1">
      <x:c r="A2464" s="11" t="str">
        <x:v>lade_0829_30aoi</x:v>
      </x:c>
      <x:c r="B2464" s="10" t="n">
        <x:v>30</x:v>
      </x:c>
      <x:c r="C2464" s="10" t="n">
        <x:v>43</x:v>
      </x:c>
      <x:c r="D2464" s="10" t="str">
        <x:v>M1 / M3</x:v>
      </x:c>
      <x:c r="E2464" s="16" t="n">
        <x:v>3</x:v>
      </x:c>
      <x:c r="F2464" s="14" t="n">
        <x:v>20</x:v>
      </x:c>
      <x:c r="G2464" s="26" t="n">
        <x:f>'成本明细'!U367+'成本明细'!G367*(E2464-'参数'!$B$6)</x:f>
        <x:v>3164.449591368889</x:v>
      </x:c>
      <x:c r="H2464" s="26" t="n">
        <x:f>'成本明细'!U373</x:f>
        <x:v>4026.7072719311113</x:v>
      </x:c>
      <x:c r="I2464" s="26" t="n">
        <x:f>'成本明细'!V373</x:f>
        <x:v>8577.5</x:v>
      </x:c>
      <x:c r="J2464" s="22" t="n">
        <x:f>'参数'!$B$9</x:f>
        <x:v>300</x:v>
      </x:c>
      <x:c r="K2464" s="26" t="n">
        <x:f>J2464*(G2464-H2464)-I2464*ROUNDUP(J2464/F2464,0)</x:f>
        <x:v>-387339.8041686667</x:v>
      </x:c>
      <x:c r="L2464" s="10" t="str">
        <x:f>IF(G2464-H2464&lt;=0,"未回本",IF(ROUNDUP(I2464/(G2464-H2464),0)&gt;MIN(F2464,J2464),"未回本",MAX(1,ROUNDUP(I2464/(G2464-H2464),0))))</x:f>
        <x:v>未回本</x:v>
      </x:c>
    </x:row>
    <x:row r="2465" ht="22" customHeight="1">
      <x:c r="A2465" s="11" t="str">
        <x:v>lade_0829_30aoi</x:v>
      </x:c>
      <x:c r="B2465" s="10" t="n">
        <x:v>30</x:v>
      </x:c>
      <x:c r="C2465" s="10" t="n">
        <x:v>43</x:v>
      </x:c>
      <x:c r="D2465" s="10" t="str">
        <x:v>M2 / M4</x:v>
      </x:c>
      <x:c r="E2465" s="16" t="n">
        <x:v>3</x:v>
      </x:c>
      <x:c r="F2465" s="14" t="n">
        <x:v>20</x:v>
      </x:c>
      <x:c r="G2465" s="26" t="n">
        <x:f>'成本明细'!U370+'成本明细'!G370*(E2465-'参数'!$B$6)</x:f>
        <x:v>2732.551779295</x:v>
      </x:c>
      <x:c r="H2465" s="26" t="n">
        <x:f>'成本明细'!U376</x:f>
        <x:v>3707.921149573889</x:v>
      </x:c>
      <x:c r="I2465" s="26" t="n">
        <x:f>'成本明细'!V376</x:f>
        <x:v>8577.5</x:v>
      </x:c>
      <x:c r="J2465" s="22" t="n">
        <x:f>'参数'!$B$9</x:f>
        <x:v>300</x:v>
      </x:c>
      <x:c r="K2465" s="26" t="n">
        <x:f>J2465*(G2465-H2465)-I2465*ROUNDUP(J2465/F2465,0)</x:f>
        <x:v>-421273.31108366675</x:v>
      </x:c>
      <x:c r="L2465" s="10" t="str">
        <x:f>IF(G2465-H2465&lt;=0,"未回本",IF(ROUNDUP(I2465/(G2465-H2465),0)&gt;MIN(F2465,J2465),"未回本",MAX(1,ROUNDUP(I2465/(G2465-H2465),0))))</x:f>
        <x:v>未回本</x:v>
      </x:c>
    </x:row>
    <x:row r="2466" ht="22" customHeight="1">
      <x:c r="A2466" s="11" t="str">
        <x:v>lade_0829_30aoi</x:v>
      </x:c>
      <x:c r="B2466" s="10" t="n">
        <x:v>30</x:v>
      </x:c>
      <x:c r="C2466" s="10" t="n">
        <x:v>43</x:v>
      </x:c>
      <x:c r="D2466" s="10" t="str">
        <x:v>M1 / M3</x:v>
      </x:c>
      <x:c r="E2466" s="16" t="n">
        <x:v>3</x:v>
      </x:c>
      <x:c r="F2466" s="14" t="n">
        <x:v>30</x:v>
      </x:c>
      <x:c r="G2466" s="26" t="n">
        <x:f>'成本明细'!U367+'成本明细'!G367*(E2466-'参数'!$B$6)</x:f>
        <x:v>3164.449591368889</x:v>
      </x:c>
      <x:c r="H2466" s="26" t="n">
        <x:f>'成本明细'!U373</x:f>
        <x:v>4026.7072719311113</x:v>
      </x:c>
      <x:c r="I2466" s="26" t="n">
        <x:f>'成本明细'!V373</x:f>
        <x:v>8577.5</x:v>
      </x:c>
      <x:c r="J2466" s="22" t="n">
        <x:f>'参数'!$B$9</x:f>
        <x:v>300</x:v>
      </x:c>
      <x:c r="K2466" s="26" t="n">
        <x:f>J2466*(G2466-H2466)-I2466*ROUNDUP(J2466/F2466,0)</x:f>
        <x:v>-344452.3041686667</x:v>
      </x:c>
      <x:c r="L2466" s="10" t="str">
        <x:f>IF(G2466-H2466&lt;=0,"未回本",IF(ROUNDUP(I2466/(G2466-H2466),0)&gt;MIN(F2466,J2466),"未回本",MAX(1,ROUNDUP(I2466/(G2466-H2466),0))))</x:f>
        <x:v>未回本</x:v>
      </x:c>
    </x:row>
    <x:row r="2467" ht="22" customHeight="1">
      <x:c r="A2467" s="11" t="str">
        <x:v>lade_0829_30aoi</x:v>
      </x:c>
      <x:c r="B2467" s="10" t="n">
        <x:v>30</x:v>
      </x:c>
      <x:c r="C2467" s="10" t="n">
        <x:v>43</x:v>
      </x:c>
      <x:c r="D2467" s="10" t="str">
        <x:v>M2 / M4</x:v>
      </x:c>
      <x:c r="E2467" s="16" t="n">
        <x:v>3</x:v>
      </x:c>
      <x:c r="F2467" s="14" t="n">
        <x:v>30</x:v>
      </x:c>
      <x:c r="G2467" s="26" t="n">
        <x:f>'成本明细'!U370+'成本明细'!G370*(E2467-'参数'!$B$6)</x:f>
        <x:v>2732.551779295</x:v>
      </x:c>
      <x:c r="H2467" s="26" t="n">
        <x:f>'成本明细'!U376</x:f>
        <x:v>3707.921149573889</x:v>
      </x:c>
      <x:c r="I2467" s="26" t="n">
        <x:f>'成本明细'!V376</x:f>
        <x:v>8577.5</x:v>
      </x:c>
      <x:c r="J2467" s="22" t="n">
        <x:f>'参数'!$B$9</x:f>
        <x:v>300</x:v>
      </x:c>
      <x:c r="K2467" s="26" t="n">
        <x:f>J2467*(G2467-H2467)-I2467*ROUNDUP(J2467/F2467,0)</x:f>
        <x:v>-378385.81108366675</x:v>
      </x:c>
      <x:c r="L2467" s="10" t="str">
        <x:f>IF(G2467-H2467&lt;=0,"未回本",IF(ROUNDUP(I2467/(G2467-H2467),0)&gt;MIN(F2467,J2467),"未回本",MAX(1,ROUNDUP(I2467/(G2467-H2467),0))))</x:f>
        <x:v>未回本</x:v>
      </x:c>
    </x:row>
    <x:row r="2468" ht="22" customHeight="1">
      <x:c r="A2468" s="11" t="str">
        <x:v>lade_0829_30aoi</x:v>
      </x:c>
      <x:c r="B2468" s="10" t="n">
        <x:v>30</x:v>
      </x:c>
      <x:c r="C2468" s="10" t="n">
        <x:v>43</x:v>
      </x:c>
      <x:c r="D2468" s="10" t="str">
        <x:v>M1 / M3</x:v>
      </x:c>
      <x:c r="E2468" s="16" t="n">
        <x:v>3</x:v>
      </x:c>
      <x:c r="F2468" s="14" t="n">
        <x:v>50</x:v>
      </x:c>
      <x:c r="G2468" s="26" t="n">
        <x:f>'成本明细'!U367+'成本明细'!G367*(E2468-'参数'!$B$6)</x:f>
        <x:v>3164.449591368889</x:v>
      </x:c>
      <x:c r="H2468" s="26" t="n">
        <x:f>'成本明细'!U373</x:f>
        <x:v>4026.7072719311113</x:v>
      </x:c>
      <x:c r="I2468" s="26" t="n">
        <x:f>'成本明细'!V373</x:f>
        <x:v>8577.5</x:v>
      </x:c>
      <x:c r="J2468" s="22" t="n">
        <x:f>'参数'!$B$9</x:f>
        <x:v>300</x:v>
      </x:c>
      <x:c r="K2468" s="26" t="n">
        <x:f>J2468*(G2468-H2468)-I2468*ROUNDUP(J2468/F2468,0)</x:f>
        <x:v>-310142.3041686667</x:v>
      </x:c>
      <x:c r="L2468" s="10" t="str">
        <x:f>IF(G2468-H2468&lt;=0,"未回本",IF(ROUNDUP(I2468/(G2468-H2468),0)&gt;MIN(F2468,J2468),"未回本",MAX(1,ROUNDUP(I2468/(G2468-H2468),0))))</x:f>
        <x:v>未回本</x:v>
      </x:c>
    </x:row>
    <x:row r="2469" ht="22" customHeight="1">
      <x:c r="A2469" s="11" t="str">
        <x:v>lade_0829_30aoi</x:v>
      </x:c>
      <x:c r="B2469" s="10" t="n">
        <x:v>30</x:v>
      </x:c>
      <x:c r="C2469" s="10" t="n">
        <x:v>43</x:v>
      </x:c>
      <x:c r="D2469" s="10" t="str">
        <x:v>M2 / M4</x:v>
      </x:c>
      <x:c r="E2469" s="16" t="n">
        <x:v>3</x:v>
      </x:c>
      <x:c r="F2469" s="14" t="n">
        <x:v>50</x:v>
      </x:c>
      <x:c r="G2469" s="26" t="n">
        <x:f>'成本明细'!U370+'成本明细'!G370*(E2469-'参数'!$B$6)</x:f>
        <x:v>2732.551779295</x:v>
      </x:c>
      <x:c r="H2469" s="26" t="n">
        <x:f>'成本明细'!U376</x:f>
        <x:v>3707.921149573889</x:v>
      </x:c>
      <x:c r="I2469" s="26" t="n">
        <x:f>'成本明细'!V376</x:f>
        <x:v>8577.5</x:v>
      </x:c>
      <x:c r="J2469" s="22" t="n">
        <x:f>'参数'!$B$9</x:f>
        <x:v>300</x:v>
      </x:c>
      <x:c r="K2469" s="26" t="n">
        <x:f>J2469*(G2469-H2469)-I2469*ROUNDUP(J2469/F2469,0)</x:f>
        <x:v>-344075.81108366675</x:v>
      </x:c>
      <x:c r="L2469" s="10" t="str">
        <x:f>IF(G2469-H2469&lt;=0,"未回本",IF(ROUNDUP(I2469/(G2469-H2469),0)&gt;MIN(F2469,J2469),"未回本",MAX(1,ROUNDUP(I2469/(G2469-H2469),0))))</x:f>
        <x:v>未回本</x:v>
      </x:c>
    </x:row>
    <x:row r="2470" ht="22" customHeight="1">
      <x:c r="A2470" s="11" t="str">
        <x:v>lade_0829_30aoi</x:v>
      </x:c>
      <x:c r="B2470" s="10" t="n">
        <x:v>30</x:v>
      </x:c>
      <x:c r="C2470" s="10" t="n">
        <x:v>43</x:v>
      </x:c>
      <x:c r="D2470" s="10" t="str">
        <x:v>M1 / M3</x:v>
      </x:c>
      <x:c r="E2470" s="16" t="n">
        <x:v>4</x:v>
      </x:c>
      <x:c r="F2470" s="14" t="n">
        <x:v>10</x:v>
      </x:c>
      <x:c r="G2470" s="26" t="n">
        <x:f>'成本明细'!U367+'成本明细'!G367*(E2470-'参数'!$B$6)</x:f>
        <x:v>3399.449591368889</x:v>
      </x:c>
      <x:c r="H2470" s="26" t="n">
        <x:f>'成本明细'!U373</x:f>
        <x:v>4026.7072719311113</x:v>
      </x:c>
      <x:c r="I2470" s="26" t="n">
        <x:f>'成本明细'!V373</x:f>
        <x:v>8577.5</x:v>
      </x:c>
      <x:c r="J2470" s="22" t="n">
        <x:f>'参数'!$B$9</x:f>
        <x:v>300</x:v>
      </x:c>
      <x:c r="K2470" s="26" t="n">
        <x:f>J2470*(G2470-H2470)-I2470*ROUNDUP(J2470/F2470,0)</x:f>
        <x:v>-445502.3041686667</x:v>
      </x:c>
      <x:c r="L2470" s="10" t="str">
        <x:f>IF(G2470-H2470&lt;=0,"未回本",IF(ROUNDUP(I2470/(G2470-H2470),0)&gt;MIN(F2470,J2470),"未回本",MAX(1,ROUNDUP(I2470/(G2470-H2470),0))))</x:f>
        <x:v>未回本</x:v>
      </x:c>
    </x:row>
    <x:row r="2471" ht="22" customHeight="1">
      <x:c r="A2471" s="11" t="str">
        <x:v>lade_0829_30aoi</x:v>
      </x:c>
      <x:c r="B2471" s="10" t="n">
        <x:v>30</x:v>
      </x:c>
      <x:c r="C2471" s="10" t="n">
        <x:v>43</x:v>
      </x:c>
      <x:c r="D2471" s="10" t="str">
        <x:v>M2 / M4</x:v>
      </x:c>
      <x:c r="E2471" s="16" t="n">
        <x:v>4</x:v>
      </x:c>
      <x:c r="F2471" s="14" t="n">
        <x:v>10</x:v>
      </x:c>
      <x:c r="G2471" s="26" t="n">
        <x:f>'成本明细'!U370+'成本明细'!G370*(E2471-'参数'!$B$6)</x:f>
        <x:v>2967.551779295</x:v>
      </x:c>
      <x:c r="H2471" s="26" t="n">
        <x:f>'成本明细'!U376</x:f>
        <x:v>3707.921149573889</x:v>
      </x:c>
      <x:c r="I2471" s="26" t="n">
        <x:f>'成本明细'!V376</x:f>
        <x:v>8577.5</x:v>
      </x:c>
      <x:c r="J2471" s="22" t="n">
        <x:f>'参数'!$B$9</x:f>
        <x:v>300</x:v>
      </x:c>
      <x:c r="K2471" s="26" t="n">
        <x:f>J2471*(G2471-H2471)-I2471*ROUNDUP(J2471/F2471,0)</x:f>
        <x:v>-479435.81108366675</x:v>
      </x:c>
      <x:c r="L2471" s="10" t="str">
        <x:f>IF(G2471-H2471&lt;=0,"未回本",IF(ROUNDUP(I2471/(G2471-H2471),0)&gt;MIN(F2471,J2471),"未回本",MAX(1,ROUNDUP(I2471/(G2471-H2471),0))))</x:f>
        <x:v>未回本</x:v>
      </x:c>
    </x:row>
    <x:row r="2472" ht="22" customHeight="1">
      <x:c r="A2472" s="11" t="str">
        <x:v>lade_0829_30aoi</x:v>
      </x:c>
      <x:c r="B2472" s="10" t="n">
        <x:v>30</x:v>
      </x:c>
      <x:c r="C2472" s="10" t="n">
        <x:v>43</x:v>
      </x:c>
      <x:c r="D2472" s="10" t="str">
        <x:v>M1 / M3</x:v>
      </x:c>
      <x:c r="E2472" s="16" t="n">
        <x:v>4</x:v>
      </x:c>
      <x:c r="F2472" s="14" t="n">
        <x:v>20</x:v>
      </x:c>
      <x:c r="G2472" s="26" t="n">
        <x:f>'成本明细'!U367+'成本明细'!G367*(E2472-'参数'!$B$6)</x:f>
        <x:v>3399.449591368889</x:v>
      </x:c>
      <x:c r="H2472" s="26" t="n">
        <x:f>'成本明细'!U373</x:f>
        <x:v>4026.7072719311113</x:v>
      </x:c>
      <x:c r="I2472" s="26" t="n">
        <x:f>'成本明细'!V373</x:f>
        <x:v>8577.5</x:v>
      </x:c>
      <x:c r="J2472" s="22" t="n">
        <x:f>'参数'!$B$9</x:f>
        <x:v>300</x:v>
      </x:c>
      <x:c r="K2472" s="26" t="n">
        <x:f>J2472*(G2472-H2472)-I2472*ROUNDUP(J2472/F2472,0)</x:f>
        <x:v>-316839.8041686667</x:v>
      </x:c>
      <x:c r="L2472" s="10" t="str">
        <x:f>IF(G2472-H2472&lt;=0,"未回本",IF(ROUNDUP(I2472/(G2472-H2472),0)&gt;MIN(F2472,J2472),"未回本",MAX(1,ROUNDUP(I2472/(G2472-H2472),0))))</x:f>
        <x:v>未回本</x:v>
      </x:c>
    </x:row>
    <x:row r="2473" ht="22" customHeight="1">
      <x:c r="A2473" s="11" t="str">
        <x:v>lade_0829_30aoi</x:v>
      </x:c>
      <x:c r="B2473" s="10" t="n">
        <x:v>30</x:v>
      </x:c>
      <x:c r="C2473" s="10" t="n">
        <x:v>43</x:v>
      </x:c>
      <x:c r="D2473" s="10" t="str">
        <x:v>M2 / M4</x:v>
      </x:c>
      <x:c r="E2473" s="16" t="n">
        <x:v>4</x:v>
      </x:c>
      <x:c r="F2473" s="14" t="n">
        <x:v>20</x:v>
      </x:c>
      <x:c r="G2473" s="26" t="n">
        <x:f>'成本明细'!U370+'成本明细'!G370*(E2473-'参数'!$B$6)</x:f>
        <x:v>2967.551779295</x:v>
      </x:c>
      <x:c r="H2473" s="26" t="n">
        <x:f>'成本明细'!U376</x:f>
        <x:v>3707.921149573889</x:v>
      </x:c>
      <x:c r="I2473" s="26" t="n">
        <x:f>'成本明细'!V376</x:f>
        <x:v>8577.5</x:v>
      </x:c>
      <x:c r="J2473" s="22" t="n">
        <x:f>'参数'!$B$9</x:f>
        <x:v>300</x:v>
      </x:c>
      <x:c r="K2473" s="26" t="n">
        <x:f>J2473*(G2473-H2473)-I2473*ROUNDUP(J2473/F2473,0)</x:f>
        <x:v>-350773.31108366675</x:v>
      </x:c>
      <x:c r="L2473" s="10" t="str">
        <x:f>IF(G2473-H2473&lt;=0,"未回本",IF(ROUNDUP(I2473/(G2473-H2473),0)&gt;MIN(F2473,J2473),"未回本",MAX(1,ROUNDUP(I2473/(G2473-H2473),0))))</x:f>
        <x:v>未回本</x:v>
      </x:c>
    </x:row>
    <x:row r="2474" ht="22" customHeight="1">
      <x:c r="A2474" s="11" t="str">
        <x:v>lade_0829_30aoi</x:v>
      </x:c>
      <x:c r="B2474" s="10" t="n">
        <x:v>30</x:v>
      </x:c>
      <x:c r="C2474" s="10" t="n">
        <x:v>43</x:v>
      </x:c>
      <x:c r="D2474" s="10" t="str">
        <x:v>M1 / M3</x:v>
      </x:c>
      <x:c r="E2474" s="16" t="n">
        <x:v>4</x:v>
      </x:c>
      <x:c r="F2474" s="14" t="n">
        <x:v>30</x:v>
      </x:c>
      <x:c r="G2474" s="26" t="n">
        <x:f>'成本明细'!U367+'成本明细'!G367*(E2474-'参数'!$B$6)</x:f>
        <x:v>3399.449591368889</x:v>
      </x:c>
      <x:c r="H2474" s="26" t="n">
        <x:f>'成本明细'!U373</x:f>
        <x:v>4026.7072719311113</x:v>
      </x:c>
      <x:c r="I2474" s="26" t="n">
        <x:f>'成本明细'!V373</x:f>
        <x:v>8577.5</x:v>
      </x:c>
      <x:c r="J2474" s="22" t="n">
        <x:f>'参数'!$B$9</x:f>
        <x:v>300</x:v>
      </x:c>
      <x:c r="K2474" s="26" t="n">
        <x:f>J2474*(G2474-H2474)-I2474*ROUNDUP(J2474/F2474,0)</x:f>
        <x:v>-273952.3041686667</x:v>
      </x:c>
      <x:c r="L2474" s="10" t="str">
        <x:f>IF(G2474-H2474&lt;=0,"未回本",IF(ROUNDUP(I2474/(G2474-H2474),0)&gt;MIN(F2474,J2474),"未回本",MAX(1,ROUNDUP(I2474/(G2474-H2474),0))))</x:f>
        <x:v>未回本</x:v>
      </x:c>
    </x:row>
    <x:row r="2475" ht="22" customHeight="1">
      <x:c r="A2475" s="11" t="str">
        <x:v>lade_0829_30aoi</x:v>
      </x:c>
      <x:c r="B2475" s="10" t="n">
        <x:v>30</x:v>
      </x:c>
      <x:c r="C2475" s="10" t="n">
        <x:v>43</x:v>
      </x:c>
      <x:c r="D2475" s="10" t="str">
        <x:v>M2 / M4</x:v>
      </x:c>
      <x:c r="E2475" s="16" t="n">
        <x:v>4</x:v>
      </x:c>
      <x:c r="F2475" s="14" t="n">
        <x:v>30</x:v>
      </x:c>
      <x:c r="G2475" s="26" t="n">
        <x:f>'成本明细'!U370+'成本明细'!G370*(E2475-'参数'!$B$6)</x:f>
        <x:v>2967.551779295</x:v>
      </x:c>
      <x:c r="H2475" s="26" t="n">
        <x:f>'成本明细'!U376</x:f>
        <x:v>3707.921149573889</x:v>
      </x:c>
      <x:c r="I2475" s="26" t="n">
        <x:f>'成本明细'!V376</x:f>
        <x:v>8577.5</x:v>
      </x:c>
      <x:c r="J2475" s="22" t="n">
        <x:f>'参数'!$B$9</x:f>
        <x:v>300</x:v>
      </x:c>
      <x:c r="K2475" s="26" t="n">
        <x:f>J2475*(G2475-H2475)-I2475*ROUNDUP(J2475/F2475,0)</x:f>
        <x:v>-307885.81108366675</x:v>
      </x:c>
      <x:c r="L2475" s="10" t="str">
        <x:f>IF(G2475-H2475&lt;=0,"未回本",IF(ROUNDUP(I2475/(G2475-H2475),0)&gt;MIN(F2475,J2475),"未回本",MAX(1,ROUNDUP(I2475/(G2475-H2475),0))))</x:f>
        <x:v>未回本</x:v>
      </x:c>
    </x:row>
    <x:row r="2476" ht="22" customHeight="1">
      <x:c r="A2476" s="11" t="str">
        <x:v>lade_0829_30aoi</x:v>
      </x:c>
      <x:c r="B2476" s="10" t="n">
        <x:v>30</x:v>
      </x:c>
      <x:c r="C2476" s="10" t="n">
        <x:v>43</x:v>
      </x:c>
      <x:c r="D2476" s="10" t="str">
        <x:v>M1 / M3</x:v>
      </x:c>
      <x:c r="E2476" s="16" t="n">
        <x:v>4</x:v>
      </x:c>
      <x:c r="F2476" s="14" t="n">
        <x:v>50</x:v>
      </x:c>
      <x:c r="G2476" s="26" t="n">
        <x:f>'成本明细'!U367+'成本明细'!G367*(E2476-'参数'!$B$6)</x:f>
        <x:v>3399.449591368889</x:v>
      </x:c>
      <x:c r="H2476" s="26" t="n">
        <x:f>'成本明细'!U373</x:f>
        <x:v>4026.7072719311113</x:v>
      </x:c>
      <x:c r="I2476" s="26" t="n">
        <x:f>'成本明细'!V373</x:f>
        <x:v>8577.5</x:v>
      </x:c>
      <x:c r="J2476" s="22" t="n">
        <x:f>'参数'!$B$9</x:f>
        <x:v>300</x:v>
      </x:c>
      <x:c r="K2476" s="26" t="n">
        <x:f>J2476*(G2476-H2476)-I2476*ROUNDUP(J2476/F2476,0)</x:f>
        <x:v>-239642.30416866674</x:v>
      </x:c>
      <x:c r="L2476" s="10" t="str">
        <x:f>IF(G2476-H2476&lt;=0,"未回本",IF(ROUNDUP(I2476/(G2476-H2476),0)&gt;MIN(F2476,J2476),"未回本",MAX(1,ROUNDUP(I2476/(G2476-H2476),0))))</x:f>
        <x:v>未回本</x:v>
      </x:c>
    </x:row>
    <x:row r="2477" ht="22" customHeight="1">
      <x:c r="A2477" s="11" t="str">
        <x:v>lade_0829_30aoi</x:v>
      </x:c>
      <x:c r="B2477" s="10" t="n">
        <x:v>30</x:v>
      </x:c>
      <x:c r="C2477" s="10" t="n">
        <x:v>43</x:v>
      </x:c>
      <x:c r="D2477" s="10" t="str">
        <x:v>M2 / M4</x:v>
      </x:c>
      <x:c r="E2477" s="16" t="n">
        <x:v>4</x:v>
      </x:c>
      <x:c r="F2477" s="14" t="n">
        <x:v>50</x:v>
      </x:c>
      <x:c r="G2477" s="26" t="n">
        <x:f>'成本明细'!U370+'成本明细'!G370*(E2477-'参数'!$B$6)</x:f>
        <x:v>2967.551779295</x:v>
      </x:c>
      <x:c r="H2477" s="26" t="n">
        <x:f>'成本明细'!U376</x:f>
        <x:v>3707.921149573889</x:v>
      </x:c>
      <x:c r="I2477" s="26" t="n">
        <x:f>'成本明细'!V376</x:f>
        <x:v>8577.5</x:v>
      </x:c>
      <x:c r="J2477" s="22" t="n">
        <x:f>'参数'!$B$9</x:f>
        <x:v>300</x:v>
      </x:c>
      <x:c r="K2477" s="26" t="n">
        <x:f>J2477*(G2477-H2477)-I2477*ROUNDUP(J2477/F2477,0)</x:f>
        <x:v>-273575.81108366675</x:v>
      </x:c>
      <x:c r="L2477" s="10" t="str">
        <x:f>IF(G2477-H2477&lt;=0,"未回本",IF(ROUNDUP(I2477/(G2477-H2477),0)&gt;MIN(F2477,J2477),"未回本",MAX(1,ROUNDUP(I2477/(G2477-H2477),0))))</x:f>
        <x:v>未回本</x:v>
      </x:c>
    </x:row>
    <x:row r="2478" ht="22" customHeight="1">
      <x:c r="A2478" s="11" t="str">
        <x:v>lade_0829_30aoi</x:v>
      </x:c>
      <x:c r="B2478" s="10" t="n">
        <x:v>30</x:v>
      </x:c>
      <x:c r="C2478" s="10" t="n">
        <x:v>43</x:v>
      </x:c>
      <x:c r="D2478" s="10" t="str">
        <x:v>M1 / M3</x:v>
      </x:c>
      <x:c r="E2478" s="16" t="n">
        <x:v>5</x:v>
      </x:c>
      <x:c r="F2478" s="14" t="n">
        <x:v>10</x:v>
      </x:c>
      <x:c r="G2478" s="26" t="n">
        <x:f>'成本明细'!U367+'成本明细'!G367*(E2478-'参数'!$B$6)</x:f>
        <x:v>3634.449591368889</x:v>
      </x:c>
      <x:c r="H2478" s="26" t="n">
        <x:f>'成本明细'!U373</x:f>
        <x:v>4026.7072719311113</x:v>
      </x:c>
      <x:c r="I2478" s="26" t="n">
        <x:f>'成本明细'!V373</x:f>
        <x:v>8577.5</x:v>
      </x:c>
      <x:c r="J2478" s="22" t="n">
        <x:f>'参数'!$B$9</x:f>
        <x:v>300</x:v>
      </x:c>
      <x:c r="K2478" s="26" t="n">
        <x:f>J2478*(G2478-H2478)-I2478*ROUNDUP(J2478/F2478,0)</x:f>
        <x:v>-375002.3041686668</x:v>
      </x:c>
      <x:c r="L2478" s="10" t="str">
        <x:f>IF(G2478-H2478&lt;=0,"未回本",IF(ROUNDUP(I2478/(G2478-H2478),0)&gt;MIN(F2478,J2478),"未回本",MAX(1,ROUNDUP(I2478/(G2478-H2478),0))))</x:f>
        <x:v>未回本</x:v>
      </x:c>
    </x:row>
    <x:row r="2479" ht="22" customHeight="1">
      <x:c r="A2479" s="11" t="str">
        <x:v>lade_0829_30aoi</x:v>
      </x:c>
      <x:c r="B2479" s="10" t="n">
        <x:v>30</x:v>
      </x:c>
      <x:c r="C2479" s="10" t="n">
        <x:v>43</x:v>
      </x:c>
      <x:c r="D2479" s="10" t="str">
        <x:v>M2 / M4</x:v>
      </x:c>
      <x:c r="E2479" s="16" t="n">
        <x:v>5</x:v>
      </x:c>
      <x:c r="F2479" s="14" t="n">
        <x:v>10</x:v>
      </x:c>
      <x:c r="G2479" s="26" t="n">
        <x:f>'成本明细'!U370+'成本明细'!G370*(E2479-'参数'!$B$6)</x:f>
        <x:v>3202.551779295</x:v>
      </x:c>
      <x:c r="H2479" s="26" t="n">
        <x:f>'成本明细'!U376</x:f>
        <x:v>3707.921149573889</x:v>
      </x:c>
      <x:c r="I2479" s="26" t="n">
        <x:f>'成本明细'!V376</x:f>
        <x:v>8577.5</x:v>
      </x:c>
      <x:c r="J2479" s="22" t="n">
        <x:f>'参数'!$B$9</x:f>
        <x:v>300</x:v>
      </x:c>
      <x:c r="K2479" s="26" t="n">
        <x:f>J2479*(G2479-H2479)-I2479*ROUNDUP(J2479/F2479,0)</x:f>
        <x:v>-408935.81108366675</x:v>
      </x:c>
      <x:c r="L2479" s="10" t="str">
        <x:f>IF(G2479-H2479&lt;=0,"未回本",IF(ROUNDUP(I2479/(G2479-H2479),0)&gt;MIN(F2479,J2479),"未回本",MAX(1,ROUNDUP(I2479/(G2479-H2479),0))))</x:f>
        <x:v>未回本</x:v>
      </x:c>
    </x:row>
    <x:row r="2480" ht="22" customHeight="1">
      <x:c r="A2480" s="11" t="str">
        <x:v>lade_0829_30aoi</x:v>
      </x:c>
      <x:c r="B2480" s="10" t="n">
        <x:v>30</x:v>
      </x:c>
      <x:c r="C2480" s="10" t="n">
        <x:v>43</x:v>
      </x:c>
      <x:c r="D2480" s="10" t="str">
        <x:v>M1 / M3</x:v>
      </x:c>
      <x:c r="E2480" s="16" t="n">
        <x:v>5</x:v>
      </x:c>
      <x:c r="F2480" s="14" t="n">
        <x:v>20</x:v>
      </x:c>
      <x:c r="G2480" s="26" t="n">
        <x:f>'成本明细'!U367+'成本明细'!G367*(E2480-'参数'!$B$6)</x:f>
        <x:v>3634.449591368889</x:v>
      </x:c>
      <x:c r="H2480" s="26" t="n">
        <x:f>'成本明细'!U373</x:f>
        <x:v>4026.7072719311113</x:v>
      </x:c>
      <x:c r="I2480" s="26" t="n">
        <x:f>'成本明细'!V373</x:f>
        <x:v>8577.5</x:v>
      </x:c>
      <x:c r="J2480" s="22" t="n">
        <x:f>'参数'!$B$9</x:f>
        <x:v>300</x:v>
      </x:c>
      <x:c r="K2480" s="26" t="n">
        <x:f>J2480*(G2480-H2480)-I2480*ROUNDUP(J2480/F2480,0)</x:f>
        <x:v>-246339.80416866677</x:v>
      </x:c>
      <x:c r="L2480" s="10" t="str">
        <x:f>IF(G2480-H2480&lt;=0,"未回本",IF(ROUNDUP(I2480/(G2480-H2480),0)&gt;MIN(F2480,J2480),"未回本",MAX(1,ROUNDUP(I2480/(G2480-H2480),0))))</x:f>
        <x:v>未回本</x:v>
      </x:c>
    </x:row>
    <x:row r="2481" ht="22" customHeight="1">
      <x:c r="A2481" s="11" t="str">
        <x:v>lade_0829_30aoi</x:v>
      </x:c>
      <x:c r="B2481" s="10" t="n">
        <x:v>30</x:v>
      </x:c>
      <x:c r="C2481" s="10" t="n">
        <x:v>43</x:v>
      </x:c>
      <x:c r="D2481" s="10" t="str">
        <x:v>M2 / M4</x:v>
      </x:c>
      <x:c r="E2481" s="16" t="n">
        <x:v>5</x:v>
      </x:c>
      <x:c r="F2481" s="14" t="n">
        <x:v>20</x:v>
      </x:c>
      <x:c r="G2481" s="26" t="n">
        <x:f>'成本明细'!U370+'成本明细'!G370*(E2481-'参数'!$B$6)</x:f>
        <x:v>3202.551779295</x:v>
      </x:c>
      <x:c r="H2481" s="26" t="n">
        <x:f>'成本明细'!U376</x:f>
        <x:v>3707.921149573889</x:v>
      </x:c>
      <x:c r="I2481" s="26" t="n">
        <x:f>'成本明细'!V376</x:f>
        <x:v>8577.5</x:v>
      </x:c>
      <x:c r="J2481" s="22" t="n">
        <x:f>'参数'!$B$9</x:f>
        <x:v>300</x:v>
      </x:c>
      <x:c r="K2481" s="26" t="n">
        <x:f>J2481*(G2481-H2481)-I2481*ROUNDUP(J2481/F2481,0)</x:f>
        <x:v>-280273.31108366675</x:v>
      </x:c>
      <x:c r="L2481" s="10" t="str">
        <x:f>IF(G2481-H2481&lt;=0,"未回本",IF(ROUNDUP(I2481/(G2481-H2481),0)&gt;MIN(F2481,J2481),"未回本",MAX(1,ROUNDUP(I2481/(G2481-H2481),0))))</x:f>
        <x:v>未回本</x:v>
      </x:c>
    </x:row>
    <x:row r="2482" ht="22" customHeight="1">
      <x:c r="A2482" s="11" t="str">
        <x:v>lade_0829_30aoi</x:v>
      </x:c>
      <x:c r="B2482" s="10" t="n">
        <x:v>30</x:v>
      </x:c>
      <x:c r="C2482" s="10" t="n">
        <x:v>43</x:v>
      </x:c>
      <x:c r="D2482" s="10" t="str">
        <x:v>M1 / M3</x:v>
      </x:c>
      <x:c r="E2482" s="16" t="n">
        <x:v>5</x:v>
      </x:c>
      <x:c r="F2482" s="14" t="n">
        <x:v>30</x:v>
      </x:c>
      <x:c r="G2482" s="26" t="n">
        <x:f>'成本明细'!U367+'成本明细'!G367*(E2482-'参数'!$B$6)</x:f>
        <x:v>3634.449591368889</x:v>
      </x:c>
      <x:c r="H2482" s="26" t="n">
        <x:f>'成本明细'!U373</x:f>
        <x:v>4026.7072719311113</x:v>
      </x:c>
      <x:c r="I2482" s="26" t="n">
        <x:f>'成本明细'!V373</x:f>
        <x:v>8577.5</x:v>
      </x:c>
      <x:c r="J2482" s="22" t="n">
        <x:f>'参数'!$B$9</x:f>
        <x:v>300</x:v>
      </x:c>
      <x:c r="K2482" s="26" t="n">
        <x:f>J2482*(G2482-H2482)-I2482*ROUNDUP(J2482/F2482,0)</x:f>
        <x:v>-203452.30416866677</x:v>
      </x:c>
      <x:c r="L2482" s="10" t="str">
        <x:f>IF(G2482-H2482&lt;=0,"未回本",IF(ROUNDUP(I2482/(G2482-H2482),0)&gt;MIN(F2482,J2482),"未回本",MAX(1,ROUNDUP(I2482/(G2482-H2482),0))))</x:f>
        <x:v>未回本</x:v>
      </x:c>
    </x:row>
    <x:row r="2483" ht="22" customHeight="1">
      <x:c r="A2483" s="11" t="str">
        <x:v>lade_0829_30aoi</x:v>
      </x:c>
      <x:c r="B2483" s="10" t="n">
        <x:v>30</x:v>
      </x:c>
      <x:c r="C2483" s="10" t="n">
        <x:v>43</x:v>
      </x:c>
      <x:c r="D2483" s="10" t="str">
        <x:v>M2 / M4</x:v>
      </x:c>
      <x:c r="E2483" s="16" t="n">
        <x:v>5</x:v>
      </x:c>
      <x:c r="F2483" s="14" t="n">
        <x:v>30</x:v>
      </x:c>
      <x:c r="G2483" s="26" t="n">
        <x:f>'成本明细'!U370+'成本明细'!G370*(E2483-'参数'!$B$6)</x:f>
        <x:v>3202.551779295</x:v>
      </x:c>
      <x:c r="H2483" s="26" t="n">
        <x:f>'成本明细'!U376</x:f>
        <x:v>3707.921149573889</x:v>
      </x:c>
      <x:c r="I2483" s="26" t="n">
        <x:f>'成本明细'!V376</x:f>
        <x:v>8577.5</x:v>
      </x:c>
      <x:c r="J2483" s="22" t="n">
        <x:f>'参数'!$B$9</x:f>
        <x:v>300</x:v>
      </x:c>
      <x:c r="K2483" s="26" t="n">
        <x:f>J2483*(G2483-H2483)-I2483*ROUNDUP(J2483/F2483,0)</x:f>
        <x:v>-237385.81108366675</x:v>
      </x:c>
      <x:c r="L2483" s="10" t="str">
        <x:f>IF(G2483-H2483&lt;=0,"未回本",IF(ROUNDUP(I2483/(G2483-H2483),0)&gt;MIN(F2483,J2483),"未回本",MAX(1,ROUNDUP(I2483/(G2483-H2483),0))))</x:f>
        <x:v>未回本</x:v>
      </x:c>
    </x:row>
    <x:row r="2484" ht="22" customHeight="1">
      <x:c r="A2484" s="11" t="str">
        <x:v>lade_0829_30aoi</x:v>
      </x:c>
      <x:c r="B2484" s="10" t="n">
        <x:v>30</x:v>
      </x:c>
      <x:c r="C2484" s="10" t="n">
        <x:v>43</x:v>
      </x:c>
      <x:c r="D2484" s="10" t="str">
        <x:v>M1 / M3</x:v>
      </x:c>
      <x:c r="E2484" s="16" t="n">
        <x:v>5</x:v>
      </x:c>
      <x:c r="F2484" s="14" t="n">
        <x:v>50</x:v>
      </x:c>
      <x:c r="G2484" s="26" t="n">
        <x:f>'成本明细'!U367+'成本明细'!G367*(E2484-'参数'!$B$6)</x:f>
        <x:v>3634.449591368889</x:v>
      </x:c>
      <x:c r="H2484" s="26" t="n">
        <x:f>'成本明细'!U373</x:f>
        <x:v>4026.7072719311113</x:v>
      </x:c>
      <x:c r="I2484" s="26" t="n">
        <x:f>'成本明细'!V373</x:f>
        <x:v>8577.5</x:v>
      </x:c>
      <x:c r="J2484" s="22" t="n">
        <x:f>'参数'!$B$9</x:f>
        <x:v>300</x:v>
      </x:c>
      <x:c r="K2484" s="26" t="n">
        <x:f>J2484*(G2484-H2484)-I2484*ROUNDUP(J2484/F2484,0)</x:f>
        <x:v>-169142.30416866677</x:v>
      </x:c>
      <x:c r="L2484" s="10" t="str">
        <x:f>IF(G2484-H2484&lt;=0,"未回本",IF(ROUNDUP(I2484/(G2484-H2484),0)&gt;MIN(F2484,J2484),"未回本",MAX(1,ROUNDUP(I2484/(G2484-H2484),0))))</x:f>
        <x:v>未回本</x:v>
      </x:c>
    </x:row>
    <x:row r="2485" ht="22" customHeight="1">
      <x:c r="A2485" s="11" t="str">
        <x:v>lade_0829_30aoi</x:v>
      </x:c>
      <x:c r="B2485" s="10" t="n">
        <x:v>30</x:v>
      </x:c>
      <x:c r="C2485" s="10" t="n">
        <x:v>43</x:v>
      </x:c>
      <x:c r="D2485" s="10" t="str">
        <x:v>M2 / M4</x:v>
      </x:c>
      <x:c r="E2485" s="16" t="n">
        <x:v>5</x:v>
      </x:c>
      <x:c r="F2485" s="14" t="n">
        <x:v>50</x:v>
      </x:c>
      <x:c r="G2485" s="26" t="n">
        <x:f>'成本明细'!U370+'成本明细'!G370*(E2485-'参数'!$B$6)</x:f>
        <x:v>3202.551779295</x:v>
      </x:c>
      <x:c r="H2485" s="26" t="n">
        <x:f>'成本明细'!U376</x:f>
        <x:v>3707.921149573889</x:v>
      </x:c>
      <x:c r="I2485" s="26" t="n">
        <x:f>'成本明细'!V376</x:f>
        <x:v>8577.5</x:v>
      </x:c>
      <x:c r="J2485" s="22" t="n">
        <x:f>'参数'!$B$9</x:f>
        <x:v>300</x:v>
      </x:c>
      <x:c r="K2485" s="26" t="n">
        <x:f>J2485*(G2485-H2485)-I2485*ROUNDUP(J2485/F2485,0)</x:f>
        <x:v>-203075.81108366675</x:v>
      </x:c>
      <x:c r="L2485" s="10" t="str">
        <x:f>IF(G2485-H2485&lt;=0,"未回本",IF(ROUNDUP(I2485/(G2485-H2485),0)&gt;MIN(F2485,J2485),"未回本",MAX(1,ROUNDUP(I2485/(G2485-H2485),0))))</x:f>
        <x:v>未回本</x:v>
      </x:c>
    </x:row>
    <x:row r="2486" ht="22" customHeight="1">
      <x:c r="A2486" s="11" t="str">
        <x:v>lade_0829_30aoi</x:v>
      </x:c>
      <x:c r="B2486" s="10" t="n">
        <x:v>30</x:v>
      </x:c>
      <x:c r="C2486" s="10" t="n">
        <x:v>44</x:v>
      </x:c>
      <x:c r="D2486" s="10" t="str">
        <x:v>M1 / M3</x:v>
      </x:c>
      <x:c r="E2486" s="16" t="n">
        <x:v>1</x:v>
      </x:c>
      <x:c r="F2486" s="14" t="n">
        <x:v>10</x:v>
      </x:c>
      <x:c r="G2486" s="26" t="n">
        <x:f>'成本明细'!U368+'成本明细'!G368*(E2486-'参数'!$B$6)</x:f>
        <x:v>2687.6110091416667</x:v>
      </x:c>
      <x:c r="H2486" s="26" t="n">
        <x:f>'成本明细'!U374</x:f>
        <x:v>4027.9249212505556</x:v>
      </x:c>
      <x:c r="I2486" s="26" t="n">
        <x:f>'成本明细'!V374</x:f>
        <x:v>8577.5</x:v>
      </x:c>
      <x:c r="J2486" s="22" t="n">
        <x:f>'参数'!$B$9</x:f>
        <x:v>300</x:v>
      </x:c>
      <x:c r="K2486" s="26" t="n">
        <x:f>J2486*(G2486-H2486)-I2486*ROUNDUP(J2486/F2486,0)</x:f>
        <x:v>-659419.1736326667</x:v>
      </x:c>
      <x:c r="L2486" s="10" t="str">
        <x:f>IF(G2486-H2486&lt;=0,"未回本",IF(ROUNDUP(I2486/(G2486-H2486),0)&gt;MIN(F2486,J2486),"未回本",MAX(1,ROUNDUP(I2486/(G2486-H2486),0))))</x:f>
        <x:v>未回本</x:v>
      </x:c>
    </x:row>
    <x:row r="2487" ht="22" customHeight="1">
      <x:c r="A2487" s="11" t="str">
        <x:v>lade_0829_30aoi</x:v>
      </x:c>
      <x:c r="B2487" s="10" t="n">
        <x:v>30</x:v>
      </x:c>
      <x:c r="C2487" s="10" t="n">
        <x:v>44</x:v>
      </x:c>
      <x:c r="D2487" s="10" t="str">
        <x:v>M2 / M4</x:v>
      </x:c>
      <x:c r="E2487" s="16" t="n">
        <x:v>1</x:v>
      </x:c>
      <x:c r="F2487" s="14" t="n">
        <x:v>10</x:v>
      </x:c>
      <x:c r="G2487" s="26" t="n">
        <x:f>'成本明细'!U371+'成本明细'!G371*(E2487-'参数'!$B$6)</x:f>
        <x:v>2263.025223990556</x:v>
      </x:c>
      <x:c r="H2487" s="26" t="n">
        <x:f>'成本明细'!U377</x:f>
        <x:v>3899.4931969027775</x:v>
      </x:c>
      <x:c r="I2487" s="26" t="n">
        <x:f>'成本明细'!V377</x:f>
        <x:v>8577.5</x:v>
      </x:c>
      <x:c r="J2487" s="22" t="n">
        <x:f>'参数'!$B$9</x:f>
        <x:v>300</x:v>
      </x:c>
      <x:c r="K2487" s="26" t="n">
        <x:f>J2487*(G2487-H2487)-I2487*ROUNDUP(J2487/F2487,0)</x:f>
        <x:v>-748265.3918736666</x:v>
      </x:c>
      <x:c r="L2487" s="10" t="str">
        <x:f>IF(G2487-H2487&lt;=0,"未回本",IF(ROUNDUP(I2487/(G2487-H2487),0)&gt;MIN(F2487,J2487),"未回本",MAX(1,ROUNDUP(I2487/(G2487-H2487),0))))</x:f>
        <x:v>未回本</x:v>
      </x:c>
    </x:row>
    <x:row r="2488" ht="22" customHeight="1">
      <x:c r="A2488" s="11" t="str">
        <x:v>lade_0829_30aoi</x:v>
      </x:c>
      <x:c r="B2488" s="10" t="n">
        <x:v>30</x:v>
      </x:c>
      <x:c r="C2488" s="10" t="n">
        <x:v>44</x:v>
      </x:c>
      <x:c r="D2488" s="10" t="str">
        <x:v>M1 / M3</x:v>
      </x:c>
      <x:c r="E2488" s="16" t="n">
        <x:v>1</x:v>
      </x:c>
      <x:c r="F2488" s="14" t="n">
        <x:v>20</x:v>
      </x:c>
      <x:c r="G2488" s="26" t="n">
        <x:f>'成本明细'!U368+'成本明细'!G368*(E2488-'参数'!$B$6)</x:f>
        <x:v>2687.6110091416667</x:v>
      </x:c>
      <x:c r="H2488" s="26" t="n">
        <x:f>'成本明细'!U374</x:f>
        <x:v>4027.9249212505556</x:v>
      </x:c>
      <x:c r="I2488" s="26" t="n">
        <x:f>'成本明细'!V374</x:f>
        <x:v>8577.5</x:v>
      </x:c>
      <x:c r="J2488" s="22" t="n">
        <x:f>'参数'!$B$9</x:f>
        <x:v>300</x:v>
      </x:c>
      <x:c r="K2488" s="26" t="n">
        <x:f>J2488*(G2488-H2488)-I2488*ROUNDUP(J2488/F2488,0)</x:f>
        <x:v>-530756.6736326667</x:v>
      </x:c>
      <x:c r="L2488" s="10" t="str">
        <x:f>IF(G2488-H2488&lt;=0,"未回本",IF(ROUNDUP(I2488/(G2488-H2488),0)&gt;MIN(F2488,J2488),"未回本",MAX(1,ROUNDUP(I2488/(G2488-H2488),0))))</x:f>
        <x:v>未回本</x:v>
      </x:c>
    </x:row>
    <x:row r="2489" ht="22" customHeight="1">
      <x:c r="A2489" s="11" t="str">
        <x:v>lade_0829_30aoi</x:v>
      </x:c>
      <x:c r="B2489" s="10" t="n">
        <x:v>30</x:v>
      </x:c>
      <x:c r="C2489" s="10" t="n">
        <x:v>44</x:v>
      </x:c>
      <x:c r="D2489" s="10" t="str">
        <x:v>M2 / M4</x:v>
      </x:c>
      <x:c r="E2489" s="16" t="n">
        <x:v>1</x:v>
      </x:c>
      <x:c r="F2489" s="14" t="n">
        <x:v>20</x:v>
      </x:c>
      <x:c r="G2489" s="26" t="n">
        <x:f>'成本明细'!U371+'成本明细'!G371*(E2489-'参数'!$B$6)</x:f>
        <x:v>2263.025223990556</x:v>
      </x:c>
      <x:c r="H2489" s="26" t="n">
        <x:f>'成本明细'!U377</x:f>
        <x:v>3899.4931969027775</x:v>
      </x:c>
      <x:c r="I2489" s="26" t="n">
        <x:f>'成本明细'!V377</x:f>
        <x:v>8577.5</x:v>
      </x:c>
      <x:c r="J2489" s="22" t="n">
        <x:f>'参数'!$B$9</x:f>
        <x:v>300</x:v>
      </x:c>
      <x:c r="K2489" s="26" t="n">
        <x:f>J2489*(G2489-H2489)-I2489*ROUNDUP(J2489/F2489,0)</x:f>
        <x:v>-619602.8918736666</x:v>
      </x:c>
      <x:c r="L2489" s="10" t="str">
        <x:f>IF(G2489-H2489&lt;=0,"未回本",IF(ROUNDUP(I2489/(G2489-H2489),0)&gt;MIN(F2489,J2489),"未回本",MAX(1,ROUNDUP(I2489/(G2489-H2489),0))))</x:f>
        <x:v>未回本</x:v>
      </x:c>
    </x:row>
    <x:row r="2490" ht="22" customHeight="1">
      <x:c r="A2490" s="11" t="str">
        <x:v>lade_0829_30aoi</x:v>
      </x:c>
      <x:c r="B2490" s="10" t="n">
        <x:v>30</x:v>
      </x:c>
      <x:c r="C2490" s="10" t="n">
        <x:v>44</x:v>
      </x:c>
      <x:c r="D2490" s="10" t="str">
        <x:v>M1 / M3</x:v>
      </x:c>
      <x:c r="E2490" s="16" t="n">
        <x:v>1</x:v>
      </x:c>
      <x:c r="F2490" s="14" t="n">
        <x:v>30</x:v>
      </x:c>
      <x:c r="G2490" s="26" t="n">
        <x:f>'成本明细'!U368+'成本明细'!G368*(E2490-'参数'!$B$6)</x:f>
        <x:v>2687.6110091416667</x:v>
      </x:c>
      <x:c r="H2490" s="26" t="n">
        <x:f>'成本明细'!U374</x:f>
        <x:v>4027.9249212505556</x:v>
      </x:c>
      <x:c r="I2490" s="26" t="n">
        <x:f>'成本明细'!V374</x:f>
        <x:v>8577.5</x:v>
      </x:c>
      <x:c r="J2490" s="22" t="n">
        <x:f>'参数'!$B$9</x:f>
        <x:v>300</x:v>
      </x:c>
      <x:c r="K2490" s="26" t="n">
        <x:f>J2490*(G2490-H2490)-I2490*ROUNDUP(J2490/F2490,0)</x:f>
        <x:v>-487869.17363266664</x:v>
      </x:c>
      <x:c r="L2490" s="10" t="str">
        <x:f>IF(G2490-H2490&lt;=0,"未回本",IF(ROUNDUP(I2490/(G2490-H2490),0)&gt;MIN(F2490,J2490),"未回本",MAX(1,ROUNDUP(I2490/(G2490-H2490),0))))</x:f>
        <x:v>未回本</x:v>
      </x:c>
    </x:row>
    <x:row r="2491" ht="22" customHeight="1">
      <x:c r="A2491" s="11" t="str">
        <x:v>lade_0829_30aoi</x:v>
      </x:c>
      <x:c r="B2491" s="10" t="n">
        <x:v>30</x:v>
      </x:c>
      <x:c r="C2491" s="10" t="n">
        <x:v>44</x:v>
      </x:c>
      <x:c r="D2491" s="10" t="str">
        <x:v>M2 / M4</x:v>
      </x:c>
      <x:c r="E2491" s="16" t="n">
        <x:v>1</x:v>
      </x:c>
      <x:c r="F2491" s="14" t="n">
        <x:v>30</x:v>
      </x:c>
      <x:c r="G2491" s="26" t="n">
        <x:f>'成本明细'!U371+'成本明细'!G371*(E2491-'参数'!$B$6)</x:f>
        <x:v>2263.025223990556</x:v>
      </x:c>
      <x:c r="H2491" s="26" t="n">
        <x:f>'成本明细'!U377</x:f>
        <x:v>3899.4931969027775</x:v>
      </x:c>
      <x:c r="I2491" s="26" t="n">
        <x:f>'成本明细'!V377</x:f>
        <x:v>8577.5</x:v>
      </x:c>
      <x:c r="J2491" s="22" t="n">
        <x:f>'参数'!$B$9</x:f>
        <x:v>300</x:v>
      </x:c>
      <x:c r="K2491" s="26" t="n">
        <x:f>J2491*(G2491-H2491)-I2491*ROUNDUP(J2491/F2491,0)</x:f>
        <x:v>-576715.3918736666</x:v>
      </x:c>
      <x:c r="L2491" s="10" t="str">
        <x:f>IF(G2491-H2491&lt;=0,"未回本",IF(ROUNDUP(I2491/(G2491-H2491),0)&gt;MIN(F2491,J2491),"未回本",MAX(1,ROUNDUP(I2491/(G2491-H2491),0))))</x:f>
        <x:v>未回本</x:v>
      </x:c>
    </x:row>
    <x:row r="2492" ht="22" customHeight="1">
      <x:c r="A2492" s="11" t="str">
        <x:v>lade_0829_30aoi</x:v>
      </x:c>
      <x:c r="B2492" s="10" t="n">
        <x:v>30</x:v>
      </x:c>
      <x:c r="C2492" s="10" t="n">
        <x:v>44</x:v>
      </x:c>
      <x:c r="D2492" s="10" t="str">
        <x:v>M1 / M3</x:v>
      </x:c>
      <x:c r="E2492" s="16" t="n">
        <x:v>1</x:v>
      </x:c>
      <x:c r="F2492" s="14" t="n">
        <x:v>50</x:v>
      </x:c>
      <x:c r="G2492" s="26" t="n">
        <x:f>'成本明细'!U368+'成本明细'!G368*(E2492-'参数'!$B$6)</x:f>
        <x:v>2687.6110091416667</x:v>
      </x:c>
      <x:c r="H2492" s="26" t="n">
        <x:f>'成本明细'!U374</x:f>
        <x:v>4027.9249212505556</x:v>
      </x:c>
      <x:c r="I2492" s="26" t="n">
        <x:f>'成本明细'!V374</x:f>
        <x:v>8577.5</x:v>
      </x:c>
      <x:c r="J2492" s="22" t="n">
        <x:f>'参数'!$B$9</x:f>
        <x:v>300</x:v>
      </x:c>
      <x:c r="K2492" s="26" t="n">
        <x:f>J2492*(G2492-H2492)-I2492*ROUNDUP(J2492/F2492,0)</x:f>
        <x:v>-453559.17363266664</x:v>
      </x:c>
      <x:c r="L2492" s="10" t="str">
        <x:f>IF(G2492-H2492&lt;=0,"未回本",IF(ROUNDUP(I2492/(G2492-H2492),0)&gt;MIN(F2492,J2492),"未回本",MAX(1,ROUNDUP(I2492/(G2492-H2492),0))))</x:f>
        <x:v>未回本</x:v>
      </x:c>
    </x:row>
    <x:row r="2493" ht="22" customHeight="1">
      <x:c r="A2493" s="11" t="str">
        <x:v>lade_0829_30aoi</x:v>
      </x:c>
      <x:c r="B2493" s="10" t="n">
        <x:v>30</x:v>
      </x:c>
      <x:c r="C2493" s="10" t="n">
        <x:v>44</x:v>
      </x:c>
      <x:c r="D2493" s="10" t="str">
        <x:v>M2 / M4</x:v>
      </x:c>
      <x:c r="E2493" s="16" t="n">
        <x:v>1</x:v>
      </x:c>
      <x:c r="F2493" s="14" t="n">
        <x:v>50</x:v>
      </x:c>
      <x:c r="G2493" s="26" t="n">
        <x:f>'成本明细'!U371+'成本明细'!G371*(E2493-'参数'!$B$6)</x:f>
        <x:v>2263.025223990556</x:v>
      </x:c>
      <x:c r="H2493" s="26" t="n">
        <x:f>'成本明细'!U377</x:f>
        <x:v>3899.4931969027775</x:v>
      </x:c>
      <x:c r="I2493" s="26" t="n">
        <x:f>'成本明细'!V377</x:f>
        <x:v>8577.5</x:v>
      </x:c>
      <x:c r="J2493" s="22" t="n">
        <x:f>'参数'!$B$9</x:f>
        <x:v>300</x:v>
      </x:c>
      <x:c r="K2493" s="26" t="n">
        <x:f>J2493*(G2493-H2493)-I2493*ROUNDUP(J2493/F2493,0)</x:f>
        <x:v>-542405.3918736666</x:v>
      </x:c>
      <x:c r="L2493" s="10" t="str">
        <x:f>IF(G2493-H2493&lt;=0,"未回本",IF(ROUNDUP(I2493/(G2493-H2493),0)&gt;MIN(F2493,J2493),"未回本",MAX(1,ROUNDUP(I2493/(G2493-H2493),0))))</x:f>
        <x:v>未回本</x:v>
      </x:c>
    </x:row>
    <x:row r="2494" ht="22" customHeight="1">
      <x:c r="A2494" s="11" t="str">
        <x:v>lade_0829_30aoi</x:v>
      </x:c>
      <x:c r="B2494" s="10" t="n">
        <x:v>30</x:v>
      </x:c>
      <x:c r="C2494" s="10" t="n">
        <x:v>44</x:v>
      </x:c>
      <x:c r="D2494" s="10" t="str">
        <x:v>M1 / M3</x:v>
      </x:c>
      <x:c r="E2494" s="16" t="n">
        <x:v>2</x:v>
      </x:c>
      <x:c r="F2494" s="14" t="n">
        <x:v>10</x:v>
      </x:c>
      <x:c r="G2494" s="26" t="n">
        <x:f>'成本明细'!U368+'成本明细'!G368*(E2494-'参数'!$B$6)</x:f>
        <x:v>2922.6110091416667</x:v>
      </x:c>
      <x:c r="H2494" s="26" t="n">
        <x:f>'成本明细'!U374</x:f>
        <x:v>4027.9249212505556</x:v>
      </x:c>
      <x:c r="I2494" s="26" t="n">
        <x:f>'成本明细'!V374</x:f>
        <x:v>8577.5</x:v>
      </x:c>
      <x:c r="J2494" s="22" t="n">
        <x:f>'参数'!$B$9</x:f>
        <x:v>300</x:v>
      </x:c>
      <x:c r="K2494" s="26" t="n">
        <x:f>J2494*(G2494-H2494)-I2494*ROUNDUP(J2494/F2494,0)</x:f>
        <x:v>-588919.1736326667</x:v>
      </x:c>
      <x:c r="L2494" s="10" t="str">
        <x:f>IF(G2494-H2494&lt;=0,"未回本",IF(ROUNDUP(I2494/(G2494-H2494),0)&gt;MIN(F2494,J2494),"未回本",MAX(1,ROUNDUP(I2494/(G2494-H2494),0))))</x:f>
        <x:v>未回本</x:v>
      </x:c>
    </x:row>
    <x:row r="2495" ht="22" customHeight="1">
      <x:c r="A2495" s="11" t="str">
        <x:v>lade_0829_30aoi</x:v>
      </x:c>
      <x:c r="B2495" s="10" t="n">
        <x:v>30</x:v>
      </x:c>
      <x:c r="C2495" s="10" t="n">
        <x:v>44</x:v>
      </x:c>
      <x:c r="D2495" s="10" t="str">
        <x:v>M2 / M4</x:v>
      </x:c>
      <x:c r="E2495" s="16" t="n">
        <x:v>2</x:v>
      </x:c>
      <x:c r="F2495" s="14" t="n">
        <x:v>10</x:v>
      </x:c>
      <x:c r="G2495" s="26" t="n">
        <x:f>'成本明细'!U371+'成本明细'!G371*(E2495-'参数'!$B$6)</x:f>
        <x:v>2498.025223990556</x:v>
      </x:c>
      <x:c r="H2495" s="26" t="n">
        <x:f>'成本明细'!U377</x:f>
        <x:v>3899.4931969027775</x:v>
      </x:c>
      <x:c r="I2495" s="26" t="n">
        <x:f>'成本明细'!V377</x:f>
        <x:v>8577.5</x:v>
      </x:c>
      <x:c r="J2495" s="22" t="n">
        <x:f>'参数'!$B$9</x:f>
        <x:v>300</x:v>
      </x:c>
      <x:c r="K2495" s="26" t="n">
        <x:f>J2495*(G2495-H2495)-I2495*ROUNDUP(J2495/F2495,0)</x:f>
        <x:v>-677765.3918736666</x:v>
      </x:c>
      <x:c r="L2495" s="10" t="str">
        <x:f>IF(G2495-H2495&lt;=0,"未回本",IF(ROUNDUP(I2495/(G2495-H2495),0)&gt;MIN(F2495,J2495),"未回本",MAX(1,ROUNDUP(I2495/(G2495-H2495),0))))</x:f>
        <x:v>未回本</x:v>
      </x:c>
    </x:row>
    <x:row r="2496" ht="22" customHeight="1">
      <x:c r="A2496" s="11" t="str">
        <x:v>lade_0829_30aoi</x:v>
      </x:c>
      <x:c r="B2496" s="10" t="n">
        <x:v>30</x:v>
      </x:c>
      <x:c r="C2496" s="10" t="n">
        <x:v>44</x:v>
      </x:c>
      <x:c r="D2496" s="10" t="str">
        <x:v>M1 / M3</x:v>
      </x:c>
      <x:c r="E2496" s="16" t="n">
        <x:v>2</x:v>
      </x:c>
      <x:c r="F2496" s="14" t="n">
        <x:v>20</x:v>
      </x:c>
      <x:c r="G2496" s="26" t="n">
        <x:f>'成本明细'!U368+'成本明细'!G368*(E2496-'参数'!$B$6)</x:f>
        <x:v>2922.6110091416667</x:v>
      </x:c>
      <x:c r="H2496" s="26" t="n">
        <x:f>'成本明细'!U374</x:f>
        <x:v>4027.9249212505556</x:v>
      </x:c>
      <x:c r="I2496" s="26" t="n">
        <x:f>'成本明细'!V374</x:f>
        <x:v>8577.5</x:v>
      </x:c>
      <x:c r="J2496" s="22" t="n">
        <x:f>'参数'!$B$9</x:f>
        <x:v>300</x:v>
      </x:c>
      <x:c r="K2496" s="26" t="n">
        <x:f>J2496*(G2496-H2496)-I2496*ROUNDUP(J2496/F2496,0)</x:f>
        <x:v>-460256.67363266664</x:v>
      </x:c>
      <x:c r="L2496" s="10" t="str">
        <x:f>IF(G2496-H2496&lt;=0,"未回本",IF(ROUNDUP(I2496/(G2496-H2496),0)&gt;MIN(F2496,J2496),"未回本",MAX(1,ROUNDUP(I2496/(G2496-H2496),0))))</x:f>
        <x:v>未回本</x:v>
      </x:c>
    </x:row>
    <x:row r="2497" ht="22" customHeight="1">
      <x:c r="A2497" s="11" t="str">
        <x:v>lade_0829_30aoi</x:v>
      </x:c>
      <x:c r="B2497" s="10" t="n">
        <x:v>30</x:v>
      </x:c>
      <x:c r="C2497" s="10" t="n">
        <x:v>44</x:v>
      </x:c>
      <x:c r="D2497" s="10" t="str">
        <x:v>M2 / M4</x:v>
      </x:c>
      <x:c r="E2497" s="16" t="n">
        <x:v>2</x:v>
      </x:c>
      <x:c r="F2497" s="14" t="n">
        <x:v>20</x:v>
      </x:c>
      <x:c r="G2497" s="26" t="n">
        <x:f>'成本明细'!U371+'成本明细'!G371*(E2497-'参数'!$B$6)</x:f>
        <x:v>2498.025223990556</x:v>
      </x:c>
      <x:c r="H2497" s="26" t="n">
        <x:f>'成本明细'!U377</x:f>
        <x:v>3899.4931969027775</x:v>
      </x:c>
      <x:c r="I2497" s="26" t="n">
        <x:f>'成本明细'!V377</x:f>
        <x:v>8577.5</x:v>
      </x:c>
      <x:c r="J2497" s="22" t="n">
        <x:f>'参数'!$B$9</x:f>
        <x:v>300</x:v>
      </x:c>
      <x:c r="K2497" s="26" t="n">
        <x:f>J2497*(G2497-H2497)-I2497*ROUNDUP(J2497/F2497,0)</x:f>
        <x:v>-549102.8918736666</x:v>
      </x:c>
      <x:c r="L2497" s="10" t="str">
        <x:f>IF(G2497-H2497&lt;=0,"未回本",IF(ROUNDUP(I2497/(G2497-H2497),0)&gt;MIN(F2497,J2497),"未回本",MAX(1,ROUNDUP(I2497/(G2497-H2497),0))))</x:f>
        <x:v>未回本</x:v>
      </x:c>
    </x:row>
    <x:row r="2498" ht="22" customHeight="1">
      <x:c r="A2498" s="11" t="str">
        <x:v>lade_0829_30aoi</x:v>
      </x:c>
      <x:c r="B2498" s="10" t="n">
        <x:v>30</x:v>
      </x:c>
      <x:c r="C2498" s="10" t="n">
        <x:v>44</x:v>
      </x:c>
      <x:c r="D2498" s="10" t="str">
        <x:v>M1 / M3</x:v>
      </x:c>
      <x:c r="E2498" s="16" t="n">
        <x:v>2</x:v>
      </x:c>
      <x:c r="F2498" s="14" t="n">
        <x:v>30</x:v>
      </x:c>
      <x:c r="G2498" s="26" t="n">
        <x:f>'成本明细'!U368+'成本明细'!G368*(E2498-'参数'!$B$6)</x:f>
        <x:v>2922.6110091416667</x:v>
      </x:c>
      <x:c r="H2498" s="26" t="n">
        <x:f>'成本明细'!U374</x:f>
        <x:v>4027.9249212505556</x:v>
      </x:c>
      <x:c r="I2498" s="26" t="n">
        <x:f>'成本明细'!V374</x:f>
        <x:v>8577.5</x:v>
      </x:c>
      <x:c r="J2498" s="22" t="n">
        <x:f>'参数'!$B$9</x:f>
        <x:v>300</x:v>
      </x:c>
      <x:c r="K2498" s="26" t="n">
        <x:f>J2498*(G2498-H2498)-I2498*ROUNDUP(J2498/F2498,0)</x:f>
        <x:v>-417369.17363266664</x:v>
      </x:c>
      <x:c r="L2498" s="10" t="str">
        <x:f>IF(G2498-H2498&lt;=0,"未回本",IF(ROUNDUP(I2498/(G2498-H2498),0)&gt;MIN(F2498,J2498),"未回本",MAX(1,ROUNDUP(I2498/(G2498-H2498),0))))</x:f>
        <x:v>未回本</x:v>
      </x:c>
    </x:row>
    <x:row r="2499" ht="22" customHeight="1">
      <x:c r="A2499" s="11" t="str">
        <x:v>lade_0829_30aoi</x:v>
      </x:c>
      <x:c r="B2499" s="10" t="n">
        <x:v>30</x:v>
      </x:c>
      <x:c r="C2499" s="10" t="n">
        <x:v>44</x:v>
      </x:c>
      <x:c r="D2499" s="10" t="str">
        <x:v>M2 / M4</x:v>
      </x:c>
      <x:c r="E2499" s="16" t="n">
        <x:v>2</x:v>
      </x:c>
      <x:c r="F2499" s="14" t="n">
        <x:v>30</x:v>
      </x:c>
      <x:c r="G2499" s="26" t="n">
        <x:f>'成本明细'!U371+'成本明细'!G371*(E2499-'参数'!$B$6)</x:f>
        <x:v>2498.025223990556</x:v>
      </x:c>
      <x:c r="H2499" s="26" t="n">
        <x:f>'成本明细'!U377</x:f>
        <x:v>3899.4931969027775</x:v>
      </x:c>
      <x:c r="I2499" s="26" t="n">
        <x:f>'成本明细'!V377</x:f>
        <x:v>8577.5</x:v>
      </x:c>
      <x:c r="J2499" s="22" t="n">
        <x:f>'参数'!$B$9</x:f>
        <x:v>300</x:v>
      </x:c>
      <x:c r="K2499" s="26" t="n">
        <x:f>J2499*(G2499-H2499)-I2499*ROUNDUP(J2499/F2499,0)</x:f>
        <x:v>-506215.39187366655</x:v>
      </x:c>
      <x:c r="L2499" s="10" t="str">
        <x:f>IF(G2499-H2499&lt;=0,"未回本",IF(ROUNDUP(I2499/(G2499-H2499),0)&gt;MIN(F2499,J2499),"未回本",MAX(1,ROUNDUP(I2499/(G2499-H2499),0))))</x:f>
        <x:v>未回本</x:v>
      </x:c>
    </x:row>
    <x:row r="2500" ht="22" customHeight="1">
      <x:c r="A2500" s="11" t="str">
        <x:v>lade_0829_30aoi</x:v>
      </x:c>
      <x:c r="B2500" s="10" t="n">
        <x:v>30</x:v>
      </x:c>
      <x:c r="C2500" s="10" t="n">
        <x:v>44</x:v>
      </x:c>
      <x:c r="D2500" s="10" t="str">
        <x:v>M1 / M3</x:v>
      </x:c>
      <x:c r="E2500" s="16" t="n">
        <x:v>2</x:v>
      </x:c>
      <x:c r="F2500" s="14" t="n">
        <x:v>50</x:v>
      </x:c>
      <x:c r="G2500" s="26" t="n">
        <x:f>'成本明细'!U368+'成本明细'!G368*(E2500-'参数'!$B$6)</x:f>
        <x:v>2922.6110091416667</x:v>
      </x:c>
      <x:c r="H2500" s="26" t="n">
        <x:f>'成本明细'!U374</x:f>
        <x:v>4027.9249212505556</x:v>
      </x:c>
      <x:c r="I2500" s="26" t="n">
        <x:f>'成本明细'!V374</x:f>
        <x:v>8577.5</x:v>
      </x:c>
      <x:c r="J2500" s="22" t="n">
        <x:f>'参数'!$B$9</x:f>
        <x:v>300</x:v>
      </x:c>
      <x:c r="K2500" s="26" t="n">
        <x:f>J2500*(G2500-H2500)-I2500*ROUNDUP(J2500/F2500,0)</x:f>
        <x:v>-383059.17363266664</x:v>
      </x:c>
      <x:c r="L2500" s="10" t="str">
        <x:f>IF(G2500-H2500&lt;=0,"未回本",IF(ROUNDUP(I2500/(G2500-H2500),0)&gt;MIN(F2500,J2500),"未回本",MAX(1,ROUNDUP(I2500/(G2500-H2500),0))))</x:f>
        <x:v>未回本</x:v>
      </x:c>
    </x:row>
    <x:row r="2501" ht="22" customHeight="1">
      <x:c r="A2501" s="11" t="str">
        <x:v>lade_0829_30aoi</x:v>
      </x:c>
      <x:c r="B2501" s="10" t="n">
        <x:v>30</x:v>
      </x:c>
      <x:c r="C2501" s="10" t="n">
        <x:v>44</x:v>
      </x:c>
      <x:c r="D2501" s="10" t="str">
        <x:v>M2 / M4</x:v>
      </x:c>
      <x:c r="E2501" s="16" t="n">
        <x:v>2</x:v>
      </x:c>
      <x:c r="F2501" s="14" t="n">
        <x:v>50</x:v>
      </x:c>
      <x:c r="G2501" s="26" t="n">
        <x:f>'成本明细'!U371+'成本明细'!G371*(E2501-'参数'!$B$6)</x:f>
        <x:v>2498.025223990556</x:v>
      </x:c>
      <x:c r="H2501" s="26" t="n">
        <x:f>'成本明细'!U377</x:f>
        <x:v>3899.4931969027775</x:v>
      </x:c>
      <x:c r="I2501" s="26" t="n">
        <x:f>'成本明细'!V377</x:f>
        <x:v>8577.5</x:v>
      </x:c>
      <x:c r="J2501" s="22" t="n">
        <x:f>'参数'!$B$9</x:f>
        <x:v>300</x:v>
      </x:c>
      <x:c r="K2501" s="26" t="n">
        <x:f>J2501*(G2501-H2501)-I2501*ROUNDUP(J2501/F2501,0)</x:f>
        <x:v>-471905.39187366655</x:v>
      </x:c>
      <x:c r="L2501" s="10" t="str">
        <x:f>IF(G2501-H2501&lt;=0,"未回本",IF(ROUNDUP(I2501/(G2501-H2501),0)&gt;MIN(F2501,J2501),"未回本",MAX(1,ROUNDUP(I2501/(G2501-H2501),0))))</x:f>
        <x:v>未回本</x:v>
      </x:c>
    </x:row>
    <x:row r="2502" ht="22" customHeight="1">
      <x:c r="A2502" s="11" t="str">
        <x:v>lade_0829_30aoi</x:v>
      </x:c>
      <x:c r="B2502" s="10" t="n">
        <x:v>30</x:v>
      </x:c>
      <x:c r="C2502" s="10" t="n">
        <x:v>44</x:v>
      </x:c>
      <x:c r="D2502" s="10" t="str">
        <x:v>M1 / M3</x:v>
      </x:c>
      <x:c r="E2502" s="16" t="n">
        <x:v>3</x:v>
      </x:c>
      <x:c r="F2502" s="14" t="n">
        <x:v>10</x:v>
      </x:c>
      <x:c r="G2502" s="26" t="n">
        <x:f>'成本明细'!U368+'成本明细'!G368*(E2502-'参数'!$B$6)</x:f>
        <x:v>3157.6110091416667</x:v>
      </x:c>
      <x:c r="H2502" s="26" t="n">
        <x:f>'成本明细'!U374</x:f>
        <x:v>4027.9249212505556</x:v>
      </x:c>
      <x:c r="I2502" s="26" t="n">
        <x:f>'成本明细'!V374</x:f>
        <x:v>8577.5</x:v>
      </x:c>
      <x:c r="J2502" s="22" t="n">
        <x:f>'参数'!$B$9</x:f>
        <x:v>300</x:v>
      </x:c>
      <x:c r="K2502" s="26" t="n">
        <x:f>J2502*(G2502-H2502)-I2502*ROUNDUP(J2502/F2502,0)</x:f>
        <x:v>-518419.1736326667</x:v>
      </x:c>
      <x:c r="L2502" s="10" t="str">
        <x:f>IF(G2502-H2502&lt;=0,"未回本",IF(ROUNDUP(I2502/(G2502-H2502),0)&gt;MIN(F2502,J2502),"未回本",MAX(1,ROUNDUP(I2502/(G2502-H2502),0))))</x:f>
        <x:v>未回本</x:v>
      </x:c>
    </x:row>
    <x:row r="2503" ht="22" customHeight="1">
      <x:c r="A2503" s="11" t="str">
        <x:v>lade_0829_30aoi</x:v>
      </x:c>
      <x:c r="B2503" s="10" t="n">
        <x:v>30</x:v>
      </x:c>
      <x:c r="C2503" s="10" t="n">
        <x:v>44</x:v>
      </x:c>
      <x:c r="D2503" s="10" t="str">
        <x:v>M2 / M4</x:v>
      </x:c>
      <x:c r="E2503" s="16" t="n">
        <x:v>3</x:v>
      </x:c>
      <x:c r="F2503" s="14" t="n">
        <x:v>10</x:v>
      </x:c>
      <x:c r="G2503" s="26" t="n">
        <x:f>'成本明细'!U371+'成本明细'!G371*(E2503-'参数'!$B$6)</x:f>
        <x:v>2733.025223990556</x:v>
      </x:c>
      <x:c r="H2503" s="26" t="n">
        <x:f>'成本明细'!U377</x:f>
        <x:v>3899.4931969027775</x:v>
      </x:c>
      <x:c r="I2503" s="26" t="n">
        <x:f>'成本明细'!V377</x:f>
        <x:v>8577.5</x:v>
      </x:c>
      <x:c r="J2503" s="22" t="n">
        <x:f>'参数'!$B$9</x:f>
        <x:v>300</x:v>
      </x:c>
      <x:c r="K2503" s="26" t="n">
        <x:f>J2503*(G2503-H2503)-I2503*ROUNDUP(J2503/F2503,0)</x:f>
        <x:v>-607265.3918736666</x:v>
      </x:c>
      <x:c r="L2503" s="10" t="str">
        <x:f>IF(G2503-H2503&lt;=0,"未回本",IF(ROUNDUP(I2503/(G2503-H2503),0)&gt;MIN(F2503,J2503),"未回本",MAX(1,ROUNDUP(I2503/(G2503-H2503),0))))</x:f>
        <x:v>未回本</x:v>
      </x:c>
    </x:row>
    <x:row r="2504" ht="22" customHeight="1">
      <x:c r="A2504" s="11" t="str">
        <x:v>lade_0829_30aoi</x:v>
      </x:c>
      <x:c r="B2504" s="10" t="n">
        <x:v>30</x:v>
      </x:c>
      <x:c r="C2504" s="10" t="n">
        <x:v>44</x:v>
      </x:c>
      <x:c r="D2504" s="10" t="str">
        <x:v>M1 / M3</x:v>
      </x:c>
      <x:c r="E2504" s="16" t="n">
        <x:v>3</x:v>
      </x:c>
      <x:c r="F2504" s="14" t="n">
        <x:v>20</x:v>
      </x:c>
      <x:c r="G2504" s="26" t="n">
        <x:f>'成本明细'!U368+'成本明细'!G368*(E2504-'参数'!$B$6)</x:f>
        <x:v>3157.6110091416667</x:v>
      </x:c>
      <x:c r="H2504" s="26" t="n">
        <x:f>'成本明细'!U374</x:f>
        <x:v>4027.9249212505556</x:v>
      </x:c>
      <x:c r="I2504" s="26" t="n">
        <x:f>'成本明细'!V374</x:f>
        <x:v>8577.5</x:v>
      </x:c>
      <x:c r="J2504" s="22" t="n">
        <x:f>'参数'!$B$9</x:f>
        <x:v>300</x:v>
      </x:c>
      <x:c r="K2504" s="26" t="n">
        <x:f>J2504*(G2504-H2504)-I2504*ROUNDUP(J2504/F2504,0)</x:f>
        <x:v>-389756.6736326667</x:v>
      </x:c>
      <x:c r="L2504" s="10" t="str">
        <x:f>IF(G2504-H2504&lt;=0,"未回本",IF(ROUNDUP(I2504/(G2504-H2504),0)&gt;MIN(F2504,J2504),"未回本",MAX(1,ROUNDUP(I2504/(G2504-H2504),0))))</x:f>
        <x:v>未回本</x:v>
      </x:c>
    </x:row>
    <x:row r="2505" ht="22" customHeight="1">
      <x:c r="A2505" s="11" t="str">
        <x:v>lade_0829_30aoi</x:v>
      </x:c>
      <x:c r="B2505" s="10" t="n">
        <x:v>30</x:v>
      </x:c>
      <x:c r="C2505" s="10" t="n">
        <x:v>44</x:v>
      </x:c>
      <x:c r="D2505" s="10" t="str">
        <x:v>M2 / M4</x:v>
      </x:c>
      <x:c r="E2505" s="16" t="n">
        <x:v>3</x:v>
      </x:c>
      <x:c r="F2505" s="14" t="n">
        <x:v>20</x:v>
      </x:c>
      <x:c r="G2505" s="26" t="n">
        <x:f>'成本明细'!U371+'成本明细'!G371*(E2505-'参数'!$B$6)</x:f>
        <x:v>2733.025223990556</x:v>
      </x:c>
      <x:c r="H2505" s="26" t="n">
        <x:f>'成本明细'!U377</x:f>
        <x:v>3899.4931969027775</x:v>
      </x:c>
      <x:c r="I2505" s="26" t="n">
        <x:f>'成本明细'!V377</x:f>
        <x:v>8577.5</x:v>
      </x:c>
      <x:c r="J2505" s="22" t="n">
        <x:f>'参数'!$B$9</x:f>
        <x:v>300</x:v>
      </x:c>
      <x:c r="K2505" s="26" t="n">
        <x:f>J2505*(G2505-H2505)-I2505*ROUNDUP(J2505/F2505,0)</x:f>
        <x:v>-478602.89187366655</x:v>
      </x:c>
      <x:c r="L2505" s="10" t="str">
        <x:f>IF(G2505-H2505&lt;=0,"未回本",IF(ROUNDUP(I2505/(G2505-H2505),0)&gt;MIN(F2505,J2505),"未回本",MAX(1,ROUNDUP(I2505/(G2505-H2505),0))))</x:f>
        <x:v>未回本</x:v>
      </x:c>
    </x:row>
    <x:row r="2506" ht="22" customHeight="1">
      <x:c r="A2506" s="11" t="str">
        <x:v>lade_0829_30aoi</x:v>
      </x:c>
      <x:c r="B2506" s="10" t="n">
        <x:v>30</x:v>
      </x:c>
      <x:c r="C2506" s="10" t="n">
        <x:v>44</x:v>
      </x:c>
      <x:c r="D2506" s="10" t="str">
        <x:v>M1 / M3</x:v>
      </x:c>
      <x:c r="E2506" s="16" t="n">
        <x:v>3</x:v>
      </x:c>
      <x:c r="F2506" s="14" t="n">
        <x:v>30</x:v>
      </x:c>
      <x:c r="G2506" s="26" t="n">
        <x:f>'成本明细'!U368+'成本明细'!G368*(E2506-'参数'!$B$6)</x:f>
        <x:v>3157.6110091416667</x:v>
      </x:c>
      <x:c r="H2506" s="26" t="n">
        <x:f>'成本明细'!U374</x:f>
        <x:v>4027.9249212505556</x:v>
      </x:c>
      <x:c r="I2506" s="26" t="n">
        <x:f>'成本明细'!V374</x:f>
        <x:v>8577.5</x:v>
      </x:c>
      <x:c r="J2506" s="22" t="n">
        <x:f>'参数'!$B$9</x:f>
        <x:v>300</x:v>
      </x:c>
      <x:c r="K2506" s="26" t="n">
        <x:f>J2506*(G2506-H2506)-I2506*ROUNDUP(J2506/F2506,0)</x:f>
        <x:v>-346869.1736326667</x:v>
      </x:c>
      <x:c r="L2506" s="10" t="str">
        <x:f>IF(G2506-H2506&lt;=0,"未回本",IF(ROUNDUP(I2506/(G2506-H2506),0)&gt;MIN(F2506,J2506),"未回本",MAX(1,ROUNDUP(I2506/(G2506-H2506),0))))</x:f>
        <x:v>未回本</x:v>
      </x:c>
    </x:row>
    <x:row r="2507" ht="22" customHeight="1">
      <x:c r="A2507" s="11" t="str">
        <x:v>lade_0829_30aoi</x:v>
      </x:c>
      <x:c r="B2507" s="10" t="n">
        <x:v>30</x:v>
      </x:c>
      <x:c r="C2507" s="10" t="n">
        <x:v>44</x:v>
      </x:c>
      <x:c r="D2507" s="10" t="str">
        <x:v>M2 / M4</x:v>
      </x:c>
      <x:c r="E2507" s="16" t="n">
        <x:v>3</x:v>
      </x:c>
      <x:c r="F2507" s="14" t="n">
        <x:v>30</x:v>
      </x:c>
      <x:c r="G2507" s="26" t="n">
        <x:f>'成本明细'!U371+'成本明细'!G371*(E2507-'参数'!$B$6)</x:f>
        <x:v>2733.025223990556</x:v>
      </x:c>
      <x:c r="H2507" s="26" t="n">
        <x:f>'成本明细'!U377</x:f>
        <x:v>3899.4931969027775</x:v>
      </x:c>
      <x:c r="I2507" s="26" t="n">
        <x:f>'成本明细'!V377</x:f>
        <x:v>8577.5</x:v>
      </x:c>
      <x:c r="J2507" s="22" t="n">
        <x:f>'参数'!$B$9</x:f>
        <x:v>300</x:v>
      </x:c>
      <x:c r="K2507" s="26" t="n">
        <x:f>J2507*(G2507-H2507)-I2507*ROUNDUP(J2507/F2507,0)</x:f>
        <x:v>-435715.39187366655</x:v>
      </x:c>
      <x:c r="L2507" s="10" t="str">
        <x:f>IF(G2507-H2507&lt;=0,"未回本",IF(ROUNDUP(I2507/(G2507-H2507),0)&gt;MIN(F2507,J2507),"未回本",MAX(1,ROUNDUP(I2507/(G2507-H2507),0))))</x:f>
        <x:v>未回本</x:v>
      </x:c>
    </x:row>
    <x:row r="2508" ht="22" customHeight="1">
      <x:c r="A2508" s="11" t="str">
        <x:v>lade_0829_30aoi</x:v>
      </x:c>
      <x:c r="B2508" s="10" t="n">
        <x:v>30</x:v>
      </x:c>
      <x:c r="C2508" s="10" t="n">
        <x:v>44</x:v>
      </x:c>
      <x:c r="D2508" s="10" t="str">
        <x:v>M1 / M3</x:v>
      </x:c>
      <x:c r="E2508" s="16" t="n">
        <x:v>3</x:v>
      </x:c>
      <x:c r="F2508" s="14" t="n">
        <x:v>50</x:v>
      </x:c>
      <x:c r="G2508" s="26" t="n">
        <x:f>'成本明细'!U368+'成本明细'!G368*(E2508-'参数'!$B$6)</x:f>
        <x:v>3157.6110091416667</x:v>
      </x:c>
      <x:c r="H2508" s="26" t="n">
        <x:f>'成本明细'!U374</x:f>
        <x:v>4027.9249212505556</x:v>
      </x:c>
      <x:c r="I2508" s="26" t="n">
        <x:f>'成本明细'!V374</x:f>
        <x:v>8577.5</x:v>
      </x:c>
      <x:c r="J2508" s="22" t="n">
        <x:f>'参数'!$B$9</x:f>
        <x:v>300</x:v>
      </x:c>
      <x:c r="K2508" s="26" t="n">
        <x:f>J2508*(G2508-H2508)-I2508*ROUNDUP(J2508/F2508,0)</x:f>
        <x:v>-312559.1736326667</x:v>
      </x:c>
      <x:c r="L2508" s="10" t="str">
        <x:f>IF(G2508-H2508&lt;=0,"未回本",IF(ROUNDUP(I2508/(G2508-H2508),0)&gt;MIN(F2508,J2508),"未回本",MAX(1,ROUNDUP(I2508/(G2508-H2508),0))))</x:f>
        <x:v>未回本</x:v>
      </x:c>
    </x:row>
    <x:row r="2509" ht="22" customHeight="1">
      <x:c r="A2509" s="11" t="str">
        <x:v>lade_0829_30aoi</x:v>
      </x:c>
      <x:c r="B2509" s="10" t="n">
        <x:v>30</x:v>
      </x:c>
      <x:c r="C2509" s="10" t="n">
        <x:v>44</x:v>
      </x:c>
      <x:c r="D2509" s="10" t="str">
        <x:v>M2 / M4</x:v>
      </x:c>
      <x:c r="E2509" s="16" t="n">
        <x:v>3</x:v>
      </x:c>
      <x:c r="F2509" s="14" t="n">
        <x:v>50</x:v>
      </x:c>
      <x:c r="G2509" s="26" t="n">
        <x:f>'成本明细'!U371+'成本明细'!G371*(E2509-'参数'!$B$6)</x:f>
        <x:v>2733.025223990556</x:v>
      </x:c>
      <x:c r="H2509" s="26" t="n">
        <x:f>'成本明细'!U377</x:f>
        <x:v>3899.4931969027775</x:v>
      </x:c>
      <x:c r="I2509" s="26" t="n">
        <x:f>'成本明细'!V377</x:f>
        <x:v>8577.5</x:v>
      </x:c>
      <x:c r="J2509" s="22" t="n">
        <x:f>'参数'!$B$9</x:f>
        <x:v>300</x:v>
      </x:c>
      <x:c r="K2509" s="26" t="n">
        <x:f>J2509*(G2509-H2509)-I2509*ROUNDUP(J2509/F2509,0)</x:f>
        <x:v>-401405.39187366655</x:v>
      </x:c>
      <x:c r="L2509" s="10" t="str">
        <x:f>IF(G2509-H2509&lt;=0,"未回本",IF(ROUNDUP(I2509/(G2509-H2509),0)&gt;MIN(F2509,J2509),"未回本",MAX(1,ROUNDUP(I2509/(G2509-H2509),0))))</x:f>
        <x:v>未回本</x:v>
      </x:c>
    </x:row>
    <x:row r="2510" ht="22" customHeight="1">
      <x:c r="A2510" s="11" t="str">
        <x:v>lade_0829_30aoi</x:v>
      </x:c>
      <x:c r="B2510" s="10" t="n">
        <x:v>30</x:v>
      </x:c>
      <x:c r="C2510" s="10" t="n">
        <x:v>44</x:v>
      </x:c>
      <x:c r="D2510" s="10" t="str">
        <x:v>M1 / M3</x:v>
      </x:c>
      <x:c r="E2510" s="16" t="n">
        <x:v>4</x:v>
      </x:c>
      <x:c r="F2510" s="14" t="n">
        <x:v>10</x:v>
      </x:c>
      <x:c r="G2510" s="26" t="n">
        <x:f>'成本明细'!U368+'成本明细'!G368*(E2510-'参数'!$B$6)</x:f>
        <x:v>3392.6110091416667</x:v>
      </x:c>
      <x:c r="H2510" s="26" t="n">
        <x:f>'成本明细'!U374</x:f>
        <x:v>4027.9249212505556</x:v>
      </x:c>
      <x:c r="I2510" s="26" t="n">
        <x:f>'成本明细'!V374</x:f>
        <x:v>8577.5</x:v>
      </x:c>
      <x:c r="J2510" s="22" t="n">
        <x:f>'参数'!$B$9</x:f>
        <x:v>300</x:v>
      </x:c>
      <x:c r="K2510" s="26" t="n">
        <x:f>J2510*(G2510-H2510)-I2510*ROUNDUP(J2510/F2510,0)</x:f>
        <x:v>-447919.1736326667</x:v>
      </x:c>
      <x:c r="L2510" s="10" t="str">
        <x:f>IF(G2510-H2510&lt;=0,"未回本",IF(ROUNDUP(I2510/(G2510-H2510),0)&gt;MIN(F2510,J2510),"未回本",MAX(1,ROUNDUP(I2510/(G2510-H2510),0))))</x:f>
        <x:v>未回本</x:v>
      </x:c>
    </x:row>
    <x:row r="2511" ht="22" customHeight="1">
      <x:c r="A2511" s="11" t="str">
        <x:v>lade_0829_30aoi</x:v>
      </x:c>
      <x:c r="B2511" s="10" t="n">
        <x:v>30</x:v>
      </x:c>
      <x:c r="C2511" s="10" t="n">
        <x:v>44</x:v>
      </x:c>
      <x:c r="D2511" s="10" t="str">
        <x:v>M2 / M4</x:v>
      </x:c>
      <x:c r="E2511" s="16" t="n">
        <x:v>4</x:v>
      </x:c>
      <x:c r="F2511" s="14" t="n">
        <x:v>10</x:v>
      </x:c>
      <x:c r="G2511" s="26" t="n">
        <x:f>'成本明细'!U371+'成本明细'!G371*(E2511-'参数'!$B$6)</x:f>
        <x:v>2968.025223990556</x:v>
      </x:c>
      <x:c r="H2511" s="26" t="n">
        <x:f>'成本明细'!U377</x:f>
        <x:v>3899.4931969027775</x:v>
      </x:c>
      <x:c r="I2511" s="26" t="n">
        <x:f>'成本明细'!V377</x:f>
        <x:v>8577.5</x:v>
      </x:c>
      <x:c r="J2511" s="22" t="n">
        <x:f>'参数'!$B$9</x:f>
        <x:v>300</x:v>
      </x:c>
      <x:c r="K2511" s="26" t="n">
        <x:f>J2511*(G2511-H2511)-I2511*ROUNDUP(J2511/F2511,0)</x:f>
        <x:v>-536765.3918736666</x:v>
      </x:c>
      <x:c r="L2511" s="10" t="str">
        <x:f>IF(G2511-H2511&lt;=0,"未回本",IF(ROUNDUP(I2511/(G2511-H2511),0)&gt;MIN(F2511,J2511),"未回本",MAX(1,ROUNDUP(I2511/(G2511-H2511),0))))</x:f>
        <x:v>未回本</x:v>
      </x:c>
    </x:row>
    <x:row r="2512" ht="22" customHeight="1">
      <x:c r="A2512" s="11" t="str">
        <x:v>lade_0829_30aoi</x:v>
      </x:c>
      <x:c r="B2512" s="10" t="n">
        <x:v>30</x:v>
      </x:c>
      <x:c r="C2512" s="10" t="n">
        <x:v>44</x:v>
      </x:c>
      <x:c r="D2512" s="10" t="str">
        <x:v>M1 / M3</x:v>
      </x:c>
      <x:c r="E2512" s="16" t="n">
        <x:v>4</x:v>
      </x:c>
      <x:c r="F2512" s="14" t="n">
        <x:v>20</x:v>
      </x:c>
      <x:c r="G2512" s="26" t="n">
        <x:f>'成本明细'!U368+'成本明细'!G368*(E2512-'参数'!$B$6)</x:f>
        <x:v>3392.6110091416667</x:v>
      </x:c>
      <x:c r="H2512" s="26" t="n">
        <x:f>'成本明细'!U374</x:f>
        <x:v>4027.9249212505556</x:v>
      </x:c>
      <x:c r="I2512" s="26" t="n">
        <x:f>'成本明细'!V374</x:f>
        <x:v>8577.5</x:v>
      </x:c>
      <x:c r="J2512" s="22" t="n">
        <x:f>'参数'!$B$9</x:f>
        <x:v>300</x:v>
      </x:c>
      <x:c r="K2512" s="26" t="n">
        <x:f>J2512*(G2512-H2512)-I2512*ROUNDUP(J2512/F2512,0)</x:f>
        <x:v>-319256.6736326667</x:v>
      </x:c>
      <x:c r="L2512" s="10" t="str">
        <x:f>IF(G2512-H2512&lt;=0,"未回本",IF(ROUNDUP(I2512/(G2512-H2512),0)&gt;MIN(F2512,J2512),"未回本",MAX(1,ROUNDUP(I2512/(G2512-H2512),0))))</x:f>
        <x:v>未回本</x:v>
      </x:c>
    </x:row>
    <x:row r="2513" ht="22" customHeight="1">
      <x:c r="A2513" s="11" t="str">
        <x:v>lade_0829_30aoi</x:v>
      </x:c>
      <x:c r="B2513" s="10" t="n">
        <x:v>30</x:v>
      </x:c>
      <x:c r="C2513" s="10" t="n">
        <x:v>44</x:v>
      </x:c>
      <x:c r="D2513" s="10" t="str">
        <x:v>M2 / M4</x:v>
      </x:c>
      <x:c r="E2513" s="16" t="n">
        <x:v>4</x:v>
      </x:c>
      <x:c r="F2513" s="14" t="n">
        <x:v>20</x:v>
      </x:c>
      <x:c r="G2513" s="26" t="n">
        <x:f>'成本明细'!U371+'成本明细'!G371*(E2513-'参数'!$B$6)</x:f>
        <x:v>2968.025223990556</x:v>
      </x:c>
      <x:c r="H2513" s="26" t="n">
        <x:f>'成本明细'!U377</x:f>
        <x:v>3899.4931969027775</x:v>
      </x:c>
      <x:c r="I2513" s="26" t="n">
        <x:f>'成本明细'!V377</x:f>
        <x:v>8577.5</x:v>
      </x:c>
      <x:c r="J2513" s="22" t="n">
        <x:f>'参数'!$B$9</x:f>
        <x:v>300</x:v>
      </x:c>
      <x:c r="K2513" s="26" t="n">
        <x:f>J2513*(G2513-H2513)-I2513*ROUNDUP(J2513/F2513,0)</x:f>
        <x:v>-408102.89187366655</x:v>
      </x:c>
      <x:c r="L2513" s="10" t="str">
        <x:f>IF(G2513-H2513&lt;=0,"未回本",IF(ROUNDUP(I2513/(G2513-H2513),0)&gt;MIN(F2513,J2513),"未回本",MAX(1,ROUNDUP(I2513/(G2513-H2513),0))))</x:f>
        <x:v>未回本</x:v>
      </x:c>
    </x:row>
    <x:row r="2514" ht="22" customHeight="1">
      <x:c r="A2514" s="11" t="str">
        <x:v>lade_0829_30aoi</x:v>
      </x:c>
      <x:c r="B2514" s="10" t="n">
        <x:v>30</x:v>
      </x:c>
      <x:c r="C2514" s="10" t="n">
        <x:v>44</x:v>
      </x:c>
      <x:c r="D2514" s="10" t="str">
        <x:v>M1 / M3</x:v>
      </x:c>
      <x:c r="E2514" s="16" t="n">
        <x:v>4</x:v>
      </x:c>
      <x:c r="F2514" s="14" t="n">
        <x:v>30</x:v>
      </x:c>
      <x:c r="G2514" s="26" t="n">
        <x:f>'成本明细'!U368+'成本明细'!G368*(E2514-'参数'!$B$6)</x:f>
        <x:v>3392.6110091416667</x:v>
      </x:c>
      <x:c r="H2514" s="26" t="n">
        <x:f>'成本明细'!U374</x:f>
        <x:v>4027.9249212505556</x:v>
      </x:c>
      <x:c r="I2514" s="26" t="n">
        <x:f>'成本明细'!V374</x:f>
        <x:v>8577.5</x:v>
      </x:c>
      <x:c r="J2514" s="22" t="n">
        <x:f>'参数'!$B$9</x:f>
        <x:v>300</x:v>
      </x:c>
      <x:c r="K2514" s="26" t="n">
        <x:f>J2514*(G2514-H2514)-I2514*ROUNDUP(J2514/F2514,0)</x:f>
        <x:v>-276369.1736326667</x:v>
      </x:c>
      <x:c r="L2514" s="10" t="str">
        <x:f>IF(G2514-H2514&lt;=0,"未回本",IF(ROUNDUP(I2514/(G2514-H2514),0)&gt;MIN(F2514,J2514),"未回本",MAX(1,ROUNDUP(I2514/(G2514-H2514),0))))</x:f>
        <x:v>未回本</x:v>
      </x:c>
    </x:row>
    <x:row r="2515" ht="22" customHeight="1">
      <x:c r="A2515" s="11" t="str">
        <x:v>lade_0829_30aoi</x:v>
      </x:c>
      <x:c r="B2515" s="10" t="n">
        <x:v>30</x:v>
      </x:c>
      <x:c r="C2515" s="10" t="n">
        <x:v>44</x:v>
      </x:c>
      <x:c r="D2515" s="10" t="str">
        <x:v>M2 / M4</x:v>
      </x:c>
      <x:c r="E2515" s="16" t="n">
        <x:v>4</x:v>
      </x:c>
      <x:c r="F2515" s="14" t="n">
        <x:v>30</x:v>
      </x:c>
      <x:c r="G2515" s="26" t="n">
        <x:f>'成本明细'!U371+'成本明细'!G371*(E2515-'参数'!$B$6)</x:f>
        <x:v>2968.025223990556</x:v>
      </x:c>
      <x:c r="H2515" s="26" t="n">
        <x:f>'成本明细'!U377</x:f>
        <x:v>3899.4931969027775</x:v>
      </x:c>
      <x:c r="I2515" s="26" t="n">
        <x:f>'成本明细'!V377</x:f>
        <x:v>8577.5</x:v>
      </x:c>
      <x:c r="J2515" s="22" t="n">
        <x:f>'参数'!$B$9</x:f>
        <x:v>300</x:v>
      </x:c>
      <x:c r="K2515" s="26" t="n">
        <x:f>J2515*(G2515-H2515)-I2515*ROUNDUP(J2515/F2515,0)</x:f>
        <x:v>-365215.39187366655</x:v>
      </x:c>
      <x:c r="L2515" s="10" t="str">
        <x:f>IF(G2515-H2515&lt;=0,"未回本",IF(ROUNDUP(I2515/(G2515-H2515),0)&gt;MIN(F2515,J2515),"未回本",MAX(1,ROUNDUP(I2515/(G2515-H2515),0))))</x:f>
        <x:v>未回本</x:v>
      </x:c>
    </x:row>
    <x:row r="2516" ht="22" customHeight="1">
      <x:c r="A2516" s="11" t="str">
        <x:v>lade_0829_30aoi</x:v>
      </x:c>
      <x:c r="B2516" s="10" t="n">
        <x:v>30</x:v>
      </x:c>
      <x:c r="C2516" s="10" t="n">
        <x:v>44</x:v>
      </x:c>
      <x:c r="D2516" s="10" t="str">
        <x:v>M1 / M3</x:v>
      </x:c>
      <x:c r="E2516" s="16" t="n">
        <x:v>4</x:v>
      </x:c>
      <x:c r="F2516" s="14" t="n">
        <x:v>50</x:v>
      </x:c>
      <x:c r="G2516" s="26" t="n">
        <x:f>'成本明细'!U368+'成本明细'!G368*(E2516-'参数'!$B$6)</x:f>
        <x:v>3392.6110091416667</x:v>
      </x:c>
      <x:c r="H2516" s="26" t="n">
        <x:f>'成本明细'!U374</x:f>
        <x:v>4027.9249212505556</x:v>
      </x:c>
      <x:c r="I2516" s="26" t="n">
        <x:f>'成本明细'!V374</x:f>
        <x:v>8577.5</x:v>
      </x:c>
      <x:c r="J2516" s="22" t="n">
        <x:f>'参数'!$B$9</x:f>
        <x:v>300</x:v>
      </x:c>
      <x:c r="K2516" s="26" t="n">
        <x:f>J2516*(G2516-H2516)-I2516*ROUNDUP(J2516/F2516,0)</x:f>
        <x:v>-242059.17363266667</x:v>
      </x:c>
      <x:c r="L2516" s="10" t="str">
        <x:f>IF(G2516-H2516&lt;=0,"未回本",IF(ROUNDUP(I2516/(G2516-H2516),0)&gt;MIN(F2516,J2516),"未回本",MAX(1,ROUNDUP(I2516/(G2516-H2516),0))))</x:f>
        <x:v>未回本</x:v>
      </x:c>
    </x:row>
    <x:row r="2517" ht="22" customHeight="1">
      <x:c r="A2517" s="11" t="str">
        <x:v>lade_0829_30aoi</x:v>
      </x:c>
      <x:c r="B2517" s="10" t="n">
        <x:v>30</x:v>
      </x:c>
      <x:c r="C2517" s="10" t="n">
        <x:v>44</x:v>
      </x:c>
      <x:c r="D2517" s="10" t="str">
        <x:v>M2 / M4</x:v>
      </x:c>
      <x:c r="E2517" s="16" t="n">
        <x:v>4</x:v>
      </x:c>
      <x:c r="F2517" s="14" t="n">
        <x:v>50</x:v>
      </x:c>
      <x:c r="G2517" s="26" t="n">
        <x:f>'成本明细'!U371+'成本明细'!G371*(E2517-'参数'!$B$6)</x:f>
        <x:v>2968.025223990556</x:v>
      </x:c>
      <x:c r="H2517" s="26" t="n">
        <x:f>'成本明细'!U377</x:f>
        <x:v>3899.4931969027775</x:v>
      </x:c>
      <x:c r="I2517" s="26" t="n">
        <x:f>'成本明细'!V377</x:f>
        <x:v>8577.5</x:v>
      </x:c>
      <x:c r="J2517" s="22" t="n">
        <x:f>'参数'!$B$9</x:f>
        <x:v>300</x:v>
      </x:c>
      <x:c r="K2517" s="26" t="n">
        <x:f>J2517*(G2517-H2517)-I2517*ROUNDUP(J2517/F2517,0)</x:f>
        <x:v>-330905.39187366655</x:v>
      </x:c>
      <x:c r="L2517" s="10" t="str">
        <x:f>IF(G2517-H2517&lt;=0,"未回本",IF(ROUNDUP(I2517/(G2517-H2517),0)&gt;MIN(F2517,J2517),"未回本",MAX(1,ROUNDUP(I2517/(G2517-H2517),0))))</x:f>
        <x:v>未回本</x:v>
      </x:c>
    </x:row>
    <x:row r="2518" ht="22" customHeight="1">
      <x:c r="A2518" s="11" t="str">
        <x:v>lade_0829_30aoi</x:v>
      </x:c>
      <x:c r="B2518" s="10" t="n">
        <x:v>30</x:v>
      </x:c>
      <x:c r="C2518" s="10" t="n">
        <x:v>44</x:v>
      </x:c>
      <x:c r="D2518" s="10" t="str">
        <x:v>M1 / M3</x:v>
      </x:c>
      <x:c r="E2518" s="16" t="n">
        <x:v>5</x:v>
      </x:c>
      <x:c r="F2518" s="14" t="n">
        <x:v>10</x:v>
      </x:c>
      <x:c r="G2518" s="26" t="n">
        <x:f>'成本明细'!U368+'成本明细'!G368*(E2518-'参数'!$B$6)</x:f>
        <x:v>3627.6110091416667</x:v>
      </x:c>
      <x:c r="H2518" s="26" t="n">
        <x:f>'成本明细'!U374</x:f>
        <x:v>4027.9249212505556</x:v>
      </x:c>
      <x:c r="I2518" s="26" t="n">
        <x:f>'成本明细'!V374</x:f>
        <x:v>8577.5</x:v>
      </x:c>
      <x:c r="J2518" s="22" t="n">
        <x:f>'参数'!$B$9</x:f>
        <x:v>300</x:v>
      </x:c>
      <x:c r="K2518" s="26" t="n">
        <x:f>J2518*(G2518-H2518)-I2518*ROUNDUP(J2518/F2518,0)</x:f>
        <x:v>-377419.17363266664</x:v>
      </x:c>
      <x:c r="L2518" s="10" t="str">
        <x:f>IF(G2518-H2518&lt;=0,"未回本",IF(ROUNDUP(I2518/(G2518-H2518),0)&gt;MIN(F2518,J2518),"未回本",MAX(1,ROUNDUP(I2518/(G2518-H2518),0))))</x:f>
        <x:v>未回本</x:v>
      </x:c>
    </x:row>
    <x:row r="2519" ht="22" customHeight="1">
      <x:c r="A2519" s="11" t="str">
        <x:v>lade_0829_30aoi</x:v>
      </x:c>
      <x:c r="B2519" s="10" t="n">
        <x:v>30</x:v>
      </x:c>
      <x:c r="C2519" s="10" t="n">
        <x:v>44</x:v>
      </x:c>
      <x:c r="D2519" s="10" t="str">
        <x:v>M2 / M4</x:v>
      </x:c>
      <x:c r="E2519" s="16" t="n">
        <x:v>5</x:v>
      </x:c>
      <x:c r="F2519" s="14" t="n">
        <x:v>10</x:v>
      </x:c>
      <x:c r="G2519" s="26" t="n">
        <x:f>'成本明细'!U371+'成本明细'!G371*(E2519-'参数'!$B$6)</x:f>
        <x:v>3203.025223990556</x:v>
      </x:c>
      <x:c r="H2519" s="26" t="n">
        <x:f>'成本明细'!U377</x:f>
        <x:v>3899.4931969027775</x:v>
      </x:c>
      <x:c r="I2519" s="26" t="n">
        <x:f>'成本明细'!V377</x:f>
        <x:v>8577.5</x:v>
      </x:c>
      <x:c r="J2519" s="22" t="n">
        <x:f>'参数'!$B$9</x:f>
        <x:v>300</x:v>
      </x:c>
      <x:c r="K2519" s="26" t="n">
        <x:f>J2519*(G2519-H2519)-I2519*ROUNDUP(J2519/F2519,0)</x:f>
        <x:v>-466265.39187366655</x:v>
      </x:c>
      <x:c r="L2519" s="10" t="str">
        <x:f>IF(G2519-H2519&lt;=0,"未回本",IF(ROUNDUP(I2519/(G2519-H2519),0)&gt;MIN(F2519,J2519),"未回本",MAX(1,ROUNDUP(I2519/(G2519-H2519),0))))</x:f>
        <x:v>未回本</x:v>
      </x:c>
    </x:row>
    <x:row r="2520" ht="22" customHeight="1">
      <x:c r="A2520" s="11" t="str">
        <x:v>lade_0829_30aoi</x:v>
      </x:c>
      <x:c r="B2520" s="10" t="n">
        <x:v>30</x:v>
      </x:c>
      <x:c r="C2520" s="10" t="n">
        <x:v>44</x:v>
      </x:c>
      <x:c r="D2520" s="10" t="str">
        <x:v>M1 / M3</x:v>
      </x:c>
      <x:c r="E2520" s="16" t="n">
        <x:v>5</x:v>
      </x:c>
      <x:c r="F2520" s="14" t="n">
        <x:v>20</x:v>
      </x:c>
      <x:c r="G2520" s="26" t="n">
        <x:f>'成本明细'!U368+'成本明细'!G368*(E2520-'参数'!$B$6)</x:f>
        <x:v>3627.6110091416667</x:v>
      </x:c>
      <x:c r="H2520" s="26" t="n">
        <x:f>'成本明细'!U374</x:f>
        <x:v>4027.9249212505556</x:v>
      </x:c>
      <x:c r="I2520" s="26" t="n">
        <x:f>'成本明细'!V374</x:f>
        <x:v>8577.5</x:v>
      </x:c>
      <x:c r="J2520" s="22" t="n">
        <x:f>'参数'!$B$9</x:f>
        <x:v>300</x:v>
      </x:c>
      <x:c r="K2520" s="26" t="n">
        <x:f>J2520*(G2520-H2520)-I2520*ROUNDUP(J2520/F2520,0)</x:f>
        <x:v>-248756.67363266664</x:v>
      </x:c>
      <x:c r="L2520" s="10" t="str">
        <x:f>IF(G2520-H2520&lt;=0,"未回本",IF(ROUNDUP(I2520/(G2520-H2520),0)&gt;MIN(F2520,J2520),"未回本",MAX(1,ROUNDUP(I2520/(G2520-H2520),0))))</x:f>
        <x:v>未回本</x:v>
      </x:c>
    </x:row>
    <x:row r="2521" ht="22" customHeight="1">
      <x:c r="A2521" s="11" t="str">
        <x:v>lade_0829_30aoi</x:v>
      </x:c>
      <x:c r="B2521" s="10" t="n">
        <x:v>30</x:v>
      </x:c>
      <x:c r="C2521" s="10" t="n">
        <x:v>44</x:v>
      </x:c>
      <x:c r="D2521" s="10" t="str">
        <x:v>M2 / M4</x:v>
      </x:c>
      <x:c r="E2521" s="16" t="n">
        <x:v>5</x:v>
      </x:c>
      <x:c r="F2521" s="14" t="n">
        <x:v>20</x:v>
      </x:c>
      <x:c r="G2521" s="26" t="n">
        <x:f>'成本明细'!U371+'成本明细'!G371*(E2521-'参数'!$B$6)</x:f>
        <x:v>3203.025223990556</x:v>
      </x:c>
      <x:c r="H2521" s="26" t="n">
        <x:f>'成本明细'!U377</x:f>
        <x:v>3899.4931969027775</x:v>
      </x:c>
      <x:c r="I2521" s="26" t="n">
        <x:f>'成本明细'!V377</x:f>
        <x:v>8577.5</x:v>
      </x:c>
      <x:c r="J2521" s="22" t="n">
        <x:f>'参数'!$B$9</x:f>
        <x:v>300</x:v>
      </x:c>
      <x:c r="K2521" s="26" t="n">
        <x:f>J2521*(G2521-H2521)-I2521*ROUNDUP(J2521/F2521,0)</x:f>
        <x:v>-337602.89187366655</x:v>
      </x:c>
      <x:c r="L2521" s="10" t="str">
        <x:f>IF(G2521-H2521&lt;=0,"未回本",IF(ROUNDUP(I2521/(G2521-H2521),0)&gt;MIN(F2521,J2521),"未回本",MAX(1,ROUNDUP(I2521/(G2521-H2521),0))))</x:f>
        <x:v>未回本</x:v>
      </x:c>
    </x:row>
    <x:row r="2522" ht="22" customHeight="1">
      <x:c r="A2522" s="11" t="str">
        <x:v>lade_0829_30aoi</x:v>
      </x:c>
      <x:c r="B2522" s="10" t="n">
        <x:v>30</x:v>
      </x:c>
      <x:c r="C2522" s="10" t="n">
        <x:v>44</x:v>
      </x:c>
      <x:c r="D2522" s="10" t="str">
        <x:v>M1 / M3</x:v>
      </x:c>
      <x:c r="E2522" s="16" t="n">
        <x:v>5</x:v>
      </x:c>
      <x:c r="F2522" s="14" t="n">
        <x:v>30</x:v>
      </x:c>
      <x:c r="G2522" s="26" t="n">
        <x:f>'成本明细'!U368+'成本明细'!G368*(E2522-'参数'!$B$6)</x:f>
        <x:v>3627.6110091416667</x:v>
      </x:c>
      <x:c r="H2522" s="26" t="n">
        <x:f>'成本明细'!U374</x:f>
        <x:v>4027.9249212505556</x:v>
      </x:c>
      <x:c r="I2522" s="26" t="n">
        <x:f>'成本明细'!V374</x:f>
        <x:v>8577.5</x:v>
      </x:c>
      <x:c r="J2522" s="22" t="n">
        <x:f>'参数'!$B$9</x:f>
        <x:v>300</x:v>
      </x:c>
      <x:c r="K2522" s="26" t="n">
        <x:f>J2522*(G2522-H2522)-I2522*ROUNDUP(J2522/F2522,0)</x:f>
        <x:v>-205869.17363266664</x:v>
      </x:c>
      <x:c r="L2522" s="10" t="str">
        <x:f>IF(G2522-H2522&lt;=0,"未回本",IF(ROUNDUP(I2522/(G2522-H2522),0)&gt;MIN(F2522,J2522),"未回本",MAX(1,ROUNDUP(I2522/(G2522-H2522),0))))</x:f>
        <x:v>未回本</x:v>
      </x:c>
    </x:row>
    <x:row r="2523" ht="22" customHeight="1">
      <x:c r="A2523" s="11" t="str">
        <x:v>lade_0829_30aoi</x:v>
      </x:c>
      <x:c r="B2523" s="10" t="n">
        <x:v>30</x:v>
      </x:c>
      <x:c r="C2523" s="10" t="n">
        <x:v>44</x:v>
      </x:c>
      <x:c r="D2523" s="10" t="str">
        <x:v>M2 / M4</x:v>
      </x:c>
      <x:c r="E2523" s="16" t="n">
        <x:v>5</x:v>
      </x:c>
      <x:c r="F2523" s="14" t="n">
        <x:v>30</x:v>
      </x:c>
      <x:c r="G2523" s="26" t="n">
        <x:f>'成本明细'!U371+'成本明细'!G371*(E2523-'参数'!$B$6)</x:f>
        <x:v>3203.025223990556</x:v>
      </x:c>
      <x:c r="H2523" s="26" t="n">
        <x:f>'成本明细'!U377</x:f>
        <x:v>3899.4931969027775</x:v>
      </x:c>
      <x:c r="I2523" s="26" t="n">
        <x:f>'成本明细'!V377</x:f>
        <x:v>8577.5</x:v>
      </x:c>
      <x:c r="J2523" s="22" t="n">
        <x:f>'参数'!$B$9</x:f>
        <x:v>300</x:v>
      </x:c>
      <x:c r="K2523" s="26" t="n">
        <x:f>J2523*(G2523-H2523)-I2523*ROUNDUP(J2523/F2523,0)</x:f>
        <x:v>-294715.39187366655</x:v>
      </x:c>
      <x:c r="L2523" s="10" t="str">
        <x:f>IF(G2523-H2523&lt;=0,"未回本",IF(ROUNDUP(I2523/(G2523-H2523),0)&gt;MIN(F2523,J2523),"未回本",MAX(1,ROUNDUP(I2523/(G2523-H2523),0))))</x:f>
        <x:v>未回本</x:v>
      </x:c>
    </x:row>
    <x:row r="2524" ht="22" customHeight="1">
      <x:c r="A2524" s="11" t="str">
        <x:v>lade_0829_30aoi</x:v>
      </x:c>
      <x:c r="B2524" s="10" t="n">
        <x:v>30</x:v>
      </x:c>
      <x:c r="C2524" s="10" t="n">
        <x:v>44</x:v>
      </x:c>
      <x:c r="D2524" s="10" t="str">
        <x:v>M1 / M3</x:v>
      </x:c>
      <x:c r="E2524" s="16" t="n">
        <x:v>5</x:v>
      </x:c>
      <x:c r="F2524" s="14" t="n">
        <x:v>50</x:v>
      </x:c>
      <x:c r="G2524" s="26" t="n">
        <x:f>'成本明细'!U368+'成本明细'!G368*(E2524-'参数'!$B$6)</x:f>
        <x:v>3627.6110091416667</x:v>
      </x:c>
      <x:c r="H2524" s="26" t="n">
        <x:f>'成本明细'!U374</x:f>
        <x:v>4027.9249212505556</x:v>
      </x:c>
      <x:c r="I2524" s="26" t="n">
        <x:f>'成本明细'!V374</x:f>
        <x:v>8577.5</x:v>
      </x:c>
      <x:c r="J2524" s="22" t="n">
        <x:f>'参数'!$B$9</x:f>
        <x:v>300</x:v>
      </x:c>
      <x:c r="K2524" s="26" t="n">
        <x:f>J2524*(G2524-H2524)-I2524*ROUNDUP(J2524/F2524,0)</x:f>
        <x:v>-171559.17363266664</x:v>
      </x:c>
      <x:c r="L2524" s="10" t="str">
        <x:f>IF(G2524-H2524&lt;=0,"未回本",IF(ROUNDUP(I2524/(G2524-H2524),0)&gt;MIN(F2524,J2524),"未回本",MAX(1,ROUNDUP(I2524/(G2524-H2524),0))))</x:f>
        <x:v>未回本</x:v>
      </x:c>
    </x:row>
    <x:row r="2525" ht="22" customHeight="1">
      <x:c r="A2525" s="12" t="str">
        <x:v>lade_0829_30aoi</x:v>
      </x:c>
      <x:c r="B2525" s="13" t="n">
        <x:v>30</x:v>
      </x:c>
      <x:c r="C2525" s="13" t="n">
        <x:v>44</x:v>
      </x:c>
      <x:c r="D2525" s="13" t="str">
        <x:v>M2 / M4</x:v>
      </x:c>
      <x:c r="E2525" s="17" t="n">
        <x:v>5</x:v>
      </x:c>
      <x:c r="F2525" s="15" t="n">
        <x:v>50</x:v>
      </x:c>
      <x:c r="G2525" s="27" t="n">
        <x:f>'成本明细'!U371+'成本明细'!G371*(E2525-'参数'!$B$6)</x:f>
        <x:v>3203.025223990556</x:v>
      </x:c>
      <x:c r="H2525" s="27" t="n">
        <x:f>'成本明细'!U377</x:f>
        <x:v>3899.4931969027775</x:v>
      </x:c>
      <x:c r="I2525" s="27" t="n">
        <x:f>'成本明细'!V377</x:f>
        <x:v>8577.5</x:v>
      </x:c>
      <x:c r="J2525" s="23" t="n">
        <x:f>'参数'!$B$9</x:f>
        <x:v>300</x:v>
      </x:c>
      <x:c r="K2525" s="27" t="n">
        <x:f>J2525*(G2525-H2525)-I2525*ROUNDUP(J2525/F2525,0)</x:f>
        <x:v>-260405.39187366652</x:v>
      </x:c>
      <x:c r="L2525" s="13" t="str">
        <x:f>IF(G2525-H2525&lt;=0,"未回本",IF(ROUNDUP(I2525/(G2525-H2525),0)&gt;MIN(F2525,J2525),"未回本",MAX(1,ROUNDUP(I2525/(G2525-H2525),0))))</x:f>
        <x:v>未回本</x:v>
      </x:c>
    </x:row>
  </x:sheetData>
  <x:conditionalFormatting sqref="K6:K2525">
    <x:cfRule type="cellIs" dxfId="2" priority="1" operator="lessThan">
      <x:formula>0</x:formula>
    </x:cfRule>
  </x:conditionalFormatting>
  <x:pageMargins left="0.7" right="0.7" top="0.75" bottom="0.75" header="0.3" footer="0.3"/>
</x:worksheet>
</file>