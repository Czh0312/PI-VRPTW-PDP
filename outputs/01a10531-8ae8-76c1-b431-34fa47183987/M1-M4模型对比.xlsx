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14b41673e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对比" sheetId="1" r:id="Rd4d54fa1a4444a1d"/>
    <x:sheet xmlns:r="http://schemas.openxmlformats.org/officeDocument/2006/relationships" name="逐例结果" sheetId="2" r:id="R7043f9256e89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;[Red]-#,##0.000;0.000"/>
    <x:numFmt numFmtId="201" formatCode="0.00%;[Red]-0.00%;0.00%"/>
  </x:numFmts>
  <x:fonts count="4">
    <x:font>
      <x:sz val="11"/>
      <x:name val="Carlito"/>
    </x:font>
    <x:font>
      <x:sz val="10"/>
      <x:color rgb="FF243344"/>
      <x:name val="Arial"/>
    </x:font>
    <x:font>
      <x:b/>
      <x:sz val="14"/>
      <x:color rgb="FF263D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DC9D6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2">
    <x:dxf>
      <x:font>
        <x:color rgb="FF236344"/>
      </x:font>
      <x:fill>
        <x:patternFill patternType="solid">
          <x:bgColor rgb="FFE7F3EB"/>
        </x:patternFill>
      </x:fill>
    </x:dxf>
    <x:dxf>
      <x:font>
        <x:color rgb="FFA12A2A"/>
      </x:font>
      <x:fill>
        <x:patternFill patternType="solid">
          <x:bgColor rgb="FFFBEAEA"/>
        </x:patternFill>
      </x:fill>
    </x:dxf>
    <x:dxf>
      <x:font>
        <x:color rgb="FF236344"/>
      </x:font>
      <x:fill>
        <x:patternFill patternType="solid">
          <x:bgColor rgb="FFE7F3EB"/>
        </x:patternFill>
      </x:fill>
    </x:dxf>
    <x:dxf>
      <x:font>
        <x:color rgb="FFA12A2A"/>
      </x:font>
      <x:fill>
        <x:patternFill patternType="solid">
          <x:bgColor rgb="FFFBEAEA"/>
        </x:patternFill>
      </x:fill>
    </x:dxf>
    <x:dxf>
      <x:font>
        <x:color rgb="FF236344"/>
      </x:font>
      <x:fill>
        <x:patternFill patternType="solid">
          <x:bgColor rgb="FFE7F3EB"/>
        </x:patternFill>
      </x:fill>
    </x:dxf>
    <x:dxf>
      <x:font>
        <x:color rgb="FFA12A2A"/>
      </x:font>
      <x:fill>
        <x:patternFill patternType="solid">
          <x:bgColor rgb="FFFBEAEA"/>
        </x:patternFill>
      </x:fill>
    </x:dxf>
    <x:dxf>
      <x:font>
        <x:color rgb="FF236344"/>
      </x:font>
      <x:fill>
        <x:patternFill patternType="solid">
          <x:bgColor rgb="FFE7F3EB"/>
        </x:patternFill>
      </x:fill>
    </x:dxf>
    <x:dxf>
      <x:font>
        <x:color rgb="FFA12A2A"/>
      </x:font>
      <x:fill>
        <x:patternFill patternType="solid">
          <x:bgColor rgb="FFFBEAEA"/>
        </x:patternFill>
      </x:fill>
    </x:dxf>
    <x:dxf>
      <x:font>
        <x:color rgb="FF236344"/>
      </x:font>
      <x:fill>
        <x:patternFill patternType="solid">
          <x:bgColor rgb="FFE7F3EB"/>
        </x:patternFill>
      </x:fill>
    </x:dxf>
    <x:dxf>
      <x:font>
        <x:color rgb="FFA12A2A"/>
      </x:font>
      <x:fill>
        <x:patternFill patternType="solid">
          <x:bgColor rgb="FFFBEAEA"/>
        </x:patternFill>
      </x:fill>
    </x:dxf>
    <x:dxf>
      <x:font>
        <x:color rgb="FF236344"/>
      </x:font>
      <x:fill>
        <x:patternFill patternType="solid">
          <x:bgColor rgb="FFE7F3EB"/>
        </x:patternFill>
      </x:fill>
    </x:dxf>
    <x:dxf>
      <x:font>
        <x:color rgb="FFA12A2A"/>
      </x:font>
      <x:fill>
        <x:patternFill patternType="solid">
          <x:bgColor rgb="FFFB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0dfa2dcc2423b" /><Relationship Type="http://schemas.openxmlformats.org/officeDocument/2006/relationships/theme" Target="/xl/theme/theme1.xml" Id="R42997f93625c4652" /><Relationship Type="http://schemas.openxmlformats.org/officeDocument/2006/relationships/sharedStrings" Target="/xl/sharedStrings.xml" Id="Rd80067b6cbdc4d98" /><Relationship Type="http://schemas.openxmlformats.org/officeDocument/2006/relationships/worksheet" Target="/xl/worksheets/sheet1.xml" Id="Rd4d54fa1a4444a1d" /><Relationship Type="http://schemas.openxmlformats.org/officeDocument/2006/relationships/worksheet" Target="/xl/worksheets/sheet2.xml" Id="R7043f9256e89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D58"/>
  </x:sheetPr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4" hidden="0" customWidth="1"/>
    <x:col min="4" max="4" width="11" hidden="0" customWidth="1"/>
    <x:col min="5" max="5" width="17" hidden="0" customWidth="1"/>
    <x:col min="6" max="6" width="17" hidden="0" customWidth="1"/>
    <x:col min="7" max="7" width="19" hidden="0" customWidth="1"/>
    <x:col min="8" max="8" width="17" hidden="0" customWidth="1"/>
    <x:col min="9" max="9" width="17" hidden="0" customWidth="1"/>
    <x:col min="10" max="10" width="19" hidden="0" customWidth="1"/>
    <x:col min="11" max="11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四模型横向对比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更新时间</x:v>
      </x:c>
      <x:c r="B3" s="2" t="str">
        <x:v>2026-10-04 18:13:46</x:v>
      </x:c>
      <x:c r="C3" s="2"/>
      <x:c r="D3" s="2"/>
      <x:c r="E3" s="2" t="str">
        <x:v>实验进度</x:v>
      </x:c>
      <x:c r="F3" s="2" t="str">
        <x:v>1120/1120</x:v>
      </x:c>
      <x:c r="G3" s="2"/>
      <x:c r="H3" s="2"/>
      <x:c r="I3" s="2" t="str">
        <x:v>已全部完成</x:v>
      </x:c>
      <x:c r="J3" s="2"/>
      <x:c r="K3" s="2"/>
    </x:row>
    <x:row r="4" ht="24" customHeight="1">
      <x:c r="A4" s="2" t="str">
        <x:v>减少率</x:v>
      </x:c>
      <x:c r="B4" s="2" t="str">
        <x:v>（原模型距离－自由分仓距离）÷原模型距离</x:v>
      </x:c>
      <x:c r="C4" s="2"/>
      <x:c r="D4" s="2"/>
      <x:c r="E4" s="2"/>
      <x:c r="F4" s="2"/>
      <x:c r="G4" s="2" t="str">
        <x:v>正数表示改善，负数表示退步</x:v>
      </x:c>
      <x:c r="H4" s="2"/>
      <x:c r="I4" s="2"/>
      <x:c r="J4" s="2"/>
      <x:c r="K4" s="2"/>
    </x:row>
    <x:row r="5" ht="24" customHeight="1">
      <x:c r="A5" s="2" t="str">
        <x:v>统计口径</x:v>
      </x:c>
      <x:c r="B5" s="2" t="str">
        <x:v>四模型共同完整案例；降幅为逐例百分比平均</x:v>
      </x:c>
      <x:c r="C5" s="2"/>
      <x:c r="D5" s="2"/>
      <x:c r="E5" s="2"/>
      <x:c r="F5" s="2"/>
      <x:c r="G5" s="2" t="str">
        <x:v>精确未证最优时仅比较本次可行解</x:v>
      </x:c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2" customHeight="1">
      <x:c r="A7" s="8" t="str">
        <x:v>顾客数 / 规模</x:v>
      </x:c>
      <x:c r="B7" s="9" t="str">
        <x:v>求解口径</x:v>
      </x:c>
      <x:c r="C7" s="9" t="str">
        <x:v>共同完整例数</x:v>
      </x:c>
      <x:c r="D7" s="9" t="str">
        <x:v>计划例数</x:v>
      </x:c>
      <x:c r="E7" s="9" t="str">
        <x:v>M1平均距离</x:v>
      </x:c>
      <x:c r="F7" s="9" t="str">
        <x:v>M2平均距离</x:v>
      </x:c>
      <x:c r="G7" s="9" t="str">
        <x:v>M2相对M1降幅</x:v>
      </x:c>
      <x:c r="H7" s="9" t="str">
        <x:v>M3平均距离</x:v>
      </x:c>
      <x:c r="I7" s="9" t="str">
        <x:v>M4平均距离</x:v>
      </x:c>
      <x:c r="J7" s="9" t="str">
        <x:v>M4相对M3降幅</x:v>
      </x:c>
      <x:c r="K7" s="10" t="str">
        <x:v>四模型最优例数</x:v>
      </x:c>
    </x:row>
    <x:row r="8" ht="24" customHeight="1">
      <x:c r="A8" s="16" t="n">
        <x:v>7</x:v>
      </x:c>
      <x:c r="B8" s="16" t="str">
        <x:v>精确时限可行解</x:v>
      </x:c>
      <x:c r="C8" s="17" t="n">
        <x:f>COUNTIFS('逐例结果'!$A$8:$A$217,A8,'逐例结果'!$D$8:$D$217,B8,'逐例结果'!$M$8:$M$217,1)</x:f>
        <x:v>10</x:v>
      </x:c>
      <x:c r="D8" s="17" t="n">
        <x:v>10</x:v>
      </x:c>
      <x:c r="E8" s="18" t="n">
        <x:f>IF(C8=0,"",SUMIFS('逐例结果'!$E$8:$E$217,'逐例结果'!$A$8:$A$217,A8,'逐例结果'!$D$8:$D$217,B8,'逐例结果'!$M$8:$M$217,1)/C8)</x:f>
        <x:v>280.8051758133042</x:v>
      </x:c>
      <x:c r="F8" s="18" t="n">
        <x:f>IF(C8=0,"",SUMIFS('逐例结果'!$F$8:$F$217,'逐例结果'!$A$8:$A$217,A8,'逐例结果'!$D$8:$D$217,B8,'逐例结果'!$M$8:$M$217,1)/C8)</x:f>
        <x:v>249.84519252287572</x:v>
      </x:c>
      <x:c r="G8" s="19" t="n">
        <x:f>IF(C8=0,"",SUMIFS('逐例结果'!$H$8:$H$217,'逐例结果'!$A$8:$A$217,A8,'逐例结果'!$D$8:$D$217,B8,'逐例结果'!$M$8:$M$217,1)/C8)</x:f>
        <x:v>0.10734066835197556</x:v>
      </x:c>
      <x:c r="H8" s="18" t="n">
        <x:f>IF(C8=0,"",SUMIFS('逐例结果'!$I$8:$I$217,'逐例结果'!$A$8:$A$217,A8,'逐例结果'!$D$8:$D$217,B8,'逐例结果'!$M$8:$M$217,1)/C8)</x:f>
        <x:v>298.08654290937085</x:v>
      </x:c>
      <x:c r="I8" s="18" t="n">
        <x:f>IF(C8=0,"",SUMIFS('逐例结果'!$J$8:$J$217,'逐例结果'!$A$8:$A$217,A8,'逐例结果'!$D$8:$D$217,B8,'逐例结果'!$M$8:$M$217,1)/C8)</x:f>
        <x:v>280.54310064886045</x:v>
      </x:c>
      <x:c r="J8" s="19" t="n">
        <x:f>IF(C8=0,"",SUMIFS('逐例结果'!$L$8:$L$217,'逐例结果'!$A$8:$A$217,A8,'逐例结果'!$D$8:$D$217,B8,'逐例结果'!$M$8:$M$217,1)/C8)</x:f>
        <x:v>0.05567719846674367</x:v>
      </x:c>
      <x:c r="K8" s="17" t="n">
        <x:f>SUMIFS('逐例结果'!$N$8:$N$217,'逐例结果'!$A$8:$A$217,A8,'逐例结果'!$D$8:$D$217,B8,'逐例结果'!$M$8:$M$217,1)</x:f>
        <x:v>10</x:v>
      </x:c>
    </x:row>
    <x:row r="9" ht="24" customHeight="1">
      <x:c r="A9" s="2" t="n">
        <x:v>7</x:v>
      </x:c>
      <x:c r="B9" s="2" t="str">
        <x:v>ALNS三种子最好</x:v>
      </x:c>
      <x:c r="C9" s="15" t="n">
        <x:f>COUNTIFS('逐例结果'!$A$8:$A$217,A9,'逐例结果'!$D$8:$D$217,B9,'逐例结果'!$M$8:$M$217,1)</x:f>
        <x:v>10</x:v>
      </x:c>
      <x:c r="D9" s="15" t="n">
        <x:v>10</x:v>
      </x:c>
      <x:c r="E9" s="13" t="n">
        <x:f>IF(C9=0,"",SUMIFS('逐例结果'!$E$8:$E$217,'逐例结果'!$A$8:$A$217,A9,'逐例结果'!$D$8:$D$217,B9,'逐例结果'!$M$8:$M$217,1)/C9)</x:f>
        <x:v>280.8051758133042</x:v>
      </x:c>
      <x:c r="F9" s="13" t="n">
        <x:f>IF(C9=0,"",SUMIFS('逐例结果'!$F$8:$F$217,'逐例结果'!$A$8:$A$217,A9,'逐例结果'!$D$8:$D$217,B9,'逐例结果'!$M$8:$M$217,1)/C9)</x:f>
        <x:v>266.17494804590643</x:v>
      </x:c>
      <x:c r="G9" s="14" t="n">
        <x:f>IF(C9=0,"",SUMIFS('逐例结果'!$H$8:$H$217,'逐例结果'!$A$8:$A$217,A9,'逐例结果'!$D$8:$D$217,B9,'逐例结果'!$M$8:$M$217,1)/C9)</x:f>
        <x:v>0.05170511473302244</x:v>
      </x:c>
      <x:c r="H9" s="13" t="n">
        <x:f>IF(C9=0,"",SUMIFS('逐例结果'!$I$8:$I$217,'逐例结果'!$A$8:$A$217,A9,'逐例结果'!$D$8:$D$217,B9,'逐例结果'!$M$8:$M$217,1)/C9)</x:f>
        <x:v>298.08654290937085</x:v>
      </x:c>
      <x:c r="I9" s="13" t="n">
        <x:f>IF(C9=0,"",SUMIFS('逐例结果'!$J$8:$J$217,'逐例结果'!$A$8:$A$217,A9,'逐例结果'!$D$8:$D$217,B9,'逐例结果'!$M$8:$M$217,1)/C9)</x:f>
        <x:v>280.7512177687777</x:v>
      </x:c>
      <x:c r="J9" s="14" t="n">
        <x:f>IF(C9=0,"",SUMIFS('逐例结果'!$L$8:$L$217,'逐例结果'!$A$8:$A$217,A9,'逐例结果'!$D$8:$D$217,B9,'逐例结果'!$M$8:$M$217,1)/C9)</x:f>
        <x:v>0.05495421664065738</x:v>
      </x:c>
      <x:c r="K9" s="15"/>
    </x:row>
    <x:row r="10" ht="24" customHeight="1">
      <x:c r="A10" s="2" t="n">
        <x:v>7</x:v>
      </x:c>
      <x:c r="B10" s="2" t="str">
        <x:v>ALNS三种子均值</x:v>
      </x:c>
      <x:c r="C10" s="15" t="n">
        <x:f>COUNTIFS('逐例结果'!$A$8:$A$217,A10,'逐例结果'!$D$8:$D$217,B10,'逐例结果'!$M$8:$M$217,1)</x:f>
        <x:v>10</x:v>
      </x:c>
      <x:c r="D10" s="15" t="n">
        <x:v>10</x:v>
      </x:c>
      <x:c r="E10" s="13" t="n">
        <x:f>IF(C10=0,"",SUMIFS('逐例结果'!$E$8:$E$217,'逐例结果'!$A$8:$A$217,A10,'逐例结果'!$D$8:$D$217,B10,'逐例结果'!$M$8:$M$217,1)/C10)</x:f>
        <x:v>280.8051758133042</x:v>
      </x:c>
      <x:c r="F10" s="13" t="n">
        <x:f>IF(C10=0,"",SUMIFS('逐例结果'!$F$8:$F$217,'逐例结果'!$A$8:$A$217,A10,'逐例结果'!$D$8:$D$217,B10,'逐例结果'!$M$8:$M$217,1)/C10)</x:f>
        <x:v>272.147370249926</x:v>
      </x:c>
      <x:c r="G10" s="14" t="n">
        <x:f>IF(C10=0,"",SUMIFS('逐例结果'!$H$8:$H$217,'逐例结果'!$A$8:$A$217,A10,'逐例结果'!$D$8:$D$217,B10,'逐例结果'!$M$8:$M$217,1)/C10)</x:f>
        <x:v>0.029288775183469996</x:v>
      </x:c>
      <x:c r="H10" s="13" t="n">
        <x:f>IF(C10=0,"",SUMIFS('逐例结果'!$I$8:$I$217,'逐例结果'!$A$8:$A$217,A10,'逐例结果'!$D$8:$D$217,B10,'逐例结果'!$M$8:$M$217,1)/C10)</x:f>
        <x:v>298.08654290937085</x:v>
      </x:c>
      <x:c r="I10" s="13" t="n">
        <x:f>IF(C10=0,"",SUMIFS('逐例结果'!$J$8:$J$217,'逐例结果'!$A$8:$A$217,A10,'逐例结果'!$D$8:$D$217,B10,'逐例结果'!$M$8:$M$217,1)/C10)</x:f>
        <x:v>281.5898130615217</x:v>
      </x:c>
      <x:c r="J10" s="14" t="n">
        <x:f>IF(C10=0,"",SUMIFS('逐例结果'!$L$8:$L$217,'逐例结果'!$A$8:$A$217,A10,'逐例结果'!$D$8:$D$217,B10,'逐例结果'!$M$8:$M$217,1)/C10)</x:f>
        <x:v>0.052384448898056525</x:v>
      </x:c>
      <x:c r="K10" s="15"/>
    </x:row>
    <x:row r="11" ht="24" customHeight="1">
      <x:c r="A11" s="16" t="n">
        <x:v>10</x:v>
      </x:c>
      <x:c r="B11" s="16" t="str">
        <x:v>精确时限可行解</x:v>
      </x:c>
      <x:c r="C11" s="17" t="n">
        <x:f>COUNTIFS('逐例结果'!$A$8:$A$217,A11,'逐例结果'!$D$8:$D$217,B11,'逐例结果'!$M$8:$M$217,1)</x:f>
        <x:v>10</x:v>
      </x:c>
      <x:c r="D11" s="17" t="n">
        <x:v>10</x:v>
      </x:c>
      <x:c r="E11" s="18" t="n">
        <x:f>IF(C11=0,"",SUMIFS('逐例结果'!$E$8:$E$217,'逐例结果'!$A$8:$A$217,A11,'逐例结果'!$D$8:$D$217,B11,'逐例结果'!$M$8:$M$217,1)/C11)</x:f>
        <x:v>293.91962793161974</x:v>
      </x:c>
      <x:c r="F11" s="18" t="n">
        <x:f>IF(C11=0,"",SUMIFS('逐例结果'!$F$8:$F$217,'逐例结果'!$A$8:$A$217,A11,'逐例结果'!$D$8:$D$217,B11,'逐例结果'!$M$8:$M$217,1)/C11)</x:f>
        <x:v>269.26471907222714</x:v>
      </x:c>
      <x:c r="G11" s="19" t="n">
        <x:f>IF(C11=0,"",SUMIFS('逐例结果'!$H$8:$H$217,'逐例结果'!$A$8:$A$217,A11,'逐例结果'!$D$8:$D$217,B11,'逐例结果'!$M$8:$M$217,1)/C11)</x:f>
        <x:v>0.07486881804770082</x:v>
      </x:c>
      <x:c r="H11" s="18" t="n">
        <x:f>IF(C11=0,"",SUMIFS('逐例结果'!$I$8:$I$217,'逐例结果'!$A$8:$A$217,A11,'逐例结果'!$D$8:$D$217,B11,'逐例结果'!$M$8:$M$217,1)/C11)</x:f>
        <x:v>318.9160364470957</x:v>
      </x:c>
      <x:c r="I11" s="18" t="n">
        <x:f>IF(C11=0,"",SUMIFS('逐例结果'!$J$8:$J$217,'逐例结果'!$A$8:$A$217,A11,'逐例结果'!$D$8:$D$217,B11,'逐例结果'!$M$8:$M$217,1)/C11)</x:f>
        <x:v>300.8571282442748</x:v>
      </x:c>
      <x:c r="J11" s="19" t="n">
        <x:f>IF(C11=0,"",SUMIFS('逐例结果'!$L$8:$L$217,'逐例结果'!$A$8:$A$217,A11,'逐例结果'!$D$8:$D$217,B11,'逐例结果'!$M$8:$M$217,1)/C11)</x:f>
        <x:v>0.05330869696201742</x:v>
      </x:c>
      <x:c r="K11" s="17" t="n">
        <x:f>SUMIFS('逐例结果'!$N$8:$N$217,'逐例结果'!$A$8:$A$217,A11,'逐例结果'!$D$8:$D$217,B11,'逐例结果'!$M$8:$M$217,1)</x:f>
        <x:v>10</x:v>
      </x:c>
    </x:row>
    <x:row r="12" ht="24" customHeight="1">
      <x:c r="A12" s="2" t="n">
        <x:v>10</x:v>
      </x:c>
      <x:c r="B12" s="2" t="str">
        <x:v>ALNS三种子最好</x:v>
      </x:c>
      <x:c r="C12" s="15" t="n">
        <x:f>COUNTIFS('逐例结果'!$A$8:$A$217,A12,'逐例结果'!$D$8:$D$217,B12,'逐例结果'!$M$8:$M$217,1)</x:f>
        <x:v>10</x:v>
      </x:c>
      <x:c r="D12" s="15" t="n">
        <x:v>10</x:v>
      </x:c>
      <x:c r="E12" s="13" t="n">
        <x:f>IF(C12=0,"",SUMIFS('逐例结果'!$E$8:$E$217,'逐例结果'!$A$8:$A$217,A12,'逐例结果'!$D$8:$D$217,B12,'逐例结果'!$M$8:$M$217,1)/C12)</x:f>
        <x:v>293.91962793161974</x:v>
      </x:c>
      <x:c r="F12" s="13" t="n">
        <x:f>IF(C12=0,"",SUMIFS('逐例结果'!$F$8:$F$217,'逐例结果'!$A$8:$A$217,A12,'逐例结果'!$D$8:$D$217,B12,'逐例结果'!$M$8:$M$217,1)/C12)</x:f>
        <x:v>284.0542679930463</x:v>
      </x:c>
      <x:c r="G12" s="14" t="n">
        <x:f>IF(C12=0,"",SUMIFS('逐例结果'!$H$8:$H$217,'逐例结果'!$A$8:$A$217,A12,'逐例结果'!$D$8:$D$217,B12,'逐例结果'!$M$8:$M$217,1)/C12)</x:f>
        <x:v>0.03237668685208922</x:v>
      </x:c>
      <x:c r="H12" s="13" t="n">
        <x:f>IF(C12=0,"",SUMIFS('逐例结果'!$I$8:$I$217,'逐例结果'!$A$8:$A$217,A12,'逐例结果'!$D$8:$D$217,B12,'逐例结果'!$M$8:$M$217,1)/C12)</x:f>
        <x:v>319.06655701526336</x:v>
      </x:c>
      <x:c r="I12" s="13" t="n">
        <x:f>IF(C12=0,"",SUMIFS('逐例结果'!$J$8:$J$217,'逐例结果'!$A$8:$A$217,A12,'逐例结果'!$D$8:$D$217,B12,'逐例结果'!$M$8:$M$217,1)/C12)</x:f>
        <x:v>302.91016161118523</x:v>
      </x:c>
      <x:c r="J12" s="14" t="n">
        <x:f>IF(C12=0,"",SUMIFS('逐例结果'!$L$8:$L$217,'逐例结果'!$A$8:$A$217,A12,'逐例结果'!$D$8:$D$217,B12,'逐例结果'!$M$8:$M$217,1)/C12)</x:f>
        <x:v>0.0478298482410907</x:v>
      </x:c>
      <x:c r="K12" s="15"/>
    </x:row>
    <x:row r="13" ht="24" customHeight="1">
      <x:c r="A13" s="2" t="n">
        <x:v>10</x:v>
      </x:c>
      <x:c r="B13" s="2" t="str">
        <x:v>ALNS三种子均值</x:v>
      </x:c>
      <x:c r="C13" s="15" t="n">
        <x:f>COUNTIFS('逐例结果'!$A$8:$A$217,A13,'逐例结果'!$D$8:$D$217,B13,'逐例结果'!$M$8:$M$217,1)</x:f>
        <x:v>10</x:v>
      </x:c>
      <x:c r="D13" s="15" t="n">
        <x:v>10</x:v>
      </x:c>
      <x:c r="E13" s="13" t="n">
        <x:f>IF(C13=0,"",SUMIFS('逐例结果'!$E$8:$E$217,'逐例结果'!$A$8:$A$217,A13,'逐例结果'!$D$8:$D$217,B13,'逐例结果'!$M$8:$M$217,1)/C13)</x:f>
        <x:v>293.9196279316198</x:v>
      </x:c>
      <x:c r="F13" s="13" t="n">
        <x:f>IF(C13=0,"",SUMIFS('逐例结果'!$F$8:$F$217,'逐例结果'!$A$8:$A$217,A13,'逐例结果'!$D$8:$D$217,B13,'逐例结果'!$M$8:$M$217,1)/C13)</x:f>
        <x:v>286.73958714961043</x:v>
      </x:c>
      <x:c r="G13" s="14" t="n">
        <x:f>IF(C13=0,"",SUMIFS('逐例结果'!$H$8:$H$217,'逐例结果'!$A$8:$A$217,A13,'逐例结果'!$D$8:$D$217,B13,'逐例结果'!$M$8:$M$217,1)/C13)</x:f>
        <x:v>0.02324965230502052</x:v>
      </x:c>
      <x:c r="H13" s="13" t="n">
        <x:f>IF(C13=0,"",SUMIFS('逐例结果'!$I$8:$I$217,'逐例结果'!$A$8:$A$217,A13,'逐例结果'!$D$8:$D$217,B13,'逐例结果'!$M$8:$M$217,1)/C13)</x:f>
        <x:v>319.9249878544578</x:v>
      </x:c>
      <x:c r="I13" s="13" t="n">
        <x:f>IF(C13=0,"",SUMIFS('逐例结果'!$J$8:$J$217,'逐例结果'!$A$8:$A$217,A13,'逐例结果'!$D$8:$D$217,B13,'逐例结果'!$M$8:$M$217,1)/C13)</x:f>
        <x:v>303.0920455685863</x:v>
      </x:c>
      <x:c r="J13" s="14" t="n">
        <x:f>IF(C13=0,"",SUMIFS('逐例结果'!$L$8:$L$217,'逐例结果'!$A$8:$A$217,A13,'逐例结果'!$D$8:$D$217,B13,'逐例结果'!$M$8:$M$217,1)/C13)</x:f>
        <x:v>0.04955251248275646</x:v>
      </x:c>
      <x:c r="K13" s="15"/>
    </x:row>
    <x:row r="14" ht="24" customHeight="1">
      <x:c r="A14" s="16" t="n">
        <x:v>12</x:v>
      </x:c>
      <x:c r="B14" s="16" t="str">
        <x:v>精确时限可行解</x:v>
      </x:c>
      <x:c r="C14" s="17" t="n">
        <x:f>COUNTIFS('逐例结果'!$A$8:$A$217,A14,'逐例结果'!$D$8:$D$217,B14,'逐例结果'!$M$8:$M$217,1)</x:f>
        <x:v>10</x:v>
      </x:c>
      <x:c r="D14" s="17" t="n">
        <x:v>10</x:v>
      </x:c>
      <x:c r="E14" s="18" t="n">
        <x:f>IF(C14=0,"",SUMIFS('逐例结果'!$E$8:$E$217,'逐例结果'!$A$8:$A$217,A14,'逐例结果'!$D$8:$D$217,B14,'逐例结果'!$M$8:$M$217,1)/C14)</x:f>
        <x:v>352.2205012550206</x:v>
      </x:c>
      <x:c r="F14" s="18" t="n">
        <x:f>IF(C14=0,"",SUMIFS('逐例结果'!$F$8:$F$217,'逐例结果'!$A$8:$A$217,A14,'逐例结果'!$D$8:$D$217,B14,'逐例结果'!$M$8:$M$217,1)/C14)</x:f>
        <x:v>285.74292702033415</x:v>
      </x:c>
      <x:c r="G14" s="19" t="n">
        <x:f>IF(C14=0,"",SUMIFS('逐例结果'!$H$8:$H$217,'逐例结果'!$A$8:$A$217,A14,'逐例结果'!$D$8:$D$217,B14,'逐例结果'!$M$8:$M$217,1)/C14)</x:f>
        <x:v>0.19003961224790858</x:v>
      </x:c>
      <x:c r="H14" s="18" t="n">
        <x:f>IF(C14=0,"",SUMIFS('逐例结果'!$I$8:$I$217,'逐例结果'!$A$8:$A$217,A14,'逐例结果'!$D$8:$D$217,B14,'逐例结果'!$M$8:$M$217,1)/C14)</x:f>
        <x:v>383.2535306084693</x:v>
      </x:c>
      <x:c r="I14" s="18" t="n">
        <x:f>IF(C14=0,"",SUMIFS('逐例结果'!$J$8:$J$217,'逐例结果'!$A$8:$A$217,A14,'逐例结果'!$D$8:$D$217,B14,'逐例结果'!$M$8:$M$217,1)/C14)</x:f>
        <x:v>349.6012763991167</x:v>
      </x:c>
      <x:c r="J14" s="19" t="n">
        <x:f>IF(C14=0,"",SUMIFS('逐例结果'!$L$8:$L$217,'逐例结果'!$A$8:$A$217,A14,'逐例结果'!$D$8:$D$217,B14,'逐例结果'!$M$8:$M$217,1)/C14)</x:f>
        <x:v>0.08907053842021452</x:v>
      </x:c>
      <x:c r="K14" s="17" t="n">
        <x:f>SUMIFS('逐例结果'!$N$8:$N$217,'逐例结果'!$A$8:$A$217,A14,'逐例结果'!$D$8:$D$217,B14,'逐例结果'!$M$8:$M$217,1)</x:f>
        <x:v>1</x:v>
      </x:c>
    </x:row>
    <x:row r="15" ht="24" customHeight="1">
      <x:c r="A15" s="2" t="n">
        <x:v>12</x:v>
      </x:c>
      <x:c r="B15" s="2" t="str">
        <x:v>ALNS三种子最好</x:v>
      </x:c>
      <x:c r="C15" s="15" t="n">
        <x:f>COUNTIFS('逐例结果'!$A$8:$A$217,A15,'逐例结果'!$D$8:$D$217,B15,'逐例结果'!$M$8:$M$217,1)</x:f>
        <x:v>10</x:v>
      </x:c>
      <x:c r="D15" s="15" t="n">
        <x:v>10</x:v>
      </x:c>
      <x:c r="E15" s="13" t="n">
        <x:f>IF(C15=0,"",SUMIFS('逐例结果'!$E$8:$E$217,'逐例结果'!$A$8:$A$217,A15,'逐例结果'!$D$8:$D$217,B15,'逐例结果'!$M$8:$M$217,1)/C15)</x:f>
        <x:v>352.2205012550206</x:v>
      </x:c>
      <x:c r="F15" s="13" t="n">
        <x:f>IF(C15=0,"",SUMIFS('逐例结果'!$F$8:$F$217,'逐例结果'!$A$8:$A$217,A15,'逐例结果'!$D$8:$D$217,B15,'逐例结果'!$M$8:$M$217,1)/C15)</x:f>
        <x:v>335.06995650148775</x:v>
      </x:c>
      <x:c r="G15" s="14" t="n">
        <x:f>IF(C15=0,"",SUMIFS('逐例结果'!$H$8:$H$217,'逐例结果'!$A$8:$A$217,A15,'逐例结果'!$D$8:$D$217,B15,'逐例结果'!$M$8:$M$217,1)/C15)</x:f>
        <x:v>0.04957256025061239</x:v>
      </x:c>
      <x:c r="H15" s="13" t="n">
        <x:f>IF(C15=0,"",SUMIFS('逐例结果'!$I$8:$I$217,'逐例结果'!$A$8:$A$217,A15,'逐例结果'!$D$8:$D$217,B15,'逐例结果'!$M$8:$M$217,1)/C15)</x:f>
        <x:v>384.34079354357834</x:v>
      </x:c>
      <x:c r="I15" s="13" t="n">
        <x:f>IF(C15=0,"",SUMIFS('逐例结果'!$J$8:$J$217,'逐例结果'!$A$8:$A$217,A15,'逐例结果'!$D$8:$D$217,B15,'逐例结果'!$M$8:$M$217,1)/C15)</x:f>
        <x:v>351.95490847450964</x:v>
      </x:c>
      <x:c r="J15" s="14" t="n">
        <x:f>IF(C15=0,"",SUMIFS('逐例结果'!$L$8:$L$217,'逐例结果'!$A$8:$A$217,A15,'逐例结果'!$D$8:$D$217,B15,'逐例结果'!$M$8:$M$217,1)/C15)</x:f>
        <x:v>0.084756027804095</x:v>
      </x:c>
      <x:c r="K15" s="15"/>
    </x:row>
    <x:row r="16" ht="24" customHeight="1">
      <x:c r="A16" s="2" t="n">
        <x:v>12</x:v>
      </x:c>
      <x:c r="B16" s="2" t="str">
        <x:v>ALNS三种子均值</x:v>
      </x:c>
      <x:c r="C16" s="15" t="n">
        <x:f>COUNTIFS('逐例结果'!$A$8:$A$217,A16,'逐例结果'!$D$8:$D$217,B16,'逐例结果'!$M$8:$M$217,1)</x:f>
        <x:v>10</x:v>
      </x:c>
      <x:c r="D16" s="15" t="n">
        <x:v>10</x:v>
      </x:c>
      <x:c r="E16" s="13" t="n">
        <x:f>IF(C16=0,"",SUMIFS('逐例结果'!$E$8:$E$217,'逐例结果'!$A$8:$A$217,A16,'逐例结果'!$D$8:$D$217,B16,'逐例结果'!$M$8:$M$217,1)/C16)</x:f>
        <x:v>352.36289481190977</x:v>
      </x:c>
      <x:c r="F16" s="13" t="n">
        <x:f>IF(C16=0,"",SUMIFS('逐例结果'!$F$8:$F$217,'逐例结果'!$A$8:$A$217,A16,'逐例结果'!$D$8:$D$217,B16,'逐例结果'!$M$8:$M$217,1)/C16)</x:f>
        <x:v>338.1440532931264</x:v>
      </x:c>
      <x:c r="G16" s="14" t="n">
        <x:f>IF(C16=0,"",SUMIFS('逐例结果'!$H$8:$H$217,'逐例结果'!$A$8:$A$217,A16,'逐例结果'!$D$8:$D$217,B16,'逐例结果'!$M$8:$M$217,1)/C16)</x:f>
        <x:v>0.041282467995673824</x:v>
      </x:c>
      <x:c r="H16" s="13" t="n">
        <x:f>IF(C16=0,"",SUMIFS('逐例结果'!$I$8:$I$217,'逐例结果'!$A$8:$A$217,A16,'逐例结果'!$D$8:$D$217,B16,'逐例结果'!$M$8:$M$217,1)/C16)</x:f>
        <x:v>385.3745630547204</x:v>
      </x:c>
      <x:c r="I16" s="13" t="n">
        <x:f>IF(C16=0,"",SUMIFS('逐例结果'!$J$8:$J$217,'逐例结果'!$A$8:$A$217,A16,'逐例结果'!$D$8:$D$217,B16,'逐例结果'!$M$8:$M$217,1)/C16)</x:f>
        <x:v>354.456945744059</x:v>
      </x:c>
      <x:c r="J16" s="14" t="n">
        <x:f>IF(C16=0,"",SUMIFS('逐例结果'!$L$8:$L$217,'逐例结果'!$A$8:$A$217,A16,'逐例结果'!$D$8:$D$217,B16,'逐例结果'!$M$8:$M$217,1)/C16)</x:f>
        <x:v>0.0805481959136797</x:v>
      </x:c>
      <x:c r="K16" s="15"/>
    </x:row>
    <x:row r="17" ht="24" customHeight="1">
      <x:c r="A17" s="16" t="n">
        <x:v>20</x:v>
      </x:c>
      <x:c r="B17" s="16" t="str">
        <x:v>精确时限可行解</x:v>
      </x:c>
      <x:c r="C17" s="17" t="n">
        <x:f>COUNTIFS('逐例结果'!$A$8:$A$217,A17,'逐例结果'!$D$8:$D$217,B17,'逐例结果'!$M$8:$M$217,1)</x:f>
        <x:v>10</x:v>
      </x:c>
      <x:c r="D17" s="17" t="n">
        <x:v>10</x:v>
      </x:c>
      <x:c r="E17" s="18" t="n">
        <x:f>IF(C17=0,"",SUMIFS('逐例结果'!$E$8:$E$217,'逐例结果'!$A$8:$A$217,A17,'逐例结果'!$D$8:$D$217,B17,'逐例结果'!$M$8:$M$217,1)/C17)</x:f>
        <x:v>482.918822229091</x:v>
      </x:c>
      <x:c r="F17" s="18" t="n">
        <x:f>IF(C17=0,"",SUMIFS('逐例结果'!$F$8:$F$217,'逐例结果'!$A$8:$A$217,A17,'逐例结果'!$D$8:$D$217,B17,'逐例结果'!$M$8:$M$217,1)/C17)</x:f>
        <x:v>434.4133376128637</x:v>
      </x:c>
      <x:c r="G17" s="19" t="n">
        <x:f>IF(C17=0,"",SUMIFS('逐例结果'!$H$8:$H$217,'逐例结果'!$A$8:$A$217,A17,'逐例结果'!$D$8:$D$217,B17,'逐例结果'!$M$8:$M$217,1)/C17)</x:f>
        <x:v>0.08572844170725782</x:v>
      </x:c>
      <x:c r="H17" s="18" t="n">
        <x:f>IF(C17=0,"",SUMIFS('逐例结果'!$I$8:$I$217,'逐例结果'!$A$8:$A$217,A17,'逐例结果'!$D$8:$D$217,B17,'逐例结果'!$M$8:$M$217,1)/C17)</x:f>
        <x:v>539.7149342652981</x:v>
      </x:c>
      <x:c r="I17" s="18" t="n">
        <x:f>IF(C17=0,"",SUMIFS('逐例结果'!$J$8:$J$217,'逐例结果'!$A$8:$A$217,A17,'逐例结果'!$D$8:$D$217,B17,'逐例结果'!$M$8:$M$217,1)/C17)</x:f>
        <x:v>527.1361668394399</x:v>
      </x:c>
      <x:c r="J17" s="19" t="n">
        <x:f>IF(C17=0,"",SUMIFS('逐例结果'!$L$8:$L$217,'逐例结果'!$A$8:$A$217,A17,'逐例结果'!$D$8:$D$217,B17,'逐例结果'!$M$8:$M$217,1)/C17)</x:f>
        <x:v>0.024349908782336328</x:v>
      </x:c>
      <x:c r="K17" s="17" t="n">
        <x:f>SUMIFS('逐例结果'!$N$8:$N$217,'逐例结果'!$A$8:$A$217,A17,'逐例结果'!$D$8:$D$217,B17,'逐例结果'!$M$8:$M$217,1)</x:f>
        <x:v>2</x:v>
      </x:c>
    </x:row>
    <x:row r="18" ht="24" customHeight="1">
      <x:c r="A18" s="2" t="n">
        <x:v>20</x:v>
      </x:c>
      <x:c r="B18" s="2" t="str">
        <x:v>ALNS三种子最好</x:v>
      </x:c>
      <x:c r="C18" s="15" t="n">
        <x:f>COUNTIFS('逐例结果'!$A$8:$A$217,A18,'逐例结果'!$D$8:$D$217,B18,'逐例结果'!$M$8:$M$217,1)</x:f>
        <x:v>10</x:v>
      </x:c>
      <x:c r="D18" s="15" t="n">
        <x:v>10</x:v>
      </x:c>
      <x:c r="E18" s="13" t="n">
        <x:f>IF(C18=0,"",SUMIFS('逐例结果'!$E$8:$E$217,'逐例结果'!$A$8:$A$217,A18,'逐例结果'!$D$8:$D$217,B18,'逐例结果'!$M$8:$M$217,1)/C18)</x:f>
        <x:v>482.9213397213001</x:v>
      </x:c>
      <x:c r="F18" s="13" t="n">
        <x:f>IF(C18=0,"",SUMIFS('逐例结果'!$F$8:$F$217,'逐例结果'!$A$8:$A$217,A18,'逐例结果'!$D$8:$D$217,B18,'逐例结果'!$M$8:$M$217,1)/C18)</x:f>
        <x:v>469.2993533001715</x:v>
      </x:c>
      <x:c r="G18" s="14" t="n">
        <x:f>IF(C18=0,"",SUMIFS('逐例结果'!$H$8:$H$217,'逐例结果'!$A$8:$A$217,A18,'逐例结果'!$D$8:$D$217,B18,'逐例结果'!$M$8:$M$217,1)/C18)</x:f>
        <x:v>0.024686513465744284</x:v>
      </x:c>
      <x:c r="H18" s="13" t="n">
        <x:f>IF(C18=0,"",SUMIFS('逐例结果'!$I$8:$I$217,'逐例结果'!$A$8:$A$217,A18,'逐例结果'!$D$8:$D$217,B18,'逐例结果'!$M$8:$M$217,1)/C18)</x:f>
        <x:v>543.8089680015995</x:v>
      </x:c>
      <x:c r="I18" s="13" t="n">
        <x:f>IF(C18=0,"",SUMIFS('逐例结果'!$J$8:$J$217,'逐例结果'!$A$8:$A$217,A18,'逐例结果'!$D$8:$D$217,B18,'逐例结果'!$M$8:$M$217,1)/C18)</x:f>
        <x:v>514.558577599926</x:v>
      </x:c>
      <x:c r="J18" s="14" t="n">
        <x:f>IF(C18=0,"",SUMIFS('逐例结果'!$L$8:$L$217,'逐例结果'!$A$8:$A$217,A18,'逐例结果'!$D$8:$D$217,B18,'逐例结果'!$M$8:$M$217,1)/C18)</x:f>
        <x:v>0.04354128855450524</x:v>
      </x:c>
      <x:c r="K18" s="15"/>
    </x:row>
    <x:row r="19" ht="24" customHeight="1">
      <x:c r="A19" s="2" t="n">
        <x:v>20</x:v>
      </x:c>
      <x:c r="B19" s="2" t="str">
        <x:v>ALNS三种子均值</x:v>
      </x:c>
      <x:c r="C19" s="15" t="n">
        <x:f>COUNTIFS('逐例结果'!$A$8:$A$217,A19,'逐例结果'!$D$8:$D$217,B19,'逐例结果'!$M$8:$M$217,1)</x:f>
        <x:v>10</x:v>
      </x:c>
      <x:c r="D19" s="15" t="n">
        <x:v>10</x:v>
      </x:c>
      <x:c r="E19" s="13" t="n">
        <x:f>IF(C19=0,"",SUMIFS('逐例结果'!$E$8:$E$217,'逐例结果'!$A$8:$A$217,A19,'逐例结果'!$D$8:$D$217,B19,'逐例结果'!$M$8:$M$217,1)/C19)</x:f>
        <x:v>483.0427017271562</x:v>
      </x:c>
      <x:c r="F19" s="13" t="n">
        <x:f>IF(C19=0,"",SUMIFS('逐例结果'!$F$8:$F$217,'逐例结果'!$A$8:$A$217,A19,'逐例结果'!$D$8:$D$217,B19,'逐例结果'!$M$8:$M$217,1)/C19)</x:f>
        <x:v>471.09197381646084</x:v>
      </x:c>
      <x:c r="G19" s="14" t="n">
        <x:f>IF(C19=0,"",SUMIFS('逐例结果'!$H$8:$H$217,'逐例结果'!$A$8:$A$217,A19,'逐例结果'!$D$8:$D$217,B19,'逐例结果'!$M$8:$M$217,1)/C19)</x:f>
        <x:v>0.021484281222209238</x:v>
      </x:c>
      <x:c r="H19" s="13" t="n">
        <x:f>IF(C19=0,"",SUMIFS('逐例结果'!$I$8:$I$217,'逐例结果'!$A$8:$A$217,A19,'逐例结果'!$D$8:$D$217,B19,'逐例结果'!$M$8:$M$217,1)/C19)</x:f>
        <x:v>546.4088723618472</x:v>
      </x:c>
      <x:c r="I19" s="13" t="n">
        <x:f>IF(C19=0,"",SUMIFS('逐例结果'!$J$8:$J$217,'逐例结果'!$A$8:$A$217,A19,'逐例结果'!$D$8:$D$217,B19,'逐例结果'!$M$8:$M$217,1)/C19)</x:f>
        <x:v>524.9127493511717</x:v>
      </x:c>
      <x:c r="J19" s="14" t="n">
        <x:f>IF(C19=0,"",SUMIFS('逐例结果'!$L$8:$L$217,'逐例结果'!$A$8:$A$217,A19,'逐例结果'!$D$8:$D$217,B19,'逐例结果'!$M$8:$M$217,1)/C19)</x:f>
        <x:v>0.032964133977163364</x:v>
      </x:c>
      <x:c r="K19" s="15"/>
    </x:row>
    <x:row r="20" ht="24" customHeight="1">
      <x:c r="A20" s="16" t="n">
        <x:v>30</x:v>
      </x:c>
      <x:c r="B20" s="16" t="str">
        <x:v>精确时限可行解</x:v>
      </x:c>
      <x:c r="C20" s="17" t="n">
        <x:f>COUNTIFS('逐例结果'!$A$8:$A$217,A20,'逐例结果'!$D$8:$D$217,B20,'逐例结果'!$M$8:$M$217,1)</x:f>
        <x:v>5</x:v>
      </x:c>
      <x:c r="D20" s="17" t="n">
        <x:v>10</x:v>
      </x:c>
      <x:c r="E20" s="18" t="n">
        <x:f>IF(C20=0,"",SUMIFS('逐例结果'!$E$8:$E$217,'逐例结果'!$A$8:$A$217,A20,'逐例结果'!$D$8:$D$217,B20,'逐例结果'!$M$8:$M$217,1)/C20)</x:f>
        <x:v>603.9423420380626</x:v>
      </x:c>
      <x:c r="F20" s="18" t="n">
        <x:f>IF(C20=0,"",SUMIFS('逐例结果'!$F$8:$F$217,'逐例结果'!$A$8:$A$217,A20,'逐例结果'!$D$8:$D$217,B20,'逐例结果'!$M$8:$M$217,1)/C20)</x:f>
        <x:v>595.0101994919085</x:v>
      </x:c>
      <x:c r="G20" s="19" t="n">
        <x:f>IF(C20=0,"",SUMIFS('逐例结果'!$H$8:$H$217,'逐例结果'!$A$8:$A$217,A20,'逐例结果'!$D$8:$D$217,B20,'逐例结果'!$M$8:$M$217,1)/C20)</x:f>
        <x:v>0.014967857958616052</x:v>
      </x:c>
      <x:c r="H20" s="18" t="n">
        <x:f>IF(C20=0,"",SUMIFS('逐例结果'!$I$8:$I$217,'逐例结果'!$A$8:$A$217,A20,'逐例结果'!$D$8:$D$217,B20,'逐例结果'!$M$8:$M$217,1)/C20)</x:f>
        <x:v>753.1618948752548</x:v>
      </x:c>
      <x:c r="I20" s="18" t="n">
        <x:f>IF(C20=0,"",SUMIFS('逐例结果'!$J$8:$J$217,'逐例结果'!$A$8:$A$217,A20,'逐例结果'!$D$8:$D$217,B20,'逐例结果'!$M$8:$M$217,1)/C20)</x:f>
        <x:v>913.708895846136</x:v>
      </x:c>
      <x:c r="J20" s="19" t="n">
        <x:f>IF(C20=0,"",SUMIFS('逐例结果'!$L$8:$L$217,'逐例结果'!$A$8:$A$217,A20,'逐例结果'!$D$8:$D$217,B20,'逐例结果'!$M$8:$M$217,1)/C20)</x:f>
        <x:v>-0.22542771265563216</x:v>
      </x:c>
      <x:c r="K20" s="17" t="n">
        <x:f>SUMIFS('逐例结果'!$N$8:$N$217,'逐例结果'!$A$8:$A$217,A20,'逐例结果'!$D$8:$D$217,B20,'逐例结果'!$M$8:$M$217,1)</x:f>
        <x:v>0</x:v>
      </x:c>
    </x:row>
    <x:row r="21" ht="24" customHeight="1">
      <x:c r="A21" s="2" t="n">
        <x:v>30</x:v>
      </x:c>
      <x:c r="B21" s="2" t="str">
        <x:v>ALNS三种子最好</x:v>
      </x:c>
      <x:c r="C21" s="15" t="n">
        <x:f>COUNTIFS('逐例结果'!$A$8:$A$217,A21,'逐例结果'!$D$8:$D$217,B21,'逐例结果'!$M$8:$M$217,1)</x:f>
        <x:v>10</x:v>
      </x:c>
      <x:c r="D21" s="15" t="n">
        <x:v>10</x:v>
      </x:c>
      <x:c r="E21" s="13" t="n">
        <x:f>IF(C21=0,"",SUMIFS('逐例结果'!$E$8:$E$217,'逐例结果'!$A$8:$A$217,A21,'逐例结果'!$D$8:$D$217,B21,'逐例结果'!$M$8:$M$217,1)/C21)</x:f>
        <x:v>588.4414764135847</x:v>
      </x:c>
      <x:c r="F21" s="13" t="n">
        <x:f>IF(C21=0,"",SUMIFS('逐例结果'!$F$8:$F$217,'逐例结果'!$A$8:$A$217,A21,'逐例结果'!$D$8:$D$217,B21,'逐例结果'!$M$8:$M$217,1)/C21)</x:f>
        <x:v>568.0663198807845</x:v>
      </x:c>
      <x:c r="G21" s="14" t="n">
        <x:f>IF(C21=0,"",SUMIFS('逐例结果'!$H$8:$H$217,'逐例结果'!$A$8:$A$217,A21,'逐例结果'!$D$8:$D$217,B21,'逐例结果'!$M$8:$M$217,1)/C21)</x:f>
        <x:v>0.028017707626210808</x:v>
      </x:c>
      <x:c r="H21" s="13" t="n">
        <x:f>IF(C21=0,"",SUMIFS('逐例结果'!$I$8:$I$217,'逐例结果'!$A$8:$A$217,A21,'逐例结果'!$D$8:$D$217,B21,'逐例结果'!$M$8:$M$217,1)/C21)</x:f>
        <x:v>695.0723722586982</x:v>
      </x:c>
      <x:c r="I21" s="13" t="n">
        <x:f>IF(C21=0,"",SUMIFS('逐例结果'!$J$8:$J$217,'逐例结果'!$A$8:$A$217,A21,'逐例结果'!$D$8:$D$217,B21,'逐例结果'!$M$8:$M$217,1)/C21)</x:f>
        <x:v>644.9573210055125</x:v>
      </x:c>
      <x:c r="J21" s="14" t="n">
        <x:f>IF(C21=0,"",SUMIFS('逐例结果'!$L$8:$L$217,'逐例结果'!$A$8:$A$217,A21,'逐例结果'!$D$8:$D$217,B21,'逐例结果'!$M$8:$M$217,1)/C21)</x:f>
        <x:v>0.06990631988042227</x:v>
      </x:c>
      <x:c r="K21" s="15"/>
    </x:row>
    <x:row r="22" ht="24" customHeight="1">
      <x:c r="A22" s="2" t="n">
        <x:v>30</x:v>
      </x:c>
      <x:c r="B22" s="2" t="str">
        <x:v>ALNS三种子均值</x:v>
      </x:c>
      <x:c r="C22" s="15" t="n">
        <x:f>COUNTIFS('逐例结果'!$A$8:$A$217,A22,'逐例结果'!$D$8:$D$217,B22,'逐例结果'!$M$8:$M$217,1)</x:f>
        <x:v>10</x:v>
      </x:c>
      <x:c r="D22" s="15" t="n">
        <x:v>10</x:v>
      </x:c>
      <x:c r="E22" s="13" t="n">
        <x:f>IF(C22=0,"",SUMIFS('逐例结果'!$E$8:$E$217,'逐例结果'!$A$8:$A$217,A22,'逐例结果'!$D$8:$D$217,B22,'逐例结果'!$M$8:$M$217,1)/C22)</x:f>
        <x:v>591.4664379224016</x:v>
      </x:c>
      <x:c r="F22" s="13" t="n">
        <x:f>IF(C22=0,"",SUMIFS('逐例结果'!$F$8:$F$217,'逐例结果'!$A$8:$A$217,A22,'逐例结果'!$D$8:$D$217,B22,'逐例结果'!$M$8:$M$217,1)/C22)</x:f>
        <x:v>573.8234492445046</x:v>
      </x:c>
      <x:c r="G22" s="14" t="n">
        <x:f>IF(C22=0,"",SUMIFS('逐例结果'!$H$8:$H$217,'逐例结果'!$A$8:$A$217,A22,'逐例结果'!$D$8:$D$217,B22,'逐例结果'!$M$8:$M$217,1)/C22)</x:f>
        <x:v>0.023619384045987936</x:v>
      </x:c>
      <x:c r="H22" s="13" t="n">
        <x:f>IF(C22=0,"",SUMIFS('逐例结果'!$I$8:$I$217,'逐例结果'!$A$8:$A$217,A22,'逐例结果'!$D$8:$D$217,B22,'逐例结果'!$M$8:$M$217,1)/C22)</x:f>
        <x:v>700.9223839959166</x:v>
      </x:c>
      <x:c r="I22" s="13" t="n">
        <x:f>IF(C22=0,"",SUMIFS('逐例结果'!$J$8:$J$217,'逐例结果'!$A$8:$A$217,A22,'逐例结果'!$D$8:$D$217,B22,'逐例结果'!$M$8:$M$217,1)/C22)</x:f>
        <x:v>664.127510873526</x:v>
      </x:c>
      <x:c r="J22" s="14" t="n">
        <x:f>IF(C22=0,"",SUMIFS('逐例结果'!$L$8:$L$217,'逐例结果'!$A$8:$A$217,A22,'逐例结果'!$D$8:$D$217,B22,'逐例结果'!$M$8:$M$217,1)/C22)</x:f>
        <x:v>0.04902719394111353</x:v>
      </x:c>
      <x:c r="K22" s="15"/>
    </x:row>
    <x:row r="23" ht="24" customHeight="1">
      <x:c r="A23" s="16" t="n">
        <x:v>50</x:v>
      </x:c>
      <x:c r="B23" s="16" t="str">
        <x:v>精确时限可行解</x:v>
      </x:c>
      <x:c r="C23" s="17" t="n">
        <x:f>COUNTIFS('逐例结果'!$A$8:$A$217,A23,'逐例结果'!$D$8:$D$217,B23,'逐例结果'!$M$8:$M$217,1)</x:f>
        <x:v>2</x:v>
      </x:c>
      <x:c r="D23" s="17" t="n">
        <x:v>10</x:v>
      </x:c>
      <x:c r="E23" s="18" t="n">
        <x:f>IF(C23=0,"",SUMIFS('逐例结果'!$E$8:$E$217,'逐例结果'!$A$8:$A$217,A23,'逐例结果'!$D$8:$D$217,B23,'逐例结果'!$M$8:$M$217,1)/C23)</x:f>
        <x:v>970.9236528460925</x:v>
      </x:c>
      <x:c r="F23" s="18" t="n">
        <x:f>IF(C23=0,"",SUMIFS('逐例结果'!$F$8:$F$217,'逐例结果'!$A$8:$A$217,A23,'逐例结果'!$D$8:$D$217,B23,'逐例结果'!$M$8:$M$217,1)/C23)</x:f>
        <x:v>1317.361746651273</x:v>
      </x:c>
      <x:c r="G23" s="19" t="n">
        <x:f>IF(C23=0,"",SUMIFS('逐例结果'!$H$8:$H$217,'逐例结果'!$A$8:$A$217,A23,'逐例结果'!$D$8:$D$217,B23,'逐例结果'!$M$8:$M$217,1)/C23)</x:f>
        <x:v>-0.37509944391295164</x:v>
      </x:c>
      <x:c r="H23" s="18" t="n">
        <x:f>IF(C23=0,"",SUMIFS('逐例结果'!$I$8:$I$217,'逐例结果'!$A$8:$A$217,A23,'逐例结果'!$D$8:$D$217,B23,'逐例结果'!$M$8:$M$217,1)/C23)</x:f>
        <x:v>1364.6278697045504</x:v>
      </x:c>
      <x:c r="I23" s="18" t="n">
        <x:f>IF(C23=0,"",SUMIFS('逐例结果'!$J$8:$J$217,'逐例结果'!$A$8:$A$217,A23,'逐例结果'!$D$8:$D$217,B23,'逐例结果'!$M$8:$M$217,1)/C23)</x:f>
        <x:v>1540.4795236705813</x:v>
      </x:c>
      <x:c r="J23" s="19" t="n">
        <x:f>IF(C23=0,"",SUMIFS('逐例结果'!$L$8:$L$217,'逐例结果'!$A$8:$A$217,A23,'逐例结果'!$D$8:$D$217,B23,'逐例结果'!$M$8:$M$217,1)/C23)</x:f>
        <x:v>-0.1229052918186079</x:v>
      </x:c>
      <x:c r="K23" s="17" t="n">
        <x:f>SUMIFS('逐例结果'!$N$8:$N$217,'逐例结果'!$A$8:$A$217,A23,'逐例结果'!$D$8:$D$217,B23,'逐例结果'!$M$8:$M$217,1)</x:f>
        <x:v>0</x:v>
      </x:c>
    </x:row>
    <x:row r="24" ht="24" customHeight="1">
      <x:c r="A24" s="2" t="n">
        <x:v>50</x:v>
      </x:c>
      <x:c r="B24" s="2" t="str">
        <x:v>ALNS三种子最好</x:v>
      </x:c>
      <x:c r="C24" s="15" t="n">
        <x:f>COUNTIFS('逐例结果'!$A$8:$A$217,A24,'逐例结果'!$D$8:$D$217,B24,'逐例结果'!$M$8:$M$217,1)</x:f>
        <x:v>10</x:v>
      </x:c>
      <x:c r="D24" s="15" t="n">
        <x:v>10</x:v>
      </x:c>
      <x:c r="E24" s="13" t="n">
        <x:f>IF(C24=0,"",SUMIFS('逐例结果'!$E$8:$E$217,'逐例结果'!$A$8:$A$217,A24,'逐例结果'!$D$8:$D$217,B24,'逐例结果'!$M$8:$M$217,1)/C24)</x:f>
        <x:v>816.4372731785274</x:v>
      </x:c>
      <x:c r="F24" s="13" t="n">
        <x:f>IF(C24=0,"",SUMIFS('逐例结果'!$F$8:$F$217,'逐例结果'!$A$8:$A$217,A24,'逐例结果'!$D$8:$D$217,B24,'逐例结果'!$M$8:$M$217,1)/C24)</x:f>
        <x:v>771.5076194380606</x:v>
      </x:c>
      <x:c r="G24" s="14" t="n">
        <x:f>IF(C24=0,"",SUMIFS('逐例结果'!$H$8:$H$217,'逐例结果'!$A$8:$A$217,A24,'逐例结果'!$D$8:$D$217,B24,'逐例结果'!$M$8:$M$217,1)/C24)</x:f>
        <x:v>0.05055852146191029</x:v>
      </x:c>
      <x:c r="H24" s="13" t="n">
        <x:f>IF(C24=0,"",SUMIFS('逐例结果'!$I$8:$I$217,'逐例结果'!$A$8:$A$217,A24,'逐例结果'!$D$8:$D$217,B24,'逐例结果'!$M$8:$M$217,1)/C24)</x:f>
        <x:v>966.5050691612626</x:v>
      </x:c>
      <x:c r="I24" s="13" t="n">
        <x:f>IF(C24=0,"",SUMIFS('逐例结果'!$J$8:$J$217,'逐例结果'!$A$8:$A$217,A24,'逐例结果'!$D$8:$D$217,B24,'逐例结果'!$M$8:$M$217,1)/C24)</x:f>
        <x:v>923.7410564884664</x:v>
      </x:c>
      <x:c r="J24" s="14" t="n">
        <x:f>IF(C24=0,"",SUMIFS('逐例结果'!$L$8:$L$217,'逐例结果'!$A$8:$A$217,A24,'逐例结果'!$D$8:$D$217,B24,'逐例结果'!$M$8:$M$217,1)/C24)</x:f>
        <x:v>0.03883994994921151</x:v>
      </x:c>
      <x:c r="K24" s="15"/>
    </x:row>
    <x:row r="25" ht="24" customHeight="1">
      <x:c r="A25" s="2" t="n">
        <x:v>50</x:v>
      </x:c>
      <x:c r="B25" s="2" t="str">
        <x:v>ALNS三种子均值</x:v>
      </x:c>
      <x:c r="C25" s="15" t="n">
        <x:f>COUNTIFS('逐例结果'!$A$8:$A$217,A25,'逐例结果'!$D$8:$D$217,B25,'逐例结果'!$M$8:$M$217,1)</x:f>
        <x:v>10</x:v>
      </x:c>
      <x:c r="D25" s="15" t="n">
        <x:v>10</x:v>
      </x:c>
      <x:c r="E25" s="13" t="n">
        <x:f>IF(C25=0,"",SUMIFS('逐例结果'!$E$8:$E$217,'逐例结果'!$A$8:$A$217,A25,'逐例结果'!$D$8:$D$217,B25,'逐例结果'!$M$8:$M$217,1)/C25)</x:f>
        <x:v>822.7155189631218</x:v>
      </x:c>
      <x:c r="F25" s="13" t="n">
        <x:f>IF(C25=0,"",SUMIFS('逐例结果'!$F$8:$F$217,'逐例结果'!$A$8:$A$217,A25,'逐例结果'!$D$8:$D$217,B25,'逐例结果'!$M$8:$M$217,1)/C25)</x:f>
        <x:v>782.9440469864314</x:v>
      </x:c>
      <x:c r="G25" s="14" t="n">
        <x:f>IF(C25=0,"",SUMIFS('逐例结果'!$H$8:$H$217,'逐例结果'!$A$8:$A$217,A25,'逐例结果'!$D$8:$D$217,B25,'逐例结果'!$M$8:$M$217,1)/C25)</x:f>
        <x:v>0.04446804867578874</x:v>
      </x:c>
      <x:c r="H25" s="13" t="n">
        <x:f>IF(C25=0,"",SUMIFS('逐例结果'!$I$8:$I$217,'逐例结果'!$A$8:$A$217,A25,'逐例结果'!$D$8:$D$217,B25,'逐例结果'!$M$8:$M$217,1)/C25)</x:f>
        <x:v>979.273634186482</x:v>
      </x:c>
      <x:c r="I25" s="13" t="n">
        <x:f>IF(C25=0,"",SUMIFS('逐例结果'!$J$8:$J$217,'逐例结果'!$A$8:$A$217,A25,'逐例结果'!$D$8:$D$217,B25,'逐例结果'!$M$8:$M$217,1)/C25)</x:f>
        <x:v>952.4393778054894</x:v>
      </x:c>
      <x:c r="J25" s="14" t="n">
        <x:f>IF(C25=0,"",SUMIFS('逐例结果'!$L$8:$L$217,'逐例结果'!$A$8:$A$217,A25,'逐例结果'!$D$8:$D$217,B25,'逐例结果'!$M$8:$M$217,1)/C25)</x:f>
        <x:v>0.02313505979535179</x:v>
      </x:c>
      <x:c r="K25" s="15"/>
    </x:row>
    <x:row r="26" ht="24" customHeight="1">
      <x:c r="A26" s="16" t="n">
        <x:v>100</x:v>
      </x:c>
      <x:c r="B26" s="16" t="str">
        <x:v>精确时限可行解</x:v>
      </x:c>
      <x:c r="C26" s="17" t="n">
        <x:f>COUNTIFS('逐例结果'!$A$8:$A$217,A26,'逐例结果'!$D$8:$D$217,B26,'逐例结果'!$M$8:$M$217,1)</x:f>
        <x:v>0</x:v>
      </x:c>
      <x:c r="D26" s="17" t="n">
        <x:v>10</x:v>
      </x:c>
      <x:c r="E26" s="18" t="str">
        <x:f>IF(C26=0,"",SUMIFS('逐例结果'!$E$8:$E$217,'逐例结果'!$A$8:$A$217,A26,'逐例结果'!$D$8:$D$217,B26,'逐例结果'!$M$8:$M$217,1)/C26)</x:f>
      </x:c>
      <x:c r="F26" s="18" t="str">
        <x:f>IF(C26=0,"",SUMIFS('逐例结果'!$F$8:$F$217,'逐例结果'!$A$8:$A$217,A26,'逐例结果'!$D$8:$D$217,B26,'逐例结果'!$M$8:$M$217,1)/C26)</x:f>
      </x:c>
      <x:c r="G26" s="19" t="str">
        <x:f>IF(C26=0,"",SUMIFS('逐例结果'!$H$8:$H$217,'逐例结果'!$A$8:$A$217,A26,'逐例结果'!$D$8:$D$217,B26,'逐例结果'!$M$8:$M$217,1)/C26)</x:f>
      </x:c>
      <x:c r="H26" s="18" t="str">
        <x:f>IF(C26=0,"",SUMIFS('逐例结果'!$I$8:$I$217,'逐例结果'!$A$8:$A$217,A26,'逐例结果'!$D$8:$D$217,B26,'逐例结果'!$M$8:$M$217,1)/C26)</x:f>
      </x:c>
      <x:c r="I26" s="18" t="str">
        <x:f>IF(C26=0,"",SUMIFS('逐例结果'!$J$8:$J$217,'逐例结果'!$A$8:$A$217,A26,'逐例结果'!$D$8:$D$217,B26,'逐例结果'!$M$8:$M$217,1)/C26)</x:f>
      </x:c>
      <x:c r="J26" s="19" t="str">
        <x:f>IF(C26=0,"",SUMIFS('逐例结果'!$L$8:$L$217,'逐例结果'!$A$8:$A$217,A26,'逐例结果'!$D$8:$D$217,B26,'逐例结果'!$M$8:$M$217,1)/C26)</x:f>
      </x:c>
      <x:c r="K26" s="17" t="n">
        <x:f>SUMIFS('逐例结果'!$N$8:$N$217,'逐例结果'!$A$8:$A$217,A26,'逐例结果'!$D$8:$D$217,B26,'逐例结果'!$M$8:$M$217,1)</x:f>
        <x:v>0</x:v>
      </x:c>
    </x:row>
    <x:row r="27" ht="24" customHeight="1">
      <x:c r="A27" s="2" t="n">
        <x:v>100</x:v>
      </x:c>
      <x:c r="B27" s="2" t="str">
        <x:v>ALNS三种子最好</x:v>
      </x:c>
      <x:c r="C27" s="15" t="n">
        <x:f>COUNTIFS('逐例结果'!$A$8:$A$217,A27,'逐例结果'!$D$8:$D$217,B27,'逐例结果'!$M$8:$M$217,1)</x:f>
        <x:v>10</x:v>
      </x:c>
      <x:c r="D27" s="15" t="n">
        <x:v>10</x:v>
      </x:c>
      <x:c r="E27" s="13" t="n">
        <x:f>IF(C27=0,"",SUMIFS('逐例结果'!$E$8:$E$217,'逐例结果'!$A$8:$A$217,A27,'逐例结果'!$D$8:$D$217,B27,'逐例结果'!$M$8:$M$217,1)/C27)</x:f>
        <x:v>1331.500471197532</x:v>
      </x:c>
      <x:c r="F27" s="13" t="n">
        <x:f>IF(C27=0,"",SUMIFS('逐例结果'!$F$8:$F$217,'逐例结果'!$A$8:$A$217,A27,'逐例结果'!$D$8:$D$217,B27,'逐例结果'!$M$8:$M$217,1)/C27)</x:f>
        <x:v>1317.6189946708453</x:v>
      </x:c>
      <x:c r="G27" s="14" t="n">
        <x:f>IF(C27=0,"",SUMIFS('逐例结果'!$H$8:$H$217,'逐例结果'!$A$8:$A$217,A27,'逐例结果'!$D$8:$D$217,B27,'逐例结果'!$M$8:$M$217,1)/C27)</x:f>
        <x:v>0.00645249531767253</x:v>
      </x:c>
      <x:c r="H27" s="13" t="n">
        <x:f>IF(C27=0,"",SUMIFS('逐例结果'!$I$8:$I$217,'逐例结果'!$A$8:$A$217,A27,'逐例结果'!$D$8:$D$217,B27,'逐例结果'!$M$8:$M$217,1)/C27)</x:f>
        <x:v>1653.471177394543</x:v>
      </x:c>
      <x:c r="I27" s="13" t="n">
        <x:f>IF(C27=0,"",SUMIFS('逐例结果'!$J$8:$J$217,'逐例结果'!$A$8:$A$217,A27,'逐例结果'!$D$8:$D$217,B27,'逐例结果'!$M$8:$M$217,1)/C27)</x:f>
        <x:v>1696.7631134987562</x:v>
      </x:c>
      <x:c r="J27" s="14" t="n">
        <x:f>IF(C27=0,"",SUMIFS('逐例结果'!$L$8:$L$217,'逐例结果'!$A$8:$A$217,A27,'逐例结果'!$D$8:$D$217,B27,'逐例结果'!$M$8:$M$217,1)/C27)</x:f>
        <x:v>-0.021391804937037795</x:v>
      </x:c>
      <x:c r="K27" s="15"/>
    </x:row>
    <x:row r="28" ht="24" customHeight="1">
      <x:c r="A28" s="2" t="n">
        <x:v>100</x:v>
      </x:c>
      <x:c r="B28" s="2" t="str">
        <x:v>ALNS三种子均值</x:v>
      </x:c>
      <x:c r="C28" s="15" t="n">
        <x:f>COUNTIFS('逐例结果'!$A$8:$A$217,A28,'逐例结果'!$D$8:$D$217,B28,'逐例结果'!$M$8:$M$217,1)</x:f>
        <x:v>10</x:v>
      </x:c>
      <x:c r="D28" s="15" t="n">
        <x:v>10</x:v>
      </x:c>
      <x:c r="E28" s="13" t="n">
        <x:f>IF(C28=0,"",SUMIFS('逐例结果'!$E$8:$E$217,'逐例结果'!$A$8:$A$217,A28,'逐例结果'!$D$8:$D$217,B28,'逐例结果'!$M$8:$M$217,1)/C28)</x:f>
        <x:v>1359.3259047379024</x:v>
      </x:c>
      <x:c r="F28" s="13" t="n">
        <x:f>IF(C28=0,"",SUMIFS('逐例结果'!$F$8:$F$217,'逐例结果'!$A$8:$A$217,A28,'逐例结果'!$D$8:$D$217,B28,'逐例结果'!$M$8:$M$217,1)/C28)</x:f>
        <x:v>1351.0378217707023</x:v>
      </x:c>
      <x:c r="G28" s="14" t="n">
        <x:f>IF(C28=0,"",SUMIFS('逐例结果'!$H$8:$H$217,'逐例结果'!$A$8:$A$217,A28,'逐例结果'!$D$8:$D$217,B28,'逐例结果'!$M$8:$M$217,1)/C28)</x:f>
        <x:v>0.002061014992114075</x:v>
      </x:c>
      <x:c r="H28" s="13" t="n">
        <x:f>IF(C28=0,"",SUMIFS('逐例结果'!$I$8:$I$217,'逐例结果'!$A$8:$A$217,A28,'逐例结果'!$D$8:$D$217,B28,'逐例结果'!$M$8:$M$217,1)/C28)</x:f>
        <x:v>1725.5861215848677</x:v>
      </x:c>
      <x:c r="I28" s="13" t="n">
        <x:f>IF(C28=0,"",SUMIFS('逐例结果'!$J$8:$J$217,'逐例结果'!$A$8:$A$217,A28,'逐例结果'!$D$8:$D$217,B28,'逐例结果'!$M$8:$M$217,1)/C28)</x:f>
        <x:v>1770.2101677781234</x:v>
      </x:c>
      <x:c r="J28" s="14" t="n">
        <x:f>IF(C28=0,"",SUMIFS('逐例结果'!$L$8:$L$217,'逐例结果'!$A$8:$A$217,A28,'逐例结果'!$D$8:$D$217,B28,'逐例结果'!$M$8:$M$217,1)/C28)</x:f>
        <x:v>-0.023019247129142766</x:v>
      </x:c>
      <x:c r="K28" s="15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3" t="str">
        <x:v>分规模汇总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42" customHeight="1">
      <x:c r="A32" s="8" t="str">
        <x:v>顾客数 / 规模</x:v>
      </x:c>
      <x:c r="B32" s="9" t="str">
        <x:v>求解口径</x:v>
      </x:c>
      <x:c r="C32" s="9" t="str">
        <x:v>共同完整例数</x:v>
      </x:c>
      <x:c r="D32" s="9" t="str">
        <x:v>计划例数</x:v>
      </x:c>
      <x:c r="E32" s="9" t="str">
        <x:v>M1平均距离</x:v>
      </x:c>
      <x:c r="F32" s="9" t="str">
        <x:v>M2平均距离</x:v>
      </x:c>
      <x:c r="G32" s="9" t="str">
        <x:v>M2相对M1降幅</x:v>
      </x:c>
      <x:c r="H32" s="9" t="str">
        <x:v>M3平均距离</x:v>
      </x:c>
      <x:c r="I32" s="9" t="str">
        <x:v>M4平均距离</x:v>
      </x:c>
      <x:c r="J32" s="9" t="str">
        <x:v>M4相对M3降幅</x:v>
      </x:c>
      <x:c r="K32" s="10" t="str">
        <x:v>四模型最优例数</x:v>
      </x:c>
    </x:row>
    <x:row r="33" ht="24" customHeight="1">
      <x:c r="A33" s="16" t="str">
        <x:v>小型</x:v>
      </x:c>
      <x:c r="B33" s="16" t="str">
        <x:v>精确时限可行解</x:v>
      </x:c>
      <x:c r="C33" s="17" t="n">
        <x:f>COUNTIFS('逐例结果'!$B$8:$B$217,A33,'逐例结果'!$D$8:$D$217,B33,'逐例结果'!$M$8:$M$217,1)</x:f>
        <x:v>30</x:v>
      </x:c>
      <x:c r="D33" s="17" t="n">
        <x:v>30</x:v>
      </x:c>
      <x:c r="E33" s="18" t="n">
        <x:f>IF(C33=0,"",SUMIFS('逐例结果'!$E$8:$E$217,'逐例结果'!$B$8:$B$217,A33,'逐例结果'!$D$8:$D$217,B33,'逐例结果'!$M$8:$M$217,1)/C33)</x:f>
        <x:v>308.9817683333149</x:v>
      </x:c>
      <x:c r="F33" s="18" t="n">
        <x:f>IF(C33=0,"",SUMIFS('逐例结果'!$F$8:$F$217,'逐例结果'!$B$8:$B$217,A33,'逐例结果'!$D$8:$D$217,B33,'逐例结果'!$M$8:$M$217,1)/C33)</x:f>
        <x:v>268.284279538479</x:v>
      </x:c>
      <x:c r="G33" s="19" t="n">
        <x:f>IF(C33=0,"",SUMIFS('逐例结果'!$H$8:$H$217,'逐例结果'!$B$8:$B$217,A33,'逐例结果'!$D$8:$D$217,B33,'逐例结果'!$M$8:$M$217,1)/C33)</x:f>
        <x:v>0.1240830328825283</x:v>
      </x:c>
      <x:c r="H33" s="18" t="n">
        <x:f>IF(C33=0,"",SUMIFS('逐例结果'!$I$8:$I$217,'逐例结果'!$B$8:$B$217,A33,'逐例结果'!$D$8:$D$217,B33,'逐例结果'!$M$8:$M$217,1)/C33)</x:f>
        <x:v>333.4187033216452</x:v>
      </x:c>
      <x:c r="I33" s="18" t="n">
        <x:f>IF(C33=0,"",SUMIFS('逐例结果'!$J$8:$J$217,'逐例结果'!$B$8:$B$217,A33,'逐例结果'!$D$8:$D$217,B33,'逐例结果'!$M$8:$M$217,1)/C33)</x:f>
        <x:v>310.3338350974173</x:v>
      </x:c>
      <x:c r="J33" s="19" t="n">
        <x:f>IF(C33=0,"",SUMIFS('逐例结果'!$L$8:$L$217,'逐例结果'!$B$8:$B$217,A33,'逐例结果'!$D$8:$D$217,B33,'逐例结果'!$M$8:$M$217,1)/C33)</x:f>
        <x:v>0.06601881128299186</x:v>
      </x:c>
      <x:c r="K33" s="17" t="n">
        <x:f>SUMIFS('逐例结果'!$N$8:$N$217,'逐例结果'!$B$8:$B$217,A33,'逐例结果'!$D$8:$D$217,B33,'逐例结果'!$M$8:$M$217,1)</x:f>
        <x:v>21</x:v>
      </x:c>
    </x:row>
    <x:row r="34" ht="24" customHeight="1">
      <x:c r="A34" s="2" t="str">
        <x:v>小型</x:v>
      </x:c>
      <x:c r="B34" s="2" t="str">
        <x:v>ALNS三种子最好</x:v>
      </x:c>
      <x:c r="C34" s="15" t="n">
        <x:f>COUNTIFS('逐例结果'!$B$8:$B$217,A34,'逐例结果'!$D$8:$D$217,B34,'逐例结果'!$M$8:$M$217,1)</x:f>
        <x:v>30</x:v>
      </x:c>
      <x:c r="D34" s="15" t="n">
        <x:v>30</x:v>
      </x:c>
      <x:c r="E34" s="13" t="n">
        <x:f>IF(C34=0,"",SUMIFS('逐例结果'!$E$8:$E$217,'逐例结果'!$B$8:$B$217,A34,'逐例结果'!$D$8:$D$217,B34,'逐例结果'!$M$8:$M$217,1)/C34)</x:f>
        <x:v>308.98176833331485</x:v>
      </x:c>
      <x:c r="F34" s="13" t="n">
        <x:f>IF(C34=0,"",SUMIFS('逐例结果'!$F$8:$F$217,'逐例结果'!$B$8:$B$217,A34,'逐例结果'!$D$8:$D$217,B34,'逐例结果'!$M$8:$M$217,1)/C34)</x:f>
        <x:v>295.0997241801469</x:v>
      </x:c>
      <x:c r="G34" s="14" t="n">
        <x:f>IF(C34=0,"",SUMIFS('逐例结果'!$H$8:$H$217,'逐例结果'!$B$8:$B$217,A34,'逐例结果'!$D$8:$D$217,B34,'逐例结果'!$M$8:$M$217,1)/C34)</x:f>
        <x:v>0.044551453945241355</x:v>
      </x:c>
      <x:c r="H34" s="13" t="n">
        <x:f>IF(C34=0,"",SUMIFS('逐例结果'!$I$8:$I$217,'逐例结果'!$B$8:$B$217,A34,'逐例结果'!$D$8:$D$217,B34,'逐例结果'!$M$8:$M$217,1)/C34)</x:f>
        <x:v>333.83129782273744</x:v>
      </x:c>
      <x:c r="I34" s="13" t="n">
        <x:f>IF(C34=0,"",SUMIFS('逐例结果'!$J$8:$J$217,'逐例结果'!$B$8:$B$217,A34,'逐例结果'!$D$8:$D$217,B34,'逐例结果'!$M$8:$M$217,1)/C34)</x:f>
        <x:v>311.8720959514909</x:v>
      </x:c>
      <x:c r="J34" s="14" t="n">
        <x:f>IF(C34=0,"",SUMIFS('逐例结果'!$L$8:$L$217,'逐例结果'!$B$8:$B$217,A34,'逐例结果'!$D$8:$D$217,B34,'逐例结果'!$M$8:$M$217,1)/C34)</x:f>
        <x:v>0.06251336422861437</x:v>
      </x:c>
      <x:c r="K34" s="15"/>
    </x:row>
    <x:row r="35" ht="24" customHeight="1">
      <x:c r="A35" s="2" t="str">
        <x:v>小型</x:v>
      </x:c>
      <x:c r="B35" s="2" t="str">
        <x:v>ALNS三种子均值</x:v>
      </x:c>
      <x:c r="C35" s="15" t="n">
        <x:f>COUNTIFS('逐例结果'!$B$8:$B$217,A35,'逐例结果'!$D$8:$D$217,B35,'逐例结果'!$M$8:$M$217,1)</x:f>
        <x:v>30</x:v>
      </x:c>
      <x:c r="D35" s="15" t="n">
        <x:v>30</x:v>
      </x:c>
      <x:c r="E35" s="13" t="n">
        <x:f>IF(C35=0,"",SUMIFS('逐例结果'!$E$8:$E$217,'逐例结果'!$B$8:$B$217,A35,'逐例结果'!$D$8:$D$217,B35,'逐例结果'!$M$8:$M$217,1)/C35)</x:f>
        <x:v>309.02923285227797</x:v>
      </x:c>
      <x:c r="F35" s="13" t="n">
        <x:f>IF(C35=0,"",SUMIFS('逐例结果'!$F$8:$F$217,'逐例结果'!$B$8:$B$217,A35,'逐例结果'!$D$8:$D$217,B35,'逐例结果'!$M$8:$M$217,1)/C35)</x:f>
        <x:v>299.0103368975542</x:v>
      </x:c>
      <x:c r="G35" s="14" t="n">
        <x:f>IF(C35=0,"",SUMIFS('逐例结果'!$H$8:$H$217,'逐例结果'!$B$8:$B$217,A35,'逐例结果'!$D$8:$D$217,B35,'逐例结果'!$M$8:$M$217,1)/C35)</x:f>
        <x:v>0.03127363182805478</x:v>
      </x:c>
      <x:c r="H35" s="13" t="n">
        <x:f>IF(C35=0,"",SUMIFS('逐例结果'!$I$8:$I$217,'逐例结果'!$B$8:$B$217,A35,'逐例结果'!$D$8:$D$217,B35,'逐例结果'!$M$8:$M$217,1)/C35)</x:f>
        <x:v>334.46203127284963</x:v>
      </x:c>
      <x:c r="I35" s="13" t="n">
        <x:f>IF(C35=0,"",SUMIFS('逐例结果'!$J$8:$J$217,'逐例结果'!$B$8:$B$217,A35,'逐例结果'!$D$8:$D$217,B35,'逐例结果'!$M$8:$M$217,1)/C35)</x:f>
        <x:v>313.04626812472236</x:v>
      </x:c>
      <x:c r="J35" s="14" t="n">
        <x:f>IF(C35=0,"",SUMIFS('逐例结果'!$L$8:$L$217,'逐例结果'!$B$8:$B$217,A35,'逐例结果'!$D$8:$D$217,B35,'逐例结果'!$M$8:$M$217,1)/C35)</x:f>
        <x:v>0.0608283857648309</x:v>
      </x:c>
      <x:c r="K35" s="15"/>
    </x:row>
    <x:row r="36" ht="24" customHeight="1">
      <x:c r="A36" s="16" t="str">
        <x:v>中型</x:v>
      </x:c>
      <x:c r="B36" s="16" t="str">
        <x:v>精确时限可行解</x:v>
      </x:c>
      <x:c r="C36" s="17" t="n">
        <x:f>COUNTIFS('逐例结果'!$B$8:$B$217,A36,'逐例结果'!$D$8:$D$217,B36,'逐例结果'!$M$8:$M$217,1)</x:f>
        <x:v>15</x:v>
      </x:c>
      <x:c r="D36" s="17" t="n">
        <x:v>20</x:v>
      </x:c>
      <x:c r="E36" s="18" t="n">
        <x:f>IF(C36=0,"",SUMIFS('逐例结果'!$E$8:$E$217,'逐例结果'!$B$8:$B$217,A36,'逐例结果'!$D$8:$D$217,B36,'逐例结果'!$M$8:$M$217,1)/C36)</x:f>
        <x:v>523.2599954987483</x:v>
      </x:c>
      <x:c r="F36" s="18" t="n">
        <x:f>IF(C36=0,"",SUMIFS('逐例结果'!$F$8:$F$217,'逐例结果'!$B$8:$B$217,A36,'逐例结果'!$D$8:$D$217,B36,'逐例结果'!$M$8:$M$217,1)/C36)</x:f>
        <x:v>487.9456249058786</x:v>
      </x:c>
      <x:c r="G36" s="19" t="n">
        <x:f>IF(C36=0,"",SUMIFS('逐例结果'!$H$8:$H$217,'逐例结果'!$B$8:$B$217,A36,'逐例结果'!$D$8:$D$217,B36,'逐例结果'!$M$8:$M$217,1)/C36)</x:f>
        <x:v>0.06214158045771057</x:v>
      </x:c>
      <x:c r="H36" s="18" t="n">
        <x:f>IF(C36=0,"",SUMIFS('逐例结果'!$I$8:$I$217,'逐例结果'!$B$8:$B$217,A36,'逐例结果'!$D$8:$D$217,B36,'逐例结果'!$M$8:$M$217,1)/C36)</x:f>
        <x:v>610.8639211352837</x:v>
      </x:c>
      <x:c r="I36" s="18" t="n">
        <x:f>IF(C36=0,"",SUMIFS('逐例结果'!$J$8:$J$217,'逐例结果'!$B$8:$B$217,A36,'逐例结果'!$D$8:$D$217,B36,'逐例结果'!$M$8:$M$217,1)/C36)</x:f>
        <x:v>655.9937431750053</x:v>
      </x:c>
      <x:c r="J36" s="19" t="n">
        <x:f>IF(C36=0,"",SUMIFS('逐例结果'!$L$8:$L$217,'逐例结果'!$B$8:$B$217,A36,'逐例结果'!$D$8:$D$217,B36,'逐例结果'!$M$8:$M$217,1)/C36)</x:f>
        <x:v>-0.05890929836365317</x:v>
      </x:c>
      <x:c r="K36" s="17" t="n">
        <x:f>SUMIFS('逐例结果'!$N$8:$N$217,'逐例结果'!$B$8:$B$217,A36,'逐例结果'!$D$8:$D$217,B36,'逐例结果'!$M$8:$M$217,1)</x:f>
        <x:v>2</x:v>
      </x:c>
    </x:row>
    <x:row r="37" ht="24" customHeight="1">
      <x:c r="A37" s="2" t="str">
        <x:v>中型</x:v>
      </x:c>
      <x:c r="B37" s="2" t="str">
        <x:v>ALNS三种子最好</x:v>
      </x:c>
      <x:c r="C37" s="15" t="n">
        <x:f>COUNTIFS('逐例结果'!$B$8:$B$217,A37,'逐例结果'!$D$8:$D$217,B37,'逐例结果'!$M$8:$M$217,1)</x:f>
        <x:v>20</x:v>
      </x:c>
      <x:c r="D37" s="15" t="n">
        <x:v>20</x:v>
      </x:c>
      <x:c r="E37" s="13" t="n">
        <x:f>IF(C37=0,"",SUMIFS('逐例结果'!$E$8:$E$217,'逐例结果'!$B$8:$B$217,A37,'逐例结果'!$D$8:$D$217,B37,'逐例结果'!$M$8:$M$217,1)/C37)</x:f>
        <x:v>535.6814080674425</x:v>
      </x:c>
      <x:c r="F37" s="13" t="n">
        <x:f>IF(C37=0,"",SUMIFS('逐例结果'!$F$8:$F$217,'逐例结果'!$B$8:$B$217,A37,'逐例结果'!$D$8:$D$217,B37,'逐例结果'!$M$8:$M$217,1)/C37)</x:f>
        <x:v>518.682836590478</x:v>
      </x:c>
      <x:c r="G37" s="14" t="n">
        <x:f>IF(C37=0,"",SUMIFS('逐例结果'!$H$8:$H$217,'逐例结果'!$B$8:$B$217,A37,'逐例结果'!$D$8:$D$217,B37,'逐例结果'!$M$8:$M$217,1)/C37)</x:f>
        <x:v>0.026352110545977553</x:v>
      </x:c>
      <x:c r="H37" s="13" t="n">
        <x:f>IF(C37=0,"",SUMIFS('逐例结果'!$I$8:$I$217,'逐例结果'!$B$8:$B$217,A37,'逐例结果'!$D$8:$D$217,B37,'逐例结果'!$M$8:$M$217,1)/C37)</x:f>
        <x:v>619.440670130149</x:v>
      </x:c>
      <x:c r="I37" s="13" t="n">
        <x:f>IF(C37=0,"",SUMIFS('逐例结果'!$J$8:$J$217,'逐例结果'!$B$8:$B$217,A37,'逐例结果'!$D$8:$D$217,B37,'逐例结果'!$M$8:$M$217,1)/C37)</x:f>
        <x:v>579.7579493027195</x:v>
      </x:c>
      <x:c r="J37" s="14" t="n">
        <x:f>IF(C37=0,"",SUMIFS('逐例结果'!$L$8:$L$217,'逐例结果'!$B$8:$B$217,A37,'逐例结果'!$D$8:$D$217,B37,'逐例结果'!$M$8:$M$217,1)/C37)</x:f>
        <x:v>0.05672380421746377</x:v>
      </x:c>
      <x:c r="K37" s="15"/>
    </x:row>
    <x:row r="38" ht="24" customHeight="1">
      <x:c r="A38" s="2" t="str">
        <x:v>中型</x:v>
      </x:c>
      <x:c r="B38" s="2" t="str">
        <x:v>ALNS三种子均值</x:v>
      </x:c>
      <x:c r="C38" s="15" t="n">
        <x:f>COUNTIFS('逐例结果'!$B$8:$B$217,A38,'逐例结果'!$D$8:$D$217,B38,'逐例结果'!$M$8:$M$217,1)</x:f>
        <x:v>20</x:v>
      </x:c>
      <x:c r="D38" s="15" t="n">
        <x:v>20</x:v>
      </x:c>
      <x:c r="E38" s="13" t="n">
        <x:f>IF(C38=0,"",SUMIFS('逐例结果'!$E$8:$E$217,'逐例结果'!$B$8:$B$217,A38,'逐例结果'!$D$8:$D$217,B38,'逐例结果'!$M$8:$M$217,1)/C38)</x:f>
        <x:v>537.254569824779</x:v>
      </x:c>
      <x:c r="F38" s="13" t="n">
        <x:f>IF(C38=0,"",SUMIFS('逐例结果'!$F$8:$F$217,'逐例结果'!$B$8:$B$217,A38,'逐例结果'!$D$8:$D$217,B38,'逐例结果'!$M$8:$M$217,1)/C38)</x:f>
        <x:v>522.4577115304827</x:v>
      </x:c>
      <x:c r="G38" s="14" t="n">
        <x:f>IF(C38=0,"",SUMIFS('逐例结果'!$H$8:$H$217,'逐例结果'!$B$8:$B$217,A38,'逐例结果'!$D$8:$D$217,B38,'逐例结果'!$M$8:$M$217,1)/C38)</x:f>
        <x:v>0.022551832634098583</x:v>
      </x:c>
      <x:c r="H38" s="13" t="n">
        <x:f>IF(C38=0,"",SUMIFS('逐例结果'!$I$8:$I$217,'逐例结果'!$B$8:$B$217,A38,'逐例结果'!$D$8:$D$217,B38,'逐例结果'!$M$8:$M$217,1)/C38)</x:f>
        <x:v>623.665628178882</x:v>
      </x:c>
      <x:c r="I38" s="13" t="n">
        <x:f>IF(C38=0,"",SUMIFS('逐例结果'!$J$8:$J$217,'逐例结果'!$B$8:$B$217,A38,'逐例结果'!$D$8:$D$217,B38,'逐例结果'!$M$8:$M$217,1)/C38)</x:f>
        <x:v>594.520130112349</x:v>
      </x:c>
      <x:c r="J38" s="14" t="n">
        <x:f>IF(C38=0,"",SUMIFS('逐例结果'!$L$8:$L$217,'逐例结果'!$B$8:$B$217,A38,'逐例结果'!$D$8:$D$217,B38,'逐例结果'!$M$8:$M$217,1)/C38)</x:f>
        <x:v>0.04099566395913844</x:v>
      </x:c>
      <x:c r="K38" s="15"/>
    </x:row>
    <x:row r="39" ht="24" customHeight="1">
      <x:c r="A39" s="16" t="str">
        <x:v>大型</x:v>
      </x:c>
      <x:c r="B39" s="16" t="str">
        <x:v>精确时限可行解</x:v>
      </x:c>
      <x:c r="C39" s="17" t="n">
        <x:f>COUNTIFS('逐例结果'!$B$8:$B$217,A39,'逐例结果'!$D$8:$D$217,B39,'逐例结果'!$M$8:$M$217,1)</x:f>
        <x:v>2</x:v>
      </x:c>
      <x:c r="D39" s="17" t="n">
        <x:v>20</x:v>
      </x:c>
      <x:c r="E39" s="18" t="n">
        <x:f>IF(C39=0,"",SUMIFS('逐例结果'!$E$8:$E$217,'逐例结果'!$B$8:$B$217,A39,'逐例结果'!$D$8:$D$217,B39,'逐例结果'!$M$8:$M$217,1)/C39)</x:f>
        <x:v>970.9236528460925</x:v>
      </x:c>
      <x:c r="F39" s="18" t="n">
        <x:f>IF(C39=0,"",SUMIFS('逐例结果'!$F$8:$F$217,'逐例结果'!$B$8:$B$217,A39,'逐例结果'!$D$8:$D$217,B39,'逐例结果'!$M$8:$M$217,1)/C39)</x:f>
        <x:v>1317.361746651273</x:v>
      </x:c>
      <x:c r="G39" s="19" t="n">
        <x:f>IF(C39=0,"",SUMIFS('逐例结果'!$H$8:$H$217,'逐例结果'!$B$8:$B$217,A39,'逐例结果'!$D$8:$D$217,B39,'逐例结果'!$M$8:$M$217,1)/C39)</x:f>
        <x:v>-0.37509944391295164</x:v>
      </x:c>
      <x:c r="H39" s="18" t="n">
        <x:f>IF(C39=0,"",SUMIFS('逐例结果'!$I$8:$I$217,'逐例结果'!$B$8:$B$217,A39,'逐例结果'!$D$8:$D$217,B39,'逐例结果'!$M$8:$M$217,1)/C39)</x:f>
        <x:v>1364.6278697045504</x:v>
      </x:c>
      <x:c r="I39" s="18" t="n">
        <x:f>IF(C39=0,"",SUMIFS('逐例结果'!$J$8:$J$217,'逐例结果'!$B$8:$B$217,A39,'逐例结果'!$D$8:$D$217,B39,'逐例结果'!$M$8:$M$217,1)/C39)</x:f>
        <x:v>1540.4795236705813</x:v>
      </x:c>
      <x:c r="J39" s="19" t="n">
        <x:f>IF(C39=0,"",SUMIFS('逐例结果'!$L$8:$L$217,'逐例结果'!$B$8:$B$217,A39,'逐例结果'!$D$8:$D$217,B39,'逐例结果'!$M$8:$M$217,1)/C39)</x:f>
        <x:v>-0.1229052918186079</x:v>
      </x:c>
      <x:c r="K39" s="17" t="n">
        <x:f>SUMIFS('逐例结果'!$N$8:$N$217,'逐例结果'!$B$8:$B$217,A39,'逐例结果'!$D$8:$D$217,B39,'逐例结果'!$M$8:$M$217,1)</x:f>
        <x:v>0</x:v>
      </x:c>
    </x:row>
    <x:row r="40" ht="24" customHeight="1">
      <x:c r="A40" s="2" t="str">
        <x:v>大型</x:v>
      </x:c>
      <x:c r="B40" s="2" t="str">
        <x:v>ALNS三种子最好</x:v>
      </x:c>
      <x:c r="C40" s="15" t="n">
        <x:f>COUNTIFS('逐例结果'!$B$8:$B$217,A40,'逐例结果'!$D$8:$D$217,B40,'逐例结果'!$M$8:$M$217,1)</x:f>
        <x:v>20</x:v>
      </x:c>
      <x:c r="D40" s="15" t="n">
        <x:v>20</x:v>
      </x:c>
      <x:c r="E40" s="13" t="n">
        <x:f>IF(C40=0,"",SUMIFS('逐例结果'!$E$8:$E$217,'逐例结果'!$B$8:$B$217,A40,'逐例结果'!$D$8:$D$217,B40,'逐例结果'!$M$8:$M$217,1)/C40)</x:f>
        <x:v>1073.9688721880293</x:v>
      </x:c>
      <x:c r="F40" s="13" t="n">
        <x:f>IF(C40=0,"",SUMIFS('逐例结果'!$F$8:$F$217,'逐例结果'!$B$8:$B$217,A40,'逐例结果'!$D$8:$D$217,B40,'逐例结果'!$M$8:$M$217,1)/C40)</x:f>
        <x:v>1044.563307054453</x:v>
      </x:c>
      <x:c r="G40" s="14" t="n">
        <x:f>IF(C40=0,"",SUMIFS('逐例结果'!$H$8:$H$217,'逐例结果'!$B$8:$B$217,A40,'逐例结果'!$D$8:$D$217,B40,'逐例结果'!$M$8:$M$217,1)/C40)</x:f>
        <x:v>0.028505508389791413</x:v>
      </x:c>
      <x:c r="H40" s="13" t="n">
        <x:f>IF(C40=0,"",SUMIFS('逐例结果'!$I$8:$I$217,'逐例结果'!$B$8:$B$217,A40,'逐例结果'!$D$8:$D$217,B40,'逐例结果'!$M$8:$M$217,1)/C40)</x:f>
        <x:v>1309.9881232779028</x:v>
      </x:c>
      <x:c r="I40" s="13" t="n">
        <x:f>IF(C40=0,"",SUMIFS('逐例结果'!$J$8:$J$217,'逐例结果'!$B$8:$B$217,A40,'逐例结果'!$D$8:$D$217,B40,'逐例结果'!$M$8:$M$217,1)/C40)</x:f>
        <x:v>1310.2520849936113</x:v>
      </x:c>
      <x:c r="J40" s="14" t="n">
        <x:f>IF(C40=0,"",SUMIFS('逐例结果'!$L$8:$L$217,'逐例结果'!$B$8:$B$217,A40,'逐例结果'!$D$8:$D$217,B40,'逐例结果'!$M$8:$M$217,1)/C40)</x:f>
        <x:v>0.008724072506086856</x:v>
      </x:c>
      <x:c r="K40" s="15"/>
    </x:row>
    <x:row r="41" ht="24" customHeight="1">
      <x:c r="A41" s="2" t="str">
        <x:v>大型</x:v>
      </x:c>
      <x:c r="B41" s="2" t="str">
        <x:v>ALNS三种子均值</x:v>
      </x:c>
      <x:c r="C41" s="15" t="n">
        <x:f>COUNTIFS('逐例结果'!$B$8:$B$217,A41,'逐例结果'!$D$8:$D$217,B41,'逐例结果'!$M$8:$M$217,1)</x:f>
        <x:v>20</x:v>
      </x:c>
      <x:c r="D41" s="15" t="n">
        <x:v>20</x:v>
      </x:c>
      <x:c r="E41" s="13" t="n">
        <x:f>IF(C41=0,"",SUMIFS('逐例结果'!$E$8:$E$217,'逐例结果'!$B$8:$B$217,A41,'逐例结果'!$D$8:$D$217,B41,'逐例结果'!$M$8:$M$217,1)/C41)</x:f>
        <x:v>1091.020711850512</x:v>
      </x:c>
      <x:c r="F41" s="13" t="n">
        <x:f>IF(C41=0,"",SUMIFS('逐例结果'!$F$8:$F$217,'逐例结果'!$B$8:$B$217,A41,'逐例结果'!$D$8:$D$217,B41,'逐例结果'!$M$8:$M$217,1)/C41)</x:f>
        <x:v>1066.9909343785669</x:v>
      </x:c>
      <x:c r="G41" s="14" t="n">
        <x:f>IF(C41=0,"",SUMIFS('逐例结果'!$H$8:$H$217,'逐例结果'!$B$8:$B$217,A41,'逐例结果'!$D$8:$D$217,B41,'逐例结果'!$M$8:$M$217,1)/C41)</x:f>
        <x:v>0.02326453183395141</x:v>
      </x:c>
      <x:c r="H41" s="13" t="n">
        <x:f>IF(C41=0,"",SUMIFS('逐例结果'!$I$8:$I$217,'逐例结果'!$B$8:$B$217,A41,'逐例结果'!$D$8:$D$217,B41,'逐例结果'!$M$8:$M$217,1)/C41)</x:f>
        <x:v>1352.4298778856748</x:v>
      </x:c>
      <x:c r="I41" s="13" t="n">
        <x:f>IF(C41=0,"",SUMIFS('逐例结果'!$J$8:$J$217,'逐例结果'!$B$8:$B$217,A41,'逐例结果'!$D$8:$D$217,B41,'逐例结果'!$M$8:$M$217,1)/C41)</x:f>
        <x:v>1361.3247727918063</x:v>
      </x:c>
      <x:c r="J41" s="14" t="n">
        <x:f>IF(C41=0,"",SUMIFS('逐例结果'!$L$8:$L$217,'逐例结果'!$B$8:$B$217,A41,'逐例结果'!$D$8:$D$217,B41,'逐例结果'!$M$8:$M$217,1)/C41)</x:f>
        <x:v>0.00005790633310451473</x:v>
      </x:c>
      <x:c r="K41" s="15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</x:sheetData>
  <x:conditionalFormatting sqref="G8:G28">
    <x:cfRule type="cellIs" dxfId="4" priority="1" operator="greaterThan">
      <x:formula>0</x:formula>
    </x:cfRule>
    <x:cfRule type="cellIs" dxfId="5" priority="2" operator="lessThan">
      <x:formula>0</x:formula>
    </x:cfRule>
  </x:conditionalFormatting>
  <x:conditionalFormatting sqref="J8:J28">
    <x:cfRule type="cellIs" dxfId="6" priority="3" operator="greaterThan">
      <x:formula>0</x:formula>
    </x:cfRule>
    <x:cfRule type="cellIs" dxfId="7" priority="4" operator="lessThan">
      <x:formula>0</x:formula>
    </x:cfRule>
  </x:conditionalFormatting>
  <x:conditionalFormatting sqref="G33:G41">
    <x:cfRule type="cellIs" dxfId="8" priority="5" operator="greaterThan">
      <x:formula>0</x:formula>
    </x:cfRule>
    <x:cfRule type="cellIs" dxfId="9" priority="6" operator="lessThan">
      <x:formula>0</x:formula>
    </x:cfRule>
  </x:conditionalFormatting>
  <x:conditionalFormatting sqref="J33:J41">
    <x:cfRule type="cellIs" dxfId="10" priority="7" operator="greaterThan">
      <x:formula>0</x:formula>
    </x:cfRule>
    <x:cfRule type="cellIs" dxfId="11" priority="8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53" hidden="0" customWidth="1"/>
    <x:col min="4" max="4" width="24" hidden="0" customWidth="1"/>
    <x:col min="5" max="5" width="16" hidden="0" customWidth="1"/>
    <x:col min="6" max="6" width="16" hidden="0" customWidth="1"/>
    <x:col min="7" max="7" width="17" hidden="0" customWidth="1"/>
    <x:col min="8" max="8" width="19" hidden="0" customWidth="1"/>
    <x:col min="9" max="9" width="16" hidden="0" customWidth="1"/>
    <x:col min="10" max="10" width="16" hidden="0" customWidth="1"/>
    <x:col min="11" max="11" width="17" hidden="0" customWidth="1"/>
    <x:col min="12" max="12" width="19" hidden="0" customWidth="1"/>
    <x:col min="13" max="13" width="14" hidden="0" customWidth="1"/>
    <x:col min="14" max="14" width="14" hidden="0" customWidth="1"/>
    <x:col min="15" max="15" width="29" hidden="0" customWidth="1"/>
    <x:col min="16" max="16" width="29" hidden="0" customWidth="1"/>
    <x:col min="17" max="17" width="29" hidden="0" customWidth="1"/>
    <x:col min="18" max="18" width="2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逐例模型对比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2" t="str">
        <x:v>更新时间</x:v>
      </x:c>
      <x:c r="B3" s="2" t="str">
        <x:v>2026-10-04 18:13:46</x:v>
      </x:c>
      <x:c r="C3" s="2"/>
      <x:c r="D3" s="2"/>
      <x:c r="E3" s="2" t="str">
        <x:v>实验进度</x:v>
      </x:c>
      <x:c r="F3" s="2" t="str">
        <x:v>1120/1120</x:v>
      </x:c>
      <x:c r="G3" s="2"/>
      <x:c r="H3" s="2"/>
      <x:c r="I3" s="2" t="str">
        <x:v>已全部完成</x:v>
      </x:c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 t="str">
        <x:v>来源</x:v>
      </x:c>
      <x:c r="B4" s="2" t="str">
        <x:v>本次70例冻结实验，独立审计与周期重放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A5" s="2" t="str">
        <x:v>口径</x:v>
      </x:c>
      <x:c r="B5" s="2" t="str">
        <x:v>空白表示尚未完成或无可比解；距离沿用输入单位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42" customHeight="1">
      <x:c r="A7" s="8" t="str">
        <x:v>顾客数</x:v>
      </x:c>
      <x:c r="B7" s="9" t="str">
        <x:v>规模</x:v>
      </x:c>
      <x:c r="C7" s="9" t="str">
        <x:v>案例</x:v>
      </x:c>
      <x:c r="D7" s="9" t="str">
        <x:v>求解口径</x:v>
      </x:c>
      <x:c r="E7" s="9" t="str">
        <x:v>M1距离</x:v>
      </x:c>
      <x:c r="F7" s="9" t="str">
        <x:v>M2距离</x:v>
      </x:c>
      <x:c r="G7" s="9" t="str">
        <x:v>M2减少距离</x:v>
      </x:c>
      <x:c r="H7" s="9" t="str">
        <x:v>M2相对M1降幅</x:v>
      </x:c>
      <x:c r="I7" s="9" t="str">
        <x:v>M3距离</x:v>
      </x:c>
      <x:c r="J7" s="9" t="str">
        <x:v>M4距离</x:v>
      </x:c>
      <x:c r="K7" s="9" t="str">
        <x:v>M4减少距离</x:v>
      </x:c>
      <x:c r="L7" s="9" t="str">
        <x:v>M4相对M3降幅</x:v>
      </x:c>
      <x:c r="M7" s="9" t="str">
        <x:v>四模型齐全</x:v>
      </x:c>
      <x:c r="N7" s="9" t="str">
        <x:v>均已证最优</x:v>
      </x:c>
      <x:c r="O7" s="9" t="str">
        <x:v>M1状态</x:v>
      </x:c>
      <x:c r="P7" s="9" t="str">
        <x:v>M2状态</x:v>
      </x:c>
      <x:c r="Q7" s="9" t="str">
        <x:v>M3状态</x:v>
      </x:c>
      <x:c r="R7" s="10" t="str">
        <x:v>M4状态</x:v>
      </x:c>
    </x:row>
    <x:row r="8" ht="24" customHeight="1">
      <x:c r="A8" s="2" t="n">
        <x:v>7</x:v>
      </x:c>
      <x:c r="B8" s="2" t="str">
        <x:v>小型</x:v>
      </x:c>
      <x:c r="C8" s="2" t="str">
        <x:v>zhou_Set1_7-2-1_b1</x:v>
      </x:c>
      <x:c r="D8" s="2" t="str">
        <x:v>精确时限可行解</x:v>
      </x:c>
      <x:c r="E8" s="13" t="n">
        <x:v>325.9232425779156</x:v>
      </x:c>
      <x:c r="F8" s="13" t="n">
        <x:v>269.03141280674146</x:v>
      </x:c>
      <x:c r="G8" s="13" t="n">
        <x:f>IF(AND(ISNUMBER(E8),ISNUMBER(F8),E8&gt;0),E8-F8,"")</x:f>
        <x:v>56.891829771174116</x:v>
      </x:c>
      <x:c r="H8" s="14" t="n">
        <x:f>IF(ISNUMBER(G8),G8/E8,"")</x:f>
        <x:v>0.17455591482578445</x:v>
      </x:c>
      <x:c r="I8" s="13" t="n">
        <x:v>326.3311617007448</x:v>
      </x:c>
      <x:c r="J8" s="13" t="n">
        <x:v>311.4061100407972</x:v>
      </x:c>
      <x:c r="K8" s="13" t="n">
        <x:f>IF(AND(ISNUMBER(I8),ISNUMBER(J8),I8&gt;0),I8-J8,"")</x:f>
        <x:v>14.925051659947599</x:v>
      </x:c>
      <x:c r="L8" s="14" t="n">
        <x:f>IF(ISNUMBER(K8),K8/I8,"")</x:f>
        <x:v>0.0457359069914209</x:v>
      </x:c>
      <x:c r="M8" s="15" t="n">
        <x:f>IF(AND(ISNUMBER(E8),ISNUMBER(F8),ISNUMBER(I8),ISNUMBER(J8)),1,0)</x:f>
        <x:v>1</x:v>
      </x:c>
      <x:c r="N8" s="15" t="n">
        <x:v>1</x:v>
      </x:c>
      <x:c r="O8" s="2" t="str">
        <x:v>已证最优</x:v>
      </x:c>
      <x:c r="P8" s="2" t="str">
        <x:v>已证最优</x:v>
      </x:c>
      <x:c r="Q8" s="2" t="str">
        <x:v>已证最优</x:v>
      </x:c>
      <x:c r="R8" s="2" t="str">
        <x:v>已证最优</x:v>
      </x:c>
    </x:row>
    <x:row r="9" ht="24" customHeight="1">
      <x:c r="A9" s="2" t="n">
        <x:v>7</x:v>
      </x:c>
      <x:c r="B9" s="2" t="str">
        <x:v>小型</x:v>
      </x:c>
      <x:c r="C9" s="2" t="str">
        <x:v>zhou_Set1_7-2-1_b1</x:v>
      </x:c>
      <x:c r="D9" s="2" t="str">
        <x:v>ALNS三种子最好</x:v>
      </x:c>
      <x:c r="E9" s="13" t="n">
        <x:v>325.9232425779155</x:v>
      </x:c>
      <x:c r="F9" s="13" t="n">
        <x:v>302.5493181770922</x:v>
      </x:c>
      <x:c r="G9" s="13" t="n">
        <x:f>IF(AND(ISNUMBER(E9),ISNUMBER(F9),E9&gt;0),E9-F9,"")</x:f>
        <x:v>23.37392440082334</x:v>
      </x:c>
      <x:c r="H9" s="14" t="n">
        <x:f>IF(ISNUMBER(G9),G9/E9,"")</x:f>
        <x:v>0.07171604030429204</x:v>
      </x:c>
      <x:c r="I9" s="13" t="n">
        <x:v>326.3311617007448</x:v>
      </x:c>
      <x:c r="J9" s="13" t="n">
        <x:v>311.4061100407972</x:v>
      </x:c>
      <x:c r="K9" s="13" t="n">
        <x:f>IF(AND(ISNUMBER(I9),ISNUMBER(J9),I9&gt;0),I9-J9,"")</x:f>
        <x:v>14.925051659947599</x:v>
      </x:c>
      <x:c r="L9" s="14" t="n">
        <x:f>IF(ISNUMBER(K9),K9/I9,"")</x:f>
        <x:v>0.0457359069914209</x:v>
      </x:c>
      <x:c r="M9" s="15" t="n">
        <x:f>IF(AND(ISNUMBER(E9),ISNUMBER(F9),ISNUMBER(I9),ISNUMBER(J9)),1,0)</x:f>
        <x:v>1</x:v>
      </x:c>
      <x:c r="N9" s="15" t="n">
        <x:v>0</x:v>
      </x:c>
      <x:c r="O9" s="2" t="str">
        <x:v>3/3种子均可行</x:v>
      </x:c>
      <x:c r="P9" s="2" t="str">
        <x:v>3/3种子均可行</x:v>
      </x:c>
      <x:c r="Q9" s="2" t="str">
        <x:v>3/3种子均可行</x:v>
      </x:c>
      <x:c r="R9" s="2" t="str">
        <x:v>3/3种子均可行</x:v>
      </x:c>
    </x:row>
    <x:row r="10" ht="24" customHeight="1">
      <x:c r="A10" s="2" t="n">
        <x:v>7</x:v>
      </x:c>
      <x:c r="B10" s="2" t="str">
        <x:v>小型</x:v>
      </x:c>
      <x:c r="C10" s="2" t="str">
        <x:v>zhou_Set1_7-2-1_b1</x:v>
      </x:c>
      <x:c r="D10" s="2" t="str">
        <x:v>ALNS三种子均值</x:v>
      </x:c>
      <x:c r="E10" s="13" t="n">
        <x:v>325.9232425779155</x:v>
      </x:c>
      <x:c r="F10" s="13" t="n">
        <x:v>303.5031832391932</x:v>
      </x:c>
      <x:c r="G10" s="13" t="n">
        <x:f>IF(AND(ISNUMBER(E10),ISNUMBER(F10),E10&gt;0),E10-F10,"")</x:f>
        <x:v>22.420059338722297</x:v>
      </x:c>
      <x:c r="H10" s="14" t="n">
        <x:f>IF(ISNUMBER(G10),G10/E10,"")</x:f>
        <x:v>0.06878938476860096</x:v>
      </x:c>
      <x:c r="I10" s="13" t="n">
        <x:v>326.3311617007448</x:v>
      </x:c>
      <x:c r="J10" s="13" t="n">
        <x:v>313.591468483501</x:v>
      </x:c>
      <x:c r="K10" s="13" t="n">
        <x:f>IF(AND(ISNUMBER(I10),ISNUMBER(J10),I10&gt;0),I10-J10,"")</x:f>
        <x:v>12.739693217243826</x:v>
      </x:c>
      <x:c r="L10" s="14" t="n">
        <x:f>IF(ISNUMBER(K10),K10/I10,"")</x:f>
        <x:v>0.03903915626950299</x:v>
      </x:c>
      <x:c r="M10" s="15" t="n">
        <x:f>IF(AND(ISNUMBER(E10),ISNUMBER(F10),ISNUMBER(I10),ISNUMBER(J10)),1,0)</x:f>
        <x:v>1</x:v>
      </x:c>
      <x:c r="N10" s="15" t="n">
        <x:v>0</x:v>
      </x:c>
      <x:c r="O10" s="2" t="str">
        <x:v>3/3种子均可行</x:v>
      </x:c>
      <x:c r="P10" s="2" t="str">
        <x:v>3/3种子均可行</x:v>
      </x:c>
      <x:c r="Q10" s="2" t="str">
        <x:v>3/3种子均可行</x:v>
      </x:c>
      <x:c r="R10" s="2" t="str">
        <x:v>3/3种子均可行</x:v>
      </x:c>
    </x:row>
    <x:row r="11" ht="24" customHeight="1">
      <x:c r="A11" s="2" t="n">
        <x:v>7</x:v>
      </x:c>
      <x:c r="B11" s="2" t="str">
        <x:v>小型</x:v>
      </x:c>
      <x:c r="C11" s="2" t="str">
        <x:v>zhou_Set1_7-2-1_scenario02_b1</x:v>
      </x:c>
      <x:c r="D11" s="2" t="str">
        <x:v>精确时限可行解</x:v>
      </x:c>
      <x:c r="E11" s="13" t="n">
        <x:v>325.9232425779156</x:v>
      </x:c>
      <x:c r="F11" s="13" t="n">
        <x:v>269.03141280674146</x:v>
      </x:c>
      <x:c r="G11" s="13" t="n">
        <x:f>IF(AND(ISNUMBER(E11),ISNUMBER(F11),E11&gt;0),E11-F11,"")</x:f>
        <x:v>56.891829771174116</x:v>
      </x:c>
      <x:c r="H11" s="14" t="n">
        <x:f>IF(ISNUMBER(G11),G11/E11,"")</x:f>
        <x:v>0.17455591482578445</x:v>
      </x:c>
      <x:c r="I11" s="13" t="n">
        <x:v>326.3311617007448</x:v>
      </x:c>
      <x:c r="J11" s="13" t="n">
        <x:v>311.40611004079716</x:v>
      </x:c>
      <x:c r="K11" s="13" t="n">
        <x:f>IF(AND(ISNUMBER(I11),ISNUMBER(J11),I11&gt;0),I11-J11,"")</x:f>
        <x:v>14.925051659947655</x:v>
      </x:c>
      <x:c r="L11" s="14" t="n">
        <x:f>IF(ISNUMBER(K11),K11/I11,"")</x:f>
        <x:v>0.04573590699142107</x:v>
      </x:c>
      <x:c r="M11" s="15" t="n">
        <x:f>IF(AND(ISNUMBER(E11),ISNUMBER(F11),ISNUMBER(I11),ISNUMBER(J11)),1,0)</x:f>
        <x:v>1</x:v>
      </x:c>
      <x:c r="N11" s="15" t="n">
        <x:v>1</x:v>
      </x:c>
      <x:c r="O11" s="2" t="str">
        <x:v>已证最优</x:v>
      </x:c>
      <x:c r="P11" s="2" t="str">
        <x:v>已证最优</x:v>
      </x:c>
      <x:c r="Q11" s="2" t="str">
        <x:v>已证最优</x:v>
      </x:c>
      <x:c r="R11" s="2" t="str">
        <x:v>已证最优</x:v>
      </x:c>
    </x:row>
    <x:row r="12" ht="24" customHeight="1">
      <x:c r="A12" s="2" t="n">
        <x:v>7</x:v>
      </x:c>
      <x:c r="B12" s="2" t="str">
        <x:v>小型</x:v>
      </x:c>
      <x:c r="C12" s="2" t="str">
        <x:v>zhou_Set1_7-2-1_scenario02_b1</x:v>
      </x:c>
      <x:c r="D12" s="2" t="str">
        <x:v>ALNS三种子最好</x:v>
      </x:c>
      <x:c r="E12" s="13" t="n">
        <x:v>325.9232425779155</x:v>
      </x:c>
      <x:c r="F12" s="13" t="n">
        <x:v>302.5493181770922</x:v>
      </x:c>
      <x:c r="G12" s="13" t="n">
        <x:f>IF(AND(ISNUMBER(E12),ISNUMBER(F12),E12&gt;0),E12-F12,"")</x:f>
        <x:v>23.37392440082334</x:v>
      </x:c>
      <x:c r="H12" s="14" t="n">
        <x:f>IF(ISNUMBER(G12),G12/E12,"")</x:f>
        <x:v>0.07171604030429204</x:v>
      </x:c>
      <x:c r="I12" s="13" t="n">
        <x:v>326.3311617007448</x:v>
      </x:c>
      <x:c r="J12" s="13" t="n">
        <x:v>311.4061100407972</x:v>
      </x:c>
      <x:c r="K12" s="13" t="n">
        <x:f>IF(AND(ISNUMBER(I12),ISNUMBER(J12),I12&gt;0),I12-J12,"")</x:f>
        <x:v>14.925051659947599</x:v>
      </x:c>
      <x:c r="L12" s="14" t="n">
        <x:f>IF(ISNUMBER(K12),K12/I12,"")</x:f>
        <x:v>0.0457359069914209</x:v>
      </x:c>
      <x:c r="M12" s="15" t="n">
        <x:f>IF(AND(ISNUMBER(E12),ISNUMBER(F12),ISNUMBER(I12),ISNUMBER(J12)),1,0)</x:f>
        <x:v>1</x:v>
      </x:c>
      <x:c r="N12" s="15" t="n">
        <x:v>0</x:v>
      </x:c>
      <x:c r="O12" s="2" t="str">
        <x:v>3/3种子均可行</x:v>
      </x:c>
      <x:c r="P12" s="2" t="str">
        <x:v>3/3种子均可行</x:v>
      </x:c>
      <x:c r="Q12" s="2" t="str">
        <x:v>3/3种子均可行</x:v>
      </x:c>
      <x:c r="R12" s="2" t="str">
        <x:v>3/3种子均可行</x:v>
      </x:c>
    </x:row>
    <x:row r="13" ht="24" customHeight="1">
      <x:c r="A13" s="2" t="n">
        <x:v>7</x:v>
      </x:c>
      <x:c r="B13" s="2" t="str">
        <x:v>小型</x:v>
      </x:c>
      <x:c r="C13" s="2" t="str">
        <x:v>zhou_Set1_7-2-1_scenario02_b1</x:v>
      </x:c>
      <x:c r="D13" s="2" t="str">
        <x:v>ALNS三种子均值</x:v>
      </x:c>
      <x:c r="E13" s="13" t="n">
        <x:v>325.9232425779155</x:v>
      </x:c>
      <x:c r="F13" s="13" t="n">
        <x:v>303.5031832391932</x:v>
      </x:c>
      <x:c r="G13" s="13" t="n">
        <x:f>IF(AND(ISNUMBER(E13),ISNUMBER(F13),E13&gt;0),E13-F13,"")</x:f>
        <x:v>22.420059338722297</x:v>
      </x:c>
      <x:c r="H13" s="14" t="n">
        <x:f>IF(ISNUMBER(G13),G13/E13,"")</x:f>
        <x:v>0.06878938476860096</x:v>
      </x:c>
      <x:c r="I13" s="13" t="n">
        <x:v>326.3311617007448</x:v>
      </x:c>
      <x:c r="J13" s="13" t="n">
        <x:v>317.6067045255337</x:v>
      </x:c>
      <x:c r="K13" s="13" t="n">
        <x:f>IF(AND(ISNUMBER(I13),ISNUMBER(J13),I13&gt;0),I13-J13,"")</x:f>
        <x:v>8.724457175211114</x:v>
      </x:c>
      <x:c r="L13" s="14" t="n">
        <x:f>IF(ISNUMBER(K13),K13/I13,"")</x:f>
        <x:v>0.026734980287330623</x:v>
      </x:c>
      <x:c r="M13" s="15" t="n">
        <x:f>IF(AND(ISNUMBER(E13),ISNUMBER(F13),ISNUMBER(I13),ISNUMBER(J13)),1,0)</x:f>
        <x:v>1</x:v>
      </x:c>
      <x:c r="N13" s="15" t="n">
        <x:v>0</x:v>
      </x:c>
      <x:c r="O13" s="2" t="str">
        <x:v>3/3种子均可行</x:v>
      </x:c>
      <x:c r="P13" s="2" t="str">
        <x:v>3/3种子均可行</x:v>
      </x:c>
      <x:c r="Q13" s="2" t="str">
        <x:v>3/3种子均可行</x:v>
      </x:c>
      <x:c r="R13" s="2" t="str">
        <x:v>3/3种子均可行</x:v>
      </x:c>
    </x:row>
    <x:row r="14" ht="24" customHeight="1">
      <x:c r="A14" s="2" t="n">
        <x:v>7</x:v>
      </x:c>
      <x:c r="B14" s="2" t="str">
        <x:v>小型</x:v>
      </x:c>
      <x:c r="C14" s="2" t="str">
        <x:v>zhou_Set1_7-2-1b_b1</x:v>
      </x:c>
      <x:c r="D14" s="2" t="str">
        <x:v>精确时限可行解</x:v>
      </x:c>
      <x:c r="E14" s="13" t="n">
        <x:v>278.7362596459202</x:v>
      </x:c>
      <x:c r="F14" s="13" t="n">
        <x:v>270.8523983388087</x:v>
      </x:c>
      <x:c r="G14" s="13" t="n">
        <x:f>IF(AND(ISNUMBER(E14),ISNUMBER(F14),E14&gt;0),E14-F14,"")</x:f>
        <x:v>7.883861307111488</x:v>
      </x:c>
      <x:c r="H14" s="14" t="n">
        <x:f>IF(ISNUMBER(G14),G14/E14,"")</x:f>
        <x:v>0.02828430472994934</x:v>
      </x:c>
      <x:c r="I14" s="13" t="n">
        <x:v>285.13370058028283</x:v>
      </x:c>
      <x:c r="J14" s="13" t="n">
        <x:v>285.13370058028283</x:v>
      </x:c>
      <x:c r="K14" s="13" t="n">
        <x:f>IF(AND(ISNUMBER(I14),ISNUMBER(J14),I14&gt;0),I14-J14,"")</x:f>
        <x:v>0</x:v>
      </x:c>
      <x:c r="L14" s="14" t="n">
        <x:f>IF(ISNUMBER(K14),K14/I14,"")</x:f>
        <x:v>0</x:v>
      </x:c>
      <x:c r="M14" s="15" t="n">
        <x:f>IF(AND(ISNUMBER(E14),ISNUMBER(F14),ISNUMBER(I14),ISNUMBER(J14)),1,0)</x:f>
        <x:v>1</x:v>
      </x:c>
      <x:c r="N14" s="15" t="n">
        <x:v>1</x:v>
      </x:c>
      <x:c r="O14" s="2" t="str">
        <x:v>已证最优</x:v>
      </x:c>
      <x:c r="P14" s="2" t="str">
        <x:v>已证最优</x:v>
      </x:c>
      <x:c r="Q14" s="2" t="str">
        <x:v>已证最优</x:v>
      </x:c>
      <x:c r="R14" s="2" t="str">
        <x:v>已证最优</x:v>
      </x:c>
    </x:row>
    <x:row r="15" ht="24" customHeight="1">
      <x:c r="A15" s="2" t="n">
        <x:v>7</x:v>
      </x:c>
      <x:c r="B15" s="2" t="str">
        <x:v>小型</x:v>
      </x:c>
      <x:c r="C15" s="2" t="str">
        <x:v>zhou_Set1_7-2-1b_b1</x:v>
      </x:c>
      <x:c r="D15" s="2" t="str">
        <x:v>ALNS三种子最好</x:v>
      </x:c>
      <x:c r="E15" s="13" t="n">
        <x:v>278.7362596459202</x:v>
      </x:c>
      <x:c r="F15" s="13" t="n">
        <x:v>270.8523983388087</x:v>
      </x:c>
      <x:c r="G15" s="13" t="n">
        <x:f>IF(AND(ISNUMBER(E15),ISNUMBER(F15),E15&gt;0),E15-F15,"")</x:f>
        <x:v>7.883861307111488</x:v>
      </x:c>
      <x:c r="H15" s="14" t="n">
        <x:f>IF(ISNUMBER(G15),G15/E15,"")</x:f>
        <x:v>0.02828430472994934</x:v>
      </x:c>
      <x:c r="I15" s="13" t="n">
        <x:v>285.13370058028283</x:v>
      </x:c>
      <x:c r="J15" s="13" t="n">
        <x:v>285.13370058028283</x:v>
      </x:c>
      <x:c r="K15" s="13" t="n">
        <x:f>IF(AND(ISNUMBER(I15),ISNUMBER(J15),I15&gt;0),I15-J15,"")</x:f>
        <x:v>0</x:v>
      </x:c>
      <x:c r="L15" s="14" t="n">
        <x:f>IF(ISNUMBER(K15),K15/I15,"")</x:f>
        <x:v>0</x:v>
      </x:c>
      <x:c r="M15" s="15" t="n">
        <x:f>IF(AND(ISNUMBER(E15),ISNUMBER(F15),ISNUMBER(I15),ISNUMBER(J15)),1,0)</x:f>
        <x:v>1</x:v>
      </x:c>
      <x:c r="N15" s="15" t="n">
        <x:v>0</x:v>
      </x:c>
      <x:c r="O15" s="2" t="str">
        <x:v>3/3种子均可行</x:v>
      </x:c>
      <x:c r="P15" s="2" t="str">
        <x:v>3/3种子均可行</x:v>
      </x:c>
      <x:c r="Q15" s="2" t="str">
        <x:v>3/3种子均可行</x:v>
      </x:c>
      <x:c r="R15" s="2" t="str">
        <x:v>3/3种子均可行</x:v>
      </x:c>
    </x:row>
    <x:row r="16" ht="24" customHeight="1">
      <x:c r="A16" s="2" t="n">
        <x:v>7</x:v>
      </x:c>
      <x:c r="B16" s="2" t="str">
        <x:v>小型</x:v>
      </x:c>
      <x:c r="C16" s="2" t="str">
        <x:v>zhou_Set1_7-2-1b_b1</x:v>
      </x:c>
      <x:c r="D16" s="2" t="str">
        <x:v>ALNS三种子均值</x:v>
      </x:c>
      <x:c r="E16" s="13" t="n">
        <x:v>278.7362596459202</x:v>
      </x:c>
      <x:c r="F16" s="13" t="n">
        <x:v>275.89168196033575</x:v>
      </x:c>
      <x:c r="G16" s="13" t="n">
        <x:f>IF(AND(ISNUMBER(E16),ISNUMBER(F16),E16&gt;0),E16-F16,"")</x:f>
        <x:v>2.8445776855844542</x:v>
      </x:c>
      <x:c r="H16" s="14" t="n">
        <x:f>IF(ISNUMBER(G16),G16/E16,"")</x:f>
        <x:v>0.010205266043240778</x:v>
      </x:c>
      <x:c r="I16" s="13" t="n">
        <x:v>285.13370058028283</x:v>
      </x:c>
      <x:c r="J16" s="13" t="n">
        <x:v>285.13370058028283</x:v>
      </x:c>
      <x:c r="K16" s="13" t="n">
        <x:f>IF(AND(ISNUMBER(I16),ISNUMBER(J16),I16&gt;0),I16-J16,"")</x:f>
        <x:v>0</x:v>
      </x:c>
      <x:c r="L16" s="14" t="n">
        <x:f>IF(ISNUMBER(K16),K16/I16,"")</x:f>
        <x:v>0</x:v>
      </x:c>
      <x:c r="M16" s="15" t="n">
        <x:f>IF(AND(ISNUMBER(E16),ISNUMBER(F16),ISNUMBER(I16),ISNUMBER(J16)),1,0)</x:f>
        <x:v>1</x:v>
      </x:c>
      <x:c r="N16" s="15" t="n">
        <x:v>0</x:v>
      </x:c>
      <x:c r="O16" s="2" t="str">
        <x:v>3/3种子均可行</x:v>
      </x:c>
      <x:c r="P16" s="2" t="str">
        <x:v>3/3种子均可行</x:v>
      </x:c>
      <x:c r="Q16" s="2" t="str">
        <x:v>3/3种子均可行</x:v>
      </x:c>
      <x:c r="R16" s="2" t="str">
        <x:v>3/3种子均可行</x:v>
      </x:c>
    </x:row>
    <x:row r="17" ht="24" customHeight="1">
      <x:c r="A17" s="2" t="n">
        <x:v>7</x:v>
      </x:c>
      <x:c r="B17" s="2" t="str">
        <x:v>小型</x:v>
      </x:c>
      <x:c r="C17" s="2" t="str">
        <x:v>zhou_Set1_7-2-1b_scenario02_b1</x:v>
      </x:c>
      <x:c r="D17" s="2" t="str">
        <x:v>精确时限可行解</x:v>
      </x:c>
      <x:c r="E17" s="13" t="n">
        <x:v>278.7362596459202</x:v>
      </x:c>
      <x:c r="F17" s="13" t="n">
        <x:v>270.8523983388087</x:v>
      </x:c>
      <x:c r="G17" s="13" t="n">
        <x:f>IF(AND(ISNUMBER(E17),ISNUMBER(F17),E17&gt;0),E17-F17,"")</x:f>
        <x:v>7.883861307111488</x:v>
      </x:c>
      <x:c r="H17" s="14" t="n">
        <x:f>IF(ISNUMBER(G17),G17/E17,"")</x:f>
        <x:v>0.02828430472994934</x:v>
      </x:c>
      <x:c r="I17" s="13" t="n">
        <x:v>285.13370058028283</x:v>
      </x:c>
      <x:c r="J17" s="13" t="n">
        <x:v>285.13370058028283</x:v>
      </x:c>
      <x:c r="K17" s="13" t="n">
        <x:f>IF(AND(ISNUMBER(I17),ISNUMBER(J17),I17&gt;0),I17-J17,"")</x:f>
        <x:v>0</x:v>
      </x:c>
      <x:c r="L17" s="14" t="n">
        <x:f>IF(ISNUMBER(K17),K17/I17,"")</x:f>
        <x:v>0</x:v>
      </x:c>
      <x:c r="M17" s="15" t="n">
        <x:f>IF(AND(ISNUMBER(E17),ISNUMBER(F17),ISNUMBER(I17),ISNUMBER(J17)),1,0)</x:f>
        <x:v>1</x:v>
      </x:c>
      <x:c r="N17" s="15" t="n">
        <x:v>1</x:v>
      </x:c>
      <x:c r="O17" s="2" t="str">
        <x:v>已证最优</x:v>
      </x:c>
      <x:c r="P17" s="2" t="str">
        <x:v>已证最优</x:v>
      </x:c>
      <x:c r="Q17" s="2" t="str">
        <x:v>已证最优</x:v>
      </x:c>
      <x:c r="R17" s="2" t="str">
        <x:v>已证最优</x:v>
      </x:c>
    </x:row>
    <x:row r="18" ht="24" customHeight="1">
      <x:c r="A18" s="2" t="n">
        <x:v>7</x:v>
      </x:c>
      <x:c r="B18" s="2" t="str">
        <x:v>小型</x:v>
      </x:c>
      <x:c r="C18" s="2" t="str">
        <x:v>zhou_Set1_7-2-1b_scenario02_b1</x:v>
      </x:c>
      <x:c r="D18" s="2" t="str">
        <x:v>ALNS三种子最好</x:v>
      </x:c>
      <x:c r="E18" s="13" t="n">
        <x:v>278.7362596459202</x:v>
      </x:c>
      <x:c r="F18" s="13" t="n">
        <x:v>270.8523983388087</x:v>
      </x:c>
      <x:c r="G18" s="13" t="n">
        <x:f>IF(AND(ISNUMBER(E18),ISNUMBER(F18),E18&gt;0),E18-F18,"")</x:f>
        <x:v>7.883861307111488</x:v>
      </x:c>
      <x:c r="H18" s="14" t="n">
        <x:f>IF(ISNUMBER(G18),G18/E18,"")</x:f>
        <x:v>0.02828430472994934</x:v>
      </x:c>
      <x:c r="I18" s="13" t="n">
        <x:v>285.13370058028283</x:v>
      </x:c>
      <x:c r="J18" s="13" t="n">
        <x:v>285.13370058028283</x:v>
      </x:c>
      <x:c r="K18" s="13" t="n">
        <x:f>IF(AND(ISNUMBER(I18),ISNUMBER(J18),I18&gt;0),I18-J18,"")</x:f>
        <x:v>0</x:v>
      </x:c>
      <x:c r="L18" s="14" t="n">
        <x:f>IF(ISNUMBER(K18),K18/I18,"")</x:f>
        <x:v>0</x:v>
      </x:c>
      <x:c r="M18" s="15" t="n">
        <x:f>IF(AND(ISNUMBER(E18),ISNUMBER(F18),ISNUMBER(I18),ISNUMBER(J18)),1,0)</x:f>
        <x:v>1</x:v>
      </x:c>
      <x:c r="N18" s="15" t="n">
        <x:v>0</x:v>
      </x:c>
      <x:c r="O18" s="2" t="str">
        <x:v>3/3种子均可行</x:v>
      </x:c>
      <x:c r="P18" s="2" t="str">
        <x:v>3/3种子均可行</x:v>
      </x:c>
      <x:c r="Q18" s="2" t="str">
        <x:v>3/3种子均可行</x:v>
      </x:c>
      <x:c r="R18" s="2" t="str">
        <x:v>3/3种子均可行</x:v>
      </x:c>
    </x:row>
    <x:row r="19" ht="24" customHeight="1">
      <x:c r="A19" s="2" t="n">
        <x:v>7</x:v>
      </x:c>
      <x:c r="B19" s="2" t="str">
        <x:v>小型</x:v>
      </x:c>
      <x:c r="C19" s="2" t="str">
        <x:v>zhou_Set1_7-2-1b_scenario02_b1</x:v>
      </x:c>
      <x:c r="D19" s="2" t="str">
        <x:v>ALNS三种子均值</x:v>
      </x:c>
      <x:c r="E19" s="13" t="n">
        <x:v>278.7362596459202</x:v>
      </x:c>
      <x:c r="F19" s="13" t="n">
        <x:v>275.89168196033575</x:v>
      </x:c>
      <x:c r="G19" s="13" t="n">
        <x:f>IF(AND(ISNUMBER(E19),ISNUMBER(F19),E19&gt;0),E19-F19,"")</x:f>
        <x:v>2.8445776855844542</x:v>
      </x:c>
      <x:c r="H19" s="14" t="n">
        <x:f>IF(ISNUMBER(G19),G19/E19,"")</x:f>
        <x:v>0.010205266043240778</x:v>
      </x:c>
      <x:c r="I19" s="13" t="n">
        <x:v>285.13370058028283</x:v>
      </x:c>
      <x:c r="J19" s="13" t="n">
        <x:v>285.13370058028283</x:v>
      </x:c>
      <x:c r="K19" s="13" t="n">
        <x:f>IF(AND(ISNUMBER(I19),ISNUMBER(J19),I19&gt;0),I19-J19,"")</x:f>
        <x:v>0</x:v>
      </x:c>
      <x:c r="L19" s="14" t="n">
        <x:f>IF(ISNUMBER(K19),K19/I19,"")</x:f>
        <x:v>0</x:v>
      </x:c>
      <x:c r="M19" s="15" t="n">
        <x:f>IF(AND(ISNUMBER(E19),ISNUMBER(F19),ISNUMBER(I19),ISNUMBER(J19)),1,0)</x:f>
        <x:v>1</x:v>
      </x:c>
      <x:c r="N19" s="15" t="n">
        <x:v>0</x:v>
      </x:c>
      <x:c r="O19" s="2" t="str">
        <x:v>3/3种子均可行</x:v>
      </x:c>
      <x:c r="P19" s="2" t="str">
        <x:v>3/3种子均可行</x:v>
      </x:c>
      <x:c r="Q19" s="2" t="str">
        <x:v>3/3种子均可行</x:v>
      </x:c>
      <x:c r="R19" s="2" t="str">
        <x:v>3/3种子均可行</x:v>
      </x:c>
    </x:row>
    <x:row r="20" ht="24" customHeight="1">
      <x:c r="A20" s="2" t="n">
        <x:v>7</x:v>
      </x:c>
      <x:c r="B20" s="2" t="str">
        <x:v>小型</x:v>
      </x:c>
      <x:c r="C20" s="2" t="str">
        <x:v>zhou_Set1_7-2-2_b1</x:v>
      </x:c>
      <x:c r="D20" s="2" t="str">
        <x:v>精确时限可行解</x:v>
      </x:c>
      <x:c r="E20" s="13" t="n">
        <x:v>286.21870168475516</x:v>
      </x:c>
      <x:c r="F20" s="13" t="n">
        <x:v>244.36120018488484</x:v>
      </x:c>
      <x:c r="G20" s="13" t="n">
        <x:f>IF(AND(ISNUMBER(E20),ISNUMBER(F20),E20&gt;0),E20-F20,"")</x:f>
        <x:v>41.857501499870324</x:v>
      </x:c>
      <x:c r="H20" s="14" t="n">
        <x:f>IF(ISNUMBER(G20),G20/E20,"")</x:f>
        <x:v>0.14624306956004818</x:v>
      </x:c>
      <x:c r="I20" s="13" t="n">
        <x:v>309.5019402547544</x:v>
      </x:c>
      <x:c r="J20" s="13" t="n">
        <x:v>269.45434817149714</x:v>
      </x:c>
      <x:c r="K20" s="13" t="n">
        <x:f>IF(AND(ISNUMBER(I20),ISNUMBER(J20),I20&gt;0),I20-J20,"")</x:f>
        <x:v>40.04759208325726</x:v>
      </x:c>
      <x:c r="L20" s="14" t="n">
        <x:f>IF(ISNUMBER(K20),K20/I20,"")</x:f>
        <x:v>0.1293936705220447</x:v>
      </x:c>
      <x:c r="M20" s="15" t="n">
        <x:f>IF(AND(ISNUMBER(E20),ISNUMBER(F20),ISNUMBER(I20),ISNUMBER(J20)),1,0)</x:f>
        <x:v>1</x:v>
      </x:c>
      <x:c r="N20" s="15" t="n">
        <x:v>1</x:v>
      </x:c>
      <x:c r="O20" s="2" t="str">
        <x:v>已证最优</x:v>
      </x:c>
      <x:c r="P20" s="2" t="str">
        <x:v>已证最优</x:v>
      </x:c>
      <x:c r="Q20" s="2" t="str">
        <x:v>已证最优</x:v>
      </x:c>
      <x:c r="R20" s="2" t="str">
        <x:v>已证最优</x:v>
      </x:c>
    </x:row>
    <x:row r="21" ht="24" customHeight="1">
      <x:c r="A21" s="2" t="n">
        <x:v>7</x:v>
      </x:c>
      <x:c r="B21" s="2" t="str">
        <x:v>小型</x:v>
      </x:c>
      <x:c r="C21" s="2" t="str">
        <x:v>zhou_Set1_7-2-2_b1</x:v>
      </x:c>
      <x:c r="D21" s="2" t="str">
        <x:v>ALNS三种子最好</x:v>
      </x:c>
      <x:c r="E21" s="13" t="n">
        <x:v>286.21870168475505</x:v>
      </x:c>
      <x:c r="F21" s="13" t="n">
        <x:v>267.1983980554719</x:v>
      </x:c>
      <x:c r="G21" s="13" t="n">
        <x:f>IF(AND(ISNUMBER(E21),ISNUMBER(F21),E21&gt;0),E21-F21,"")</x:f>
        <x:v>19.02030362928315</x:v>
      </x:c>
      <x:c r="H21" s="14" t="n">
        <x:f>IF(ISNUMBER(G21),G21/E21,"")</x:f>
        <x:v>0.066453741552613</x:v>
      </x:c>
      <x:c r="I21" s="13" t="n">
        <x:v>309.50194025475446</x:v>
      </x:c>
      <x:c r="J21" s="13" t="n">
        <x:v>269.45434817149714</x:v>
      </x:c>
      <x:c r="K21" s="13" t="n">
        <x:f>IF(AND(ISNUMBER(I21),ISNUMBER(J21),I21&gt;0),I21-J21,"")</x:f>
        <x:v>40.047592083257314</x:v>
      </x:c>
      <x:c r="L21" s="14" t="n">
        <x:f>IF(ISNUMBER(K21),K21/I21,"")</x:f>
        <x:v>0.12939367052204487</x:v>
      </x:c>
      <x:c r="M21" s="15" t="n">
        <x:f>IF(AND(ISNUMBER(E21),ISNUMBER(F21),ISNUMBER(I21),ISNUMBER(J21)),1,0)</x:f>
        <x:v>1</x:v>
      </x:c>
      <x:c r="N21" s="15" t="n">
        <x:v>0</x:v>
      </x:c>
      <x:c r="O21" s="2" t="str">
        <x:v>3/3种子均可行</x:v>
      </x:c>
      <x:c r="P21" s="2" t="str">
        <x:v>3/3种子均可行</x:v>
      </x:c>
      <x:c r="Q21" s="2" t="str">
        <x:v>3/3种子均可行</x:v>
      </x:c>
      <x:c r="R21" s="2" t="str">
        <x:v>3/3种子均可行</x:v>
      </x:c>
    </x:row>
    <x:row r="22" ht="24" customHeight="1">
      <x:c r="A22" s="2" t="n">
        <x:v>7</x:v>
      </x:c>
      <x:c r="B22" s="2" t="str">
        <x:v>小型</x:v>
      </x:c>
      <x:c r="C22" s="2" t="str">
        <x:v>zhou_Set1_7-2-2_b1</x:v>
      </x:c>
      <x:c r="D22" s="2" t="str">
        <x:v>ALNS三种子均值</x:v>
      </x:c>
      <x:c r="E22" s="13" t="n">
        <x:v>286.2187016847551</x:v>
      </x:c>
      <x:c r="F22" s="13" t="n">
        <x:v>276.61403239322766</x:v>
      </x:c>
      <x:c r="G22" s="13" t="n">
        <x:f>IF(AND(ISNUMBER(E22),ISNUMBER(F22),E22&gt;0),E22-F22,"")</x:f>
        <x:v>9.604669291527443</x:v>
      </x:c>
      <x:c r="H22" s="14" t="n">
        <x:f>IF(ISNUMBER(G22),G22/E22,"")</x:f>
        <x:v>0.03355709894214442</x:v>
      </x:c>
      <x:c r="I22" s="13" t="n">
        <x:v>309.50194025475446</x:v>
      </x:c>
      <x:c r="J22" s="13" t="n">
        <x:v>269.45434817149714</x:v>
      </x:c>
      <x:c r="K22" s="13" t="n">
        <x:f>IF(AND(ISNUMBER(I22),ISNUMBER(J22),I22&gt;0),I22-J22,"")</x:f>
        <x:v>40.047592083257314</x:v>
      </x:c>
      <x:c r="L22" s="14" t="n">
        <x:f>IF(ISNUMBER(K22),K22/I22,"")</x:f>
        <x:v>0.12939367052204487</x:v>
      </x:c>
      <x:c r="M22" s="15" t="n">
        <x:f>IF(AND(ISNUMBER(E22),ISNUMBER(F22),ISNUMBER(I22),ISNUMBER(J22)),1,0)</x:f>
        <x:v>1</x:v>
      </x:c>
      <x:c r="N22" s="15" t="n">
        <x:v>0</x:v>
      </x:c>
      <x:c r="O22" s="2" t="str">
        <x:v>3/3种子均可行</x:v>
      </x:c>
      <x:c r="P22" s="2" t="str">
        <x:v>3/3种子均可行</x:v>
      </x:c>
      <x:c r="Q22" s="2" t="str">
        <x:v>3/3种子均可行</x:v>
      </x:c>
      <x:c r="R22" s="2" t="str">
        <x:v>3/3种子均可行</x:v>
      </x:c>
    </x:row>
    <x:row r="23" ht="24" customHeight="1">
      <x:c r="A23" s="2" t="n">
        <x:v>7</x:v>
      </x:c>
      <x:c r="B23" s="2" t="str">
        <x:v>小型</x:v>
      </x:c>
      <x:c r="C23" s="2" t="str">
        <x:v>zhou_Set1_7-2-2_scenario02_b1</x:v>
      </x:c>
      <x:c r="D23" s="2" t="str">
        <x:v>精确时限可行解</x:v>
      </x:c>
      <x:c r="E23" s="13" t="n">
        <x:v>286.21870168475516</x:v>
      </x:c>
      <x:c r="F23" s="13" t="n">
        <x:v>244.36120018488484</x:v>
      </x:c>
      <x:c r="G23" s="13" t="n">
        <x:f>IF(AND(ISNUMBER(E23),ISNUMBER(F23),E23&gt;0),E23-F23,"")</x:f>
        <x:v>41.857501499870324</x:v>
      </x:c>
      <x:c r="H23" s="14" t="n">
        <x:f>IF(ISNUMBER(G23),G23/E23,"")</x:f>
        <x:v>0.14624306956004818</x:v>
      </x:c>
      <x:c r="I23" s="13" t="n">
        <x:v>341.4543485188823</x:v>
      </x:c>
      <x:c r="J23" s="13" t="n">
        <x:v>273.54710297827836</x:v>
      </x:c>
      <x:c r="K23" s="13" t="n">
        <x:f>IF(AND(ISNUMBER(I23),ISNUMBER(J23),I23&gt;0),I23-J23,"")</x:f>
        <x:v>67.90724554060392</x:v>
      </x:c>
      <x:c r="L23" s="14" t="n">
        <x:f>IF(ISNUMBER(K23),K23/I23,"")</x:f>
        <x:v>0.1988764994066218</x:v>
      </x:c>
      <x:c r="M23" s="15" t="n">
        <x:f>IF(AND(ISNUMBER(E23),ISNUMBER(F23),ISNUMBER(I23),ISNUMBER(J23)),1,0)</x:f>
        <x:v>1</x:v>
      </x:c>
      <x:c r="N23" s="15" t="n">
        <x:v>1</x:v>
      </x:c>
      <x:c r="O23" s="2" t="str">
        <x:v>已证最优</x:v>
      </x:c>
      <x:c r="P23" s="2" t="str">
        <x:v>已证最优</x:v>
      </x:c>
      <x:c r="Q23" s="2" t="str">
        <x:v>已证最优</x:v>
      </x:c>
      <x:c r="R23" s="2" t="str">
        <x:v>已证最优</x:v>
      </x:c>
    </x:row>
    <x:row r="24" ht="24" customHeight="1">
      <x:c r="A24" s="2" t="n">
        <x:v>7</x:v>
      </x:c>
      <x:c r="B24" s="2" t="str">
        <x:v>小型</x:v>
      </x:c>
      <x:c r="C24" s="2" t="str">
        <x:v>zhou_Set1_7-2-2_scenario02_b1</x:v>
      </x:c>
      <x:c r="D24" s="2" t="str">
        <x:v>ALNS三种子最好</x:v>
      </x:c>
      <x:c r="E24" s="13" t="n">
        <x:v>286.21870168475505</x:v>
      </x:c>
      <x:c r="F24" s="13" t="n">
        <x:v>267.1983980554719</x:v>
      </x:c>
      <x:c r="G24" s="13" t="n">
        <x:f>IF(AND(ISNUMBER(E24),ISNUMBER(F24),E24&gt;0),E24-F24,"")</x:f>
        <x:v>19.02030362928315</x:v>
      </x:c>
      <x:c r="H24" s="14" t="n">
        <x:f>IF(ISNUMBER(G24),G24/E24,"")</x:f>
        <x:v>0.066453741552613</x:v>
      </x:c>
      <x:c r="I24" s="13" t="n">
        <x:v>341.4543485188823</x:v>
      </x:c>
      <x:c r="J24" s="13" t="n">
        <x:v>273.5471029782783</x:v>
      </x:c>
      <x:c r="K24" s="13" t="n">
        <x:f>IF(AND(ISNUMBER(I24),ISNUMBER(J24),I24&gt;0),I24-J24,"")</x:f>
        <x:v>67.90724554060398</x:v>
      </x:c>
      <x:c r="L24" s="14" t="n">
        <x:f>IF(ISNUMBER(K24),K24/I24,"")</x:f>
        <x:v>0.19887649940662197</x:v>
      </x:c>
      <x:c r="M24" s="15" t="n">
        <x:f>IF(AND(ISNUMBER(E24),ISNUMBER(F24),ISNUMBER(I24),ISNUMBER(J24)),1,0)</x:f>
        <x:v>1</x:v>
      </x:c>
      <x:c r="N24" s="15" t="n">
        <x:v>0</x:v>
      </x:c>
      <x:c r="O24" s="2" t="str">
        <x:v>3/3种子均可行</x:v>
      </x:c>
      <x:c r="P24" s="2" t="str">
        <x:v>3/3种子均可行</x:v>
      </x:c>
      <x:c r="Q24" s="2" t="str">
        <x:v>3/3种子均可行</x:v>
      </x:c>
      <x:c r="R24" s="2" t="str">
        <x:v>3/3种子均可行</x:v>
      </x:c>
    </x:row>
    <x:row r="25" ht="24" customHeight="1">
      <x:c r="A25" s="2" t="n">
        <x:v>7</x:v>
      </x:c>
      <x:c r="B25" s="2" t="str">
        <x:v>小型</x:v>
      </x:c>
      <x:c r="C25" s="2" t="str">
        <x:v>zhou_Set1_7-2-2_scenario02_b1</x:v>
      </x:c>
      <x:c r="D25" s="2" t="str">
        <x:v>ALNS三种子均值</x:v>
      </x:c>
      <x:c r="E25" s="13" t="n">
        <x:v>286.2187016847551</x:v>
      </x:c>
      <x:c r="F25" s="13" t="n">
        <x:v>276.61403239322766</x:v>
      </x:c>
      <x:c r="G25" s="13" t="n">
        <x:f>IF(AND(ISNUMBER(E25),ISNUMBER(F25),E25&gt;0),E25-F25,"")</x:f>
        <x:v>9.604669291527443</x:v>
      </x:c>
      <x:c r="H25" s="14" t="n">
        <x:f>IF(ISNUMBER(G25),G25/E25,"")</x:f>
        <x:v>0.03355709894214442</x:v>
      </x:c>
      <x:c r="I25" s="13" t="n">
        <x:v>341.4543485188823</x:v>
      </x:c>
      <x:c r="J25" s="13" t="n">
        <x:v>273.5471029782783</x:v>
      </x:c>
      <x:c r="K25" s="13" t="n">
        <x:f>IF(AND(ISNUMBER(I25),ISNUMBER(J25),I25&gt;0),I25-J25,"")</x:f>
        <x:v>67.90724554060398</x:v>
      </x:c>
      <x:c r="L25" s="14" t="n">
        <x:f>IF(ISNUMBER(K25),K25/I25,"")</x:f>
        <x:v>0.19887649940662197</x:v>
      </x:c>
      <x:c r="M25" s="15" t="n">
        <x:f>IF(AND(ISNUMBER(E25),ISNUMBER(F25),ISNUMBER(I25),ISNUMBER(J25)),1,0)</x:f>
        <x:v>1</x:v>
      </x:c>
      <x:c r="N25" s="15" t="n">
        <x:v>0</x:v>
      </x:c>
      <x:c r="O25" s="2" t="str">
        <x:v>3/3种子均可行</x:v>
      </x:c>
      <x:c r="P25" s="2" t="str">
        <x:v>3/3种子均可行</x:v>
      </x:c>
      <x:c r="Q25" s="2" t="str">
        <x:v>3/3种子均可行</x:v>
      </x:c>
      <x:c r="R25" s="2" t="str">
        <x:v>3/3种子均可行</x:v>
      </x:c>
    </x:row>
    <x:row r="26" ht="24" customHeight="1">
      <x:c r="A26" s="2" t="n">
        <x:v>7</x:v>
      </x:c>
      <x:c r="B26" s="2" t="str">
        <x:v>小型</x:v>
      </x:c>
      <x:c r="C26" s="2" t="str">
        <x:v>zhou_Set1_7-2-2b_b1</x:v>
      </x:c>
      <x:c r="D26" s="2" t="str">
        <x:v>精确时限可行解</x:v>
      </x:c>
      <x:c r="E26" s="13" t="n">
        <x:v>248.42706711502726</x:v>
      </x:c>
      <x:c r="F26" s="13" t="n">
        <x:v>225.55401761525656</x:v>
      </x:c>
      <x:c r="G26" s="13" t="n">
        <x:f>IF(AND(ISNUMBER(E26),ISNUMBER(F26),E26&gt;0),E26-F26,"")</x:f>
        <x:v>22.8730494997707</x:v>
      </x:c>
      <x:c r="H26" s="14" t="n">
        <x:f>IF(ISNUMBER(G26),G26/E26,"")</x:f>
        <x:v>0.09207148707825774</x:v>
      </x:c>
      <x:c r="I26" s="13" t="n">
        <x:v>265.6303006187247</x:v>
      </x:c>
      <x:c r="J26" s="13" t="n">
        <x:v>254.78064645531467</x:v>
      </x:c>
      <x:c r="K26" s="13" t="n">
        <x:f>IF(AND(ISNUMBER(I26),ISNUMBER(J26),I26&gt;0),I26-J26,"")</x:f>
        <x:v>10.849654163410008</x:v>
      </x:c>
      <x:c r="L26" s="14" t="n">
        <x:f>IF(ISNUMBER(K26),K26/I26,"")</x:f>
        <x:v>0.04084494177862328</x:v>
      </x:c>
      <x:c r="M26" s="15" t="n">
        <x:f>IF(AND(ISNUMBER(E26),ISNUMBER(F26),ISNUMBER(I26),ISNUMBER(J26)),1,0)</x:f>
        <x:v>1</x:v>
      </x:c>
      <x:c r="N26" s="15" t="n">
        <x:v>1</x:v>
      </x:c>
      <x:c r="O26" s="2" t="str">
        <x:v>已证最优</x:v>
      </x:c>
      <x:c r="P26" s="2" t="str">
        <x:v>已证最优</x:v>
      </x:c>
      <x:c r="Q26" s="2" t="str">
        <x:v>已证最优</x:v>
      </x:c>
      <x:c r="R26" s="2" t="str">
        <x:v>已证最优</x:v>
      </x:c>
    </x:row>
    <x:row r="27" ht="24" customHeight="1">
      <x:c r="A27" s="2" t="n">
        <x:v>7</x:v>
      </x:c>
      <x:c r="B27" s="2" t="str">
        <x:v>小型</x:v>
      </x:c>
      <x:c r="C27" s="2" t="str">
        <x:v>zhou_Set1_7-2-2b_b1</x:v>
      </x:c>
      <x:c r="D27" s="2" t="str">
        <x:v>ALNS三种子最好</x:v>
      </x:c>
      <x:c r="E27" s="13" t="n">
        <x:v>248.42706711502726</x:v>
      </x:c>
      <x:c r="F27" s="13" t="n">
        <x:v>225.55401761525653</x:v>
      </x:c>
      <x:c r="G27" s="13" t="n">
        <x:f>IF(AND(ISNUMBER(E27),ISNUMBER(F27),E27&gt;0),E27-F27,"")</x:f>
        <x:v>22.87304949977073</x:v>
      </x:c>
      <x:c r="H27" s="14" t="n">
        <x:f>IF(ISNUMBER(G27),G27/E27,"")</x:f>
        <x:v>0.09207148707825785</x:v>
      </x:c>
      <x:c r="I27" s="13" t="n">
        <x:v>265.6303006187247</x:v>
      </x:c>
      <x:c r="J27" s="13" t="n">
        <x:v>254.78064645531467</x:v>
      </x:c>
      <x:c r="K27" s="13" t="n">
        <x:f>IF(AND(ISNUMBER(I27),ISNUMBER(J27),I27&gt;0),I27-J27,"")</x:f>
        <x:v>10.849654163410008</x:v>
      </x:c>
      <x:c r="L27" s="14" t="n">
        <x:f>IF(ISNUMBER(K27),K27/I27,"")</x:f>
        <x:v>0.04084494177862328</x:v>
      </x:c>
      <x:c r="M27" s="15" t="n">
        <x:f>IF(AND(ISNUMBER(E27),ISNUMBER(F27),ISNUMBER(I27),ISNUMBER(J27)),1,0)</x:f>
        <x:v>1</x:v>
      </x:c>
      <x:c r="N27" s="15" t="n">
        <x:v>0</x:v>
      </x:c>
      <x:c r="O27" s="2" t="str">
        <x:v>3/3种子均可行</x:v>
      </x:c>
      <x:c r="P27" s="2" t="str">
        <x:v>3/3种子均可行</x:v>
      </x:c>
      <x:c r="Q27" s="2" t="str">
        <x:v>3/3种子均可行</x:v>
      </x:c>
      <x:c r="R27" s="2" t="str">
        <x:v>3/3种子均可行</x:v>
      </x:c>
    </x:row>
    <x:row r="28" ht="24" customHeight="1">
      <x:c r="A28" s="2" t="n">
        <x:v>7</x:v>
      </x:c>
      <x:c r="B28" s="2" t="str">
        <x:v>小型</x:v>
      </x:c>
      <x:c r="C28" s="2" t="str">
        <x:v>zhou_Set1_7-2-2b_b1</x:v>
      </x:c>
      <x:c r="D28" s="2" t="str">
        <x:v>ALNS三种子均值</x:v>
      </x:c>
      <x:c r="E28" s="13" t="n">
        <x:v>248.42706711502726</x:v>
      </x:c>
      <x:c r="F28" s="13" t="n">
        <x:v>240.0073456139703</x:v>
      </x:c>
      <x:c r="G28" s="13" t="n">
        <x:f>IF(AND(ISNUMBER(E28),ISNUMBER(F28),E28&gt;0),E28-F28,"")</x:f>
        <x:v>8.419721501056955</x:v>
      </x:c>
      <x:c r="H28" s="14" t="n">
        <x:f>IF(ISNUMBER(G28),G28/E28,"")</x:f>
        <x:v>0.03389212616336382</x:v>
      </x:c>
      <x:c r="I28" s="13" t="n">
        <x:v>265.6303006187247</x:v>
      </x:c>
      <x:c r="J28" s="13" t="n">
        <x:v>254.78064645531467</x:v>
      </x:c>
      <x:c r="K28" s="13" t="n">
        <x:f>IF(AND(ISNUMBER(I28),ISNUMBER(J28),I28&gt;0),I28-J28,"")</x:f>
        <x:v>10.849654163410008</x:v>
      </x:c>
      <x:c r="L28" s="14" t="n">
        <x:f>IF(ISNUMBER(K28),K28/I28,"")</x:f>
        <x:v>0.04084494177862328</x:v>
      </x:c>
      <x:c r="M28" s="15" t="n">
        <x:f>IF(AND(ISNUMBER(E28),ISNUMBER(F28),ISNUMBER(I28),ISNUMBER(J28)),1,0)</x:f>
        <x:v>1</x:v>
      </x:c>
      <x:c r="N28" s="15" t="n">
        <x:v>0</x:v>
      </x:c>
      <x:c r="O28" s="2" t="str">
        <x:v>3/3种子均可行</x:v>
      </x:c>
      <x:c r="P28" s="2" t="str">
        <x:v>3/3种子均可行</x:v>
      </x:c>
      <x:c r="Q28" s="2" t="str">
        <x:v>3/3种子均可行</x:v>
      </x:c>
      <x:c r="R28" s="2" t="str">
        <x:v>3/3种子均可行</x:v>
      </x:c>
    </x:row>
    <x:row r="29" ht="24" customHeight="1">
      <x:c r="A29" s="2" t="n">
        <x:v>7</x:v>
      </x:c>
      <x:c r="B29" s="2" t="str">
        <x:v>小型</x:v>
      </x:c>
      <x:c r="C29" s="2" t="str">
        <x:v>zhou_Set1_7-2-2b_scenario02_b1</x:v>
      </x:c>
      <x:c r="D29" s="2" t="str">
        <x:v>精确时限可行解</x:v>
      </x:c>
      <x:c r="E29" s="13" t="n">
        <x:v>248.42706711502726</x:v>
      </x:c>
      <x:c r="F29" s="13" t="n">
        <x:v>225.55401761525656</x:v>
      </x:c>
      <x:c r="G29" s="13" t="n">
        <x:f>IF(AND(ISNUMBER(E29),ISNUMBER(F29),E29&gt;0),E29-F29,"")</x:f>
        <x:v>22.8730494997707</x:v>
      </x:c>
      <x:c r="H29" s="14" t="n">
        <x:f>IF(ISNUMBER(G29),G29/E29,"")</x:f>
        <x:v>0.09207148707825774</x:v>
      </x:c>
      <x:c r="I29" s="13" t="n">
        <x:v>265.6303006187247</x:v>
      </x:c>
      <x:c r="J29" s="13" t="n">
        <x:v>254.78064645531467</x:v>
      </x:c>
      <x:c r="K29" s="13" t="n">
        <x:f>IF(AND(ISNUMBER(I29),ISNUMBER(J29),I29&gt;0),I29-J29,"")</x:f>
        <x:v>10.849654163410008</x:v>
      </x:c>
      <x:c r="L29" s="14" t="n">
        <x:f>IF(ISNUMBER(K29),K29/I29,"")</x:f>
        <x:v>0.04084494177862328</x:v>
      </x:c>
      <x:c r="M29" s="15" t="n">
        <x:f>IF(AND(ISNUMBER(E29),ISNUMBER(F29),ISNUMBER(I29),ISNUMBER(J29)),1,0)</x:f>
        <x:v>1</x:v>
      </x:c>
      <x:c r="N29" s="15" t="n">
        <x:v>1</x:v>
      </x:c>
      <x:c r="O29" s="2" t="str">
        <x:v>已证最优</x:v>
      </x:c>
      <x:c r="P29" s="2" t="str">
        <x:v>已证最优</x:v>
      </x:c>
      <x:c r="Q29" s="2" t="str">
        <x:v>已证最优</x:v>
      </x:c>
      <x:c r="R29" s="2" t="str">
        <x:v>已证最优</x:v>
      </x:c>
    </x:row>
    <x:row r="30" ht="24" customHeight="1">
      <x:c r="A30" s="2" t="n">
        <x:v>7</x:v>
      </x:c>
      <x:c r="B30" s="2" t="str">
        <x:v>小型</x:v>
      </x:c>
      <x:c r="C30" s="2" t="str">
        <x:v>zhou_Set1_7-2-2b_scenario02_b1</x:v>
      </x:c>
      <x:c r="D30" s="2" t="str">
        <x:v>ALNS三种子最好</x:v>
      </x:c>
      <x:c r="E30" s="13" t="n">
        <x:v>248.42706711502726</x:v>
      </x:c>
      <x:c r="F30" s="13" t="n">
        <x:v>225.55401761525653</x:v>
      </x:c>
      <x:c r="G30" s="13" t="n">
        <x:f>IF(AND(ISNUMBER(E30),ISNUMBER(F30),E30&gt;0),E30-F30,"")</x:f>
        <x:v>22.87304949977073</x:v>
      </x:c>
      <x:c r="H30" s="14" t="n">
        <x:f>IF(ISNUMBER(G30),G30/E30,"")</x:f>
        <x:v>0.09207148707825785</x:v>
      </x:c>
      <x:c r="I30" s="13" t="n">
        <x:v>265.6303006187247</x:v>
      </x:c>
      <x:c r="J30" s="13" t="n">
        <x:v>254.78064645531467</x:v>
      </x:c>
      <x:c r="K30" s="13" t="n">
        <x:f>IF(AND(ISNUMBER(I30),ISNUMBER(J30),I30&gt;0),I30-J30,"")</x:f>
        <x:v>10.849654163410008</x:v>
      </x:c>
      <x:c r="L30" s="14" t="n">
        <x:f>IF(ISNUMBER(K30),K30/I30,"")</x:f>
        <x:v>0.04084494177862328</x:v>
      </x:c>
      <x:c r="M30" s="15" t="n">
        <x:f>IF(AND(ISNUMBER(E30),ISNUMBER(F30),ISNUMBER(I30),ISNUMBER(J30)),1,0)</x:f>
        <x:v>1</x:v>
      </x:c>
      <x:c r="N30" s="15" t="n">
        <x:v>0</x:v>
      </x:c>
      <x:c r="O30" s="2" t="str">
        <x:v>3/3种子均可行</x:v>
      </x:c>
      <x:c r="P30" s="2" t="str">
        <x:v>3/3种子均可行</x:v>
      </x:c>
      <x:c r="Q30" s="2" t="str">
        <x:v>3/3种子均可行</x:v>
      </x:c>
      <x:c r="R30" s="2" t="str">
        <x:v>3/3种子均可行</x:v>
      </x:c>
    </x:row>
    <x:row r="31" ht="24" customHeight="1">
      <x:c r="A31" s="2" t="n">
        <x:v>7</x:v>
      </x:c>
      <x:c r="B31" s="2" t="str">
        <x:v>小型</x:v>
      </x:c>
      <x:c r="C31" s="2" t="str">
        <x:v>zhou_Set1_7-2-2b_scenario02_b1</x:v>
      </x:c>
      <x:c r="D31" s="2" t="str">
        <x:v>ALNS三种子均值</x:v>
      </x:c>
      <x:c r="E31" s="13" t="n">
        <x:v>248.42706711502726</x:v>
      </x:c>
      <x:c r="F31" s="13" t="n">
        <x:v>240.0073456139703</x:v>
      </x:c>
      <x:c r="G31" s="13" t="n">
        <x:f>IF(AND(ISNUMBER(E31),ISNUMBER(F31),E31&gt;0),E31-F31,"")</x:f>
        <x:v>8.419721501056955</x:v>
      </x:c>
      <x:c r="H31" s="14" t="n">
        <x:f>IF(ISNUMBER(G31),G31/E31,"")</x:f>
        <x:v>0.03389212616336382</x:v>
      </x:c>
      <x:c r="I31" s="13" t="n">
        <x:v>265.6303006187247</x:v>
      </x:c>
      <x:c r="J31" s="13" t="n">
        <x:v>254.78064645531467</x:v>
      </x:c>
      <x:c r="K31" s="13" t="n">
        <x:f>IF(AND(ISNUMBER(I31),ISNUMBER(J31),I31&gt;0),I31-J31,"")</x:f>
        <x:v>10.849654163410008</x:v>
      </x:c>
      <x:c r="L31" s="14" t="n">
        <x:f>IF(ISNUMBER(K31),K31/I31,"")</x:f>
        <x:v>0.04084494177862328</x:v>
      </x:c>
      <x:c r="M31" s="15" t="n">
        <x:f>IF(AND(ISNUMBER(E31),ISNUMBER(F31),ISNUMBER(I31),ISNUMBER(J31)),1,0)</x:f>
        <x:v>1</x:v>
      </x:c>
      <x:c r="N31" s="15" t="n">
        <x:v>0</x:v>
      </x:c>
      <x:c r="O31" s="2" t="str">
        <x:v>3/3种子均可行</x:v>
      </x:c>
      <x:c r="P31" s="2" t="str">
        <x:v>3/3种子均可行</x:v>
      </x:c>
      <x:c r="Q31" s="2" t="str">
        <x:v>3/3种子均可行</x:v>
      </x:c>
      <x:c r="R31" s="2" t="str">
        <x:v>3/3种子均可行</x:v>
      </x:c>
    </x:row>
    <x:row r="32" ht="24" customHeight="1">
      <x:c r="A32" s="2" t="n">
        <x:v>7</x:v>
      </x:c>
      <x:c r="B32" s="2" t="str">
        <x:v>小型</x:v>
      </x:c>
      <x:c r="C32" s="2" t="str">
        <x:v>zhou_Set1_7-2-3_b1</x:v>
      </x:c>
      <x:c r="D32" s="2" t="str">
        <x:v>精确时限可行解</x:v>
      </x:c>
      <x:c r="E32" s="13" t="n">
        <x:v>264.7206080429029</x:v>
      </x:c>
      <x:c r="F32" s="13" t="n">
        <x:v>239.42693366868704</x:v>
      </x:c>
      <x:c r="G32" s="13" t="n">
        <x:f>IF(AND(ISNUMBER(E32),ISNUMBER(F32),E32&gt;0),E32-F32,"")</x:f>
        <x:v>25.29367437421584</x:v>
      </x:c>
      <x:c r="H32" s="14" t="n">
        <x:f>IF(ISNUMBER(G32),G32/E32,"")</x:f>
        <x:v>0.09554856556583811</x:v>
      </x:c>
      <x:c r="I32" s="13" t="n">
        <x:v>287.8594072602835</x:v>
      </x:c>
      <x:c r="J32" s="13" t="n">
        <x:v>278.8537349934343</x:v>
      </x:c>
      <x:c r="K32" s="13" t="n">
        <x:f>IF(AND(ISNUMBER(I32),ISNUMBER(J32),I32&gt;0),I32-J32,"")</x:f>
        <x:v>9.005672266849217</x:v>
      </x:c>
      <x:c r="L32" s="14" t="n">
        <x:f>IF(ISNUMBER(K32),K32/I32,"")</x:f>
        <x:v>0.03128496772977184</x:v>
      </x:c>
      <x:c r="M32" s="15" t="n">
        <x:f>IF(AND(ISNUMBER(E32),ISNUMBER(F32),ISNUMBER(I32),ISNUMBER(J32)),1,0)</x:f>
        <x:v>1</x:v>
      </x:c>
      <x:c r="N32" s="15" t="n">
        <x:v>1</x:v>
      </x:c>
      <x:c r="O32" s="2" t="str">
        <x:v>已证最优</x:v>
      </x:c>
      <x:c r="P32" s="2" t="str">
        <x:v>已证最优</x:v>
      </x:c>
      <x:c r="Q32" s="2" t="str">
        <x:v>已证最优</x:v>
      </x:c>
      <x:c r="R32" s="2" t="str">
        <x:v>已证最优</x:v>
      </x:c>
    </x:row>
    <x:row r="33" ht="24" customHeight="1">
      <x:c r="A33" s="2" t="n">
        <x:v>7</x:v>
      </x:c>
      <x:c r="B33" s="2" t="str">
        <x:v>小型</x:v>
      </x:c>
      <x:c r="C33" s="2" t="str">
        <x:v>zhou_Set1_7-2-3_b1</x:v>
      </x:c>
      <x:c r="D33" s="2" t="str">
        <x:v>ALNS三种子最好</x:v>
      </x:c>
      <x:c r="E33" s="13" t="n">
        <x:v>264.7206080429029</x:v>
      </x:c>
      <x:c r="F33" s="13" t="n">
        <x:v>264.7206080429029</x:v>
      </x:c>
      <x:c r="G33" s="13" t="n">
        <x:f>IF(AND(ISNUMBER(E33),ISNUMBER(F33),E33&gt;0),E33-F33,"")</x:f>
        <x:v>0</x:v>
      </x:c>
      <x:c r="H33" s="14" t="n">
        <x:f>IF(ISNUMBER(G33),G33/E33,"")</x:f>
        <x:v>0</x:v>
      </x:c>
      <x:c r="I33" s="13" t="n">
        <x:v>287.85940726028343</x:v>
      </x:c>
      <x:c r="J33" s="13" t="n">
        <x:v>280.9349061926057</x:v>
      </x:c>
      <x:c r="K33" s="13" t="n">
        <x:f>IF(AND(ISNUMBER(I33),ISNUMBER(J33),I33&gt;0),I33-J33,"")</x:f>
        <x:v>6.924501067677738</x:v>
      </x:c>
      <x:c r="L33" s="14" t="n">
        <x:f>IF(ISNUMBER(K33),K33/I33,"")</x:f>
        <x:v>0.02405514946890925</x:v>
      </x:c>
      <x:c r="M33" s="15" t="n">
        <x:f>IF(AND(ISNUMBER(E33),ISNUMBER(F33),ISNUMBER(I33),ISNUMBER(J33)),1,0)</x:f>
        <x:v>1</x:v>
      </x:c>
      <x:c r="N33" s="15" t="n">
        <x:v>0</x:v>
      </x:c>
      <x:c r="O33" s="2" t="str">
        <x:v>3/3种子均可行</x:v>
      </x:c>
      <x:c r="P33" s="2" t="str">
        <x:v>3/3种子均可行</x:v>
      </x:c>
      <x:c r="Q33" s="2" t="str">
        <x:v>3/3种子均可行</x:v>
      </x:c>
      <x:c r="R33" s="2" t="str">
        <x:v>3/3种子均可行</x:v>
      </x:c>
    </x:row>
    <x:row r="34" ht="24" customHeight="1">
      <x:c r="A34" s="2" t="n">
        <x:v>7</x:v>
      </x:c>
      <x:c r="B34" s="2" t="str">
        <x:v>小型</x:v>
      </x:c>
      <x:c r="C34" s="2" t="str">
        <x:v>zhou_Set1_7-2-3_b1</x:v>
      </x:c>
      <x:c r="D34" s="2" t="str">
        <x:v>ALNS三种子均值</x:v>
      </x:c>
      <x:c r="E34" s="13" t="n">
        <x:v>264.7206080429029</x:v>
      </x:c>
      <x:c r="F34" s="13" t="n">
        <x:v>264.7206080429029</x:v>
      </x:c>
      <x:c r="G34" s="13" t="n">
        <x:f>IF(AND(ISNUMBER(E34),ISNUMBER(F34),E34&gt;0),E34-F34,"")</x:f>
        <x:v>0</x:v>
      </x:c>
      <x:c r="H34" s="14" t="n">
        <x:f>IF(ISNUMBER(G34),G34/E34,"")</x:f>
        <x:v>0</x:v>
      </x:c>
      <x:c r="I34" s="13" t="n">
        <x:v>287.85940726028343</x:v>
      </x:c>
      <x:c r="J34" s="13" t="n">
        <x:v>280.93490619260575</x:v>
      </x:c>
      <x:c r="K34" s="13" t="n">
        <x:f>IF(AND(ISNUMBER(I34),ISNUMBER(J34),I34&gt;0),I34-J34,"")</x:f>
        <x:v>6.9245010676776815</x:v>
      </x:c>
      <x:c r="L34" s="14" t="n">
        <x:f>IF(ISNUMBER(K34),K34/I34,"")</x:f>
        <x:v>0.024055149468909052</x:v>
      </x:c>
      <x:c r="M34" s="15" t="n">
        <x:f>IF(AND(ISNUMBER(E34),ISNUMBER(F34),ISNUMBER(I34),ISNUMBER(J34)),1,0)</x:f>
        <x:v>1</x:v>
      </x:c>
      <x:c r="N34" s="15" t="n">
        <x:v>0</x:v>
      </x:c>
      <x:c r="O34" s="2" t="str">
        <x:v>3/3种子均可行</x:v>
      </x:c>
      <x:c r="P34" s="2" t="str">
        <x:v>3/3种子均可行</x:v>
      </x:c>
      <x:c r="Q34" s="2" t="str">
        <x:v>3/3种子均可行</x:v>
      </x:c>
      <x:c r="R34" s="2" t="str">
        <x:v>3/3种子均可行</x:v>
      </x:c>
    </x:row>
    <x:row r="35" ht="24" customHeight="1">
      <x:c r="A35" s="2" t="n">
        <x:v>7</x:v>
      </x:c>
      <x:c r="B35" s="2" t="str">
        <x:v>小型</x:v>
      </x:c>
      <x:c r="C35" s="2" t="str">
        <x:v>zhou_Set1_7-2-3_scenario02_b1</x:v>
      </x:c>
      <x:c r="D35" s="2" t="str">
        <x:v>精确时限可行解</x:v>
      </x:c>
      <x:c r="E35" s="13" t="n">
        <x:v>264.7206080429029</x:v>
      </x:c>
      <x:c r="F35" s="13" t="n">
        <x:v>239.42693366868704</x:v>
      </x:c>
      <x:c r="G35" s="13" t="n">
        <x:f>IF(AND(ISNUMBER(E35),ISNUMBER(F35),E35&gt;0),E35-F35,"")</x:f>
        <x:v>25.29367437421584</x:v>
      </x:c>
      <x:c r="H35" s="14" t="n">
        <x:f>IF(ISNUMBER(G35),G35/E35,"")</x:f>
        <x:v>0.09554856556583811</x:v>
      </x:c>
      <x:c r="I35" s="13" t="n">
        <x:v>287.8594072602835</x:v>
      </x:c>
      <x:c r="J35" s="13" t="n">
        <x:v>280.9349061926056</x:v>
      </x:c>
      <x:c r="K35" s="13" t="n">
        <x:f>IF(AND(ISNUMBER(I35),ISNUMBER(J35),I35&gt;0),I35-J35,"")</x:f>
        <x:v>6.924501067677909</x:v>
      </x:c>
      <x:c r="L35" s="14" t="n">
        <x:f>IF(ISNUMBER(K35),K35/I35,"")</x:f>
        <x:v>0.024055149468909836</x:v>
      </x:c>
      <x:c r="M35" s="15" t="n">
        <x:f>IF(AND(ISNUMBER(E35),ISNUMBER(F35),ISNUMBER(I35),ISNUMBER(J35)),1,0)</x:f>
        <x:v>1</x:v>
      </x:c>
      <x:c r="N35" s="15" t="n">
        <x:v>1</x:v>
      </x:c>
      <x:c r="O35" s="2" t="str">
        <x:v>已证最优</x:v>
      </x:c>
      <x:c r="P35" s="2" t="str">
        <x:v>已证最优</x:v>
      </x:c>
      <x:c r="Q35" s="2" t="str">
        <x:v>已证最优</x:v>
      </x:c>
      <x:c r="R35" s="2" t="str">
        <x:v>已证最优</x:v>
      </x:c>
    </x:row>
    <x:row r="36" ht="24" customHeight="1">
      <x:c r="A36" s="2" t="n">
        <x:v>7</x:v>
      </x:c>
      <x:c r="B36" s="2" t="str">
        <x:v>小型</x:v>
      </x:c>
      <x:c r="C36" s="2" t="str">
        <x:v>zhou_Set1_7-2-3_scenario02_b1</x:v>
      </x:c>
      <x:c r="D36" s="2" t="str">
        <x:v>ALNS三种子最好</x:v>
      </x:c>
      <x:c r="E36" s="13" t="n">
        <x:v>264.7206080429029</x:v>
      </x:c>
      <x:c r="F36" s="13" t="n">
        <x:v>264.7206080429029</x:v>
      </x:c>
      <x:c r="G36" s="13" t="n">
        <x:f>IF(AND(ISNUMBER(E36),ISNUMBER(F36),E36&gt;0),E36-F36,"")</x:f>
        <x:v>0</x:v>
      </x:c>
      <x:c r="H36" s="14" t="n">
        <x:f>IF(ISNUMBER(G36),G36/E36,"")</x:f>
        <x:v>0</x:v>
      </x:c>
      <x:c r="I36" s="13" t="n">
        <x:v>287.85940726028343</x:v>
      </x:c>
      <x:c r="J36" s="13" t="n">
        <x:v>280.9349061926057</x:v>
      </x:c>
      <x:c r="K36" s="13" t="n">
        <x:f>IF(AND(ISNUMBER(I36),ISNUMBER(J36),I36&gt;0),I36-J36,"")</x:f>
        <x:v>6.924501067677738</x:v>
      </x:c>
      <x:c r="L36" s="14" t="n">
        <x:f>IF(ISNUMBER(K36),K36/I36,"")</x:f>
        <x:v>0.02405514946890925</x:v>
      </x:c>
      <x:c r="M36" s="15" t="n">
        <x:f>IF(AND(ISNUMBER(E36),ISNUMBER(F36),ISNUMBER(I36),ISNUMBER(J36)),1,0)</x:f>
        <x:v>1</x:v>
      </x:c>
      <x:c r="N36" s="15" t="n">
        <x:v>0</x:v>
      </x:c>
      <x:c r="O36" s="2" t="str">
        <x:v>3/3种子均可行</x:v>
      </x:c>
      <x:c r="P36" s="2" t="str">
        <x:v>3/3种子均可行</x:v>
      </x:c>
      <x:c r="Q36" s="2" t="str">
        <x:v>3/3种子均可行</x:v>
      </x:c>
      <x:c r="R36" s="2" t="str">
        <x:v>3/3种子均可行</x:v>
      </x:c>
    </x:row>
    <x:row r="37" ht="24" customHeight="1">
      <x:c r="A37" s="2" t="n">
        <x:v>7</x:v>
      </x:c>
      <x:c r="B37" s="2" t="str">
        <x:v>小型</x:v>
      </x:c>
      <x:c r="C37" s="2" t="str">
        <x:v>zhou_Set1_7-2-3_scenario02_b1</x:v>
      </x:c>
      <x:c r="D37" s="2" t="str">
        <x:v>ALNS三种子均值</x:v>
      </x:c>
      <x:c r="E37" s="13" t="n">
        <x:v>264.7206080429029</x:v>
      </x:c>
      <x:c r="F37" s="13" t="n">
        <x:v>264.7206080429029</x:v>
      </x:c>
      <x:c r="G37" s="13" t="n">
        <x:f>IF(AND(ISNUMBER(E37),ISNUMBER(F37),E37&gt;0),E37-F37,"")</x:f>
        <x:v>0</x:v>
      </x:c>
      <x:c r="H37" s="14" t="n">
        <x:f>IF(ISNUMBER(G37),G37/E37,"")</x:f>
        <x:v>0</x:v>
      </x:c>
      <x:c r="I37" s="13" t="n">
        <x:v>287.85940726028343</x:v>
      </x:c>
      <x:c r="J37" s="13" t="n">
        <x:v>280.93490619260575</x:v>
      </x:c>
      <x:c r="K37" s="13" t="n">
        <x:f>IF(AND(ISNUMBER(I37),ISNUMBER(J37),I37&gt;0),I37-J37,"")</x:f>
        <x:v>6.9245010676776815</x:v>
      </x:c>
      <x:c r="L37" s="14" t="n">
        <x:f>IF(ISNUMBER(K37),K37/I37,"")</x:f>
        <x:v>0.024055149468909052</x:v>
      </x:c>
      <x:c r="M37" s="15" t="n">
        <x:f>IF(AND(ISNUMBER(E37),ISNUMBER(F37),ISNUMBER(I37),ISNUMBER(J37)),1,0)</x:f>
        <x:v>1</x:v>
      </x:c>
      <x:c r="N37" s="15" t="n">
        <x:v>0</x:v>
      </x:c>
      <x:c r="O37" s="2" t="str">
        <x:v>3/3种子均可行</x:v>
      </x:c>
      <x:c r="P37" s="2" t="str">
        <x:v>3/3种子均可行</x:v>
      </x:c>
      <x:c r="Q37" s="2" t="str">
        <x:v>3/3种子均可行</x:v>
      </x:c>
      <x:c r="R37" s="2" t="str">
        <x:v>3/3种子均可行</x:v>
      </x:c>
    </x:row>
    <x:row r="38" ht="24" customHeight="1">
      <x:c r="A38" s="2" t="n">
        <x:v>10</x:v>
      </x:c>
      <x:c r="B38" s="2" t="str">
        <x:v>小型</x:v>
      </x:c>
      <x:c r="C38" s="2" t="str">
        <x:v>zhou_Set1_10-2-1_b1</x:v>
      </x:c>
      <x:c r="D38" s="2" t="str">
        <x:v>精确时限可行解</x:v>
      </x:c>
      <x:c r="E38" s="13" t="n">
        <x:v>222.13217990810432</x:v>
      </x:c>
      <x:c r="F38" s="13" t="n">
        <x:v>222.13217990810432</x:v>
      </x:c>
      <x:c r="G38" s="13" t="n">
        <x:f>IF(AND(ISNUMBER(E38),ISNUMBER(F38),E38&gt;0),E38-F38,"")</x:f>
        <x:v>0</x:v>
      </x:c>
      <x:c r="H38" s="14" t="n">
        <x:f>IF(ISNUMBER(G38),G38/E38,"")</x:f>
        <x:v>0</x:v>
      </x:c>
      <x:c r="I38" s="13" t="n">
        <x:v>242.0140055476189</x:v>
      </x:c>
      <x:c r="J38" s="13" t="n">
        <x:v>242.01400554761892</x:v>
      </x:c>
      <x:c r="K38" s="13" t="n">
        <x:f>IF(AND(ISNUMBER(I38),ISNUMBER(J38),I38&gt;0),I38-J38,"")</x:f>
        <x:v>-2.842170943040401e-14</x:v>
      </x:c>
      <x:c r="L38" s="14" t="n">
        <x:f>IF(ISNUMBER(K38),K38/I38,"")</x:f>
        <x:v>-1.1743828364847144e-16</x:v>
      </x:c>
      <x:c r="M38" s="15" t="n">
        <x:f>IF(AND(ISNUMBER(E38),ISNUMBER(F38),ISNUMBER(I38),ISNUMBER(J38)),1,0)</x:f>
        <x:v>1</x:v>
      </x:c>
      <x:c r="N38" s="15" t="n">
        <x:v>1</x:v>
      </x:c>
      <x:c r="O38" s="2" t="str">
        <x:v>已证最优</x:v>
      </x:c>
      <x:c r="P38" s="2" t="str">
        <x:v>已证最优</x:v>
      </x:c>
      <x:c r="Q38" s="2" t="str">
        <x:v>已证最优</x:v>
      </x:c>
      <x:c r="R38" s="2" t="str">
        <x:v>已证最优</x:v>
      </x:c>
    </x:row>
    <x:row r="39" ht="24" customHeight="1">
      <x:c r="A39" s="2" t="n">
        <x:v>10</x:v>
      </x:c>
      <x:c r="B39" s="2" t="str">
        <x:v>小型</x:v>
      </x:c>
      <x:c r="C39" s="2" t="str">
        <x:v>zhou_Set1_10-2-1_b1</x:v>
      </x:c>
      <x:c r="D39" s="2" t="str">
        <x:v>ALNS三种子最好</x:v>
      </x:c>
      <x:c r="E39" s="13" t="n">
        <x:v>222.13217990810432</x:v>
      </x:c>
      <x:c r="F39" s="13" t="n">
        <x:v>222.13217990810432</x:v>
      </x:c>
      <x:c r="G39" s="13" t="n">
        <x:f>IF(AND(ISNUMBER(E39),ISNUMBER(F39),E39&gt;0),E39-F39,"")</x:f>
        <x:v>0</x:v>
      </x:c>
      <x:c r="H39" s="14" t="n">
        <x:f>IF(ISNUMBER(G39),G39/E39,"")</x:f>
        <x:v>0</x:v>
      </x:c>
      <x:c r="I39" s="13" t="n">
        <x:v>242.01400554761886</x:v>
      </x:c>
      <x:c r="J39" s="13" t="n">
        <x:v>242.01400554761886</x:v>
      </x:c>
      <x:c r="K39" s="13" t="n">
        <x:f>IF(AND(ISNUMBER(I39),ISNUMBER(J39),I39&gt;0),I39-J39,"")</x:f>
        <x:v>0</x:v>
      </x:c>
      <x:c r="L39" s="14" t="n">
        <x:f>IF(ISNUMBER(K39),K39/I39,"")</x:f>
        <x:v>0</x:v>
      </x:c>
      <x:c r="M39" s="15" t="n">
        <x:f>IF(AND(ISNUMBER(E39),ISNUMBER(F39),ISNUMBER(I39),ISNUMBER(J39)),1,0)</x:f>
        <x:v>1</x:v>
      </x:c>
      <x:c r="N39" s="15" t="n">
        <x:v>0</x:v>
      </x:c>
      <x:c r="O39" s="2" t="str">
        <x:v>3/3种子均可行</x:v>
      </x:c>
      <x:c r="P39" s="2" t="str">
        <x:v>3/3种子均可行</x:v>
      </x:c>
      <x:c r="Q39" s="2" t="str">
        <x:v>3/3种子均可行</x:v>
      </x:c>
      <x:c r="R39" s="2" t="str">
        <x:v>3/3种子均可行</x:v>
      </x:c>
    </x:row>
    <x:row r="40" ht="24" customHeight="1">
      <x:c r="A40" s="2" t="n">
        <x:v>10</x:v>
      </x:c>
      <x:c r="B40" s="2" t="str">
        <x:v>小型</x:v>
      </x:c>
      <x:c r="C40" s="2" t="str">
        <x:v>zhou_Set1_10-2-1_b1</x:v>
      </x:c>
      <x:c r="D40" s="2" t="str">
        <x:v>ALNS三种子均值</x:v>
      </x:c>
      <x:c r="E40" s="13" t="n">
        <x:v>222.13217990810435</x:v>
      </x:c>
      <x:c r="F40" s="13" t="n">
        <x:v>222.13217990810435</x:v>
      </x:c>
      <x:c r="G40" s="13" t="n">
        <x:f>IF(AND(ISNUMBER(E40),ISNUMBER(F40),E40&gt;0),E40-F40,"")</x:f>
        <x:v>0</x:v>
      </x:c>
      <x:c r="H40" s="14" t="n">
        <x:f>IF(ISNUMBER(G40),G40/E40,"")</x:f>
        <x:v>0</x:v>
      </x:c>
      <x:c r="I40" s="13" t="n">
        <x:v>242.0140055476189</x:v>
      </x:c>
      <x:c r="J40" s="13" t="n">
        <x:v>242.01400554761886</x:v>
      </x:c>
      <x:c r="K40" s="13" t="n">
        <x:f>IF(AND(ISNUMBER(I40),ISNUMBER(J40),I40&gt;0),I40-J40,"")</x:f>
        <x:v>2.842170943040401e-14</x:v>
      </x:c>
      <x:c r="L40" s="14" t="n">
        <x:f>IF(ISNUMBER(K40),K40/I40,"")</x:f>
        <x:v>1.1743828364847144e-16</x:v>
      </x:c>
      <x:c r="M40" s="15" t="n">
        <x:f>IF(AND(ISNUMBER(E40),ISNUMBER(F40),ISNUMBER(I40),ISNUMBER(J40)),1,0)</x:f>
        <x:v>1</x:v>
      </x:c>
      <x:c r="N40" s="15" t="n">
        <x:v>0</x:v>
      </x:c>
      <x:c r="O40" s="2" t="str">
        <x:v>3/3种子均可行</x:v>
      </x:c>
      <x:c r="P40" s="2" t="str">
        <x:v>3/3种子均可行</x:v>
      </x:c>
      <x:c r="Q40" s="2" t="str">
        <x:v>3/3种子均可行</x:v>
      </x:c>
      <x:c r="R40" s="2" t="str">
        <x:v>3/3种子均可行</x:v>
      </x:c>
    </x:row>
    <x:row r="41" ht="24" customHeight="1">
      <x:c r="A41" s="2" t="n">
        <x:v>10</x:v>
      </x:c>
      <x:c r="B41" s="2" t="str">
        <x:v>小型</x:v>
      </x:c>
      <x:c r="C41" s="2" t="str">
        <x:v>zhou_Set1_10-2-1_scenario02_b1</x:v>
      </x:c>
      <x:c r="D41" s="2" t="str">
        <x:v>精确时限可行解</x:v>
      </x:c>
      <x:c r="E41" s="13" t="n">
        <x:v>222.13217990810432</x:v>
      </x:c>
      <x:c r="F41" s="13" t="n">
        <x:v>222.13217990810432</x:v>
      </x:c>
      <x:c r="G41" s="13" t="n">
        <x:f>IF(AND(ISNUMBER(E41),ISNUMBER(F41),E41&gt;0),E41-F41,"")</x:f>
        <x:v>0</x:v>
      </x:c>
      <x:c r="H41" s="14" t="n">
        <x:f>IF(ISNUMBER(G41),G41/E41,"")</x:f>
        <x:v>0</x:v>
      </x:c>
      <x:c r="I41" s="13" t="n">
        <x:v>243.43042428732184</x:v>
      </x:c>
      <x:c r="J41" s="13" t="n">
        <x:v>243.4304242873218</x:v>
      </x:c>
      <x:c r="K41" s="13" t="n">
        <x:f>IF(AND(ISNUMBER(I41),ISNUMBER(J41),I41&gt;0),I41-J41,"")</x:f>
        <x:v>2.842170943040401e-14</x:v>
      </x:c>
      <x:c r="L41" s="14" t="n">
        <x:f>IF(ISNUMBER(K41),K41/I41,"")</x:f>
        <x:v>1.16754959917655e-16</x:v>
      </x:c>
      <x:c r="M41" s="15" t="n">
        <x:f>IF(AND(ISNUMBER(E41),ISNUMBER(F41),ISNUMBER(I41),ISNUMBER(J41)),1,0)</x:f>
        <x:v>1</x:v>
      </x:c>
      <x:c r="N41" s="15" t="n">
        <x:v>1</x:v>
      </x:c>
      <x:c r="O41" s="2" t="str">
        <x:v>已证最优</x:v>
      </x:c>
      <x:c r="P41" s="2" t="str">
        <x:v>已证最优</x:v>
      </x:c>
      <x:c r="Q41" s="2" t="str">
        <x:v>已证最优</x:v>
      </x:c>
      <x:c r="R41" s="2" t="str">
        <x:v>已证最优</x:v>
      </x:c>
    </x:row>
    <x:row r="42" ht="24" customHeight="1">
      <x:c r="A42" s="2" t="n">
        <x:v>10</x:v>
      </x:c>
      <x:c r="B42" s="2" t="str">
        <x:v>小型</x:v>
      </x:c>
      <x:c r="C42" s="2" t="str">
        <x:v>zhou_Set1_10-2-1_scenario02_b1</x:v>
      </x:c>
      <x:c r="D42" s="2" t="str">
        <x:v>ALNS三种子最好</x:v>
      </x:c>
      <x:c r="E42" s="13" t="n">
        <x:v>222.13217990810432</x:v>
      </x:c>
      <x:c r="F42" s="13" t="n">
        <x:v>222.13217990810432</x:v>
      </x:c>
      <x:c r="G42" s="13" t="n">
        <x:f>IF(AND(ISNUMBER(E42),ISNUMBER(F42),E42&gt;0),E42-F42,"")</x:f>
        <x:v>0</x:v>
      </x:c>
      <x:c r="H42" s="14" t="n">
        <x:f>IF(ISNUMBER(G42),G42/E42,"")</x:f>
        <x:v>0</x:v>
      </x:c>
      <x:c r="I42" s="13" t="n">
        <x:v>243.4304242873218</x:v>
      </x:c>
      <x:c r="J42" s="13" t="n">
        <x:v>243.4304242873218</x:v>
      </x:c>
      <x:c r="K42" s="13" t="n">
        <x:f>IF(AND(ISNUMBER(I42),ISNUMBER(J42),I42&gt;0),I42-J42,"")</x:f>
        <x:v>0</x:v>
      </x:c>
      <x:c r="L42" s="14" t="n">
        <x:f>IF(ISNUMBER(K42),K42/I42,"")</x:f>
        <x:v>0</x:v>
      </x:c>
      <x:c r="M42" s="15" t="n">
        <x:f>IF(AND(ISNUMBER(E42),ISNUMBER(F42),ISNUMBER(I42),ISNUMBER(J42)),1,0)</x:f>
        <x:v>1</x:v>
      </x:c>
      <x:c r="N42" s="15" t="n">
        <x:v>0</x:v>
      </x:c>
      <x:c r="O42" s="2" t="str">
        <x:v>3/3种子均可行</x:v>
      </x:c>
      <x:c r="P42" s="2" t="str">
        <x:v>3/3种子均可行</x:v>
      </x:c>
      <x:c r="Q42" s="2" t="str">
        <x:v>3/3种子均可行</x:v>
      </x:c>
      <x:c r="R42" s="2" t="str">
        <x:v>3/3种子均可行</x:v>
      </x:c>
    </x:row>
    <x:row r="43" ht="24" customHeight="1">
      <x:c r="A43" s="2" t="n">
        <x:v>10</x:v>
      </x:c>
      <x:c r="B43" s="2" t="str">
        <x:v>小型</x:v>
      </x:c>
      <x:c r="C43" s="2" t="str">
        <x:v>zhou_Set1_10-2-1_scenario02_b1</x:v>
      </x:c>
      <x:c r="D43" s="2" t="str">
        <x:v>ALNS三种子均值</x:v>
      </x:c>
      <x:c r="E43" s="13" t="n">
        <x:v>222.13217990810435</x:v>
      </x:c>
      <x:c r="F43" s="13" t="n">
        <x:v>222.13217990810435</x:v>
      </x:c>
      <x:c r="G43" s="13" t="n">
        <x:f>IF(AND(ISNUMBER(E43),ISNUMBER(F43),E43&gt;0),E43-F43,"")</x:f>
        <x:v>0</x:v>
      </x:c>
      <x:c r="H43" s="14" t="n">
        <x:f>IF(ISNUMBER(G43),G43/E43,"")</x:f>
        <x:v>0</x:v>
      </x:c>
      <x:c r="I43" s="13" t="n">
        <x:v>243.4304242873218</x:v>
      </x:c>
      <x:c r="J43" s="13" t="n">
        <x:v>243.4304242873218</x:v>
      </x:c>
      <x:c r="K43" s="13" t="n">
        <x:f>IF(AND(ISNUMBER(I43),ISNUMBER(J43),I43&gt;0),I43-J43,"")</x:f>
        <x:v>0</x:v>
      </x:c>
      <x:c r="L43" s="14" t="n">
        <x:f>IF(ISNUMBER(K43),K43/I43,"")</x:f>
        <x:v>0</x:v>
      </x:c>
      <x:c r="M43" s="15" t="n">
        <x:f>IF(AND(ISNUMBER(E43),ISNUMBER(F43),ISNUMBER(I43),ISNUMBER(J43)),1,0)</x:f>
        <x:v>1</x:v>
      </x:c>
      <x:c r="N43" s="15" t="n">
        <x:v>0</x:v>
      </x:c>
      <x:c r="O43" s="2" t="str">
        <x:v>3/3种子均可行</x:v>
      </x:c>
      <x:c r="P43" s="2" t="str">
        <x:v>3/3种子均可行</x:v>
      </x:c>
      <x:c r="Q43" s="2" t="str">
        <x:v>3/3种子均可行</x:v>
      </x:c>
      <x:c r="R43" s="2" t="str">
        <x:v>3/3种子均可行</x:v>
      </x:c>
    </x:row>
    <x:row r="44" ht="24" customHeight="1">
      <x:c r="A44" s="2" t="n">
        <x:v>10</x:v>
      </x:c>
      <x:c r="B44" s="2" t="str">
        <x:v>小型</x:v>
      </x:c>
      <x:c r="C44" s="2" t="str">
        <x:v>zhou_Set1_10-2-1b_b1</x:v>
      </x:c>
      <x:c r="D44" s="2" t="str">
        <x:v>精确时限可行解</x:v>
      </x:c>
      <x:c r="E44" s="13" t="n">
        <x:v>348.0538279601899</x:v>
      </x:c>
      <x:c r="F44" s="13" t="n">
        <x:v>274.10608335609385</x:v>
      </x:c>
      <x:c r="G44" s="13" t="n">
        <x:f>IF(AND(ISNUMBER(E44),ISNUMBER(F44),E44&gt;0),E44-F44,"")</x:f>
        <x:v>73.94774460409604</x:v>
      </x:c>
      <x:c r="H44" s="14" t="n">
        <x:f>IF(ISNUMBER(G44),G44/E44,"")</x:f>
        <x:v>0.21246065597805788</x:v>
      </x:c>
      <x:c r="I44" s="13" t="n">
        <x:v>354.44830075732074</x:v>
      </x:c>
      <x:c r="J44" s="13" t="n">
        <x:v>333.7741238145469</x:v>
      </x:c>
      <x:c r="K44" s="13" t="n">
        <x:f>IF(AND(ISNUMBER(I44),ISNUMBER(J44),I44&gt;0),I44-J44,"")</x:f>
        <x:v>20.67417694277384</x:v>
      </x:c>
      <x:c r="L44" s="14" t="n">
        <x:f>IF(ISNUMBER(K44),K44/I44,"")</x:f>
        <x:v>0.058327764299055784</x:v>
      </x:c>
      <x:c r="M44" s="15" t="n">
        <x:f>IF(AND(ISNUMBER(E44),ISNUMBER(F44),ISNUMBER(I44),ISNUMBER(J44)),1,0)</x:f>
        <x:v>1</x:v>
      </x:c>
      <x:c r="N44" s="15" t="n">
        <x:v>1</x:v>
      </x:c>
      <x:c r="O44" s="2" t="str">
        <x:v>已证最优</x:v>
      </x:c>
      <x:c r="P44" s="2" t="str">
        <x:v>已证最优</x:v>
      </x:c>
      <x:c r="Q44" s="2" t="str">
        <x:v>已证最优</x:v>
      </x:c>
      <x:c r="R44" s="2" t="str">
        <x:v>已证最优</x:v>
      </x:c>
    </x:row>
    <x:row r="45" ht="24" customHeight="1">
      <x:c r="A45" s="2" t="n">
        <x:v>10</x:v>
      </x:c>
      <x:c r="B45" s="2" t="str">
        <x:v>小型</x:v>
      </x:c>
      <x:c r="C45" s="2" t="str">
        <x:v>zhou_Set1_10-2-1b_b1</x:v>
      </x:c>
      <x:c r="D45" s="2" t="str">
        <x:v>ALNS三种子最好</x:v>
      </x:c>
      <x:c r="E45" s="13" t="n">
        <x:v>348.0538279601899</x:v>
      </x:c>
      <x:c r="F45" s="13" t="n">
        <x:v>348.0538279601899</x:v>
      </x:c>
      <x:c r="G45" s="13" t="n">
        <x:f>IF(AND(ISNUMBER(E45),ISNUMBER(F45),E45&gt;0),E45-F45,"")</x:f>
        <x:v>0</x:v>
      </x:c>
      <x:c r="H45" s="14" t="n">
        <x:f>IF(ISNUMBER(G45),G45/E45,"")</x:f>
        <x:v>0</x:v>
      </x:c>
      <x:c r="I45" s="13" t="n">
        <x:v>354.4483007573207</x:v>
      </x:c>
      <x:c r="J45" s="13" t="n">
        <x:v>338.9615402930991</x:v>
      </x:c>
      <x:c r="K45" s="13" t="n">
        <x:f>IF(AND(ISNUMBER(I45),ISNUMBER(J45),I45&gt;0),I45-J45,"")</x:f>
        <x:v>15.486760464221561</x:v>
      </x:c>
      <x:c r="L45" s="14" t="n">
        <x:f>IF(ISNUMBER(K45),K45/I45,"")</x:f>
        <x:v>0.043692579231251125</x:v>
      </x:c>
      <x:c r="M45" s="15" t="n">
        <x:f>IF(AND(ISNUMBER(E45),ISNUMBER(F45),ISNUMBER(I45),ISNUMBER(J45)),1,0)</x:f>
        <x:v>1</x:v>
      </x:c>
      <x:c r="N45" s="15" t="n">
        <x:v>0</x:v>
      </x:c>
      <x:c r="O45" s="2" t="str">
        <x:v>3/3种子均可行</x:v>
      </x:c>
      <x:c r="P45" s="2" t="str">
        <x:v>3/3种子均可行</x:v>
      </x:c>
      <x:c r="Q45" s="2" t="str">
        <x:v>3/3种子均可行</x:v>
      </x:c>
      <x:c r="R45" s="2" t="str">
        <x:v>3/3种子均可行</x:v>
      </x:c>
    </x:row>
    <x:row r="46" ht="24" customHeight="1">
      <x:c r="A46" s="2" t="n">
        <x:v>10</x:v>
      </x:c>
      <x:c r="B46" s="2" t="str">
        <x:v>小型</x:v>
      </x:c>
      <x:c r="C46" s="2" t="str">
        <x:v>zhou_Set1_10-2-1b_b1</x:v>
      </x:c>
      <x:c r="D46" s="2" t="str">
        <x:v>ALNS三种子均值</x:v>
      </x:c>
      <x:c r="E46" s="13" t="n">
        <x:v>348.0538279601899</x:v>
      </x:c>
      <x:c r="F46" s="13" t="n">
        <x:v>348.0538279601899</x:v>
      </x:c>
      <x:c r="G46" s="13" t="n">
        <x:f>IF(AND(ISNUMBER(E46),ISNUMBER(F46),E46&gt;0),E46-F46,"")</x:f>
        <x:v>0</x:v>
      </x:c>
      <x:c r="H46" s="14" t="n">
        <x:f>IF(ISNUMBER(G46),G46/E46,"")</x:f>
        <x:v>0</x:v>
      </x:c>
      <x:c r="I46" s="13" t="n">
        <x:v>354.4483007573207</x:v>
      </x:c>
      <x:c r="J46" s="13" t="n">
        <x:v>338.9615402930991</x:v>
      </x:c>
      <x:c r="K46" s="13" t="n">
        <x:f>IF(AND(ISNUMBER(I46),ISNUMBER(J46),I46&gt;0),I46-J46,"")</x:f>
        <x:v>15.486760464221561</x:v>
      </x:c>
      <x:c r="L46" s="14" t="n">
        <x:f>IF(ISNUMBER(K46),K46/I46,"")</x:f>
        <x:v>0.043692579231251125</x:v>
      </x:c>
      <x:c r="M46" s="15" t="n">
        <x:f>IF(AND(ISNUMBER(E46),ISNUMBER(F46),ISNUMBER(I46),ISNUMBER(J46)),1,0)</x:f>
        <x:v>1</x:v>
      </x:c>
      <x:c r="N46" s="15" t="n">
        <x:v>0</x:v>
      </x:c>
      <x:c r="O46" s="2" t="str">
        <x:v>3/3种子均可行</x:v>
      </x:c>
      <x:c r="P46" s="2" t="str">
        <x:v>3/3种子均可行</x:v>
      </x:c>
      <x:c r="Q46" s="2" t="str">
        <x:v>3/3种子均可行</x:v>
      </x:c>
      <x:c r="R46" s="2" t="str">
        <x:v>3/3种子均可行</x:v>
      </x:c>
    </x:row>
    <x:row r="47" ht="24" customHeight="1">
      <x:c r="A47" s="2" t="n">
        <x:v>10</x:v>
      </x:c>
      <x:c r="B47" s="2" t="str">
        <x:v>小型</x:v>
      </x:c>
      <x:c r="C47" s="2" t="str">
        <x:v>zhou_Set1_10-2-1b_scenario02_b1</x:v>
      </x:c>
      <x:c r="D47" s="2" t="str">
        <x:v>精确时限可行解</x:v>
      </x:c>
      <x:c r="E47" s="13" t="n">
        <x:v>348.0538279601899</x:v>
      </x:c>
      <x:c r="F47" s="13" t="n">
        <x:v>274.10608335609385</x:v>
      </x:c>
      <x:c r="G47" s="13" t="n">
        <x:f>IF(AND(ISNUMBER(E47),ISNUMBER(F47),E47&gt;0),E47-F47,"")</x:f>
        <x:v>73.94774460409604</x:v>
      </x:c>
      <x:c r="H47" s="14" t="n">
        <x:f>IF(ISNUMBER(G47),G47/E47,"")</x:f>
        <x:v>0.21246065597805788</x:v>
      </x:c>
      <x:c r="I47" s="13" t="n">
        <x:v>354.44830075732074</x:v>
      </x:c>
      <x:c r="J47" s="13" t="n">
        <x:v>333.774123814547</x:v>
      </x:c>
      <x:c r="K47" s="13" t="n">
        <x:f>IF(AND(ISNUMBER(I47),ISNUMBER(J47),I47&gt;0),I47-J47,"")</x:f>
        <x:v>20.674176942773727</x:v>
      </x:c>
      <x:c r="L47" s="14" t="n">
        <x:f>IF(ISNUMBER(K47),K47/I47,"")</x:f>
        <x:v>0.058327764299055465</x:v>
      </x:c>
      <x:c r="M47" s="15" t="n">
        <x:f>IF(AND(ISNUMBER(E47),ISNUMBER(F47),ISNUMBER(I47),ISNUMBER(J47)),1,0)</x:f>
        <x:v>1</x:v>
      </x:c>
      <x:c r="N47" s="15" t="n">
        <x:v>1</x:v>
      </x:c>
      <x:c r="O47" s="2" t="str">
        <x:v>已证最优</x:v>
      </x:c>
      <x:c r="P47" s="2" t="str">
        <x:v>已证最优</x:v>
      </x:c>
      <x:c r="Q47" s="2" t="str">
        <x:v>已证最优</x:v>
      </x:c>
      <x:c r="R47" s="2" t="str">
        <x:v>已证最优</x:v>
      </x:c>
    </x:row>
    <x:row r="48" ht="24" customHeight="1">
      <x:c r="A48" s="2" t="n">
        <x:v>10</x:v>
      </x:c>
      <x:c r="B48" s="2" t="str">
        <x:v>小型</x:v>
      </x:c>
      <x:c r="C48" s="2" t="str">
        <x:v>zhou_Set1_10-2-1b_scenario02_b1</x:v>
      </x:c>
      <x:c r="D48" s="2" t="str">
        <x:v>ALNS三种子最好</x:v>
      </x:c>
      <x:c r="E48" s="13" t="n">
        <x:v>348.0538279601899</x:v>
      </x:c>
      <x:c r="F48" s="13" t="n">
        <x:v>348.0538279601899</x:v>
      </x:c>
      <x:c r="G48" s="13" t="n">
        <x:f>IF(AND(ISNUMBER(E48),ISNUMBER(F48),E48&gt;0),E48-F48,"")</x:f>
        <x:v>0</x:v>
      </x:c>
      <x:c r="H48" s="14" t="n">
        <x:f>IF(ISNUMBER(G48),G48/E48,"")</x:f>
        <x:v>0</x:v>
      </x:c>
      <x:c r="I48" s="13" t="n">
        <x:v>354.4483007573207</x:v>
      </x:c>
      <x:c r="J48" s="13" t="n">
        <x:v>343.9161136029594</x:v>
      </x:c>
      <x:c r="K48" s="13" t="n">
        <x:f>IF(AND(ISNUMBER(I48),ISNUMBER(J48),I48&gt;0),I48-J48,"")</x:f>
        <x:v>10.532187154361282</x:v>
      </x:c>
      <x:c r="L48" s="14" t="n">
        <x:f>IF(ISNUMBER(K48),K48/I48,"")</x:f>
        <x:v>0.029714311316651875</x:v>
      </x:c>
      <x:c r="M48" s="15" t="n">
        <x:f>IF(AND(ISNUMBER(E48),ISNUMBER(F48),ISNUMBER(I48),ISNUMBER(J48)),1,0)</x:f>
        <x:v>1</x:v>
      </x:c>
      <x:c r="N48" s="15" t="n">
        <x:v>0</x:v>
      </x:c>
      <x:c r="O48" s="2" t="str">
        <x:v>3/3种子均可行</x:v>
      </x:c>
      <x:c r="P48" s="2" t="str">
        <x:v>3/3种子均可行</x:v>
      </x:c>
      <x:c r="Q48" s="2" t="str">
        <x:v>3/3种子均可行</x:v>
      </x:c>
      <x:c r="R48" s="2" t="str">
        <x:v>3/3种子均可行</x:v>
      </x:c>
    </x:row>
    <x:row r="49" ht="24" customHeight="1">
      <x:c r="A49" s="2" t="n">
        <x:v>10</x:v>
      </x:c>
      <x:c r="B49" s="2" t="str">
        <x:v>小型</x:v>
      </x:c>
      <x:c r="C49" s="2" t="str">
        <x:v>zhou_Set1_10-2-1b_scenario02_b1</x:v>
      </x:c>
      <x:c r="D49" s="2" t="str">
        <x:v>ALNS三种子均值</x:v>
      </x:c>
      <x:c r="E49" s="13" t="n">
        <x:v>348.0538279601899</x:v>
      </x:c>
      <x:c r="F49" s="13" t="n">
        <x:v>348.0538279601899</x:v>
      </x:c>
      <x:c r="G49" s="13" t="n">
        <x:f>IF(AND(ISNUMBER(E49),ISNUMBER(F49),E49&gt;0),E49-F49,"")</x:f>
        <x:v>0</x:v>
      </x:c>
      <x:c r="H49" s="14" t="n">
        <x:f>IF(ISNUMBER(G49),G49/E49,"")</x:f>
        <x:v>0</x:v>
      </x:c>
      <x:c r="I49" s="13" t="n">
        <x:v>354.4483007573207</x:v>
      </x:c>
      <x:c r="J49" s="13" t="n">
        <x:v>343.9161136029594</x:v>
      </x:c>
      <x:c r="K49" s="13" t="n">
        <x:f>IF(AND(ISNUMBER(I49),ISNUMBER(J49),I49&gt;0),I49-J49,"")</x:f>
        <x:v>10.532187154361282</x:v>
      </x:c>
      <x:c r="L49" s="14" t="n">
        <x:f>IF(ISNUMBER(K49),K49/I49,"")</x:f>
        <x:v>0.029714311316651875</x:v>
      </x:c>
      <x:c r="M49" s="15" t="n">
        <x:f>IF(AND(ISNUMBER(E49),ISNUMBER(F49),ISNUMBER(I49),ISNUMBER(J49)),1,0)</x:f>
        <x:v>1</x:v>
      </x:c>
      <x:c r="N49" s="15" t="n">
        <x:v>0</x:v>
      </x:c>
      <x:c r="O49" s="2" t="str">
        <x:v>3/3种子均可行</x:v>
      </x:c>
      <x:c r="P49" s="2" t="str">
        <x:v>3/3种子均可行</x:v>
      </x:c>
      <x:c r="Q49" s="2" t="str">
        <x:v>3/3种子均可行</x:v>
      </x:c>
      <x:c r="R49" s="2" t="str">
        <x:v>3/3种子均可行</x:v>
      </x:c>
    </x:row>
    <x:row r="50" ht="24" customHeight="1">
      <x:c r="A50" s="2" t="n">
        <x:v>10</x:v>
      </x:c>
      <x:c r="B50" s="2" t="str">
        <x:v>小型</x:v>
      </x:c>
      <x:c r="C50" s="2" t="str">
        <x:v>zhou_Set1_10-2-2_b1</x:v>
      </x:c>
      <x:c r="D50" s="2" t="str">
        <x:v>精确时限可行解</x:v>
      </x:c>
      <x:c r="E50" s="13" t="n">
        <x:v>298.8506832834271</x:v>
      </x:c>
      <x:c r="F50" s="13" t="n">
        <x:v>298.8506832834271</x:v>
      </x:c>
      <x:c r="G50" s="13" t="n">
        <x:f>IF(AND(ISNUMBER(E50),ISNUMBER(F50),E50&gt;0),E50-F50,"")</x:f>
        <x:v>0</x:v>
      </x:c>
      <x:c r="H50" s="14" t="n">
        <x:f>IF(ISNUMBER(G50),G50/E50,"")</x:f>
        <x:v>0</x:v>
      </x:c>
      <x:c r="I50" s="13" t="n">
        <x:v>337.73954283037364</x:v>
      </x:c>
      <x:c r="J50" s="13" t="n">
        <x:v>313.70137235255186</x:v>
      </x:c>
      <x:c r="K50" s="13" t="n">
        <x:f>IF(AND(ISNUMBER(I50),ISNUMBER(J50),I50&gt;0),I50-J50,"")</x:f>
        <x:v>24.03817047782178</x:v>
      </x:c>
      <x:c r="L50" s="14" t="n">
        <x:f>IF(ISNUMBER(K50),K50/I50,"")</x:f>
        <x:v>0.07117369282960957</x:v>
      </x:c>
      <x:c r="M50" s="15" t="n">
        <x:f>IF(AND(ISNUMBER(E50),ISNUMBER(F50),ISNUMBER(I50),ISNUMBER(J50)),1,0)</x:f>
        <x:v>1</x:v>
      </x:c>
      <x:c r="N50" s="15" t="n">
        <x:v>1</x:v>
      </x:c>
      <x:c r="O50" s="2" t="str">
        <x:v>已证最优</x:v>
      </x:c>
      <x:c r="P50" s="2" t="str">
        <x:v>已证最优</x:v>
      </x:c>
      <x:c r="Q50" s="2" t="str">
        <x:v>已证最优</x:v>
      </x:c>
      <x:c r="R50" s="2" t="str">
        <x:v>已证最优</x:v>
      </x:c>
    </x:row>
    <x:row r="51" ht="24" customHeight="1">
      <x:c r="A51" s="2" t="n">
        <x:v>10</x:v>
      </x:c>
      <x:c r="B51" s="2" t="str">
        <x:v>小型</x:v>
      </x:c>
      <x:c r="C51" s="2" t="str">
        <x:v>zhou_Set1_10-2-2_b1</x:v>
      </x:c>
      <x:c r="D51" s="2" t="str">
        <x:v>ALNS三种子最好</x:v>
      </x:c>
      <x:c r="E51" s="13" t="n">
        <x:v>298.8506832834271</x:v>
      </x:c>
      <x:c r="F51" s="13" t="n">
        <x:v>298.8506832834271</x:v>
      </x:c>
      <x:c r="G51" s="13" t="n">
        <x:f>IF(AND(ISNUMBER(E51),ISNUMBER(F51),E51&gt;0),E51-F51,"")</x:f>
        <x:v>0</x:v>
      </x:c>
      <x:c r="H51" s="14" t="n">
        <x:f>IF(ISNUMBER(G51),G51/E51,"")</x:f>
        <x:v>0</x:v>
      </x:c>
      <x:c r="I51" s="13" t="n">
        <x:v>337.7395428303737</x:v>
      </x:c>
      <x:c r="J51" s="13" t="n">
        <x:v>313.70137235255186</x:v>
      </x:c>
      <x:c r="K51" s="13" t="n">
        <x:f>IF(AND(ISNUMBER(I51),ISNUMBER(J51),I51&gt;0),I51-J51,"")</x:f>
        <x:v>24.038170477821836</x:v>
      </x:c>
      <x:c r="L51" s="14" t="n">
        <x:f>IF(ISNUMBER(K51),K51/I51,"")</x:f>
        <x:v>0.07117369282960972</x:v>
      </x:c>
      <x:c r="M51" s="15" t="n">
        <x:f>IF(AND(ISNUMBER(E51),ISNUMBER(F51),ISNUMBER(I51),ISNUMBER(J51)),1,0)</x:f>
        <x:v>1</x:v>
      </x:c>
      <x:c r="N51" s="15" t="n">
        <x:v>0</x:v>
      </x:c>
      <x:c r="O51" s="2" t="str">
        <x:v>3/3种子均可行</x:v>
      </x:c>
      <x:c r="P51" s="2" t="str">
        <x:v>3/3种子均可行</x:v>
      </x:c>
      <x:c r="Q51" s="2" t="str">
        <x:v>3/3种子均可行</x:v>
      </x:c>
      <x:c r="R51" s="2" t="str">
        <x:v>3/3种子均可行</x:v>
      </x:c>
    </x:row>
    <x:row r="52" ht="24" customHeight="1">
      <x:c r="A52" s="2" t="n">
        <x:v>10</x:v>
      </x:c>
      <x:c r="B52" s="2" t="str">
        <x:v>小型</x:v>
      </x:c>
      <x:c r="C52" s="2" t="str">
        <x:v>zhou_Set1_10-2-2_b1</x:v>
      </x:c>
      <x:c r="D52" s="2" t="str">
        <x:v>ALNS三种子均值</x:v>
      </x:c>
      <x:c r="E52" s="13" t="n">
        <x:v>298.8506832834271</x:v>
      </x:c>
      <x:c r="F52" s="13" t="n">
        <x:v>298.8506832834271</x:v>
      </x:c>
      <x:c r="G52" s="13" t="n">
        <x:f>IF(AND(ISNUMBER(E52),ISNUMBER(F52),E52&gt;0),E52-F52,"")</x:f>
        <x:v>0</x:v>
      </x:c>
      <x:c r="H52" s="14" t="n">
        <x:f>IF(ISNUMBER(G52),G52/E52,"")</x:f>
        <x:v>0</x:v>
      </x:c>
      <x:c r="I52" s="13" t="n">
        <x:v>339.0642678129173</x:v>
      </x:c>
      <x:c r="J52" s="13" t="n">
        <x:v>313.70137235255186</x:v>
      </x:c>
      <x:c r="K52" s="13" t="n">
        <x:f>IF(AND(ISNUMBER(I52),ISNUMBER(J52),I52&gt;0),I52-J52,"")</x:f>
        <x:v>25.36289546036545</x:v>
      </x:c>
      <x:c r="L52" s="14" t="n">
        <x:f>IF(ISNUMBER(K52),K52/I52,"")</x:f>
        <x:v>0.07480261964483892</x:v>
      </x:c>
      <x:c r="M52" s="15" t="n">
        <x:f>IF(AND(ISNUMBER(E52),ISNUMBER(F52),ISNUMBER(I52),ISNUMBER(J52)),1,0)</x:f>
        <x:v>1</x:v>
      </x:c>
      <x:c r="N52" s="15" t="n">
        <x:v>0</x:v>
      </x:c>
      <x:c r="O52" s="2" t="str">
        <x:v>3/3种子均可行</x:v>
      </x:c>
      <x:c r="P52" s="2" t="str">
        <x:v>3/3种子均可行</x:v>
      </x:c>
      <x:c r="Q52" s="2" t="str">
        <x:v>3/3种子均可行</x:v>
      </x:c>
      <x:c r="R52" s="2" t="str">
        <x:v>3/3种子均可行</x:v>
      </x:c>
    </x:row>
    <x:row r="53" ht="24" customHeight="1">
      <x:c r="A53" s="2" t="n">
        <x:v>10</x:v>
      </x:c>
      <x:c r="B53" s="2" t="str">
        <x:v>小型</x:v>
      </x:c>
      <x:c r="C53" s="2" t="str">
        <x:v>zhou_Set1_10-2-2_scenario02_b1</x:v>
      </x:c>
      <x:c r="D53" s="2" t="str">
        <x:v>精确时限可行解</x:v>
      </x:c>
      <x:c r="E53" s="13" t="n">
        <x:v>298.8506832834271</x:v>
      </x:c>
      <x:c r="F53" s="13" t="n">
        <x:v>298.8506832834271</x:v>
      </x:c>
      <x:c r="G53" s="13" t="n">
        <x:f>IF(AND(ISNUMBER(E53),ISNUMBER(F53),E53&gt;0),E53-F53,"")</x:f>
        <x:v>0</x:v>
      </x:c>
      <x:c r="H53" s="14" t="n">
        <x:f>IF(ISNUMBER(G53),G53/E53,"")</x:f>
        <x:v>0</x:v>
      </x:c>
      <x:c r="I53" s="13" t="n">
        <x:v>337.7395428303737</x:v>
      </x:c>
      <x:c r="J53" s="13" t="n">
        <x:v>317.44943645034715</x:v>
      </x:c>
      <x:c r="K53" s="13" t="n">
        <x:f>IF(AND(ISNUMBER(I53),ISNUMBER(J53),I53&gt;0),I53-J53,"")</x:f>
        <x:v>20.290106380026543</x:v>
      </x:c>
      <x:c r="L53" s="14" t="n">
        <x:f>IF(ISNUMBER(K53),K53/I53,"")</x:f>
        <x:v>0.06007619424716592</x:v>
      </x:c>
      <x:c r="M53" s="15" t="n">
        <x:f>IF(AND(ISNUMBER(E53),ISNUMBER(F53),ISNUMBER(I53),ISNUMBER(J53)),1,0)</x:f>
        <x:v>1</x:v>
      </x:c>
      <x:c r="N53" s="15" t="n">
        <x:v>1</x:v>
      </x:c>
      <x:c r="O53" s="2" t="str">
        <x:v>已证最优</x:v>
      </x:c>
      <x:c r="P53" s="2" t="str">
        <x:v>已证最优</x:v>
      </x:c>
      <x:c r="Q53" s="2" t="str">
        <x:v>已证最优</x:v>
      </x:c>
      <x:c r="R53" s="2" t="str">
        <x:v>已证最优</x:v>
      </x:c>
    </x:row>
    <x:row r="54" ht="24" customHeight="1">
      <x:c r="A54" s="2" t="n">
        <x:v>10</x:v>
      </x:c>
      <x:c r="B54" s="2" t="str">
        <x:v>小型</x:v>
      </x:c>
      <x:c r="C54" s="2" t="str">
        <x:v>zhou_Set1_10-2-2_scenario02_b1</x:v>
      </x:c>
      <x:c r="D54" s="2" t="str">
        <x:v>ALNS三种子最好</x:v>
      </x:c>
      <x:c r="E54" s="13" t="n">
        <x:v>298.8506832834271</x:v>
      </x:c>
      <x:c r="F54" s="13" t="n">
        <x:v>298.8506832834271</x:v>
      </x:c>
      <x:c r="G54" s="13" t="n">
        <x:f>IF(AND(ISNUMBER(E54),ISNUMBER(F54),E54&gt;0),E54-F54,"")</x:f>
        <x:v>0</x:v>
      </x:c>
      <x:c r="H54" s="14" t="n">
        <x:f>IF(ISNUMBER(G54),G54/E54,"")</x:f>
        <x:v>0</x:v>
      </x:c>
      <x:c r="I54" s="13" t="n">
        <x:v>337.7395428303737</x:v>
      </x:c>
      <x:c r="J54" s="13" t="n">
        <x:v>317.44943645034715</x:v>
      </x:c>
      <x:c r="K54" s="13" t="n">
        <x:f>IF(AND(ISNUMBER(I54),ISNUMBER(J54),I54&gt;0),I54-J54,"")</x:f>
        <x:v>20.290106380026543</x:v>
      </x:c>
      <x:c r="L54" s="14" t="n">
        <x:f>IF(ISNUMBER(K54),K54/I54,"")</x:f>
        <x:v>0.06007619424716592</x:v>
      </x:c>
      <x:c r="M54" s="15" t="n">
        <x:f>IF(AND(ISNUMBER(E54),ISNUMBER(F54),ISNUMBER(I54),ISNUMBER(J54)),1,0)</x:f>
        <x:v>1</x:v>
      </x:c>
      <x:c r="N54" s="15" t="n">
        <x:v>0</x:v>
      </x:c>
      <x:c r="O54" s="2" t="str">
        <x:v>3/3种子均可行</x:v>
      </x:c>
      <x:c r="P54" s="2" t="str">
        <x:v>3/3种子均可行</x:v>
      </x:c>
      <x:c r="Q54" s="2" t="str">
        <x:v>3/3种子均可行</x:v>
      </x:c>
      <x:c r="R54" s="2" t="str">
        <x:v>3/3种子均可行</x:v>
      </x:c>
    </x:row>
    <x:row r="55" ht="24" customHeight="1">
      <x:c r="A55" s="2" t="n">
        <x:v>10</x:v>
      </x:c>
      <x:c r="B55" s="2" t="str">
        <x:v>小型</x:v>
      </x:c>
      <x:c r="C55" s="2" t="str">
        <x:v>zhou_Set1_10-2-2_scenario02_b1</x:v>
      </x:c>
      <x:c r="D55" s="2" t="str">
        <x:v>ALNS三种子均值</x:v>
      </x:c>
      <x:c r="E55" s="13" t="n">
        <x:v>298.8506832834271</x:v>
      </x:c>
      <x:c r="F55" s="13" t="n">
        <x:v>298.8506832834271</x:v>
      </x:c>
      <x:c r="G55" s="13" t="n">
        <x:f>IF(AND(ISNUMBER(E55),ISNUMBER(F55),E55&gt;0),E55-F55,"")</x:f>
        <x:v>0</x:v>
      </x:c>
      <x:c r="H55" s="14" t="n">
        <x:f>IF(ISNUMBER(G55),G55/E55,"")</x:f>
        <x:v>0</x:v>
      </x:c>
      <x:c r="I55" s="13" t="n">
        <x:v>337.7395428303737</x:v>
      </x:c>
      <x:c r="J55" s="13" t="n">
        <x:v>317.4494364503472</x:v>
      </x:c>
      <x:c r="K55" s="13" t="n">
        <x:f>IF(AND(ISNUMBER(I55),ISNUMBER(J55),I55&gt;0),I55-J55,"")</x:f>
        <x:v>20.290106380026486</x:v>
      </x:c>
      <x:c r="L55" s="14" t="n">
        <x:f>IF(ISNUMBER(K55),K55/I55,"")</x:f>
        <x:v>0.06007619424716575</x:v>
      </x:c>
      <x:c r="M55" s="15" t="n">
        <x:f>IF(AND(ISNUMBER(E55),ISNUMBER(F55),ISNUMBER(I55),ISNUMBER(J55)),1,0)</x:f>
        <x:v>1</x:v>
      </x:c>
      <x:c r="N55" s="15" t="n">
        <x:v>0</x:v>
      </x:c>
      <x:c r="O55" s="2" t="str">
        <x:v>3/3种子均可行</x:v>
      </x:c>
      <x:c r="P55" s="2" t="str">
        <x:v>3/3种子均可行</x:v>
      </x:c>
      <x:c r="Q55" s="2" t="str">
        <x:v>3/3种子均可行</x:v>
      </x:c>
      <x:c r="R55" s="2" t="str">
        <x:v>3/3种子均可行</x:v>
      </x:c>
    </x:row>
    <x:row r="56" ht="24" customHeight="1">
      <x:c r="A56" s="2" t="n">
        <x:v>10</x:v>
      </x:c>
      <x:c r="B56" s="2" t="str">
        <x:v>小型</x:v>
      </x:c>
      <x:c r="C56" s="2" t="str">
        <x:v>zhou_Set1_10-2-2b_b1</x:v>
      </x:c>
      <x:c r="D56" s="2" t="str">
        <x:v>精确时限可行解</x:v>
      </x:c>
      <x:c r="E56" s="13" t="n">
        <x:v>286.71009615664946</x:v>
      </x:c>
      <x:c r="F56" s="13" t="n">
        <x:v>271.0702764643064</x:v>
      </x:c>
      <x:c r="G56" s="13" t="n">
        <x:f>IF(AND(ISNUMBER(E56),ISNUMBER(F56),E56&gt;0),E56-F56,"")</x:f>
        <x:v>15.639819692343053</x:v>
      </x:c>
      <x:c r="H56" s="14" t="n">
        <x:f>IF(ISNUMBER(G56),G56/E56,"")</x:f>
        <x:v>0.054549246440899465</x:v>
      </x:c>
      <x:c r="I56" s="13" t="n">
        <x:v>334.83954269192844</x:v>
      </x:c>
      <x:c r="J56" s="13" t="n">
        <x:v>299.3689378219404</x:v>
      </x:c>
      <x:c r="K56" s="13" t="n">
        <x:f>IF(AND(ISNUMBER(I56),ISNUMBER(J56),I56&gt;0),I56-J56,"")</x:f>
        <x:v>35.47060486998805</x:v>
      </x:c>
      <x:c r="L56" s="14" t="n">
        <x:f>IF(ISNUMBER(K56),K56/I56,"")</x:f>
        <x:v>0.10593314213973538</x:v>
      </x:c>
      <x:c r="M56" s="15" t="n">
        <x:f>IF(AND(ISNUMBER(E56),ISNUMBER(F56),ISNUMBER(I56),ISNUMBER(J56)),1,0)</x:f>
        <x:v>1</x:v>
      </x:c>
      <x:c r="N56" s="15" t="n">
        <x:v>1</x:v>
      </x:c>
      <x:c r="O56" s="2" t="str">
        <x:v>已证最优</x:v>
      </x:c>
      <x:c r="P56" s="2" t="str">
        <x:v>已证最优</x:v>
      </x:c>
      <x:c r="Q56" s="2" t="str">
        <x:v>已证最优</x:v>
      </x:c>
      <x:c r="R56" s="2" t="str">
        <x:v>已证最优</x:v>
      </x:c>
    </x:row>
    <x:row r="57" ht="24" customHeight="1">
      <x:c r="A57" s="2" t="n">
        <x:v>10</x:v>
      </x:c>
      <x:c r="B57" s="2" t="str">
        <x:v>小型</x:v>
      </x:c>
      <x:c r="C57" s="2" t="str">
        <x:v>zhou_Set1_10-2-2b_b1</x:v>
      </x:c>
      <x:c r="D57" s="2" t="str">
        <x:v>ALNS三种子最好</x:v>
      </x:c>
      <x:c r="E57" s="13" t="n">
        <x:v>286.7100961566494</x:v>
      </x:c>
      <x:c r="F57" s="13" t="n">
        <x:v>271.0702764643064</x:v>
      </x:c>
      <x:c r="G57" s="13" t="n">
        <x:f>IF(AND(ISNUMBER(E57),ISNUMBER(F57),E57&gt;0),E57-F57,"")</x:f>
        <x:v>15.639819692342996</x:v>
      </x:c>
      <x:c r="H57" s="14" t="n">
        <x:f>IF(ISNUMBER(G57),G57/E57,"")</x:f>
        <x:v>0.05454924644089928</x:v>
      </x:c>
      <x:c r="I57" s="13" t="n">
        <x:v>336.34474837360546</x:v>
      </x:c>
      <x:c r="J57" s="13" t="n">
        <x:v>301.6214338891137</x:v>
      </x:c>
      <x:c r="K57" s="13" t="n">
        <x:f>IF(AND(ISNUMBER(I57),ISNUMBER(J57),I57&gt;0),I57-J57,"")</x:f>
        <x:v>34.723314484491766</x:v>
      </x:c>
      <x:c r="L57" s="14" t="n">
        <x:f>IF(ISNUMBER(K57),K57/I57,"")</x:f>
        <x:v>0.10323727262695881</x:v>
      </x:c>
      <x:c r="M57" s="15" t="n">
        <x:f>IF(AND(ISNUMBER(E57),ISNUMBER(F57),ISNUMBER(I57),ISNUMBER(J57)),1,0)</x:f>
        <x:v>1</x:v>
      </x:c>
      <x:c r="N57" s="15" t="n">
        <x:v>0</x:v>
      </x:c>
      <x:c r="O57" s="2" t="str">
        <x:v>3/3种子均可行</x:v>
      </x:c>
      <x:c r="P57" s="2" t="str">
        <x:v>3/3种子均可行</x:v>
      </x:c>
      <x:c r="Q57" s="2" t="str">
        <x:v>3/3种子均可行</x:v>
      </x:c>
      <x:c r="R57" s="2" t="str">
        <x:v>3/3种子均可行</x:v>
      </x:c>
    </x:row>
    <x:row r="58" ht="24" customHeight="1">
      <x:c r="A58" s="2" t="n">
        <x:v>10</x:v>
      </x:c>
      <x:c r="B58" s="2" t="str">
        <x:v>小型</x:v>
      </x:c>
      <x:c r="C58" s="2" t="str">
        <x:v>zhou_Set1_10-2-2b_b1</x:v>
      </x:c>
      <x:c r="D58" s="2" t="str">
        <x:v>ALNS三种子均值</x:v>
      </x:c>
      <x:c r="E58" s="13" t="n">
        <x:v>286.7100961566494</x:v>
      </x:c>
      <x:c r="F58" s="13" t="n">
        <x:v>280.53597143236806</x:v>
      </x:c>
      <x:c r="G58" s="13" t="n">
        <x:f>IF(AND(ISNUMBER(E58),ISNUMBER(F58),E58&gt;0),E58-F58,"")</x:f>
        <x:v>6.1741247242813415</x:v>
      </x:c>
      <x:c r="H58" s="14" t="n">
        <x:f>IF(ISNUMBER(G58),G58/E58,"")</x:f>
        <x:v>0.02153438196647248</x:v>
      </x:c>
      <x:c r="I58" s="13" t="n">
        <x:v>343.021489854473</x:v>
      </x:c>
      <x:c r="J58" s="13" t="n">
        <x:v>301.9048339690498</x:v>
      </x:c>
      <x:c r="K58" s="13" t="n">
        <x:f>IF(AND(ISNUMBER(I58),ISNUMBER(J58),I58&gt;0),I58-J58,"")</x:f>
        <x:v>41.1166558854232</x:v>
      </x:c>
      <x:c r="L58" s="14" t="n">
        <x:f>IF(ISNUMBER(K58),K58/I58,"")</x:f>
        <x:v>0.11986612239036964</x:v>
      </x:c>
      <x:c r="M58" s="15" t="n">
        <x:f>IF(AND(ISNUMBER(E58),ISNUMBER(F58),ISNUMBER(I58),ISNUMBER(J58)),1,0)</x:f>
        <x:v>1</x:v>
      </x:c>
      <x:c r="N58" s="15" t="n">
        <x:v>0</x:v>
      </x:c>
      <x:c r="O58" s="2" t="str">
        <x:v>3/3种子均可行</x:v>
      </x:c>
      <x:c r="P58" s="2" t="str">
        <x:v>3/3种子均可行</x:v>
      </x:c>
      <x:c r="Q58" s="2" t="str">
        <x:v>3/3种子均可行</x:v>
      </x:c>
      <x:c r="R58" s="2" t="str">
        <x:v>3/3种子均可行</x:v>
      </x:c>
    </x:row>
    <x:row r="59" ht="24" customHeight="1">
      <x:c r="A59" s="2" t="n">
        <x:v>10</x:v>
      </x:c>
      <x:c r="B59" s="2" t="str">
        <x:v>小型</x:v>
      </x:c>
      <x:c r="C59" s="2" t="str">
        <x:v>zhou_Set1_10-2-2b_scenario02_b1</x:v>
      </x:c>
      <x:c r="D59" s="2" t="str">
        <x:v>精确时限可行解</x:v>
      </x:c>
      <x:c r="E59" s="13" t="n">
        <x:v>286.71009615664946</x:v>
      </x:c>
      <x:c r="F59" s="13" t="n">
        <x:v>271.0702764643064</x:v>
      </x:c>
      <x:c r="G59" s="13" t="n">
        <x:f>IF(AND(ISNUMBER(E59),ISNUMBER(F59),E59&gt;0),E59-F59,"")</x:f>
        <x:v>15.639819692343053</x:v>
      </x:c>
      <x:c r="H59" s="14" t="n">
        <x:f>IF(ISNUMBER(G59),G59/E59,"")</x:f>
        <x:v>0.054549246440899465</x:v>
      </x:c>
      <x:c r="I59" s="13" t="n">
        <x:v>336.3711320538867</x:v>
      </x:c>
      <x:c r="J59" s="13" t="n">
        <x:v>299.3689378219404</x:v>
      </x:c>
      <x:c r="K59" s="13" t="n">
        <x:f>IF(AND(ISNUMBER(I59),ISNUMBER(J59),I59&gt;0),I59-J59,"")</x:f>
        <x:v>37.002194231946305</x:v>
      </x:c>
      <x:c r="L59" s="14" t="n">
        <x:f>IF(ISNUMBER(K59),K59/I59,"")</x:f>
        <x:v>0.11000407200823212</x:v>
      </x:c>
      <x:c r="M59" s="15" t="n">
        <x:f>IF(AND(ISNUMBER(E59),ISNUMBER(F59),ISNUMBER(I59),ISNUMBER(J59)),1,0)</x:f>
        <x:v>1</x:v>
      </x:c>
      <x:c r="N59" s="15" t="n">
        <x:v>1</x:v>
      </x:c>
      <x:c r="O59" s="2" t="str">
        <x:v>已证最优</x:v>
      </x:c>
      <x:c r="P59" s="2" t="str">
        <x:v>已证最优</x:v>
      </x:c>
      <x:c r="Q59" s="2" t="str">
        <x:v>已证最优</x:v>
      </x:c>
      <x:c r="R59" s="2" t="str">
        <x:v>已证最优</x:v>
      </x:c>
    </x:row>
    <x:row r="60" ht="24" customHeight="1">
      <x:c r="A60" s="2" t="n">
        <x:v>10</x:v>
      </x:c>
      <x:c r="B60" s="2" t="str">
        <x:v>小型</x:v>
      </x:c>
      <x:c r="C60" s="2" t="str">
        <x:v>zhou_Set1_10-2-2b_scenario02_b1</x:v>
      </x:c>
      <x:c r="D60" s="2" t="str">
        <x:v>ALNS三种子最好</x:v>
      </x:c>
      <x:c r="E60" s="13" t="n">
        <x:v>286.7100961566494</x:v>
      </x:c>
      <x:c r="F60" s="13" t="n">
        <x:v>271.0702764643064</x:v>
      </x:c>
      <x:c r="G60" s="13" t="n">
        <x:f>IF(AND(ISNUMBER(E60),ISNUMBER(F60),E60&gt;0),E60-F60,"")</x:f>
        <x:v>15.639819692342996</x:v>
      </x:c>
      <x:c r="H60" s="14" t="n">
        <x:f>IF(ISNUMBER(G60),G60/E60,"")</x:f>
        <x:v>0.05454924644089928</x:v>
      </x:c>
      <x:c r="I60" s="13" t="n">
        <x:v>336.37113205388664</x:v>
      </x:c>
      <x:c r="J60" s="13" t="n">
        <x:v>301.6214338891137</x:v>
      </x:c>
      <x:c r="K60" s="13" t="n">
        <x:f>IF(AND(ISNUMBER(I60),ISNUMBER(J60),I60&gt;0),I60-J60,"")</x:f>
        <x:v>34.74969816477295</x:v>
      </x:c>
      <x:c r="L60" s="14" t="n">
        <x:f>IF(ISNUMBER(K60),K60/I60,"")</x:f>
        <x:v>0.10330761130597274</x:v>
      </x:c>
      <x:c r="M60" s="15" t="n">
        <x:f>IF(AND(ISNUMBER(E60),ISNUMBER(F60),ISNUMBER(I60),ISNUMBER(J60)),1,0)</x:f>
        <x:v>1</x:v>
      </x:c>
      <x:c r="N60" s="15" t="n">
        <x:v>0</x:v>
      </x:c>
      <x:c r="O60" s="2" t="str">
        <x:v>3/3种子均可行</x:v>
      </x:c>
      <x:c r="P60" s="2" t="str">
        <x:v>3/3种子均可行</x:v>
      </x:c>
      <x:c r="Q60" s="2" t="str">
        <x:v>3/3种子均可行</x:v>
      </x:c>
      <x:c r="R60" s="2" t="str">
        <x:v>3/3种子均可行</x:v>
      </x:c>
    </x:row>
    <x:row r="61" ht="24" customHeight="1">
      <x:c r="A61" s="2" t="n">
        <x:v>10</x:v>
      </x:c>
      <x:c r="B61" s="2" t="str">
        <x:v>小型</x:v>
      </x:c>
      <x:c r="C61" s="2" t="str">
        <x:v>zhou_Set1_10-2-2b_scenario02_b1</x:v>
      </x:c>
      <x:c r="D61" s="2" t="str">
        <x:v>ALNS三种子均值</x:v>
      </x:c>
      <x:c r="E61" s="13" t="n">
        <x:v>286.7100961566494</x:v>
      </x:c>
      <x:c r="F61" s="13" t="n">
        <x:v>280.53597143236806</x:v>
      </x:c>
      <x:c r="G61" s="13" t="n">
        <x:f>IF(AND(ISNUMBER(E61),ISNUMBER(F61),E61&gt;0),E61-F61,"")</x:f>
        <x:v>6.1741247242813415</x:v>
      </x:c>
      <x:c r="H61" s="14" t="n">
        <x:f>IF(ISNUMBER(G61),G61/E61,"")</x:f>
        <x:v>0.02153438196647248</x:v>
      </x:c>
      <x:c r="I61" s="13" t="n">
        <x:v>336.95397398242085</x:v>
      </x:c>
      <x:c r="J61" s="13" t="n">
        <x:v>302.9420788416225</x:v>
      </x:c>
      <x:c r="K61" s="13" t="n">
        <x:f>IF(AND(ISNUMBER(I61),ISNUMBER(J61),I61&gt;0),I61-J61,"")</x:f>
        <x:v>34.011895140798345</x:v>
      </x:c>
      <x:c r="L61" s="14" t="n">
        <x:f>IF(ISNUMBER(K61),K61/I61,"")</x:f>
        <x:v>0.10093929072512667</x:v>
      </x:c>
      <x:c r="M61" s="15" t="n">
        <x:f>IF(AND(ISNUMBER(E61),ISNUMBER(F61),ISNUMBER(I61),ISNUMBER(J61)),1,0)</x:f>
        <x:v>1</x:v>
      </x:c>
      <x:c r="N61" s="15" t="n">
        <x:v>0</x:v>
      </x:c>
      <x:c r="O61" s="2" t="str">
        <x:v>3/3种子均可行</x:v>
      </x:c>
      <x:c r="P61" s="2" t="str">
        <x:v>3/3种子均可行</x:v>
      </x:c>
      <x:c r="Q61" s="2" t="str">
        <x:v>3/3种子均可行</x:v>
      </x:c>
      <x:c r="R61" s="2" t="str">
        <x:v>3/3种子均可行</x:v>
      </x:c>
    </x:row>
    <x:row r="62" ht="24" customHeight="1">
      <x:c r="A62" s="2" t="n">
        <x:v>10</x:v>
      </x:c>
      <x:c r="B62" s="2" t="str">
        <x:v>小型</x:v>
      </x:c>
      <x:c r="C62" s="2" t="str">
        <x:v>zhou_Set1_10-2-3_b1</x:v>
      </x:c>
      <x:c r="D62" s="2" t="str">
        <x:v>精确时限可行解</x:v>
      </x:c>
      <x:c r="E62" s="13" t="n">
        <x:v>313.85135234972824</x:v>
      </x:c>
      <x:c r="F62" s="13" t="n">
        <x:v>280.1643723492038</x:v>
      </x:c>
      <x:c r="G62" s="13" t="n">
        <x:f>IF(AND(ISNUMBER(E62),ISNUMBER(F62),E62&gt;0),E62-F62,"")</x:f>
        <x:v>33.68698000052444</x:v>
      </x:c>
      <x:c r="H62" s="14" t="n">
        <x:f>IF(ISNUMBER(G62),G62/E62,"")</x:f>
        <x:v>0.10733418781954664</x:v>
      </x:c>
      <x:c r="I62" s="13" t="n">
        <x:v>324.06478635740575</x:v>
      </x:c>
      <x:c r="J62" s="13" t="n">
        <x:v>314.78425012226455</x:v>
      </x:c>
      <x:c r="K62" s="13" t="n">
        <x:f>IF(AND(ISNUMBER(I62),ISNUMBER(J62),I62&gt;0),I62-J62,"")</x:f>
        <x:v>9.280536235141199</x:v>
      </x:c>
      <x:c r="L62" s="14" t="n">
        <x:f>IF(ISNUMBER(K62),K62/I62,"")</x:f>
        <x:v>0.02863790398042769</x:v>
      </x:c>
      <x:c r="M62" s="15" t="n">
        <x:f>IF(AND(ISNUMBER(E62),ISNUMBER(F62),ISNUMBER(I62),ISNUMBER(J62)),1,0)</x:f>
        <x:v>1</x:v>
      </x:c>
      <x:c r="N62" s="15" t="n">
        <x:v>1</x:v>
      </x:c>
      <x:c r="O62" s="2" t="str">
        <x:v>已证最优</x:v>
      </x:c>
      <x:c r="P62" s="2" t="str">
        <x:v>已证最优</x:v>
      </x:c>
      <x:c r="Q62" s="2" t="str">
        <x:v>已证最优</x:v>
      </x:c>
      <x:c r="R62" s="2" t="str">
        <x:v>已证最优</x:v>
      </x:c>
    </x:row>
    <x:row r="63" ht="24" customHeight="1">
      <x:c r="A63" s="2" t="n">
        <x:v>10</x:v>
      </x:c>
      <x:c r="B63" s="2" t="str">
        <x:v>小型</x:v>
      </x:c>
      <x:c r="C63" s="2" t="str">
        <x:v>zhou_Set1_10-2-3_b1</x:v>
      </x:c>
      <x:c r="D63" s="2" t="str">
        <x:v>ALNS三种子最好</x:v>
      </x:c>
      <x:c r="E63" s="13" t="n">
        <x:v>313.85135234972824</x:v>
      </x:c>
      <x:c r="F63" s="13" t="n">
        <x:v>280.16437234920375</x:v>
      </x:c>
      <x:c r="G63" s="13" t="n">
        <x:f>IF(AND(ISNUMBER(E63),ISNUMBER(F63),E63&gt;0),E63-F63,"")</x:f>
        <x:v>33.6869800005245</x:v>
      </x:c>
      <x:c r="H63" s="14" t="n">
        <x:f>IF(ISNUMBER(G63),G63/E63,"")</x:f>
        <x:v>0.10733418781954682</x:v>
      </x:c>
      <x:c r="I63" s="13" t="n">
        <x:v>324.0647863574058</x:v>
      </x:c>
      <x:c r="J63" s="13" t="n">
        <x:v>314.78425012226455</x:v>
      </x:c>
      <x:c r="K63" s="13" t="n">
        <x:f>IF(AND(ISNUMBER(I63),ISNUMBER(J63),I63&gt;0),I63-J63,"")</x:f>
        <x:v>9.280536235141255</x:v>
      </x:c>
      <x:c r="L63" s="14" t="n">
        <x:f>IF(ISNUMBER(K63),K63/I63,"")</x:f>
        <x:v>0.02863790398042786</x:v>
      </x:c>
      <x:c r="M63" s="15" t="n">
        <x:f>IF(AND(ISNUMBER(E63),ISNUMBER(F63),ISNUMBER(I63),ISNUMBER(J63)),1,0)</x:f>
        <x:v>1</x:v>
      </x:c>
      <x:c r="N63" s="15" t="n">
        <x:v>0</x:v>
      </x:c>
      <x:c r="O63" s="2" t="str">
        <x:v>3/3种子均可行</x:v>
      </x:c>
      <x:c r="P63" s="2" t="str">
        <x:v>3/3种子均可行</x:v>
      </x:c>
      <x:c r="Q63" s="2" t="str">
        <x:v>3/3种子均可行</x:v>
      </x:c>
      <x:c r="R63" s="2" t="str">
        <x:v>3/3种子均可行</x:v>
      </x:c>
    </x:row>
    <x:row r="64" ht="24" customHeight="1">
      <x:c r="A64" s="2" t="n">
        <x:v>10</x:v>
      </x:c>
      <x:c r="B64" s="2" t="str">
        <x:v>小型</x:v>
      </x:c>
      <x:c r="C64" s="2" t="str">
        <x:v>zhou_Set1_10-2-3_b1</x:v>
      </x:c>
      <x:c r="D64" s="2" t="str">
        <x:v>ALNS三种子均值</x:v>
      </x:c>
      <x:c r="E64" s="13" t="n">
        <x:v>313.85135234972824</x:v>
      </x:c>
      <x:c r="F64" s="13" t="n">
        <x:v>284.1252731639629</x:v>
      </x:c>
      <x:c r="G64" s="13" t="n">
        <x:f>IF(AND(ISNUMBER(E64),ISNUMBER(F64),E64&gt;0),E64-F64,"")</x:f>
        <x:v>29.726079185765343</x:v>
      </x:c>
      <x:c r="H64" s="14" t="n">
        <x:f>IF(ISNUMBER(G64),G64/E64,"")</x:f>
        <x:v>0.09471387955863012</x:v>
      </x:c>
      <x:c r="I64" s="13" t="n">
        <x:v>324.0647863574058</x:v>
      </x:c>
      <x:c r="J64" s="13" t="n">
        <x:v>314.9990446638302</x:v>
      </x:c>
      <x:c r="K64" s="13" t="n">
        <x:f>IF(AND(ISNUMBER(I64),ISNUMBER(J64),I64&gt;0),I64-J64,"")</x:f>
        <x:v>9.065741693575603</x:v>
      </x:c>
      <x:c r="L64" s="14" t="n">
        <x:f>IF(ISNUMBER(K64),K64/I64,"")</x:f>
        <x:v>0.027975090399291774</x:v>
      </x:c>
      <x:c r="M64" s="15" t="n">
        <x:f>IF(AND(ISNUMBER(E64),ISNUMBER(F64),ISNUMBER(I64),ISNUMBER(J64)),1,0)</x:f>
        <x:v>1</x:v>
      </x:c>
      <x:c r="N64" s="15" t="n">
        <x:v>0</x:v>
      </x:c>
      <x:c r="O64" s="2" t="str">
        <x:v>3/3种子均可行</x:v>
      </x:c>
      <x:c r="P64" s="2" t="str">
        <x:v>3/3种子均可行</x:v>
      </x:c>
      <x:c r="Q64" s="2" t="str">
        <x:v>3/3种子均可行</x:v>
      </x:c>
      <x:c r="R64" s="2" t="str">
        <x:v>3/3种子均可行</x:v>
      </x:c>
    </x:row>
    <x:row r="65" ht="24" customHeight="1">
      <x:c r="A65" s="2" t="n">
        <x:v>10</x:v>
      </x:c>
      <x:c r="B65" s="2" t="str">
        <x:v>小型</x:v>
      </x:c>
      <x:c r="C65" s="2" t="str">
        <x:v>zhou_Set1_10-2-3_scenario02_b1</x:v>
      </x:c>
      <x:c r="D65" s="2" t="str">
        <x:v>精确时限可行解</x:v>
      </x:c>
      <x:c r="E65" s="13" t="n">
        <x:v>313.85135234972824</x:v>
      </x:c>
      <x:c r="F65" s="13" t="n">
        <x:v>280.16437234920375</x:v>
      </x:c>
      <x:c r="G65" s="13" t="n">
        <x:f>IF(AND(ISNUMBER(E65),ISNUMBER(F65),E65&gt;0),E65-F65,"")</x:f>
        <x:v>33.6869800005245</x:v>
      </x:c>
      <x:c r="H65" s="14" t="n">
        <x:f>IF(ISNUMBER(G65),G65/E65,"")</x:f>
        <x:v>0.10733418781954682</x:v>
      </x:c>
      <x:c r="I65" s="13" t="n">
        <x:v>324.0647863574058</x:v>
      </x:c>
      <x:c r="J65" s="13" t="n">
        <x:v>310.9056704096689</x:v>
      </x:c>
      <x:c r="K65" s="13" t="n">
        <x:f>IF(AND(ISNUMBER(I65),ISNUMBER(J65),I65&gt;0),I65-J65,"")</x:f>
        <x:v>13.159115947736893</x:v>
      </x:c>
      <x:c r="L65" s="14" t="n">
        <x:f>IF(ISNUMBER(K65),K65/I65,"")</x:f>
        <x:v>0.04060643581689224</x:v>
      </x:c>
      <x:c r="M65" s="15" t="n">
        <x:f>IF(AND(ISNUMBER(E65),ISNUMBER(F65),ISNUMBER(I65),ISNUMBER(J65)),1,0)</x:f>
        <x:v>1</x:v>
      </x:c>
      <x:c r="N65" s="15" t="n">
        <x:v>1</x:v>
      </x:c>
      <x:c r="O65" s="2" t="str">
        <x:v>已证最优</x:v>
      </x:c>
      <x:c r="P65" s="2" t="str">
        <x:v>已证最优</x:v>
      </x:c>
      <x:c r="Q65" s="2" t="str">
        <x:v>已证最优</x:v>
      </x:c>
      <x:c r="R65" s="2" t="str">
        <x:v>已证最优</x:v>
      </x:c>
    </x:row>
    <x:row r="66" ht="24" customHeight="1">
      <x:c r="A66" s="2" t="n">
        <x:v>10</x:v>
      </x:c>
      <x:c r="B66" s="2" t="str">
        <x:v>小型</x:v>
      </x:c>
      <x:c r="C66" s="2" t="str">
        <x:v>zhou_Set1_10-2-3_scenario02_b1</x:v>
      </x:c>
      <x:c r="D66" s="2" t="str">
        <x:v>ALNS三种子最好</x:v>
      </x:c>
      <x:c r="E66" s="13" t="n">
        <x:v>313.85135234972824</x:v>
      </x:c>
      <x:c r="F66" s="13" t="n">
        <x:v>280.16437234920375</x:v>
      </x:c>
      <x:c r="G66" s="13" t="n">
        <x:f>IF(AND(ISNUMBER(E66),ISNUMBER(F66),E66&gt;0),E66-F66,"")</x:f>
        <x:v>33.6869800005245</x:v>
      </x:c>
      <x:c r="H66" s="14" t="n">
        <x:f>IF(ISNUMBER(G66),G66/E66,"")</x:f>
        <x:v>0.10733418781954682</x:v>
      </x:c>
      <x:c r="I66" s="13" t="n">
        <x:v>324.0647863574058</x:v>
      </x:c>
      <x:c r="J66" s="13" t="n">
        <x:v>311.6016056774623</x:v>
      </x:c>
      <x:c r="K66" s="13" t="n">
        <x:f>IF(AND(ISNUMBER(I66),ISNUMBER(J66),I66&gt;0),I66-J66,"")</x:f>
        <x:v>12.463180679943491</x:v>
      </x:c>
      <x:c r="L66" s="14" t="n">
        <x:f>IF(ISNUMBER(K66),K66/I66,"")</x:f>
        <x:v>0.038458916872868905</x:v>
      </x:c>
      <x:c r="M66" s="15" t="n">
        <x:f>IF(AND(ISNUMBER(E66),ISNUMBER(F66),ISNUMBER(I66),ISNUMBER(J66)),1,0)</x:f>
        <x:v>1</x:v>
      </x:c>
      <x:c r="N66" s="15" t="n">
        <x:v>0</x:v>
      </x:c>
      <x:c r="O66" s="2" t="str">
        <x:v>3/3种子均可行</x:v>
      </x:c>
      <x:c r="P66" s="2" t="str">
        <x:v>3/3种子均可行</x:v>
      </x:c>
      <x:c r="Q66" s="2" t="str">
        <x:v>3/3种子均可行</x:v>
      </x:c>
      <x:c r="R66" s="2" t="str">
        <x:v>3/3种子均可行</x:v>
      </x:c>
    </x:row>
    <x:row r="67" ht="24" customHeight="1">
      <x:c r="A67" s="2" t="n">
        <x:v>10</x:v>
      </x:c>
      <x:c r="B67" s="2" t="str">
        <x:v>小型</x:v>
      </x:c>
      <x:c r="C67" s="2" t="str">
        <x:v>zhou_Set1_10-2-3_scenario02_b1</x:v>
      </x:c>
      <x:c r="D67" s="2" t="str">
        <x:v>ALNS三种子均值</x:v>
      </x:c>
      <x:c r="E67" s="13" t="n">
        <x:v>313.85135234972824</x:v>
      </x:c>
      <x:c r="F67" s="13" t="n">
        <x:v>284.1252731639629</x:v>
      </x:c>
      <x:c r="G67" s="13" t="n">
        <x:f>IF(AND(ISNUMBER(E67),ISNUMBER(F67),E67&gt;0),E67-F67,"")</x:f>
        <x:v>29.726079185765343</x:v>
      </x:c>
      <x:c r="H67" s="14" t="n">
        <x:f>IF(ISNUMBER(G67),G67/E67,"")</x:f>
        <x:v>0.09471387955863012</x:v>
      </x:c>
      <x:c r="I67" s="13" t="n">
        <x:v>324.0647863574058</x:v>
      </x:c>
      <x:c r="J67" s="13" t="n">
        <x:v>311.6016056774624</x:v>
      </x:c>
      <x:c r="K67" s="13" t="n">
        <x:f>IF(AND(ISNUMBER(I67),ISNUMBER(J67),I67&gt;0),I67-J67,"")</x:f>
        <x:v>12.463180679943434</x:v>
      </x:c>
      <x:c r="L67" s="14" t="n">
        <x:f>IF(ISNUMBER(K67),K67/I67,"")</x:f>
        <x:v>0.03845891687286873</x:v>
      </x:c>
      <x:c r="M67" s="15" t="n">
        <x:f>IF(AND(ISNUMBER(E67),ISNUMBER(F67),ISNUMBER(I67),ISNUMBER(J67)),1,0)</x:f>
        <x:v>1</x:v>
      </x:c>
      <x:c r="N67" s="15" t="n">
        <x:v>0</x:v>
      </x:c>
      <x:c r="O67" s="2" t="str">
        <x:v>3/3种子均可行</x:v>
      </x:c>
      <x:c r="P67" s="2" t="str">
        <x:v>3/3种子均可行</x:v>
      </x:c>
      <x:c r="Q67" s="2" t="str">
        <x:v>3/3种子均可行</x:v>
      </x:c>
      <x:c r="R67" s="2" t="str">
        <x:v>3/3种子均可行</x:v>
      </x:c>
    </x:row>
    <x:row r="68" ht="24" customHeight="1">
      <x:c r="A68" s="2" t="n">
        <x:v>12</x:v>
      </x:c>
      <x:c r="B68" s="2" t="str">
        <x:v>小型</x:v>
      </x:c>
      <x:c r="C68" s="2" t="str">
        <x:v>zhou_Set1_12-2-1_b1</x:v>
      </x:c>
      <x:c r="D68" s="2" t="str">
        <x:v>精确时限可行解</x:v>
      </x:c>
      <x:c r="E68" s="13" t="n">
        <x:v>339.6265595879204</x:v>
      </x:c>
      <x:c r="F68" s="13" t="n">
        <x:v>280.92145356428466</x:v>
      </x:c>
      <x:c r="G68" s="13" t="n">
        <x:f>IF(AND(ISNUMBER(E68),ISNUMBER(F68),E68&gt;0),E68-F68,"")</x:f>
        <x:v>58.70510602363572</x:v>
      </x:c>
      <x:c r="H68" s="14" t="n">
        <x:f>IF(ISNUMBER(G68),G68/E68,"")</x:f>
        <x:v>0.17285192917439812</x:v>
      </x:c>
      <x:c r="I68" s="13" t="n">
        <x:v>355.9510813309421</x:v>
      </x:c>
      <x:c r="J68" s="13" t="n">
        <x:v>340.08215742632177</x:v>
      </x:c>
      <x:c r="K68" s="13" t="n">
        <x:f>IF(AND(ISNUMBER(I68),ISNUMBER(J68),I68&gt;0),I68-J68,"")</x:f>
        <x:v>15.868923904620317</x:v>
      </x:c>
      <x:c r="L68" s="14" t="n">
        <x:f>IF(ISNUMBER(K68),K68/I68,"")</x:f>
        <x:v>0.04458175501331414</x:v>
      </x:c>
      <x:c r="M68" s="15" t="n">
        <x:f>IF(AND(ISNUMBER(E68),ISNUMBER(F68),ISNUMBER(I68),ISNUMBER(J68)),1,0)</x:f>
        <x:v>1</x:v>
      </x:c>
      <x:c r="N68" s="15" t="n">
        <x:v>0</x:v>
      </x:c>
      <x:c r="O68" s="2" t="str">
        <x:v>已证最优</x:v>
      </x:c>
      <x:c r="P68" s="2" t="str">
        <x:v>已证最优</x:v>
      </x:c>
      <x:c r="Q68" s="2" t="str">
        <x:v>已证最优</x:v>
      </x:c>
      <x:c r="R68" s="2" t="str">
        <x:v>可行未证最优</x:v>
      </x:c>
    </x:row>
    <x:row r="69" ht="24" customHeight="1">
      <x:c r="A69" s="2" t="n">
        <x:v>12</x:v>
      </x:c>
      <x:c r="B69" s="2" t="str">
        <x:v>小型</x:v>
      </x:c>
      <x:c r="C69" s="2" t="str">
        <x:v>zhou_Set1_12-2-1_b1</x:v>
      </x:c>
      <x:c r="D69" s="2" t="str">
        <x:v>ALNS三种子最好</x:v>
      </x:c>
      <x:c r="E69" s="13" t="n">
        <x:v>339.6265595879203</x:v>
      </x:c>
      <x:c r="F69" s="13" t="n">
        <x:v>331.2408696678021</x:v>
      </x:c>
      <x:c r="G69" s="13" t="n">
        <x:f>IF(AND(ISNUMBER(E69),ISNUMBER(F69),E69&gt;0),E69-F69,"")</x:f>
        <x:v>8.385689920118239</x:v>
      </x:c>
      <x:c r="H69" s="14" t="n">
        <x:f>IF(ISNUMBER(G69),G69/E69,"")</x:f>
        <x:v>0.02469091324981433</x:v>
      </x:c>
      <x:c r="I69" s="13" t="n">
        <x:v>355.95108133094203</x:v>
      </x:c>
      <x:c r="J69" s="13" t="n">
        <x:v>340.0821574263218</x:v>
      </x:c>
      <x:c r="K69" s="13" t="n">
        <x:f>IF(AND(ISNUMBER(I69),ISNUMBER(J69),I69&gt;0),I69-J69,"")</x:f>
        <x:v>15.868923904620203</x:v>
      </x:c>
      <x:c r="L69" s="14" t="n">
        <x:f>IF(ISNUMBER(K69),K69/I69,"")</x:f>
        <x:v>0.04458175501331383</x:v>
      </x:c>
      <x:c r="M69" s="15" t="n">
        <x:f>IF(AND(ISNUMBER(E69),ISNUMBER(F69),ISNUMBER(I69),ISNUMBER(J69)),1,0)</x:f>
        <x:v>1</x:v>
      </x:c>
      <x:c r="N69" s="15" t="n">
        <x:v>0</x:v>
      </x:c>
      <x:c r="O69" s="2" t="str">
        <x:v>3/3种子均可行</x:v>
      </x:c>
      <x:c r="P69" s="2" t="str">
        <x:v>3/3种子均可行</x:v>
      </x:c>
      <x:c r="Q69" s="2" t="str">
        <x:v>3/3种子均可行</x:v>
      </x:c>
      <x:c r="R69" s="2" t="str">
        <x:v>3/3种子均可行</x:v>
      </x:c>
    </x:row>
    <x:row r="70" ht="24" customHeight="1">
      <x:c r="A70" s="2" t="n">
        <x:v>12</x:v>
      </x:c>
      <x:c r="B70" s="2" t="str">
        <x:v>小型</x:v>
      </x:c>
      <x:c r="C70" s="2" t="str">
        <x:v>zhou_Set1_12-2-1_b1</x:v>
      </x:c>
      <x:c r="D70" s="2" t="str">
        <x:v>ALNS三种子均值</x:v>
      </x:c>
      <x:c r="E70" s="13" t="n">
        <x:v>339.6265595879204</x:v>
      </x:c>
      <x:c r="F70" s="13" t="n">
        <x:v>336.8313296145476</x:v>
      </x:c>
      <x:c r="G70" s="13" t="n">
        <x:f>IF(AND(ISNUMBER(E70),ISNUMBER(F70),E70&gt;0),E70-F70,"")</x:f>
        <x:v>2.795229973372784</x:v>
      </x:c>
      <x:c r="H70" s="14" t="n">
        <x:f>IF(ISNUMBER(G70),G70/E70,"")</x:f>
        <x:v>0.008230304416604887</x:v>
      </x:c>
      <x:c r="I70" s="13" t="n">
        <x:v>355.9510813309421</x:v>
      </x:c>
      <x:c r="J70" s="13" t="n">
        <x:v>343.0492331330417</x:v>
      </x:c>
      <x:c r="K70" s="13" t="n">
        <x:f>IF(AND(ISNUMBER(I70),ISNUMBER(J70),I70&gt;0),I70-J70,"")</x:f>
        <x:v>12.901848197900392</x:v>
      </x:c>
      <x:c r="L70" s="14" t="n">
        <x:f>IF(ISNUMBER(K70),K70/I70,"")</x:f>
        <x:v>0.03624612727585739</x:v>
      </x:c>
      <x:c r="M70" s="15" t="n">
        <x:f>IF(AND(ISNUMBER(E70),ISNUMBER(F70),ISNUMBER(I70),ISNUMBER(J70)),1,0)</x:f>
        <x:v>1</x:v>
      </x:c>
      <x:c r="N70" s="15" t="n">
        <x:v>0</x:v>
      </x:c>
      <x:c r="O70" s="2" t="str">
        <x:v>3/3种子均可行</x:v>
      </x:c>
      <x:c r="P70" s="2" t="str">
        <x:v>3/3种子均可行</x:v>
      </x:c>
      <x:c r="Q70" s="2" t="str">
        <x:v>3/3种子均可行</x:v>
      </x:c>
      <x:c r="R70" s="2" t="str">
        <x:v>3/3种子均可行</x:v>
      </x:c>
    </x:row>
    <x:row r="71" ht="24" customHeight="1">
      <x:c r="A71" s="2" t="n">
        <x:v>12</x:v>
      </x:c>
      <x:c r="B71" s="2" t="str">
        <x:v>小型</x:v>
      </x:c>
      <x:c r="C71" s="2" t="str">
        <x:v>zhou_Set1_12-2-1_scenario02_b1</x:v>
      </x:c>
      <x:c r="D71" s="2" t="str">
        <x:v>精确时限可行解</x:v>
      </x:c>
      <x:c r="E71" s="13" t="n">
        <x:v>339.6265595879204</x:v>
      </x:c>
      <x:c r="F71" s="13" t="n">
        <x:v>280.92145356428466</x:v>
      </x:c>
      <x:c r="G71" s="13" t="n">
        <x:f>IF(AND(ISNUMBER(E71),ISNUMBER(F71),E71&gt;0),E71-F71,"")</x:f>
        <x:v>58.70510602363572</x:v>
      </x:c>
      <x:c r="H71" s="14" t="n">
        <x:f>IF(ISNUMBER(G71),G71/E71,"")</x:f>
        <x:v>0.17285192917439812</x:v>
      </x:c>
      <x:c r="I71" s="13" t="n">
        <x:v>355.9510813309421</x:v>
      </x:c>
      <x:c r="J71" s="13" t="n">
        <x:v>343.46658378717166</x:v>
      </x:c>
      <x:c r="K71" s="13" t="n">
        <x:f>IF(AND(ISNUMBER(I71),ISNUMBER(J71),I71&gt;0),I71-J71,"")</x:f>
        <x:v>12.48449754377043</x:v>
      </x:c>
      <x:c r="L71" s="14" t="n">
        <x:f>IF(ISNUMBER(K71),K71/I71,"")</x:f>
        <x:v>0.035073632862946943</x:v>
      </x:c>
      <x:c r="M71" s="15" t="n">
        <x:f>IF(AND(ISNUMBER(E71),ISNUMBER(F71),ISNUMBER(I71),ISNUMBER(J71)),1,0)</x:f>
        <x:v>1</x:v>
      </x:c>
      <x:c r="N71" s="15" t="n">
        <x:v>0</x:v>
      </x:c>
      <x:c r="O71" s="2" t="str">
        <x:v>已证最优</x:v>
      </x:c>
      <x:c r="P71" s="2" t="str">
        <x:v>已证最优</x:v>
      </x:c>
      <x:c r="Q71" s="2" t="str">
        <x:v>已证最优</x:v>
      </x:c>
      <x:c r="R71" s="2" t="str">
        <x:v>可行未证最优</x:v>
      </x:c>
    </x:row>
    <x:row r="72" ht="24" customHeight="1">
      <x:c r="A72" s="2" t="n">
        <x:v>12</x:v>
      </x:c>
      <x:c r="B72" s="2" t="str">
        <x:v>小型</x:v>
      </x:c>
      <x:c r="C72" s="2" t="str">
        <x:v>zhou_Set1_12-2-1_scenario02_b1</x:v>
      </x:c>
      <x:c r="D72" s="2" t="str">
        <x:v>ALNS三种子最好</x:v>
      </x:c>
      <x:c r="E72" s="13" t="n">
        <x:v>339.6265595879203</x:v>
      </x:c>
      <x:c r="F72" s="13" t="n">
        <x:v>331.2408696678021</x:v>
      </x:c>
      <x:c r="G72" s="13" t="n">
        <x:f>IF(AND(ISNUMBER(E72),ISNUMBER(F72),E72&gt;0),E72-F72,"")</x:f>
        <x:v>8.385689920118239</x:v>
      </x:c>
      <x:c r="H72" s="14" t="n">
        <x:f>IF(ISNUMBER(G72),G72/E72,"")</x:f>
        <x:v>0.02469091324981433</x:v>
      </x:c>
      <x:c r="I72" s="13" t="n">
        <x:v>355.9510813309421</x:v>
      </x:c>
      <x:c r="J72" s="13" t="n">
        <x:v>344.9974592263681</x:v>
      </x:c>
      <x:c r="K72" s="13" t="n">
        <x:f>IF(AND(ISNUMBER(I72),ISNUMBER(J72),I72&gt;0),I72-J72,"")</x:f>
        <x:v>10.95362210457398</x:v>
      </x:c>
      <x:c r="L72" s="14" t="n">
        <x:f>IF(ISNUMBER(K72),K72/I72,"")</x:f>
        <x:v>0.030772829973200605</x:v>
      </x:c>
      <x:c r="M72" s="15" t="n">
        <x:f>IF(AND(ISNUMBER(E72),ISNUMBER(F72),ISNUMBER(I72),ISNUMBER(J72)),1,0)</x:f>
        <x:v>1</x:v>
      </x:c>
      <x:c r="N72" s="15" t="n">
        <x:v>0</x:v>
      </x:c>
      <x:c r="O72" s="2" t="str">
        <x:v>3/3种子均可行</x:v>
      </x:c>
      <x:c r="P72" s="2" t="str">
        <x:v>3/3种子均可行</x:v>
      </x:c>
      <x:c r="Q72" s="2" t="str">
        <x:v>3/3种子均可行</x:v>
      </x:c>
      <x:c r="R72" s="2" t="str">
        <x:v>3/3种子均可行</x:v>
      </x:c>
    </x:row>
    <x:row r="73" ht="24" customHeight="1">
      <x:c r="A73" s="2" t="n">
        <x:v>12</x:v>
      </x:c>
      <x:c r="B73" s="2" t="str">
        <x:v>小型</x:v>
      </x:c>
      <x:c r="C73" s="2" t="str">
        <x:v>zhou_Set1_12-2-1_scenario02_b1</x:v>
      </x:c>
      <x:c r="D73" s="2" t="str">
        <x:v>ALNS三种子均值</x:v>
      </x:c>
      <x:c r="E73" s="13" t="n">
        <x:v>339.6265595879204</x:v>
      </x:c>
      <x:c r="F73" s="13" t="n">
        <x:v>336.8313296145476</x:v>
      </x:c>
      <x:c r="G73" s="13" t="n">
        <x:f>IF(AND(ISNUMBER(E73),ISNUMBER(F73),E73&gt;0),E73-F73,"")</x:f>
        <x:v>2.795229973372784</x:v>
      </x:c>
      <x:c r="H73" s="14" t="n">
        <x:f>IF(ISNUMBER(G73),G73/E73,"")</x:f>
        <x:v>0.008230304416604887</x:v>
      </x:c>
      <x:c r="I73" s="13" t="n">
        <x:v>355.9510813309421</x:v>
      </x:c>
      <x:c r="J73" s="13" t="n">
        <x:v>345.3094335674676</x:v>
      </x:c>
      <x:c r="K73" s="13" t="n">
        <x:f>IF(AND(ISNUMBER(I73),ISNUMBER(J73),I73&gt;0),I73-J73,"")</x:f>
        <x:v>10.64164776347451</x:v>
      </x:c>
      <x:c r="L73" s="14" t="n">
        <x:f>IF(ISNUMBER(K73),K73/I73,"")</x:f>
        <x:v>0.02989637711924954</x:v>
      </x:c>
      <x:c r="M73" s="15" t="n">
        <x:f>IF(AND(ISNUMBER(E73),ISNUMBER(F73),ISNUMBER(I73),ISNUMBER(J73)),1,0)</x:f>
        <x:v>1</x:v>
      </x:c>
      <x:c r="N73" s="15" t="n">
        <x:v>0</x:v>
      </x:c>
      <x:c r="O73" s="2" t="str">
        <x:v>3/3种子均可行</x:v>
      </x:c>
      <x:c r="P73" s="2" t="str">
        <x:v>3/3种子均可行</x:v>
      </x:c>
      <x:c r="Q73" s="2" t="str">
        <x:v>3/3种子均可行</x:v>
      </x:c>
      <x:c r="R73" s="2" t="str">
        <x:v>3/3种子均可行</x:v>
      </x:c>
    </x:row>
    <x:row r="74" ht="24" customHeight="1">
      <x:c r="A74" s="2" t="n">
        <x:v>12</x:v>
      </x:c>
      <x:c r="B74" s="2" t="str">
        <x:v>小型</x:v>
      </x:c>
      <x:c r="C74" s="2" t="str">
        <x:v>zhou_Set1_12-2-1b_b1</x:v>
      </x:c>
      <x:c r="D74" s="2" t="str">
        <x:v>精确时限可行解</x:v>
      </x:c>
      <x:c r="E74" s="13" t="n">
        <x:v>336.4629903765252</x:v>
      </x:c>
      <x:c r="F74" s="13" t="n">
        <x:v>312.57273173163736</x:v>
      </x:c>
      <x:c r="G74" s="13" t="n">
        <x:f>IF(AND(ISNUMBER(E74),ISNUMBER(F74),E74&gt;0),E74-F74,"")</x:f>
        <x:v>23.890258644887865</x:v>
      </x:c>
      <x:c r="H74" s="14" t="n">
        <x:f>IF(ISNUMBER(G74),G74/E74,"")</x:f>
        <x:v>0.07100412029909448</x:v>
      </x:c>
      <x:c r="I74" s="13" t="n">
        <x:v>403.59852961404954</x:v>
      </x:c>
      <x:c r="J74" s="13" t="n">
        <x:v>379.5261195363412</x:v>
      </x:c>
      <x:c r="K74" s="13" t="n">
        <x:f>IF(AND(ISNUMBER(I74),ISNUMBER(J74),I74&gt;0),I74-J74,"")</x:f>
        <x:v>24.072410077708355</x:v>
      </x:c>
      <x:c r="L74" s="14" t="n">
        <x:f>IF(ISNUMBER(K74),K74/I74,"")</x:f>
        <x:v>0.059644444445147396</x:v>
      </x:c>
      <x:c r="M74" s="15" t="n">
        <x:f>IF(AND(ISNUMBER(E74),ISNUMBER(F74),ISNUMBER(I74),ISNUMBER(J74)),1,0)</x:f>
        <x:v>1</x:v>
      </x:c>
      <x:c r="N74" s="15" t="n">
        <x:v>0</x:v>
      </x:c>
      <x:c r="O74" s="2" t="str">
        <x:v>已证最优</x:v>
      </x:c>
      <x:c r="P74" s="2" t="str">
        <x:v>已证最优</x:v>
      </x:c>
      <x:c r="Q74" s="2" t="str">
        <x:v>已证最优</x:v>
      </x:c>
      <x:c r="R74" s="2" t="str">
        <x:v>可行未证最优</x:v>
      </x:c>
    </x:row>
    <x:row r="75" ht="24" customHeight="1">
      <x:c r="A75" s="2" t="n">
        <x:v>12</x:v>
      </x:c>
      <x:c r="B75" s="2" t="str">
        <x:v>小型</x:v>
      </x:c>
      <x:c r="C75" s="2" t="str">
        <x:v>zhou_Set1_12-2-1b_b1</x:v>
      </x:c>
      <x:c r="D75" s="2" t="str">
        <x:v>ALNS三种子最好</x:v>
      </x:c>
      <x:c r="E75" s="13" t="n">
        <x:v>336.4629903765252</x:v>
      </x:c>
      <x:c r="F75" s="13" t="n">
        <x:v>335.1998029315106</x:v>
      </x:c>
      <x:c r="G75" s="13" t="n">
        <x:f>IF(AND(ISNUMBER(E75),ISNUMBER(F75),E75&gt;0),E75-F75,"")</x:f>
        <x:v>1.263187445014637</x:v>
      </x:c>
      <x:c r="H75" s="14" t="n">
        <x:f>IF(ISNUMBER(G75),G75/E75,"")</x:f>
        <x:v>0.0037543131968275126</x:v>
      </x:c>
      <x:c r="I75" s="13" t="n">
        <x:v>403.59852961404954</x:v>
      </x:c>
      <x:c r="J75" s="13" t="n">
        <x:v>379.52611953634124</x:v>
      </x:c>
      <x:c r="K75" s="13" t="n">
        <x:f>IF(AND(ISNUMBER(I75),ISNUMBER(J75),I75&gt;0),I75-J75,"")</x:f>
        <x:v>24.072410077708298</x:v>
      </x:c>
      <x:c r="L75" s="14" t="n">
        <x:f>IF(ISNUMBER(K75),K75/I75,"")</x:f>
        <x:v>0.05964444444514726</x:v>
      </x:c>
      <x:c r="M75" s="15" t="n">
        <x:f>IF(AND(ISNUMBER(E75),ISNUMBER(F75),ISNUMBER(I75),ISNUMBER(J75)),1,0)</x:f>
        <x:v>1</x:v>
      </x:c>
      <x:c r="N75" s="15" t="n">
        <x:v>0</x:v>
      </x:c>
      <x:c r="O75" s="2" t="str">
        <x:v>3/3种子均可行</x:v>
      </x:c>
      <x:c r="P75" s="2" t="str">
        <x:v>3/3种子均可行</x:v>
      </x:c>
      <x:c r="Q75" s="2" t="str">
        <x:v>3/3种子均可行</x:v>
      </x:c>
      <x:c r="R75" s="2" t="str">
        <x:v>3/3种子均可行</x:v>
      </x:c>
    </x:row>
    <x:row r="76" ht="24" customHeight="1">
      <x:c r="A76" s="2" t="n">
        <x:v>12</x:v>
      </x:c>
      <x:c r="B76" s="2" t="str">
        <x:v>小型</x:v>
      </x:c>
      <x:c r="C76" s="2" t="str">
        <x:v>zhou_Set1_12-2-1b_b1</x:v>
      </x:c>
      <x:c r="D76" s="2" t="str">
        <x:v>ALNS三种子均值</x:v>
      </x:c>
      <x:c r="E76" s="13" t="n">
        <x:v>336.4629903765252</x:v>
      </x:c>
      <x:c r="F76" s="13" t="n">
        <x:v>336.5234333193607</x:v>
      </x:c>
      <x:c r="G76" s="13" t="n">
        <x:f>IF(AND(ISNUMBER(E76),ISNUMBER(F76),E76&gt;0),E76-F76,"")</x:f>
        <x:v>-0.06044294283549334</x:v>
      </x:c>
      <x:c r="H76" s="14" t="n">
        <x:f>IF(ISNUMBER(G76),G76/E76,"")</x:f>
        <x:v>-0.00017964217332745432</x:v>
      </x:c>
      <x:c r="I76" s="13" t="n">
        <x:v>409.74157571520686</x:v>
      </x:c>
      <x:c r="J76" s="13" t="n">
        <x:v>380.92281938827784</x:v>
      </x:c>
      <x:c r="K76" s="13" t="n">
        <x:f>IF(AND(ISNUMBER(I76),ISNUMBER(J76),I76&gt;0),I76-J76,"")</x:f>
        <x:v>28.81875632692902</x:v>
      </x:c>
      <x:c r="L76" s="14" t="n">
        <x:f>IF(ISNUMBER(K76),K76/I76,"")</x:f>
        <x:v>0.07033398130669477</x:v>
      </x:c>
      <x:c r="M76" s="15" t="n">
        <x:f>IF(AND(ISNUMBER(E76),ISNUMBER(F76),ISNUMBER(I76),ISNUMBER(J76)),1,0)</x:f>
        <x:v>1</x:v>
      </x:c>
      <x:c r="N76" s="15" t="n">
        <x:v>0</x:v>
      </x:c>
      <x:c r="O76" s="2" t="str">
        <x:v>3/3种子均可行</x:v>
      </x:c>
      <x:c r="P76" s="2" t="str">
        <x:v>3/3种子均可行</x:v>
      </x:c>
      <x:c r="Q76" s="2" t="str">
        <x:v>3/3种子均可行</x:v>
      </x:c>
      <x:c r="R76" s="2" t="str">
        <x:v>3/3种子均可行</x:v>
      </x:c>
    </x:row>
    <x:row r="77" ht="24" customHeight="1">
      <x:c r="A77" s="2" t="n">
        <x:v>12</x:v>
      </x:c>
      <x:c r="B77" s="2" t="str">
        <x:v>小型</x:v>
      </x:c>
      <x:c r="C77" s="2" t="str">
        <x:v>zhou_Set1_12-2-1b_scenario02_b1</x:v>
      </x:c>
      <x:c r="D77" s="2" t="str">
        <x:v>精确时限可行解</x:v>
      </x:c>
      <x:c r="E77" s="13" t="n">
        <x:v>336.4629903765252</x:v>
      </x:c>
      <x:c r="F77" s="13" t="n">
        <x:v>312.57273173163736</x:v>
      </x:c>
      <x:c r="G77" s="13" t="n">
        <x:f>IF(AND(ISNUMBER(E77),ISNUMBER(F77),E77&gt;0),E77-F77,"")</x:f>
        <x:v>23.890258644887865</x:v>
      </x:c>
      <x:c r="H77" s="14" t="n">
        <x:f>IF(ISNUMBER(G77),G77/E77,"")</x:f>
        <x:v>0.07100412029909448</x:v>
      </x:c>
      <x:c r="I77" s="13" t="n">
        <x:v>403.59852961404954</x:v>
      </x:c>
      <x:c r="J77" s="13" t="n">
        <x:v>379.3655699789517</x:v>
      </x:c>
      <x:c r="K77" s="13" t="n">
        <x:f>IF(AND(ISNUMBER(I77),ISNUMBER(J77),I77&gt;0),I77-J77,"")</x:f>
        <x:v>24.232959635097814</x:v>
      </x:c>
      <x:c r="L77" s="14" t="n">
        <x:f>IF(ISNUMBER(K77),K77/I77,"")</x:f>
        <x:v>0.060042239644111546</x:v>
      </x:c>
      <x:c r="M77" s="15" t="n">
        <x:f>IF(AND(ISNUMBER(E77),ISNUMBER(F77),ISNUMBER(I77),ISNUMBER(J77)),1,0)</x:f>
        <x:v>1</x:v>
      </x:c>
      <x:c r="N77" s="15" t="n">
        <x:v>1</x:v>
      </x:c>
      <x:c r="O77" s="2" t="str">
        <x:v>已证最优</x:v>
      </x:c>
      <x:c r="P77" s="2" t="str">
        <x:v>已证最优</x:v>
      </x:c>
      <x:c r="Q77" s="2" t="str">
        <x:v>已证最优</x:v>
      </x:c>
      <x:c r="R77" s="2" t="str">
        <x:v>已证最优</x:v>
      </x:c>
    </x:row>
    <x:row r="78" ht="24" customHeight="1">
      <x:c r="A78" s="2" t="n">
        <x:v>12</x:v>
      </x:c>
      <x:c r="B78" s="2" t="str">
        <x:v>小型</x:v>
      </x:c>
      <x:c r="C78" s="2" t="str">
        <x:v>zhou_Set1_12-2-1b_scenario02_b1</x:v>
      </x:c>
      <x:c r="D78" s="2" t="str">
        <x:v>ALNS三种子最好</x:v>
      </x:c>
      <x:c r="E78" s="13" t="n">
        <x:v>336.4629903765252</x:v>
      </x:c>
      <x:c r="F78" s="13" t="n">
        <x:v>335.1998029315106</x:v>
      </x:c>
      <x:c r="G78" s="13" t="n">
        <x:f>IF(AND(ISNUMBER(E78),ISNUMBER(F78),E78&gt;0),E78-F78,"")</x:f>
        <x:v>1.263187445014637</x:v>
      </x:c>
      <x:c r="H78" s="14" t="n">
        <x:f>IF(ISNUMBER(G78),G78/E78,"")</x:f>
        <x:v>0.0037543131968275126</x:v>
      </x:c>
      <x:c r="I78" s="13" t="n">
        <x:v>403.5985296140495</x:v>
      </x:c>
      <x:c r="J78" s="13" t="n">
        <x:v>379.3655699789517</x:v>
      </x:c>
      <x:c r="K78" s="13" t="n">
        <x:f>IF(AND(ISNUMBER(I78),ISNUMBER(J78),I78&gt;0),I78-J78,"")</x:f>
        <x:v>24.232959635097757</x:v>
      </x:c>
      <x:c r="L78" s="14" t="n">
        <x:f>IF(ISNUMBER(K78),K78/I78,"")</x:f>
        <x:v>0.060042239644111414</x:v>
      </x:c>
      <x:c r="M78" s="15" t="n">
        <x:f>IF(AND(ISNUMBER(E78),ISNUMBER(F78),ISNUMBER(I78),ISNUMBER(J78)),1,0)</x:f>
        <x:v>1</x:v>
      </x:c>
      <x:c r="N78" s="15" t="n">
        <x:v>0</x:v>
      </x:c>
      <x:c r="O78" s="2" t="str">
        <x:v>3/3种子均可行</x:v>
      </x:c>
      <x:c r="P78" s="2" t="str">
        <x:v>3/3种子均可行</x:v>
      </x:c>
      <x:c r="Q78" s="2" t="str">
        <x:v>3/3种子均可行</x:v>
      </x:c>
      <x:c r="R78" s="2" t="str">
        <x:v>3/3种子均可行</x:v>
      </x:c>
    </x:row>
    <x:row r="79" ht="24" customHeight="1">
      <x:c r="A79" s="2" t="n">
        <x:v>12</x:v>
      </x:c>
      <x:c r="B79" s="2" t="str">
        <x:v>小型</x:v>
      </x:c>
      <x:c r="C79" s="2" t="str">
        <x:v>zhou_Set1_12-2-1b_scenario02_b1</x:v>
      </x:c>
      <x:c r="D79" s="2" t="str">
        <x:v>ALNS三种子均值</x:v>
      </x:c>
      <x:c r="E79" s="13" t="n">
        <x:v>336.94449580103225</x:v>
      </x:c>
      <x:c r="F79" s="13" t="n">
        <x:v>336.5234333193607</x:v>
      </x:c>
      <x:c r="G79" s="13" t="n">
        <x:f>IF(AND(ISNUMBER(E79),ISNUMBER(F79),E79&gt;0),E79-F79,"")</x:f>
        <x:v>0.4210624816715267</x:v>
      </x:c>
      <x:c r="H79" s="14" t="n">
        <x:f>IF(ISNUMBER(G79),G79/E79,"")</x:f>
        <x:v>0.0012496493841530703</x:v>
      </x:c>
      <x:c r="I79" s="13" t="n">
        <x:v>403.60099817556426</x:v>
      </x:c>
      <x:c r="J79" s="13" t="n">
        <x:v>382.4962306239272</x:v>
      </x:c>
      <x:c r="K79" s="13" t="n">
        <x:f>IF(AND(ISNUMBER(I79),ISNUMBER(J79),I79&gt;0),I79-J79,"")</x:f>
        <x:v>21.104767551637053</x:v>
      </x:c>
      <x:c r="L79" s="14" t="n">
        <x:f>IF(ISNUMBER(K79),K79/I79,"")</x:f>
        <x:v>0.05229116787876871</x:v>
      </x:c>
      <x:c r="M79" s="15" t="n">
        <x:f>IF(AND(ISNUMBER(E79),ISNUMBER(F79),ISNUMBER(I79),ISNUMBER(J79)),1,0)</x:f>
        <x:v>1</x:v>
      </x:c>
      <x:c r="N79" s="15" t="n">
        <x:v>0</x:v>
      </x:c>
      <x:c r="O79" s="2" t="str">
        <x:v>3/3种子均可行</x:v>
      </x:c>
      <x:c r="P79" s="2" t="str">
        <x:v>3/3种子均可行</x:v>
      </x:c>
      <x:c r="Q79" s="2" t="str">
        <x:v>3/3种子均可行</x:v>
      </x:c>
      <x:c r="R79" s="2" t="str">
        <x:v>3/3种子均可行</x:v>
      </x:c>
    </x:row>
    <x:row r="80" ht="24" customHeight="1">
      <x:c r="A80" s="2" t="n">
        <x:v>12</x:v>
      </x:c>
      <x:c r="B80" s="2" t="str">
        <x:v>小型</x:v>
      </x:c>
      <x:c r="C80" s="2" t="str">
        <x:v>zhou_Set1_12-2-2_b1</x:v>
      </x:c>
      <x:c r="D80" s="2" t="str">
        <x:v>精确时限可行解</x:v>
      </x:c>
      <x:c r="E80" s="13" t="n">
        <x:v>338.0184378300323</x:v>
      </x:c>
      <x:c r="F80" s="13" t="n">
        <x:v>203.957906832732</x:v>
      </x:c>
      <x:c r="G80" s="13" t="n">
        <x:f>IF(AND(ISNUMBER(E80),ISNUMBER(F80),E80&gt;0),E80-F80,"")</x:f>
        <x:v>134.06053099730033</x:v>
      </x:c>
      <x:c r="H80" s="14" t="n">
        <x:f>IF(ISNUMBER(G80),G80/E80,"")</x:f>
        <x:v>0.39660715509463046</x:v>
      </x:c>
      <x:c r="I80" s="13" t="n">
        <x:v>369.87211441599106</x:v>
      </x:c>
      <x:c r="J80" s="13" t="n">
        <x:v>284.45594138563314</x:v>
      </x:c>
      <x:c r="K80" s="13" t="n">
        <x:f>IF(AND(ISNUMBER(I80),ISNUMBER(J80),I80&gt;0),I80-J80,"")</x:f>
        <x:v>85.41617303035792</x:v>
      </x:c>
      <x:c r="L80" s="14" t="n">
        <x:f>IF(ISNUMBER(K80),K80/I80,"")</x:f>
        <x:v>0.23093434109036753</x:v>
      </x:c>
      <x:c r="M80" s="15" t="n">
        <x:f>IF(AND(ISNUMBER(E80),ISNUMBER(F80),ISNUMBER(I80),ISNUMBER(J80)),1,0)</x:f>
        <x:v>1</x:v>
      </x:c>
      <x:c r="N80" s="15" t="n">
        <x:v>0</x:v>
      </x:c>
      <x:c r="O80" s="2" t="str">
        <x:v>已证最优</x:v>
      </x:c>
      <x:c r="P80" s="2" t="str">
        <x:v>已证最优</x:v>
      </x:c>
      <x:c r="Q80" s="2" t="str">
        <x:v>已证最优</x:v>
      </x:c>
      <x:c r="R80" s="2" t="str">
        <x:v>可行未证最优</x:v>
      </x:c>
    </x:row>
    <x:row r="81" ht="24" customHeight="1">
      <x:c r="A81" s="2" t="n">
        <x:v>12</x:v>
      </x:c>
      <x:c r="B81" s="2" t="str">
        <x:v>小型</x:v>
      </x:c>
      <x:c r="C81" s="2" t="str">
        <x:v>zhou_Set1_12-2-2_b1</x:v>
      </x:c>
      <x:c r="D81" s="2" t="str">
        <x:v>ALNS三种子最好</x:v>
      </x:c>
      <x:c r="E81" s="13" t="n">
        <x:v>338.01843783003227</x:v>
      </x:c>
      <x:c r="F81" s="13" t="n">
        <x:v>282.4401722223661</x:v>
      </x:c>
      <x:c r="G81" s="13" t="n">
        <x:f>IF(AND(ISNUMBER(E81),ISNUMBER(F81),E81&gt;0),E81-F81,"")</x:f>
        <x:v>55.5782656076662</x:v>
      </x:c>
      <x:c r="H81" s="14" t="n">
        <x:f>IF(ISNUMBER(G81),G81/E81,"")</x:f>
        <x:v>0.16442376920164614</x:v>
      </x:c>
      <x:c r="I81" s="13" t="n">
        <x:v>369.87211441599106</x:v>
      </x:c>
      <x:c r="J81" s="13" t="n">
        <x:v>284.95707213519927</x:v>
      </x:c>
      <x:c r="K81" s="13" t="n">
        <x:f>IF(AND(ISNUMBER(I81),ISNUMBER(J81),I81&gt;0),I81-J81,"")</x:f>
        <x:v>84.9150422807918</x:v>
      </x:c>
      <x:c r="L81" s="14" t="n">
        <x:f>IF(ISNUMBER(K81),K81/I81,"")</x:f>
        <x:v>0.2295794653643145</x:v>
      </x:c>
      <x:c r="M81" s="15" t="n">
        <x:f>IF(AND(ISNUMBER(E81),ISNUMBER(F81),ISNUMBER(I81),ISNUMBER(J81)),1,0)</x:f>
        <x:v>1</x:v>
      </x:c>
      <x:c r="N81" s="15" t="n">
        <x:v>0</x:v>
      </x:c>
      <x:c r="O81" s="2" t="str">
        <x:v>3/3种子均可行</x:v>
      </x:c>
      <x:c r="P81" s="2" t="str">
        <x:v>3/3种子均可行</x:v>
      </x:c>
      <x:c r="Q81" s="2" t="str">
        <x:v>3/3种子均可行</x:v>
      </x:c>
      <x:c r="R81" s="2" t="str">
        <x:v>3/3种子均可行</x:v>
      </x:c>
    </x:row>
    <x:row r="82" ht="24" customHeight="1">
      <x:c r="A82" s="2" t="n">
        <x:v>12</x:v>
      </x:c>
      <x:c r="B82" s="2" t="str">
        <x:v>小型</x:v>
      </x:c>
      <x:c r="C82" s="2" t="str">
        <x:v>zhou_Set1_12-2-2_b1</x:v>
      </x:c>
      <x:c r="D82" s="2" t="str">
        <x:v>ALNS三种子均值</x:v>
      </x:c>
      <x:c r="E82" s="13" t="n">
        <x:v>338.0184378300323</x:v>
      </x:c>
      <x:c r="F82" s="13" t="n">
        <x:v>283.8510651245787</x:v>
      </x:c>
      <x:c r="G82" s="13" t="n">
        <x:f>IF(AND(ISNUMBER(E82),ISNUMBER(F82),E82&gt;0),E82-F82,"")</x:f>
        <x:v>54.1673727054536</x:v>
      </x:c>
      <x:c r="H82" s="14" t="n">
        <x:f>IF(ISNUMBER(G82),G82/E82,"")</x:f>
        <x:v>0.16024975753745976</x:v>
      </x:c>
      <x:c r="I82" s="13" t="n">
        <x:v>369.87211441599106</x:v>
      </x:c>
      <x:c r="J82" s="13" t="n">
        <x:v>288.8503261686478</x:v>
      </x:c>
      <x:c r="K82" s="13" t="n">
        <x:f>IF(AND(ISNUMBER(I82),ISNUMBER(J82),I82&gt;0),I82-J82,"")</x:f>
        <x:v>81.02178824734324</x:v>
      </x:c>
      <x:c r="L82" s="14" t="n">
        <x:f>IF(ISNUMBER(K82),K82/I82,"")</x:f>
        <x:v>0.2190535190123009</x:v>
      </x:c>
      <x:c r="M82" s="15" t="n">
        <x:f>IF(AND(ISNUMBER(E82),ISNUMBER(F82),ISNUMBER(I82),ISNUMBER(J82)),1,0)</x:f>
        <x:v>1</x:v>
      </x:c>
      <x:c r="N82" s="15" t="n">
        <x:v>0</x:v>
      </x:c>
      <x:c r="O82" s="2" t="str">
        <x:v>3/3种子均可行</x:v>
      </x:c>
      <x:c r="P82" s="2" t="str">
        <x:v>3/3种子均可行</x:v>
      </x:c>
      <x:c r="Q82" s="2" t="str">
        <x:v>3/3种子均可行</x:v>
      </x:c>
      <x:c r="R82" s="2" t="str">
        <x:v>3/3种子均可行</x:v>
      </x:c>
    </x:row>
    <x:row r="83" ht="24" customHeight="1">
      <x:c r="A83" s="2" t="n">
        <x:v>12</x:v>
      </x:c>
      <x:c r="B83" s="2" t="str">
        <x:v>小型</x:v>
      </x:c>
      <x:c r="C83" s="2" t="str">
        <x:v>zhou_Set1_12-2-2_scenario02_b1</x:v>
      </x:c>
      <x:c r="D83" s="2" t="str">
        <x:v>精确时限可行解</x:v>
      </x:c>
      <x:c r="E83" s="13" t="n">
        <x:v>338.0184378300323</x:v>
      </x:c>
      <x:c r="F83" s="13" t="n">
        <x:v>203.957906832732</x:v>
      </x:c>
      <x:c r="G83" s="13" t="n">
        <x:f>IF(AND(ISNUMBER(E83),ISNUMBER(F83),E83&gt;0),E83-F83,"")</x:f>
        <x:v>134.06053099730033</x:v>
      </x:c>
      <x:c r="H83" s="14" t="n">
        <x:f>IF(ISNUMBER(G83),G83/E83,"")</x:f>
        <x:v>0.39660715509463046</x:v>
      </x:c>
      <x:c r="I83" s="13" t="n">
        <x:v>369.8862012997421</x:v>
      </x:c>
      <x:c r="J83" s="13" t="n">
        <x:v>248.97898352447038</x:v>
      </x:c>
      <x:c r="K83" s="13" t="n">
        <x:f>IF(AND(ISNUMBER(I83),ISNUMBER(J83),I83&gt;0),I83-J83,"")</x:f>
        <x:v>120.9072177752717</x:v>
      </x:c>
      <x:c r="L83" s="14" t="n">
        <x:f>IF(ISNUMBER(K83),K83/I83,"")</x:f>
        <x:v>0.3268767998114452</x:v>
      </x:c>
      <x:c r="M83" s="15" t="n">
        <x:f>IF(AND(ISNUMBER(E83),ISNUMBER(F83),ISNUMBER(I83),ISNUMBER(J83)),1,0)</x:f>
        <x:v>1</x:v>
      </x:c>
      <x:c r="N83" s="15" t="n">
        <x:v>0</x:v>
      </x:c>
      <x:c r="O83" s="2" t="str">
        <x:v>已证最优</x:v>
      </x:c>
      <x:c r="P83" s="2" t="str">
        <x:v>已证最优</x:v>
      </x:c>
      <x:c r="Q83" s="2" t="str">
        <x:v>已证最优</x:v>
      </x:c>
      <x:c r="R83" s="2" t="str">
        <x:v>可行未证最优</x:v>
      </x:c>
    </x:row>
    <x:row r="84" ht="24" customHeight="1">
      <x:c r="A84" s="2" t="n">
        <x:v>12</x:v>
      </x:c>
      <x:c r="B84" s="2" t="str">
        <x:v>小型</x:v>
      </x:c>
      <x:c r="C84" s="2" t="str">
        <x:v>zhou_Set1_12-2-2_scenario02_b1</x:v>
      </x:c>
      <x:c r="D84" s="2" t="str">
        <x:v>ALNS三种子最好</x:v>
      </x:c>
      <x:c r="E84" s="13" t="n">
        <x:v>338.01843783003227</x:v>
      </x:c>
      <x:c r="F84" s="13" t="n">
        <x:v>282.44017222236613</x:v>
      </x:c>
      <x:c r="G84" s="13" t="n">
        <x:f>IF(AND(ISNUMBER(E84),ISNUMBER(F84),E84&gt;0),E84-F84,"")</x:f>
        <x:v>55.57826560766614</x:v>
      </x:c>
      <x:c r="H84" s="14" t="n">
        <x:f>IF(ISNUMBER(G84),G84/E84,"")</x:f>
        <x:v>0.16442376920164595</x:v>
      </x:c>
      <x:c r="I84" s="13" t="n">
        <x:v>380.7588306508324</x:v>
      </x:c>
      <x:c r="J84" s="13" t="n">
        <x:v>274.71674253179526</x:v>
      </x:c>
      <x:c r="K84" s="13" t="n">
        <x:f>IF(AND(ISNUMBER(I84),ISNUMBER(J84),I84&gt;0),I84-J84,"")</x:f>
        <x:v>106.04208811903715</x:v>
      </x:c>
      <x:c r="L84" s="14" t="n">
        <x:f>IF(ISNUMBER(K84),K84/I84,"")</x:f>
        <x:v>0.2785019796856163</x:v>
      </x:c>
      <x:c r="M84" s="15" t="n">
        <x:f>IF(AND(ISNUMBER(E84),ISNUMBER(F84),ISNUMBER(I84),ISNUMBER(J84)),1,0)</x:f>
        <x:v>1</x:v>
      </x:c>
      <x:c r="N84" s="15" t="n">
        <x:v>0</x:v>
      </x:c>
      <x:c r="O84" s="2" t="str">
        <x:v>3/3种子均可行</x:v>
      </x:c>
      <x:c r="P84" s="2" t="str">
        <x:v>3/3种子均可行</x:v>
      </x:c>
      <x:c r="Q84" s="2" t="str">
        <x:v>3/3种子均可行</x:v>
      </x:c>
      <x:c r="R84" s="2" t="str">
        <x:v>3/3种子均可行</x:v>
      </x:c>
    </x:row>
    <x:row r="85" ht="24" customHeight="1">
      <x:c r="A85" s="2" t="n">
        <x:v>12</x:v>
      </x:c>
      <x:c r="B85" s="2" t="str">
        <x:v>小型</x:v>
      </x:c>
      <x:c r="C85" s="2" t="str">
        <x:v>zhou_Set1_12-2-2_scenario02_b1</x:v>
      </x:c>
      <x:c r="D85" s="2" t="str">
        <x:v>ALNS三种子均值</x:v>
      </x:c>
      <x:c r="E85" s="13" t="n">
        <x:v>338.01843783003227</x:v>
      </x:c>
      <x:c r="F85" s="13" t="n">
        <x:v>283.8510651245788</x:v>
      </x:c>
      <x:c r="G85" s="13" t="n">
        <x:f>IF(AND(ISNUMBER(E85),ISNUMBER(F85),E85&gt;0),E85-F85,"")</x:f>
        <x:v>54.16737270545349</x:v>
      </x:c>
      <x:c r="H85" s="14" t="n">
        <x:f>IF(ISNUMBER(G85),G85/E85,"")</x:f>
        <x:v>0.16024975753745946</x:v>
      </x:c>
      <x:c r="I85" s="13" t="n">
        <x:v>382.06208173702</x:v>
      </x:c>
      <x:c r="J85" s="13" t="n">
        <x:v>283.40450630070603</x:v>
      </x:c>
      <x:c r="K85" s="13" t="n">
        <x:f>IF(AND(ISNUMBER(I85),ISNUMBER(J85),I85&gt;0),I85-J85,"")</x:f>
        <x:v>98.65757543631395</x:v>
      </x:c>
      <x:c r="L85" s="14" t="n">
        <x:f>IF(ISNUMBER(K85),K85/I85,"")</x:f>
        <x:v>0.2582239383394809</x:v>
      </x:c>
      <x:c r="M85" s="15" t="n">
        <x:f>IF(AND(ISNUMBER(E85),ISNUMBER(F85),ISNUMBER(I85),ISNUMBER(J85)),1,0)</x:f>
        <x:v>1</x:v>
      </x:c>
      <x:c r="N85" s="15" t="n">
        <x:v>0</x:v>
      </x:c>
      <x:c r="O85" s="2" t="str">
        <x:v>3/3种子均可行</x:v>
      </x:c>
      <x:c r="P85" s="2" t="str">
        <x:v>3/3种子均可行</x:v>
      </x:c>
      <x:c r="Q85" s="2" t="str">
        <x:v>3/3种子均可行</x:v>
      </x:c>
      <x:c r="R85" s="2" t="str">
        <x:v>3/3种子均可行</x:v>
      </x:c>
    </x:row>
    <x:row r="86" ht="24" customHeight="1">
      <x:c r="A86" s="2" t="n">
        <x:v>12</x:v>
      </x:c>
      <x:c r="B86" s="2" t="str">
        <x:v>小型</x:v>
      </x:c>
      <x:c r="C86" s="2" t="str">
        <x:v>zhou_Set1_12-2-2b_b1</x:v>
      </x:c>
      <x:c r="D86" s="2" t="str">
        <x:v>精确时限可行解</x:v>
      </x:c>
      <x:c r="E86" s="13" t="n">
        <x:v>376.44306123376504</x:v>
      </x:c>
      <x:c r="F86" s="13" t="n">
        <x:v>315.1504712288997</x:v>
      </x:c>
      <x:c r="G86" s="13" t="n">
        <x:f>IF(AND(ISNUMBER(E86),ISNUMBER(F86),E86&gt;0),E86-F86,"")</x:f>
        <x:v>61.29259000486536</x:v>
      </x:c>
      <x:c r="H86" s="14" t="n">
        <x:f>IF(ISNUMBER(G86),G86/E86,"")</x:f>
        <x:v>0.1628203473959204</x:v>
      </x:c>
      <x:c r="I86" s="13" t="n">
        <x:v>380.9178081247362</x:v>
      </x:c>
      <x:c r="J86" s="13" t="n">
        <x:v>378.12698238086745</x:v>
      </x:c>
      <x:c r="K86" s="13" t="n">
        <x:f>IF(AND(ISNUMBER(I86),ISNUMBER(J86),I86&gt;0),I86-J86,"")</x:f>
        <x:v>2.7908257438687656</x:v>
      </x:c>
      <x:c r="L86" s="14" t="n">
        <x:f>IF(ISNUMBER(K86),K86/I86,"")</x:f>
        <x:v>0.0073265824919240205</x:v>
      </x:c>
      <x:c r="M86" s="15" t="n">
        <x:f>IF(AND(ISNUMBER(E86),ISNUMBER(F86),ISNUMBER(I86),ISNUMBER(J86)),1,0)</x:f>
        <x:v>1</x:v>
      </x:c>
      <x:c r="N86" s="15" t="n">
        <x:v>0</x:v>
      </x:c>
      <x:c r="O86" s="2" t="str">
        <x:v>已证最优</x:v>
      </x:c>
      <x:c r="P86" s="2" t="str">
        <x:v>已证最优</x:v>
      </x:c>
      <x:c r="Q86" s="2" t="str">
        <x:v>已证最优</x:v>
      </x:c>
      <x:c r="R86" s="2" t="str">
        <x:v>可行未证最优</x:v>
      </x:c>
    </x:row>
    <x:row r="87" ht="24" customHeight="1">
      <x:c r="A87" s="2" t="n">
        <x:v>12</x:v>
      </x:c>
      <x:c r="B87" s="2" t="str">
        <x:v>小型</x:v>
      </x:c>
      <x:c r="C87" s="2" t="str">
        <x:v>zhou_Set1_12-2-2b_b1</x:v>
      </x:c>
      <x:c r="D87" s="2" t="str">
        <x:v>ALNS三种子最好</x:v>
      </x:c>
      <x:c r="E87" s="13" t="n">
        <x:v>376.443061233765</x:v>
      </x:c>
      <x:c r="F87" s="13" t="n">
        <x:v>367.0156347308401</x:v>
      </x:c>
      <x:c r="G87" s="13" t="n">
        <x:f>IF(AND(ISNUMBER(E87),ISNUMBER(F87),E87&gt;0),E87-F87,"")</x:f>
        <x:v>9.427426502924902</x:v>
      </x:c>
      <x:c r="H87" s="14" t="n">
        <x:f>IF(ISNUMBER(G87),G87/E87,"")</x:f>
        <x:v>0.0250434327890842</x:v>
      </x:c>
      <x:c r="I87" s="13" t="n">
        <x:v>380.9178081247362</x:v>
      </x:c>
      <x:c r="J87" s="13" t="n">
        <x:v>373.2131815321593</x:v>
      </x:c>
      <x:c r="K87" s="13" t="n">
        <x:f>IF(AND(ISNUMBER(I87),ISNUMBER(J87),I87&gt;0),I87-J87,"")</x:f>
        <x:v>7.704626592576915</x:v>
      </x:c>
      <x:c r="L87" s="14" t="n">
        <x:f>IF(ISNUMBER(K87),K87/I87,"")</x:f>
        <x:v>0.0202264804328968</x:v>
      </x:c>
      <x:c r="M87" s="15" t="n">
        <x:f>IF(AND(ISNUMBER(E87),ISNUMBER(F87),ISNUMBER(I87),ISNUMBER(J87)),1,0)</x:f>
        <x:v>1</x:v>
      </x:c>
      <x:c r="N87" s="15" t="n">
        <x:v>0</x:v>
      </x:c>
      <x:c r="O87" s="2" t="str">
        <x:v>3/3种子均可行</x:v>
      </x:c>
      <x:c r="P87" s="2" t="str">
        <x:v>3/3种子均可行</x:v>
      </x:c>
      <x:c r="Q87" s="2" t="str">
        <x:v>3/3种子均可行</x:v>
      </x:c>
      <x:c r="R87" s="2" t="str">
        <x:v>3/3种子均可行</x:v>
      </x:c>
    </x:row>
    <x:row r="88" ht="24" customHeight="1">
      <x:c r="A88" s="2" t="n">
        <x:v>12</x:v>
      </x:c>
      <x:c r="B88" s="2" t="str">
        <x:v>小型</x:v>
      </x:c>
      <x:c r="C88" s="2" t="str">
        <x:v>zhou_Set1_12-2-2b_b1</x:v>
      </x:c>
      <x:c r="D88" s="2" t="str">
        <x:v>ALNS三种子均值</x:v>
      </x:c>
      <x:c r="E88" s="13" t="n">
        <x:v>376.44306123376504</x:v>
      </x:c>
      <x:c r="F88" s="13" t="n">
        <x:v>369.5987334818263</x:v>
      </x:c>
      <x:c r="G88" s="13" t="n">
        <x:f>IF(AND(ISNUMBER(E88),ISNUMBER(F88),E88&gt;0),E88-F88,"")</x:f>
        <x:v>6.844327751938749</x:v>
      </x:c>
      <x:c r="H88" s="14" t="n">
        <x:f>IF(ISNUMBER(G88),G88/E88,"")</x:f>
        <x:v>0.01818157500235748</x:v>
      </x:c>
      <x:c r="I88" s="13" t="n">
        <x:v>380.9178081247362</x:v>
      </x:c>
      <x:c r="J88" s="13" t="n">
        <x:v>374.7850231758651</x:v>
      </x:c>
      <x:c r="K88" s="13" t="n">
        <x:f>IF(AND(ISNUMBER(I88),ISNUMBER(J88),I88&gt;0),I88-J88,"")</x:f>
        <x:v>6.1327849488711195</x:v>
      </x:c>
      <x:c r="L88" s="14" t="n">
        <x:f>IF(ISNUMBER(K88),K88/I88,"")</x:f>
        <x:v>0.016100021626877743</x:v>
      </x:c>
      <x:c r="M88" s="15" t="n">
        <x:f>IF(AND(ISNUMBER(E88),ISNUMBER(F88),ISNUMBER(I88),ISNUMBER(J88)),1,0)</x:f>
        <x:v>1</x:v>
      </x:c>
      <x:c r="N88" s="15" t="n">
        <x:v>0</x:v>
      </x:c>
      <x:c r="O88" s="2" t="str">
        <x:v>3/3种子均可行</x:v>
      </x:c>
      <x:c r="P88" s="2" t="str">
        <x:v>3/3种子均可行</x:v>
      </x:c>
      <x:c r="Q88" s="2" t="str">
        <x:v>3/3种子均可行</x:v>
      </x:c>
      <x:c r="R88" s="2" t="str">
        <x:v>3/3种子均可行</x:v>
      </x:c>
    </x:row>
    <x:row r="89" ht="24" customHeight="1">
      <x:c r="A89" s="2" t="n">
        <x:v>12</x:v>
      </x:c>
      <x:c r="B89" s="2" t="str">
        <x:v>小型</x:v>
      </x:c>
      <x:c r="C89" s="2" t="str">
        <x:v>zhou_Set1_12-2-2b_scenario02_b1</x:v>
      </x:c>
      <x:c r="D89" s="2" t="str">
        <x:v>精确时限可行解</x:v>
      </x:c>
      <x:c r="E89" s="13" t="n">
        <x:v>376.44306123376504</x:v>
      </x:c>
      <x:c r="F89" s="13" t="n">
        <x:v>315.1504712288993</x:v>
      </x:c>
      <x:c r="G89" s="13" t="n">
        <x:f>IF(AND(ISNUMBER(E89),ISNUMBER(F89),E89&gt;0),E89-F89,"")</x:f>
        <x:v>61.29259000486576</x:v>
      </x:c>
      <x:c r="H89" s="14" t="n">
        <x:f>IF(ISNUMBER(G89),G89/E89,"")</x:f>
        <x:v>0.16282034739592147</x:v>
      </x:c>
      <x:c r="I89" s="13" t="n">
        <x:v>380.91780812473627</x:v>
      </x:c>
      <x:c r="J89" s="13" t="n">
        <x:v>373.2131815321592</x:v>
      </x:c>
      <x:c r="K89" s="13" t="n">
        <x:f>IF(AND(ISNUMBER(I89),ISNUMBER(J89),I89&gt;0),I89-J89,"")</x:f>
        <x:v>7.704626592577085</x:v>
      </x:c>
      <x:c r="L89" s="14" t="n">
        <x:f>IF(ISNUMBER(K89),K89/I89,"")</x:f>
        <x:v>0.020226480432897244</x:v>
      </x:c>
      <x:c r="M89" s="15" t="n">
        <x:f>IF(AND(ISNUMBER(E89),ISNUMBER(F89),ISNUMBER(I89),ISNUMBER(J89)),1,0)</x:f>
        <x:v>1</x:v>
      </x:c>
      <x:c r="N89" s="15" t="n">
        <x:v>0</x:v>
      </x:c>
      <x:c r="O89" s="2" t="str">
        <x:v>已证最优</x:v>
      </x:c>
      <x:c r="P89" s="2" t="str">
        <x:v>已证最优</x:v>
      </x:c>
      <x:c r="Q89" s="2" t="str">
        <x:v>已证最优</x:v>
      </x:c>
      <x:c r="R89" s="2" t="str">
        <x:v>可行未证最优</x:v>
      </x:c>
    </x:row>
    <x:row r="90" ht="24" customHeight="1">
      <x:c r="A90" s="2" t="n">
        <x:v>12</x:v>
      </x:c>
      <x:c r="B90" s="2" t="str">
        <x:v>小型</x:v>
      </x:c>
      <x:c r="C90" s="2" t="str">
        <x:v>zhou_Set1_12-2-2b_scenario02_b1</x:v>
      </x:c>
      <x:c r="D90" s="2" t="str">
        <x:v>ALNS三种子最好</x:v>
      </x:c>
      <x:c r="E90" s="13" t="n">
        <x:v>376.443061233765</x:v>
      </x:c>
      <x:c r="F90" s="13" t="n">
        <x:v>367.0156347308401</x:v>
      </x:c>
      <x:c r="G90" s="13" t="n">
        <x:f>IF(AND(ISNUMBER(E90),ISNUMBER(F90),E90&gt;0),E90-F90,"")</x:f>
        <x:v>9.427426502924902</x:v>
      </x:c>
      <x:c r="H90" s="14" t="n">
        <x:f>IF(ISNUMBER(G90),G90/E90,"")</x:f>
        <x:v>0.0250434327890842</x:v>
      </x:c>
      <x:c r="I90" s="13" t="n">
        <x:v>380.9178081247362</x:v>
      </x:c>
      <x:c r="J90" s="13" t="n">
        <x:v>375.570943997718</x:v>
      </x:c>
      <x:c r="K90" s="13" t="n">
        <x:f>IF(AND(ISNUMBER(I90),ISNUMBER(J90),I90&gt;0),I90-J90,"")</x:f>
        <x:v>5.346864127018193</x:v>
      </x:c>
      <x:c r="L90" s="14" t="n">
        <x:f>IF(ISNUMBER(K90),K90/I90,"")</x:f>
        <x:v>0.01403679222386814</x:v>
      </x:c>
      <x:c r="M90" s="15" t="n">
        <x:f>IF(AND(ISNUMBER(E90),ISNUMBER(F90),ISNUMBER(I90),ISNUMBER(J90)),1,0)</x:f>
        <x:v>1</x:v>
      </x:c>
      <x:c r="N90" s="15" t="n">
        <x:v>0</x:v>
      </x:c>
      <x:c r="O90" s="2" t="str">
        <x:v>3/3种子均可行</x:v>
      </x:c>
      <x:c r="P90" s="2" t="str">
        <x:v>3/3种子均可行</x:v>
      </x:c>
      <x:c r="Q90" s="2" t="str">
        <x:v>3/3种子均可行</x:v>
      </x:c>
      <x:c r="R90" s="2" t="str">
        <x:v>3/3种子均可行</x:v>
      </x:c>
    </x:row>
    <x:row r="91" ht="24" customHeight="1">
      <x:c r="A91" s="2" t="n">
        <x:v>12</x:v>
      </x:c>
      <x:c r="B91" s="2" t="str">
        <x:v>小型</x:v>
      </x:c>
      <x:c r="C91" s="2" t="str">
        <x:v>zhou_Set1_12-2-2b_scenario02_b1</x:v>
      </x:c>
      <x:c r="D91" s="2" t="str">
        <x:v>ALNS三种子均值</x:v>
      </x:c>
      <x:c r="E91" s="13" t="n">
        <x:v>376.44306123376504</x:v>
      </x:c>
      <x:c r="F91" s="13" t="n">
        <x:v>372.74120898280125</x:v>
      </x:c>
      <x:c r="G91" s="13" t="n">
        <x:f>IF(AND(ISNUMBER(E91),ISNUMBER(F91),E91&gt;0),E91-F91,"")</x:f>
        <x:v>3.701852250963782</x:v>
      </x:c>
      <x:c r="H91" s="14" t="n">
        <x:f>IF(ISNUMBER(G91),G91/E91,"")</x:f>
        <x:v>0.009833764072662749</x:v>
      </x:c>
      <x:c r="I91" s="13" t="n">
        <x:v>380.9178081247362</x:v>
      </x:c>
      <x:c r="J91" s="13" t="n">
        <x:v>375.570943997718</x:v>
      </x:c>
      <x:c r="K91" s="13" t="n">
        <x:f>IF(AND(ISNUMBER(I91),ISNUMBER(J91),I91&gt;0),I91-J91,"")</x:f>
        <x:v>5.346864127018193</x:v>
      </x:c>
      <x:c r="L91" s="14" t="n">
        <x:f>IF(ISNUMBER(K91),K91/I91,"")</x:f>
        <x:v>0.01403679222386814</x:v>
      </x:c>
      <x:c r="M91" s="15" t="n">
        <x:f>IF(AND(ISNUMBER(E91),ISNUMBER(F91),ISNUMBER(I91),ISNUMBER(J91)),1,0)</x:f>
        <x:v>1</x:v>
      </x:c>
      <x:c r="N91" s="15" t="n">
        <x:v>0</x:v>
      </x:c>
      <x:c r="O91" s="2" t="str">
        <x:v>3/3种子均可行</x:v>
      </x:c>
      <x:c r="P91" s="2" t="str">
        <x:v>3/3种子均可行</x:v>
      </x:c>
      <x:c r="Q91" s="2" t="str">
        <x:v>3/3种子均可行</x:v>
      </x:c>
      <x:c r="R91" s="2" t="str">
        <x:v>3/3种子均可行</x:v>
      </x:c>
    </x:row>
    <x:row r="92" ht="24" customHeight="1">
      <x:c r="A92" s="2" t="n">
        <x:v>12</x:v>
      </x:c>
      <x:c r="B92" s="2" t="str">
        <x:v>小型</x:v>
      </x:c>
      <x:c r="C92" s="2" t="str">
        <x:v>zhou_Set1_12-2-3_b1</x:v>
      </x:c>
      <x:c r="D92" s="2" t="str">
        <x:v>精确时限可行解</x:v>
      </x:c>
      <x:c r="E92" s="13" t="n">
        <x:v>370.55145724686025</x:v>
      </x:c>
      <x:c r="F92" s="13" t="n">
        <x:v>316.1120717146753</x:v>
      </x:c>
      <x:c r="G92" s="13" t="n">
        <x:f>IF(AND(ISNUMBER(E92),ISNUMBER(F92),E92&gt;0),E92-F92,"")</x:f>
        <x:v>54.43938553218493</x:v>
      </x:c>
      <x:c r="H92" s="14" t="n">
        <x:f>IF(ISNUMBER(G92),G92/E92,"")</x:f>
        <x:v>0.14691450935495196</x:v>
      </x:c>
      <x:c r="I92" s="13" t="n">
        <x:v>403.42455721301314</x:v>
      </x:c>
      <x:c r="J92" s="13" t="n">
        <x:v>383.46814946250066</x:v>
      </x:c>
      <x:c r="K92" s="13" t="n">
        <x:f>IF(AND(ISNUMBER(I92),ISNUMBER(J92),I92&gt;0),I92-J92,"")</x:f>
        <x:v>19.956407750512483</x:v>
      </x:c>
      <x:c r="L92" s="14" t="n">
        <x:f>IF(ISNUMBER(K92),K92/I92,"")</x:f>
        <x:v>0.049467508592877386</x:v>
      </x:c>
      <x:c r="M92" s="15" t="n">
        <x:f>IF(AND(ISNUMBER(E92),ISNUMBER(F92),ISNUMBER(I92),ISNUMBER(J92)),1,0)</x:f>
        <x:v>1</x:v>
      </x:c>
      <x:c r="N92" s="15" t="n">
        <x:v>0</x:v>
      </x:c>
      <x:c r="O92" s="2" t="str">
        <x:v>已证最优</x:v>
      </x:c>
      <x:c r="P92" s="2" t="str">
        <x:v>已证最优</x:v>
      </x:c>
      <x:c r="Q92" s="2" t="str">
        <x:v>已证最优</x:v>
      </x:c>
      <x:c r="R92" s="2" t="str">
        <x:v>可行未证最优</x:v>
      </x:c>
    </x:row>
    <x:row r="93" ht="24" customHeight="1">
      <x:c r="A93" s="2" t="n">
        <x:v>12</x:v>
      </x:c>
      <x:c r="B93" s="2" t="str">
        <x:v>小型</x:v>
      </x:c>
      <x:c r="C93" s="2" t="str">
        <x:v>zhou_Set1_12-2-3_b1</x:v>
      </x:c>
      <x:c r="D93" s="2" t="str">
        <x:v>ALNS三种子最好</x:v>
      </x:c>
      <x:c r="E93" s="13" t="n">
        <x:v>370.55145724686025</x:v>
      </x:c>
      <x:c r="F93" s="13" t="n">
        <x:v>359.45330295491965</x:v>
      </x:c>
      <x:c r="G93" s="13" t="n">
        <x:f>IF(AND(ISNUMBER(E93),ISNUMBER(F93),E93&gt;0),E93-F93,"")</x:f>
        <x:v>11.098154291940602</x:v>
      </x:c>
      <x:c r="H93" s="14" t="n">
        <x:f>IF(ISNUMBER(G93),G93/E93,"")</x:f>
        <x:v>0.029950372815689793</x:v>
      </x:c>
      <x:c r="I93" s="13" t="n">
        <x:v>403.4245572130131</x:v>
      </x:c>
      <x:c r="J93" s="13" t="n">
        <x:v>381.22100534174024</x:v>
      </x:c>
      <x:c r="K93" s="13" t="n">
        <x:f>IF(AND(ISNUMBER(I93),ISNUMBER(J93),I93&gt;0),I93-J93,"")</x:f>
        <x:v>22.20355187127285</x:v>
      </x:c>
      <x:c r="L93" s="14" t="n">
        <x:f>IF(ISNUMBER(K93),K93/I93,"")</x:f>
        <x:v>0.05503768046412976</x:v>
      </x:c>
      <x:c r="M93" s="15" t="n">
        <x:f>IF(AND(ISNUMBER(E93),ISNUMBER(F93),ISNUMBER(I93),ISNUMBER(J93)),1,0)</x:f>
        <x:v>1</x:v>
      </x:c>
      <x:c r="N93" s="15" t="n">
        <x:v>0</x:v>
      </x:c>
      <x:c r="O93" s="2" t="str">
        <x:v>3/3种子均可行</x:v>
      </x:c>
      <x:c r="P93" s="2" t="str">
        <x:v>3/3种子均可行</x:v>
      </x:c>
      <x:c r="Q93" s="2" t="str">
        <x:v>3/3种子均可行</x:v>
      </x:c>
      <x:c r="R93" s="2" t="str">
        <x:v>3/3种子均可行</x:v>
      </x:c>
    </x:row>
    <x:row r="94" ht="24" customHeight="1">
      <x:c r="A94" s="2" t="n">
        <x:v>12</x:v>
      </x:c>
      <x:c r="B94" s="2" t="str">
        <x:v>小型</x:v>
      </x:c>
      <x:c r="C94" s="2" t="str">
        <x:v>zhou_Set1_12-2-3_b1</x:v>
      </x:c>
      <x:c r="D94" s="2" t="str">
        <x:v>ALNS三种子均值</x:v>
      </x:c>
      <x:c r="E94" s="13" t="n">
        <x:v>370.8656006283217</x:v>
      </x:c>
      <x:c r="F94" s="13" t="n">
        <x:v>362.50153886556177</x:v>
      </x:c>
      <x:c r="G94" s="13" t="n">
        <x:f>IF(AND(ISNUMBER(E94),ISNUMBER(F94),E94&gt;0),E94-F94,"")</x:f>
        <x:v>8.364061762759945</x:v>
      </x:c>
      <x:c r="H94" s="14" t="n">
        <x:f>IF(ISNUMBER(G94),G94/E94,"")</x:f>
        <x:v>0.022552810906672188</x:v>
      </x:c>
      <x:c r="I94" s="13" t="n">
        <x:v>404.48670352830254</x:v>
      </x:c>
      <x:c r="J94" s="13" t="n">
        <x:v>384.1429135516105</x:v>
      </x:c>
      <x:c r="K94" s="13" t="n">
        <x:f>IF(AND(ISNUMBER(I94),ISNUMBER(J94),I94&gt;0),I94-J94,"")</x:f>
        <x:v>20.34378997669205</x:v>
      </x:c>
      <x:c r="L94" s="14" t="n">
        <x:f>IF(ISNUMBER(K94),K94/I94,"")</x:f>
        <x:v>0.050295324417922595</x:v>
      </x:c>
      <x:c r="M94" s="15" t="n">
        <x:f>IF(AND(ISNUMBER(E94),ISNUMBER(F94),ISNUMBER(I94),ISNUMBER(J94)),1,0)</x:f>
        <x:v>1</x:v>
      </x:c>
      <x:c r="N94" s="15" t="n">
        <x:v>0</x:v>
      </x:c>
      <x:c r="O94" s="2" t="str">
        <x:v>3/3种子均可行</x:v>
      </x:c>
      <x:c r="P94" s="2" t="str">
        <x:v>3/3种子均可行</x:v>
      </x:c>
      <x:c r="Q94" s="2" t="str">
        <x:v>3/3种子均可行</x:v>
      </x:c>
      <x:c r="R94" s="2" t="str">
        <x:v>3/3种子均可行</x:v>
      </x:c>
    </x:row>
    <x:row r="95" ht="24" customHeight="1">
      <x:c r="A95" s="2" t="n">
        <x:v>12</x:v>
      </x:c>
      <x:c r="B95" s="2" t="str">
        <x:v>小型</x:v>
      </x:c>
      <x:c r="C95" s="2" t="str">
        <x:v>zhou_Set1_12-2-3_scenario02_b1</x:v>
      </x:c>
      <x:c r="D95" s="2" t="str">
        <x:v>精确时限可行解</x:v>
      </x:c>
      <x:c r="E95" s="13" t="n">
        <x:v>370.55145724686025</x:v>
      </x:c>
      <x:c r="F95" s="13" t="n">
        <x:v>316.1120717735583</x:v>
      </x:c>
      <x:c r="G95" s="13" t="n">
        <x:f>IF(AND(ISNUMBER(E95),ISNUMBER(F95),E95&gt;0),E95-F95,"")</x:f>
        <x:v>54.43938547330197</x:v>
      </x:c>
      <x:c r="H95" s="14" t="n">
        <x:f>IF(ISNUMBER(G95),G95/E95,"")</x:f>
        <x:v>0.14691450919604565</x:v>
      </x:c>
      <x:c r="I95" s="13" t="n">
        <x:v>408.41759501649074</x:v>
      </x:c>
      <x:c r="J95" s="13" t="n">
        <x:v>385.3290949767504</x:v>
      </x:c>
      <x:c r="K95" s="13" t="n">
        <x:f>IF(AND(ISNUMBER(I95),ISNUMBER(J95),I95&gt;0),I95-J95,"")</x:f>
        <x:v>23.088500039740325</x:v>
      </x:c>
      <x:c r="L95" s="14" t="n">
        <x:f>IF(ISNUMBER(K95),K95/I95,"")</x:f>
        <x:v>0.056531599817113844</x:v>
      </x:c>
      <x:c r="M95" s="15" t="n">
        <x:f>IF(AND(ISNUMBER(E95),ISNUMBER(F95),ISNUMBER(I95),ISNUMBER(J95)),1,0)</x:f>
        <x:v>1</x:v>
      </x:c>
      <x:c r="N95" s="15" t="n">
        <x:v>0</x:v>
      </x:c>
      <x:c r="O95" s="2" t="str">
        <x:v>已证最优</x:v>
      </x:c>
      <x:c r="P95" s="2" t="str">
        <x:v>已证最优</x:v>
      </x:c>
      <x:c r="Q95" s="2" t="str">
        <x:v>已证最优</x:v>
      </x:c>
      <x:c r="R95" s="2" t="str">
        <x:v>可行未证最优</x:v>
      </x:c>
    </x:row>
    <x:row r="96" ht="24" customHeight="1">
      <x:c r="A96" s="2" t="n">
        <x:v>12</x:v>
      </x:c>
      <x:c r="B96" s="2" t="str">
        <x:v>小型</x:v>
      </x:c>
      <x:c r="C96" s="2" t="str">
        <x:v>zhou_Set1_12-2-3_scenario02_b1</x:v>
      </x:c>
      <x:c r="D96" s="2" t="str">
        <x:v>ALNS三种子最好</x:v>
      </x:c>
      <x:c r="E96" s="13" t="n">
        <x:v>370.55145724686025</x:v>
      </x:c>
      <x:c r="F96" s="13" t="n">
        <x:v>359.45330295491965</x:v>
      </x:c>
      <x:c r="G96" s="13" t="n">
        <x:f>IF(AND(ISNUMBER(E96),ISNUMBER(F96),E96&gt;0),E96-F96,"")</x:f>
        <x:v>11.098154291940602</x:v>
      </x:c>
      <x:c r="H96" s="14" t="n">
        <x:f>IF(ISNUMBER(G96),G96/E96,"")</x:f>
        <x:v>0.029950372815689793</x:v>
      </x:c>
      <x:c r="I96" s="13" t="n">
        <x:v>408.4175950164907</x:v>
      </x:c>
      <x:c r="J96" s="13" t="n">
        <x:v>385.8988330385014</x:v>
      </x:c>
      <x:c r="K96" s="13" t="n">
        <x:f>IF(AND(ISNUMBER(I96),ISNUMBER(J96),I96&gt;0),I96-J96,"")</x:f>
        <x:v>22.5187619779893</x:v>
      </x:c>
      <x:c r="L96" s="14" t="n">
        <x:f>IF(ISNUMBER(K96),K96/I96,"")</x:f>
        <x:v>0.055136610794351455</x:v>
      </x:c>
      <x:c r="M96" s="15" t="n">
        <x:f>IF(AND(ISNUMBER(E96),ISNUMBER(F96),ISNUMBER(I96),ISNUMBER(J96)),1,0)</x:f>
        <x:v>1</x:v>
      </x:c>
      <x:c r="N96" s="15" t="n">
        <x:v>0</x:v>
      </x:c>
      <x:c r="O96" s="2" t="str">
        <x:v>3/3种子均可行</x:v>
      </x:c>
      <x:c r="P96" s="2" t="str">
        <x:v>3/3种子均可行</x:v>
      </x:c>
      <x:c r="Q96" s="2" t="str">
        <x:v>3/3种子均可行</x:v>
      </x:c>
      <x:c r="R96" s="2" t="str">
        <x:v>3/3种子均可行</x:v>
      </x:c>
    </x:row>
    <x:row r="97" ht="24" customHeight="1">
      <x:c r="A97" s="2" t="n">
        <x:v>12</x:v>
      </x:c>
      <x:c r="B97" s="2" t="str">
        <x:v>小型</x:v>
      </x:c>
      <x:c r="C97" s="2" t="str">
        <x:v>zhou_Set1_12-2-3_scenario02_b1</x:v>
      </x:c>
      <x:c r="D97" s="2" t="str">
        <x:v>ALNS三种子均值</x:v>
      </x:c>
      <x:c r="E97" s="13" t="n">
        <x:v>371.1797440097831</x:v>
      </x:c>
      <x:c r="F97" s="13" t="n">
        <x:v>362.1873954841003</x:v>
      </x:c>
      <x:c r="G97" s="13" t="n">
        <x:f>IF(AND(ISNUMBER(E97),ISNUMBER(F97),E97&gt;0),E97-F97,"")</x:f>
        <x:v>8.992348525682814</x:v>
      </x:c>
      <x:c r="H97" s="14" t="n">
        <x:f>IF(ISNUMBER(G97),G97/E97,"")</x:f>
        <x:v>0.024226398856091146</x:v>
      </x:c>
      <x:c r="I97" s="13" t="n">
        <x:v>410.24437806376284</x:v>
      </x:c>
      <x:c r="J97" s="13" t="n">
        <x:v>386.0380275333275</x:v>
      </x:c>
      <x:c r="K97" s="13" t="n">
        <x:f>IF(AND(ISNUMBER(I97),ISNUMBER(J97),I97&gt;0),I97-J97,"")</x:f>
        <x:v>24.206350530435316</x:v>
      </x:c>
      <x:c r="L97" s="14" t="n">
        <x:f>IF(ISNUMBER(K97),K97/I97,"")</x:f>
        <x:v>0.059004709935776396</x:v>
      </x:c>
      <x:c r="M97" s="15" t="n">
        <x:f>IF(AND(ISNUMBER(E97),ISNUMBER(F97),ISNUMBER(I97),ISNUMBER(J97)),1,0)</x:f>
        <x:v>1</x:v>
      </x:c>
      <x:c r="N97" s="15" t="n">
        <x:v>0</x:v>
      </x:c>
      <x:c r="O97" s="2" t="str">
        <x:v>3/3种子均可行</x:v>
      </x:c>
      <x:c r="P97" s="2" t="str">
        <x:v>3/3种子均可行</x:v>
      </x:c>
      <x:c r="Q97" s="2" t="str">
        <x:v>3/3种子均可行</x:v>
      </x:c>
      <x:c r="R97" s="2" t="str">
        <x:v>3/3种子均可行</x:v>
      </x:c>
    </x:row>
    <x:row r="98" ht="24" customHeight="1">
      <x:c r="A98" s="2" t="n">
        <x:v>20</x:v>
      </x:c>
      <x:c r="B98" s="2" t="str">
        <x:v>中型</x:v>
      </x:c>
      <x:c r="C98" s="2" t="str">
        <x:v>zhou_Set2_100-10-1_subset20_b1</x:v>
      </x:c>
      <x:c r="D98" s="2" t="str">
        <x:v>精确时限可行解</x:v>
      </x:c>
      <x:c r="E98" s="13" t="n">
        <x:v>461.3126652171825</x:v>
      </x:c>
      <x:c r="F98" s="13" t="n">
        <x:v>444.7589840157142</x:v>
      </x:c>
      <x:c r="G98" s="13" t="n">
        <x:f>IF(AND(ISNUMBER(E98),ISNUMBER(F98),E98&gt;0),E98-F98,"")</x:f>
        <x:v>16.553681201468294</x:v>
      </x:c>
      <x:c r="H98" s="14" t="n">
        <x:f>IF(ISNUMBER(G98),G98/E98,"")</x:f>
        <x:v>0.035883864566508154</x:v>
      </x:c>
      <x:c r="I98" s="13" t="n">
        <x:v>477.5043206284946</x:v>
      </x:c>
      <x:c r="J98" s="13" t="n">
        <x:v>477.1992774557776</x:v>
      </x:c>
      <x:c r="K98" s="13" t="n">
        <x:f>IF(AND(ISNUMBER(I98),ISNUMBER(J98),I98&gt;0),I98-J98,"")</x:f>
        <x:v>0.30504317271703485</x:v>
      </x:c>
      <x:c r="L98" s="14" t="n">
        <x:f>IF(ISNUMBER(K98),K98/I98,"")</x:f>
        <x:v>0.0006388280891689835</x:v>
      </x:c>
      <x:c r="M98" s="15" t="n">
        <x:f>IF(AND(ISNUMBER(E98),ISNUMBER(F98),ISNUMBER(I98),ISNUMBER(J98)),1,0)</x:f>
        <x:v>1</x:v>
      </x:c>
      <x:c r="N98" s="15" t="n">
        <x:v>1</x:v>
      </x:c>
      <x:c r="O98" s="2" t="str">
        <x:v>已证最优</x:v>
      </x:c>
      <x:c r="P98" s="2" t="str">
        <x:v>已证最优</x:v>
      </x:c>
      <x:c r="Q98" s="2" t="str">
        <x:v>已证最优</x:v>
      </x:c>
      <x:c r="R98" s="2" t="str">
        <x:v>已证最优</x:v>
      </x:c>
    </x:row>
    <x:row r="99" ht="24" customHeight="1">
      <x:c r="A99" s="2" t="n">
        <x:v>20</x:v>
      </x:c>
      <x:c r="B99" s="2" t="str">
        <x:v>中型</x:v>
      </x:c>
      <x:c r="C99" s="2" t="str">
        <x:v>zhou_Set2_100-10-1_subset20_b1</x:v>
      </x:c>
      <x:c r="D99" s="2" t="str">
        <x:v>ALNS三种子最好</x:v>
      </x:c>
      <x:c r="E99" s="13" t="n">
        <x:v>461.31266521718237</x:v>
      </x:c>
      <x:c r="F99" s="13" t="n">
        <x:v>458.33516530017226</x:v>
      </x:c>
      <x:c r="G99" s="13" t="n">
        <x:f>IF(AND(ISNUMBER(E99),ISNUMBER(F99),E99&gt;0),E99-F99,"")</x:f>
        <x:v>2.977499917010107</x:v>
      </x:c>
      <x:c r="H99" s="14" t="n">
        <x:f>IF(ISNUMBER(G99),G99/E99,"")</x:f>
        <x:v>0.006454407480029458</x:v>
      </x:c>
      <x:c r="I99" s="13" t="n">
        <x:v>477.5043206284947</x:v>
      </x:c>
      <x:c r="J99" s="13" t="n">
        <x:v>477.1992774557777</x:v>
      </x:c>
      <x:c r="K99" s="13" t="n">
        <x:f>IF(AND(ISNUMBER(I99),ISNUMBER(J99),I99&gt;0),I99-J99,"")</x:f>
        <x:v>0.30504317271703485</x:v>
      </x:c>
      <x:c r="L99" s="14" t="n">
        <x:f>IF(ISNUMBER(K99),K99/I99,"")</x:f>
        <x:v>0.0006388280891689833</x:v>
      </x:c>
      <x:c r="M99" s="15" t="n">
        <x:f>IF(AND(ISNUMBER(E99),ISNUMBER(F99),ISNUMBER(I99),ISNUMBER(J99)),1,0)</x:f>
        <x:v>1</x:v>
      </x:c>
      <x:c r="N99" s="15" t="n">
        <x:v>0</x:v>
      </x:c>
      <x:c r="O99" s="2" t="str">
        <x:v>3/3种子均可行</x:v>
      </x:c>
      <x:c r="P99" s="2" t="str">
        <x:v>3/3种子均可行</x:v>
      </x:c>
      <x:c r="Q99" s="2" t="str">
        <x:v>3/3种子均可行</x:v>
      </x:c>
      <x:c r="R99" s="2" t="str">
        <x:v>3/3种子均可行</x:v>
      </x:c>
    </x:row>
    <x:row r="100" ht="24" customHeight="1">
      <x:c r="A100" s="2" t="n">
        <x:v>20</x:v>
      </x:c>
      <x:c r="B100" s="2" t="str">
        <x:v>中型</x:v>
      </x:c>
      <x:c r="C100" s="2" t="str">
        <x:v>zhou_Set2_100-10-1_subset20_b1</x:v>
      </x:c>
      <x:c r="D100" s="2" t="str">
        <x:v>ALNS三种子均值</x:v>
      </x:c>
      <x:c r="E100" s="13" t="n">
        <x:v>461.3126652171824</x:v>
      </x:c>
      <x:c r="F100" s="13" t="n">
        <x:v>460.3201652448457</x:v>
      </x:c>
      <x:c r="G100" s="13" t="n">
        <x:f>IF(AND(ISNUMBER(E100),ISNUMBER(F100),E100&gt;0),E100-F100,"")</x:f>
        <x:v>0.9924999723367023</x:v>
      </x:c>
      <x:c r="H100" s="14" t="n">
        <x:f>IF(ISNUMBER(G100),G100/E100,"")</x:f>
        <x:v>0.002151469160009819</x:v>
      </x:c>
      <x:c r="I100" s="13" t="n">
        <x:v>479.9308698329394</x:v>
      </x:c>
      <x:c r="J100" s="13" t="n">
        <x:v>484.6876187875953</x:v>
      </x:c>
      <x:c r="K100" s="13" t="n">
        <x:f>IF(AND(ISNUMBER(I100),ISNUMBER(J100),I100&gt;0),I100-J100,"")</x:f>
        <x:v>-4.7567489546559045</x:v>
      </x:c>
      <x:c r="L100" s="14" t="n">
        <x:f>IF(ISNUMBER(K100),K100/I100,"")</x:f>
        <x:v>-0.009911321095706338</x:v>
      </x:c>
      <x:c r="M100" s="15" t="n">
        <x:f>IF(AND(ISNUMBER(E100),ISNUMBER(F100),ISNUMBER(I100),ISNUMBER(J100)),1,0)</x:f>
        <x:v>1</x:v>
      </x:c>
      <x:c r="N100" s="15" t="n">
        <x:v>0</x:v>
      </x:c>
      <x:c r="O100" s="2" t="str">
        <x:v>3/3种子均可行</x:v>
      </x:c>
      <x:c r="P100" s="2" t="str">
        <x:v>3/3种子均可行</x:v>
      </x:c>
      <x:c r="Q100" s="2" t="str">
        <x:v>3/3种子均可行</x:v>
      </x:c>
      <x:c r="R100" s="2" t="str">
        <x:v>3/3种子均可行</x:v>
      </x:c>
    </x:row>
    <x:row r="101" ht="24" customHeight="1">
      <x:c r="A101" s="2" t="n">
        <x:v>20</x:v>
      </x:c>
      <x:c r="B101" s="2" t="str">
        <x:v>中型</x:v>
      </x:c>
      <x:c r="C101" s="2" t="str">
        <x:v>zhou_Set2_100-10-1_subset20_scenario02_b1</x:v>
      </x:c>
      <x:c r="D101" s="2" t="str">
        <x:v>精确时限可行解</x:v>
      </x:c>
      <x:c r="E101" s="13" t="n">
        <x:v>461.3126652171825</x:v>
      </x:c>
      <x:c r="F101" s="13" t="n">
        <x:v>444.7589840157142</x:v>
      </x:c>
      <x:c r="G101" s="13" t="n">
        <x:f>IF(AND(ISNUMBER(E101),ISNUMBER(F101),E101&gt;0),E101-F101,"")</x:f>
        <x:v>16.553681201468294</x:v>
      </x:c>
      <x:c r="H101" s="14" t="n">
        <x:f>IF(ISNUMBER(G101),G101/E101,"")</x:f>
        <x:v>0.035883864566508154</x:v>
      </x:c>
      <x:c r="I101" s="13" t="n">
        <x:v>477.7274131345936</x:v>
      </x:c>
      <x:c r="J101" s="13" t="n">
        <x:v>477.4223699618765</x:v>
      </x:c>
      <x:c r="K101" s="13" t="n">
        <x:f>IF(AND(ISNUMBER(I101),ISNUMBER(J101),I101&gt;0),I101-J101,"")</x:f>
        <x:v>0.3050431727170917</x:v>
      </x:c>
      <x:c r="L101" s="14" t="n">
        <x:f>IF(ISNUMBER(K101),K101/I101,"")</x:f>
        <x:v>0.0006385297647366736</x:v>
      </x:c>
      <x:c r="M101" s="15" t="n">
        <x:f>IF(AND(ISNUMBER(E101),ISNUMBER(F101),ISNUMBER(I101),ISNUMBER(J101)),1,0)</x:f>
        <x:v>1</x:v>
      </x:c>
      <x:c r="N101" s="15" t="n">
        <x:v>1</x:v>
      </x:c>
      <x:c r="O101" s="2" t="str">
        <x:v>已证最优</x:v>
      </x:c>
      <x:c r="P101" s="2" t="str">
        <x:v>已证最优</x:v>
      </x:c>
      <x:c r="Q101" s="2" t="str">
        <x:v>已证最优</x:v>
      </x:c>
      <x:c r="R101" s="2" t="str">
        <x:v>已证最优</x:v>
      </x:c>
    </x:row>
    <x:row r="102" ht="24" customHeight="1">
      <x:c r="A102" s="2" t="n">
        <x:v>20</x:v>
      </x:c>
      <x:c r="B102" s="2" t="str">
        <x:v>中型</x:v>
      </x:c>
      <x:c r="C102" s="2" t="str">
        <x:v>zhou_Set2_100-10-1_subset20_scenario02_b1</x:v>
      </x:c>
      <x:c r="D102" s="2" t="str">
        <x:v>ALNS三种子最好</x:v>
      </x:c>
      <x:c r="E102" s="13" t="n">
        <x:v>461.31266521718237</x:v>
      </x:c>
      <x:c r="F102" s="13" t="n">
        <x:v>458.33516530017226</x:v>
      </x:c>
      <x:c r="G102" s="13" t="n">
        <x:f>IF(AND(ISNUMBER(E102),ISNUMBER(F102),E102&gt;0),E102-F102,"")</x:f>
        <x:v>2.977499917010107</x:v>
      </x:c>
      <x:c r="H102" s="14" t="n">
        <x:f>IF(ISNUMBER(G102),G102/E102,"")</x:f>
        <x:v>0.006454407480029458</x:v>
      </x:c>
      <x:c r="I102" s="13" t="n">
        <x:v>477.7274131345935</x:v>
      </x:c>
      <x:c r="J102" s="13" t="n">
        <x:v>477.4223699618765</x:v>
      </x:c>
      <x:c r="K102" s="13" t="n">
        <x:f>IF(AND(ISNUMBER(I102),ISNUMBER(J102),I102&gt;0),I102-J102,"")</x:f>
        <x:v>0.30504317271703485</x:v>
      </x:c>
      <x:c r="L102" s="14" t="n">
        <x:f>IF(ISNUMBER(K102),K102/I102,"")</x:f>
        <x:v>0.0006385297647365547</x:v>
      </x:c>
      <x:c r="M102" s="15" t="n">
        <x:f>IF(AND(ISNUMBER(E102),ISNUMBER(F102),ISNUMBER(I102),ISNUMBER(J102)),1,0)</x:f>
        <x:v>1</x:v>
      </x:c>
      <x:c r="N102" s="15" t="n">
        <x:v>0</x:v>
      </x:c>
      <x:c r="O102" s="2" t="str">
        <x:v>3/3种子均可行</x:v>
      </x:c>
      <x:c r="P102" s="2" t="str">
        <x:v>3/3种子均可行</x:v>
      </x:c>
      <x:c r="Q102" s="2" t="str">
        <x:v>3/3种子均可行</x:v>
      </x:c>
      <x:c r="R102" s="2" t="str">
        <x:v>3/3种子均可行</x:v>
      </x:c>
    </x:row>
    <x:row r="103" ht="24" customHeight="1">
      <x:c r="A103" s="2" t="n">
        <x:v>20</x:v>
      </x:c>
      <x:c r="B103" s="2" t="str">
        <x:v>中型</x:v>
      </x:c>
      <x:c r="C103" s="2" t="str">
        <x:v>zhou_Set2_100-10-1_subset20_scenario02_b1</x:v>
      </x:c>
      <x:c r="D103" s="2" t="str">
        <x:v>ALNS三种子均值</x:v>
      </x:c>
      <x:c r="E103" s="13" t="n">
        <x:v>461.31266521718237</x:v>
      </x:c>
      <x:c r="F103" s="13" t="n">
        <x:v>460.3201652448457</x:v>
      </x:c>
      <x:c r="G103" s="13" t="n">
        <x:f>IF(AND(ISNUMBER(E103),ISNUMBER(F103),E103&gt;0),E103-F103,"")</x:f>
        <x:v>0.9924999723366454</x:v>
      </x:c>
      <x:c r="H103" s="14" t="n">
        <x:f>IF(ISNUMBER(G103),G103/E103,"")</x:f>
        <x:v>0.002151469160009696</x:v>
      </x:c>
      <x:c r="I103" s="13" t="n">
        <x:v>477.7274131345936</x:v>
      </x:c>
      <x:c r="J103" s="13" t="n">
        <x:v>477.4223699618765</x:v>
      </x:c>
      <x:c r="K103" s="13" t="n">
        <x:f>IF(AND(ISNUMBER(I103),ISNUMBER(J103),I103&gt;0),I103-J103,"")</x:f>
        <x:v>0.3050431727170917</x:v>
      </x:c>
      <x:c r="L103" s="14" t="n">
        <x:f>IF(ISNUMBER(K103),K103/I103,"")</x:f>
        <x:v>0.0006385297647366736</x:v>
      </x:c>
      <x:c r="M103" s="15" t="n">
        <x:f>IF(AND(ISNUMBER(E103),ISNUMBER(F103),ISNUMBER(I103),ISNUMBER(J103)),1,0)</x:f>
        <x:v>1</x:v>
      </x:c>
      <x:c r="N103" s="15" t="n">
        <x:v>0</x:v>
      </x:c>
      <x:c r="O103" s="2" t="str">
        <x:v>3/3种子均可行</x:v>
      </x:c>
      <x:c r="P103" s="2" t="str">
        <x:v>3/3种子均可行</x:v>
      </x:c>
      <x:c r="Q103" s="2" t="str">
        <x:v>3/3种子均可行</x:v>
      </x:c>
      <x:c r="R103" s="2" t="str">
        <x:v>3/3种子均可行</x:v>
      </x:c>
    </x:row>
    <x:row r="104" ht="24" customHeight="1">
      <x:c r="A104" s="2" t="n">
        <x:v>20</x:v>
      </x:c>
      <x:c r="B104" s="2" t="str">
        <x:v>中型</x:v>
      </x:c>
      <x:c r="C104" s="2" t="str">
        <x:v>zhou_Set2_100-10-2_subset20_b1</x:v>
      </x:c>
      <x:c r="D104" s="2" t="str">
        <x:v>精确时限可行解</x:v>
      </x:c>
      <x:c r="E104" s="13" t="n">
        <x:v>412.8145255802309</x:v>
      </x:c>
      <x:c r="F104" s="13" t="n">
        <x:v>392.56836979827517</x:v>
      </x:c>
      <x:c r="G104" s="13" t="n">
        <x:f>IF(AND(ISNUMBER(E104),ISNUMBER(F104),E104&gt;0),E104-F104,"")</x:f>
        <x:v>20.246155781955736</x:v>
      </x:c>
      <x:c r="H104" s="14" t="n">
        <x:f>IF(ISNUMBER(G104),G104/E104,"")</x:f>
        <x:v>0.04904419425042948</x:v>
      </x:c>
      <x:c r="I104" s="13" t="n">
        <x:v>450.40571904282046</x:v>
      </x:c>
      <x:c r="J104" s="13" t="n">
        <x:v>427.9756323394308</x:v>
      </x:c>
      <x:c r="K104" s="13" t="n">
        <x:f>IF(AND(ISNUMBER(I104),ISNUMBER(J104),I104&gt;0),I104-J104,"")</x:f>
        <x:v>22.43008670338969</x:v>
      </x:c>
      <x:c r="L104" s="14" t="n">
        <x:f>IF(ISNUMBER(K104),K104/I104,"")</x:f>
        <x:v>0.04979973778098773</x:v>
      </x:c>
      <x:c r="M104" s="15" t="n">
        <x:f>IF(AND(ISNUMBER(E104),ISNUMBER(F104),ISNUMBER(I104),ISNUMBER(J104)),1,0)</x:f>
        <x:v>1</x:v>
      </x:c>
      <x:c r="N104" s="15" t="n">
        <x:v>0</x:v>
      </x:c>
      <x:c r="O104" s="2" t="str">
        <x:v>已证最优</x:v>
      </x:c>
      <x:c r="P104" s="2" t="str">
        <x:v>已证最优</x:v>
      </x:c>
      <x:c r="Q104" s="2" t="str">
        <x:v>已证最优</x:v>
      </x:c>
      <x:c r="R104" s="2" t="str">
        <x:v>可行未证最优</x:v>
      </x:c>
    </x:row>
    <x:row r="105" ht="24" customHeight="1">
      <x:c r="A105" s="2" t="n">
        <x:v>20</x:v>
      </x:c>
      <x:c r="B105" s="2" t="str">
        <x:v>中型</x:v>
      </x:c>
      <x:c r="C105" s="2" t="str">
        <x:v>zhou_Set2_100-10-2_subset20_b1</x:v>
      </x:c>
      <x:c r="D105" s="2" t="str">
        <x:v>ALNS三种子最好</x:v>
      </x:c>
      <x:c r="E105" s="13" t="n">
        <x:v>412.81452558023085</x:v>
      </x:c>
      <x:c r="F105" s="13" t="n">
        <x:v>412.8145255802309</x:v>
      </x:c>
      <x:c r="G105" s="13" t="n">
        <x:f>IF(AND(ISNUMBER(E105),ISNUMBER(F105),E105&gt;0),E105-F105,"")</x:f>
        <x:v>-5.684341886080802e-14</x:v>
      </x:c>
      <x:c r="H105" s="14" t="n">
        <x:f>IF(ISNUMBER(G105),G105/E105,"")</x:f>
        <x:v>-1.376972352920766e-16</x:v>
      </x:c>
      <x:c r="I105" s="13" t="n">
        <x:v>450.4057190428204</x:v>
      </x:c>
      <x:c r="J105" s="13" t="n">
        <x:v>427.9756323394308</x:v>
      </x:c>
      <x:c r="K105" s="13" t="n">
        <x:f>IF(AND(ISNUMBER(I105),ISNUMBER(J105),I105&gt;0),I105-J105,"")</x:f>
        <x:v>22.430086703389634</x:v>
      </x:c>
      <x:c r="L105" s="14" t="n">
        <x:f>IF(ISNUMBER(K105),K105/I105,"")</x:f>
        <x:v>0.04979973778098761</x:v>
      </x:c>
      <x:c r="M105" s="15" t="n">
        <x:f>IF(AND(ISNUMBER(E105),ISNUMBER(F105),ISNUMBER(I105),ISNUMBER(J105)),1,0)</x:f>
        <x:v>1</x:v>
      </x:c>
      <x:c r="N105" s="15" t="n">
        <x:v>0</x:v>
      </x:c>
      <x:c r="O105" s="2" t="str">
        <x:v>3/3种子均可行</x:v>
      </x:c>
      <x:c r="P105" s="2" t="str">
        <x:v>3/3种子均可行</x:v>
      </x:c>
      <x:c r="Q105" s="2" t="str">
        <x:v>3/3种子均可行</x:v>
      </x:c>
      <x:c r="R105" s="2" t="str">
        <x:v>3/3种子均可行</x:v>
      </x:c>
    </x:row>
    <x:row r="106" ht="24" customHeight="1">
      <x:c r="A106" s="2" t="n">
        <x:v>20</x:v>
      </x:c>
      <x:c r="B106" s="2" t="str">
        <x:v>中型</x:v>
      </x:c>
      <x:c r="C106" s="2" t="str">
        <x:v>zhou_Set2_100-10-2_subset20_b1</x:v>
      </x:c>
      <x:c r="D106" s="2" t="str">
        <x:v>ALNS三种子均值</x:v>
      </x:c>
      <x:c r="E106" s="13" t="n">
        <x:v>412.83130886162553</x:v>
      </x:c>
      <x:c r="F106" s="13" t="n">
        <x:v>412.83130886162553</x:v>
      </x:c>
      <x:c r="G106" s="13" t="n">
        <x:f>IF(AND(ISNUMBER(E106),ISNUMBER(F106),E106&gt;0),E106-F106,"")</x:f>
        <x:v>0</x:v>
      </x:c>
      <x:c r="H106" s="14" t="n">
        <x:f>IF(ISNUMBER(G106),G106/E106,"")</x:f>
        <x:v>0</x:v>
      </x:c>
      <x:c r="I106" s="13" t="n">
        <x:v>450.4057190428204</x:v>
      </x:c>
      <x:c r="J106" s="13" t="n">
        <x:v>430.3546046138673</x:v>
      </x:c>
      <x:c r="K106" s="13" t="n">
        <x:f>IF(AND(ISNUMBER(I106),ISNUMBER(J106),I106&gt;0),I106-J106,"")</x:f>
        <x:v>20.0511144289531</x:v>
      </x:c>
      <x:c r="L106" s="14" t="n">
        <x:f>IF(ISNUMBER(K106),K106/I106,"")</x:f>
        <x:v>0.044517894825058434</x:v>
      </x:c>
      <x:c r="M106" s="15" t="n">
        <x:f>IF(AND(ISNUMBER(E106),ISNUMBER(F106),ISNUMBER(I106),ISNUMBER(J106)),1,0)</x:f>
        <x:v>1</x:v>
      </x:c>
      <x:c r="N106" s="15" t="n">
        <x:v>0</x:v>
      </x:c>
      <x:c r="O106" s="2" t="str">
        <x:v>3/3种子均可行</x:v>
      </x:c>
      <x:c r="P106" s="2" t="str">
        <x:v>3/3种子均可行</x:v>
      </x:c>
      <x:c r="Q106" s="2" t="str">
        <x:v>3/3种子均可行</x:v>
      </x:c>
      <x:c r="R106" s="2" t="str">
        <x:v>3/3种子均可行</x:v>
      </x:c>
    </x:row>
    <x:row r="107" ht="24" customHeight="1">
      <x:c r="A107" s="2" t="n">
        <x:v>20</x:v>
      </x:c>
      <x:c r="B107" s="2" t="str">
        <x:v>中型</x:v>
      </x:c>
      <x:c r="C107" s="2" t="str">
        <x:v>zhou_Set2_100-10-2_subset20_scenario02_b1</x:v>
      </x:c>
      <x:c r="D107" s="2" t="str">
        <x:v>精确时限可行解</x:v>
      </x:c>
      <x:c r="E107" s="13" t="n">
        <x:v>412.8145255802309</x:v>
      </x:c>
      <x:c r="F107" s="13" t="n">
        <x:v>392.56836979827517</x:v>
      </x:c>
      <x:c r="G107" s="13" t="n">
        <x:f>IF(AND(ISNUMBER(E107),ISNUMBER(F107),E107&gt;0),E107-F107,"")</x:f>
        <x:v>20.246155781955736</x:v>
      </x:c>
      <x:c r="H107" s="14" t="n">
        <x:f>IF(ISNUMBER(G107),G107/E107,"")</x:f>
        <x:v>0.04904419425042948</x:v>
      </x:c>
      <x:c r="I107" s="13" t="n">
        <x:v>453.1905527469389</x:v>
      </x:c>
      <x:c r="J107" s="13" t="n">
        <x:v>427.97563233943083</x:v>
      </x:c>
      <x:c r="K107" s="13" t="n">
        <x:f>IF(AND(ISNUMBER(I107),ISNUMBER(J107),I107&gt;0),I107-J107,"")</x:f>
        <x:v>25.21492040750809</x:v>
      </x:c>
      <x:c r="L107" s="14" t="n">
        <x:f>IF(ISNUMBER(K107),K107/I107,"")</x:f>
        <x:v>0.05563867175666407</x:v>
      </x:c>
      <x:c r="M107" s="15" t="n">
        <x:f>IF(AND(ISNUMBER(E107),ISNUMBER(F107),ISNUMBER(I107),ISNUMBER(J107)),1,0)</x:f>
        <x:v>1</x:v>
      </x:c>
      <x:c r="N107" s="15" t="n">
        <x:v>0</x:v>
      </x:c>
      <x:c r="O107" s="2" t="str">
        <x:v>已证最优</x:v>
      </x:c>
      <x:c r="P107" s="2" t="str">
        <x:v>已证最优</x:v>
      </x:c>
      <x:c r="Q107" s="2" t="str">
        <x:v>已证最优</x:v>
      </x:c>
      <x:c r="R107" s="2" t="str">
        <x:v>可行未证最优</x:v>
      </x:c>
    </x:row>
    <x:row r="108" ht="24" customHeight="1">
      <x:c r="A108" s="2" t="n">
        <x:v>20</x:v>
      </x:c>
      <x:c r="B108" s="2" t="str">
        <x:v>中型</x:v>
      </x:c>
      <x:c r="C108" s="2" t="str">
        <x:v>zhou_Set2_100-10-2_subset20_scenario02_b1</x:v>
      </x:c>
      <x:c r="D108" s="2" t="str">
        <x:v>ALNS三种子最好</x:v>
      </x:c>
      <x:c r="E108" s="13" t="n">
        <x:v>412.83970050232284</x:v>
      </x:c>
      <x:c r="F108" s="13" t="n">
        <x:v>412.8397005023229</x:v>
      </x:c>
      <x:c r="G108" s="13" t="n">
        <x:f>IF(AND(ISNUMBER(E108),ISNUMBER(F108),E108&gt;0),E108-F108,"")</x:f>
        <x:v>-5.684341886080802e-14</x:v>
      </x:c>
      <x:c r="H108" s="14" t="n">
        <x:f>IF(ISNUMBER(G108),G108/E108,"")</x:f>
        <x:v>-1.3768883852895875e-16</x:v>
      </x:c>
      <x:c r="I108" s="13" t="n">
        <x:v>453.1905527469389</x:v>
      </x:c>
      <x:c r="J108" s="13" t="n">
        <x:v>434.89225088115336</x:v>
      </x:c>
      <x:c r="K108" s="13" t="n">
        <x:f>IF(AND(ISNUMBER(I108),ISNUMBER(J108),I108&gt;0),I108-J108,"")</x:f>
        <x:v>18.29830186578556</x:v>
      </x:c>
      <x:c r="L108" s="14" t="n">
        <x:f>IF(ISNUMBER(K108),K108/I108,"")</x:f>
        <x:v>0.04037661808012867</x:v>
      </x:c>
      <x:c r="M108" s="15" t="n">
        <x:f>IF(AND(ISNUMBER(E108),ISNUMBER(F108),ISNUMBER(I108),ISNUMBER(J108)),1,0)</x:f>
        <x:v>1</x:v>
      </x:c>
      <x:c r="N108" s="15" t="n">
        <x:v>0</x:v>
      </x:c>
      <x:c r="O108" s="2" t="str">
        <x:v>3/3种子均可行</x:v>
      </x:c>
      <x:c r="P108" s="2" t="str">
        <x:v>3/3种子均可行</x:v>
      </x:c>
      <x:c r="Q108" s="2" t="str">
        <x:v>3/3种子均可行</x:v>
      </x:c>
      <x:c r="R108" s="2" t="str">
        <x:v>3/3种子均可行</x:v>
      </x:c>
    </x:row>
    <x:row r="109" ht="24" customHeight="1">
      <x:c r="A109" s="2" t="n">
        <x:v>20</x:v>
      </x:c>
      <x:c r="B109" s="2" t="str">
        <x:v>中型</x:v>
      </x:c>
      <x:c r="C109" s="2" t="str">
        <x:v>zhou_Set2_100-10-2_subset20_scenario02_b1</x:v>
      </x:c>
      <x:c r="D109" s="2" t="str">
        <x:v>ALNS三种子均值</x:v>
      </x:c>
      <x:c r="E109" s="13" t="n">
        <x:v>412.83970050232284</x:v>
      </x:c>
      <x:c r="F109" s="13" t="n">
        <x:v>412.8397005023229</x:v>
      </x:c>
      <x:c r="G109" s="13" t="n">
        <x:f>IF(AND(ISNUMBER(E109),ISNUMBER(F109),E109&gt;0),E109-F109,"")</x:f>
        <x:v>-5.684341886080802e-14</x:v>
      </x:c>
      <x:c r="H109" s="14" t="n">
        <x:f>IF(ISNUMBER(G109),G109/E109,"")</x:f>
        <x:v>-1.3768883852895875e-16</x:v>
      </x:c>
      <x:c r="I109" s="13" t="n">
        <x:v>453.1905527469389</x:v>
      </x:c>
      <x:c r="J109" s="13" t="n">
        <x:v>435.837335359463</x:v>
      </x:c>
      <x:c r="K109" s="13" t="n">
        <x:f>IF(AND(ISNUMBER(I109),ISNUMBER(J109),I109&gt;0),I109-J109,"")</x:f>
        <x:v>17.353217387475922</x:v>
      </x:c>
      <x:c r="L109" s="14" t="n">
        <x:f>IF(ISNUMBER(K109),K109/I109,"")</x:f>
        <x:v>0.038291216095067054</x:v>
      </x:c>
      <x:c r="M109" s="15" t="n">
        <x:f>IF(AND(ISNUMBER(E109),ISNUMBER(F109),ISNUMBER(I109),ISNUMBER(J109)),1,0)</x:f>
        <x:v>1</x:v>
      </x:c>
      <x:c r="N109" s="15" t="n">
        <x:v>0</x:v>
      </x:c>
      <x:c r="O109" s="2" t="str">
        <x:v>3/3种子均可行</x:v>
      </x:c>
      <x:c r="P109" s="2" t="str">
        <x:v>3/3种子均可行</x:v>
      </x:c>
      <x:c r="Q109" s="2" t="str">
        <x:v>3/3种子均可行</x:v>
      </x:c>
      <x:c r="R109" s="2" t="str">
        <x:v>3/3种子均可行</x:v>
      </x:c>
    </x:row>
    <x:row r="110" ht="24" customHeight="1">
      <x:c r="A110" s="2" t="n">
        <x:v>20</x:v>
      </x:c>
      <x:c r="B110" s="2" t="str">
        <x:v>中型</x:v>
      </x:c>
      <x:c r="C110" s="2" t="str">
        <x:v>zhou_Set2_100-5-1b_subset20_b1</x:v>
      </x:c>
      <x:c r="D110" s="2" t="str">
        <x:v>精确时限可行解</x:v>
      </x:c>
      <x:c r="E110" s="13" t="n">
        <x:v>710.6034640074411</x:v>
      </x:c>
      <x:c r="F110" s="13" t="n">
        <x:v>568.1301745111423</x:v>
      </x:c>
      <x:c r="G110" s="13" t="n">
        <x:f>IF(AND(ISNUMBER(E110),ISNUMBER(F110),E110&gt;0),E110-F110,"")</x:f>
        <x:v>142.47328949629878</x:v>
      </x:c>
      <x:c r="H110" s="14" t="n">
        <x:f>IF(ISNUMBER(G110),G110/E110,"")</x:f>
        <x:v>0.20049619332394203</x:v>
      </x:c>
      <x:c r="I110" s="13" t="n">
        <x:v>784.7912529094767</x:v>
      </x:c>
      <x:c r="J110" s="13" t="n">
        <x:v>763.5524646071121</x:v>
      </x:c>
      <x:c r="K110" s="13" t="n">
        <x:f>IF(AND(ISNUMBER(I110),ISNUMBER(J110),I110&gt;0),I110-J110,"")</x:f>
        <x:v>21.238788302364583</x:v>
      </x:c>
      <x:c r="L110" s="14" t="n">
        <x:f>IF(ISNUMBER(K110),K110/I110,"")</x:f>
        <x:v>0.027062977860195916</x:v>
      </x:c>
      <x:c r="M110" s="15" t="n">
        <x:f>IF(AND(ISNUMBER(E110),ISNUMBER(F110),ISNUMBER(I110),ISNUMBER(J110)),1,0)</x:f>
        <x:v>1</x:v>
      </x:c>
      <x:c r="N110" s="15" t="n">
        <x:v>0</x:v>
      </x:c>
      <x:c r="O110" s="2" t="str">
        <x:v>已证最优</x:v>
      </x:c>
      <x:c r="P110" s="2" t="str">
        <x:v>可行未证最优</x:v>
      </x:c>
      <x:c r="Q110" s="2" t="str">
        <x:v>可行未证最优</x:v>
      </x:c>
      <x:c r="R110" s="2" t="str">
        <x:v>可行未证最优</x:v>
      </x:c>
    </x:row>
    <x:row r="111" ht="24" customHeight="1">
      <x:c r="A111" s="2" t="n">
        <x:v>20</x:v>
      </x:c>
      <x:c r="B111" s="2" t="str">
        <x:v>中型</x:v>
      </x:c>
      <x:c r="C111" s="2" t="str">
        <x:v>zhou_Set2_100-5-1b_subset20_b1</x:v>
      </x:c>
      <x:c r="D111" s="2" t="str">
        <x:v>ALNS三种子最好</x:v>
      </x:c>
      <x:c r="E111" s="13" t="n">
        <x:v>710.6034640074411</x:v>
      </x:c>
      <x:c r="F111" s="13" t="n">
        <x:v>672.3446325652617</x:v>
      </x:c>
      <x:c r="G111" s="13" t="n">
        <x:f>IF(AND(ISNUMBER(E111),ISNUMBER(F111),E111&gt;0),E111-F111,"")</x:f>
        <x:v>38.25883144217937</x:v>
      </x:c>
      <x:c r="H111" s="14" t="n">
        <x:f>IF(ISNUMBER(G111),G111/E111,"")</x:f>
        <x:v>0.05383991688756916</x:v>
      </x:c>
      <x:c r="I111" s="13" t="n">
        <x:v>804.1627294408798</x:v>
      </x:c>
      <x:c r="J111" s="13" t="n">
        <x:v>721.9115981686582</x:v>
      </x:c>
      <x:c r="K111" s="13" t="n">
        <x:f>IF(AND(ISNUMBER(I111),ISNUMBER(J111),I111&gt;0),I111-J111,"")</x:f>
        <x:v>82.25113127222164</x:v>
      </x:c>
      <x:c r="L111" s="14" t="n">
        <x:f>IF(ISNUMBER(K111),K111/I111,"")</x:f>
        <x:v>0.10228170028398283</x:v>
      </x:c>
      <x:c r="M111" s="15" t="n">
        <x:f>IF(AND(ISNUMBER(E111),ISNUMBER(F111),ISNUMBER(I111),ISNUMBER(J111)),1,0)</x:f>
        <x:v>1</x:v>
      </x:c>
      <x:c r="N111" s="15" t="n">
        <x:v>0</x:v>
      </x:c>
      <x:c r="O111" s="2" t="str">
        <x:v>3/3种子均可行</x:v>
      </x:c>
      <x:c r="P111" s="2" t="str">
        <x:v>3/3种子均可行</x:v>
      </x:c>
      <x:c r="Q111" s="2" t="str">
        <x:v>3/3种子均可行</x:v>
      </x:c>
      <x:c r="R111" s="2" t="str">
        <x:v>3/3种子均可行</x:v>
      </x:c>
    </x:row>
    <x:row r="112" ht="24" customHeight="1">
      <x:c r="A112" s="2" t="n">
        <x:v>20</x:v>
      </x:c>
      <x:c r="B112" s="2" t="str">
        <x:v>中型</x:v>
      </x:c>
      <x:c r="C112" s="2" t="str">
        <x:v>zhou_Set2_100-5-1b_subset20_b1</x:v>
      </x:c>
      <x:c r="D112" s="2" t="str">
        <x:v>ALNS三种子均值</x:v>
      </x:c>
      <x:c r="E112" s="13" t="n">
        <x:v>711.8003007846079</x:v>
      </x:c>
      <x:c r="F112" s="13" t="n">
        <x:v>678.4574502538967</x:v>
      </x:c>
      <x:c r="G112" s="13" t="n">
        <x:f>IF(AND(ISNUMBER(E112),ISNUMBER(F112),E112&gt;0),E112-F112,"")</x:f>
        <x:v>33.34285053071119</x:v>
      </x:c>
      <x:c r="H112" s="14" t="n">
        <x:f>IF(ISNUMBER(G112),G112/E112,"")</x:f>
        <x:v>0.04684298460390901</x:v>
      </x:c>
      <x:c r="I112" s="13" t="n">
        <x:v>805.751098805436</x:v>
      </x:c>
      <x:c r="J112" s="13" t="n">
        <x:v>735.1954464241777</x:v>
      </x:c>
      <x:c r="K112" s="13" t="n">
        <x:f>IF(AND(ISNUMBER(I112),ISNUMBER(J112),I112&gt;0),I112-J112,"")</x:f>
        <x:v>70.55565238125826</x:v>
      </x:c>
      <x:c r="L112" s="14" t="n">
        <x:f>IF(ISNUMBER(K112),K112/I112,"")</x:f>
        <x:v>0.08756507125570209</x:v>
      </x:c>
      <x:c r="M112" s="15" t="n">
        <x:f>IF(AND(ISNUMBER(E112),ISNUMBER(F112),ISNUMBER(I112),ISNUMBER(J112)),1,0)</x:f>
        <x:v>1</x:v>
      </x:c>
      <x:c r="N112" s="15" t="n">
        <x:v>0</x:v>
      </x:c>
      <x:c r="O112" s="2" t="str">
        <x:v>3/3种子均可行</x:v>
      </x:c>
      <x:c r="P112" s="2" t="str">
        <x:v>3/3种子均可行</x:v>
      </x:c>
      <x:c r="Q112" s="2" t="str">
        <x:v>3/3种子均可行</x:v>
      </x:c>
      <x:c r="R112" s="2" t="str">
        <x:v>3/3种子均可行</x:v>
      </x:c>
    </x:row>
    <x:row r="113" ht="24" customHeight="1">
      <x:c r="A113" s="2" t="n">
        <x:v>20</x:v>
      </x:c>
      <x:c r="B113" s="2" t="str">
        <x:v>中型</x:v>
      </x:c>
      <x:c r="C113" s="2" t="str">
        <x:v>zhou_Set2_100-5-1b_subset20_scenario02_b1</x:v>
      </x:c>
      <x:c r="D113" s="2" t="str">
        <x:v>精确时限可行解</x:v>
      </x:c>
      <x:c r="E113" s="13" t="n">
        <x:v>710.6034640074411</x:v>
      </x:c>
      <x:c r="F113" s="13" t="n">
        <x:v>568.1301745111423</x:v>
      </x:c>
      <x:c r="G113" s="13" t="n">
        <x:f>IF(AND(ISNUMBER(E113),ISNUMBER(F113),E113&gt;0),E113-F113,"")</x:f>
        <x:v>142.47328949629878</x:v>
      </x:c>
      <x:c r="H113" s="14" t="n">
        <x:f>IF(ISNUMBER(G113),G113/E113,"")</x:f>
        <x:v>0.20049619332394203</x:v>
      </x:c>
      <x:c r="I113" s="13" t="n">
        <x:v>795.4483335068039</x:v>
      </x:c>
      <x:c r="J113" s="13" t="n">
        <x:v>813.3933551894511</x:v>
      </x:c>
      <x:c r="K113" s="13" t="n">
        <x:f>IF(AND(ISNUMBER(I113),ISNUMBER(J113),I113&gt;0),I113-J113,"")</x:f>
        <x:v>-17.945021682647166</x:v>
      </x:c>
      <x:c r="L113" s="14" t="n">
        <x:f>IF(ISNUMBER(K113),K113/I113,"")</x:f>
        <x:v>-0.022559632004677112</x:v>
      </x:c>
      <x:c r="M113" s="15" t="n">
        <x:f>IF(AND(ISNUMBER(E113),ISNUMBER(F113),ISNUMBER(I113),ISNUMBER(J113)),1,0)</x:f>
        <x:v>1</x:v>
      </x:c>
      <x:c r="N113" s="15" t="n">
        <x:v>0</x:v>
      </x:c>
      <x:c r="O113" s="2" t="str">
        <x:v>已证最优</x:v>
      </x:c>
      <x:c r="P113" s="2" t="str">
        <x:v>可行未证最优</x:v>
      </x:c>
      <x:c r="Q113" s="2" t="str">
        <x:v>可行未证最优</x:v>
      </x:c>
      <x:c r="R113" s="2" t="str">
        <x:v>可行未证最优</x:v>
      </x:c>
    </x:row>
    <x:row r="114" ht="24" customHeight="1">
      <x:c r="A114" s="2" t="n">
        <x:v>20</x:v>
      </x:c>
      <x:c r="B114" s="2" t="str">
        <x:v>中型</x:v>
      </x:c>
      <x:c r="C114" s="2" t="str">
        <x:v>zhou_Set2_100-5-1b_subset20_scenario02_b1</x:v>
      </x:c>
      <x:c r="D114" s="2" t="str">
        <x:v>ALNS三种子最好</x:v>
      </x:c>
      <x:c r="E114" s="13" t="n">
        <x:v>710.603464007441</x:v>
      </x:c>
      <x:c r="F114" s="13" t="n">
        <x:v>679.9927414069955</x:v>
      </x:c>
      <x:c r="G114" s="13" t="n">
        <x:f>IF(AND(ISNUMBER(E114),ISNUMBER(F114),E114&gt;0),E114-F114,"")</x:f>
        <x:v>30.610722600445456</x:v>
      </x:c>
      <x:c r="H114" s="14" t="n">
        <x:f>IF(ISNUMBER(G114),G114/E114,"")</x:f>
        <x:v>0.043077080468784376</x:v>
      </x:c>
      <x:c r="I114" s="13" t="n">
        <x:v>814.3601137772232</x:v>
      </x:c>
      <x:c r="J114" s="13" t="n">
        <x:v>712.3300564089205</x:v>
      </x:c>
      <x:c r="K114" s="13" t="n">
        <x:f>IF(AND(ISNUMBER(I114),ISNUMBER(J114),I114&gt;0),I114-J114,"")</x:f>
        <x:v>102.03005736830266</x:v>
      </x:c>
      <x:c r="L114" s="14" t="n">
        <x:f>IF(ISNUMBER(K114),K114/I114,"")</x:f>
        <x:v>0.12528862310687047</x:v>
      </x:c>
      <x:c r="M114" s="15" t="n">
        <x:f>IF(AND(ISNUMBER(E114),ISNUMBER(F114),ISNUMBER(I114),ISNUMBER(J114)),1,0)</x:f>
        <x:v>1</x:v>
      </x:c>
      <x:c r="N114" s="15" t="n">
        <x:v>0</x:v>
      </x:c>
      <x:c r="O114" s="2" t="str">
        <x:v>3/3种子均可行</x:v>
      </x:c>
      <x:c r="P114" s="2" t="str">
        <x:v>3/3种子均可行</x:v>
      </x:c>
      <x:c r="Q114" s="2" t="str">
        <x:v>3/3种子均可行</x:v>
      </x:c>
      <x:c r="R114" s="2" t="str">
        <x:v>3/3种子均可行</x:v>
      </x:c>
    </x:row>
    <x:row r="115" ht="24" customHeight="1">
      <x:c r="A115" s="2" t="n">
        <x:v>20</x:v>
      </x:c>
      <x:c r="B115" s="2" t="str">
        <x:v>中型</x:v>
      </x:c>
      <x:c r="C115" s="2" t="str">
        <x:v>zhou_Set2_100-5-1b_subset20_scenario02_b1</x:v>
      </x:c>
      <x:c r="D115" s="2" t="str">
        <x:v>ALNS三种子均值</x:v>
      </x:c>
      <x:c r="E115" s="13" t="n">
        <x:v>710.603464007441</x:v>
      </x:c>
      <x:c r="F115" s="13" t="n">
        <x:v>681.7922608289916</x:v>
      </x:c>
      <x:c r="G115" s="13" t="n">
        <x:f>IF(AND(ISNUMBER(E115),ISNUMBER(F115),E115&gt;0),E115-F115,"")</x:f>
        <x:v>28.81120317844932</x:v>
      </x:c>
      <x:c r="H115" s="14" t="n">
        <x:f>IF(ISNUMBER(G115),G115/E115,"")</x:f>
        <x:v>0.04054469846793152</x:v>
      </x:c>
      <x:c r="I115" s="13" t="n">
        <x:v>819.3145766811878</x:v>
      </x:c>
      <x:c r="J115" s="13" t="n">
        <x:v>771.4527659410594</x:v>
      </x:c>
      <x:c r="K115" s="13" t="n">
        <x:f>IF(AND(ISNUMBER(I115),ISNUMBER(J115),I115&gt;0),I115-J115,"")</x:f>
        <x:v>47.86181074012836</x:v>
      </x:c>
      <x:c r="L115" s="14" t="n">
        <x:f>IF(ISNUMBER(K115),K115/I115,"")</x:f>
        <x:v>0.05841689151193069</x:v>
      </x:c>
      <x:c r="M115" s="15" t="n">
        <x:f>IF(AND(ISNUMBER(E115),ISNUMBER(F115),ISNUMBER(I115),ISNUMBER(J115)),1,0)</x:f>
        <x:v>1</x:v>
      </x:c>
      <x:c r="N115" s="15" t="n">
        <x:v>0</x:v>
      </x:c>
      <x:c r="O115" s="2" t="str">
        <x:v>3/3种子均可行</x:v>
      </x:c>
      <x:c r="P115" s="2" t="str">
        <x:v>3/3种子均可行</x:v>
      </x:c>
      <x:c r="Q115" s="2" t="str">
        <x:v>3/3种子均可行</x:v>
      </x:c>
      <x:c r="R115" s="2" t="str">
        <x:v>3/3种子均可行</x:v>
      </x:c>
    </x:row>
    <x:row r="116" ht="24" customHeight="1">
      <x:c r="A116" s="2" t="n">
        <x:v>20</x:v>
      </x:c>
      <x:c r="B116" s="2" t="str">
        <x:v>中型</x:v>
      </x:c>
      <x:c r="C116" s="2" t="str">
        <x:v>zhou_Set2_100-5-2_subset20_b1</x:v>
      </x:c>
      <x:c r="D116" s="2" t="str">
        <x:v>精确时限可行解</x:v>
      </x:c>
      <x:c r="E116" s="13" t="n">
        <x:v>375.73264552045475</x:v>
      </x:c>
      <x:c r="F116" s="13" t="n">
        <x:v>367.17594871345915</x:v>
      </x:c>
      <x:c r="G116" s="13" t="n">
        <x:f>IF(AND(ISNUMBER(E116),ISNUMBER(F116),E116&gt;0),E116-F116,"")</x:f>
        <x:v>8.556696806995603</x:v>
      </x:c>
      <x:c r="H116" s="14" t="n">
        <x:f>IF(ISNUMBER(G116),G116/E116,"")</x:f>
        <x:v>0.022773365341047482</x:v>
      </x:c>
      <x:c r="I116" s="13" t="n">
        <x:v>404.01698338672315</x:v>
      </x:c>
      <x:c r="J116" s="13" t="n">
        <x:v>401.8109863019785</x:v>
      </x:c>
      <x:c r="K116" s="13" t="n">
        <x:f>IF(AND(ISNUMBER(I116),ISNUMBER(J116),I116&gt;0),I116-J116,"")</x:f>
        <x:v>2.205997084744638</x:v>
      </x:c>
      <x:c r="L116" s="14" t="n">
        <x:f>IF(ISNUMBER(K116),K116/I116,"")</x:f>
        <x:v>0.005460159288979859</x:v>
      </x:c>
      <x:c r="M116" s="15" t="n">
        <x:f>IF(AND(ISNUMBER(E116),ISNUMBER(F116),ISNUMBER(I116),ISNUMBER(J116)),1,0)</x:f>
        <x:v>1</x:v>
      </x:c>
      <x:c r="N116" s="15" t="n">
        <x:v>0</x:v>
      </x:c>
      <x:c r="O116" s="2" t="str">
        <x:v>已证最优</x:v>
      </x:c>
      <x:c r="P116" s="2" t="str">
        <x:v>可行未证最优</x:v>
      </x:c>
      <x:c r="Q116" s="2" t="str">
        <x:v>已证最优</x:v>
      </x:c>
      <x:c r="R116" s="2" t="str">
        <x:v>可行未证最优</x:v>
      </x:c>
    </x:row>
    <x:row r="117" ht="24" customHeight="1">
      <x:c r="A117" s="2" t="n">
        <x:v>20</x:v>
      </x:c>
      <x:c r="B117" s="2" t="str">
        <x:v>中型</x:v>
      </x:c>
      <x:c r="C117" s="2" t="str">
        <x:v>zhou_Set2_100-5-2_subset20_b1</x:v>
      </x:c>
      <x:c r="D117" s="2" t="str">
        <x:v>ALNS三种子最好</x:v>
      </x:c>
      <x:c r="E117" s="13" t="n">
        <x:v>375.73264552045475</x:v>
      </x:c>
      <x:c r="F117" s="13" t="n">
        <x:v>373.7234155425149</x:v>
      </x:c>
      <x:c r="G117" s="13" t="n">
        <x:f>IF(AND(ISNUMBER(E117),ISNUMBER(F117),E117&gt;0),E117-F117,"")</x:f>
        <x:v>2.0092299779398672</x:v>
      </x:c>
      <x:c r="H117" s="14" t="n">
        <x:f>IF(ISNUMBER(G117),G117/E117,"")</x:f>
        <x:v>0.00534749908450658</x:v>
      </x:c>
      <x:c r="I117" s="13" t="n">
        <x:v>404.0169833867232</x:v>
      </x:c>
      <x:c r="J117" s="13" t="n">
        <x:v>405.7938960528038</x:v>
      </x:c>
      <x:c r="K117" s="13" t="n">
        <x:f>IF(AND(ISNUMBER(I117),ISNUMBER(J117),I117&gt;0),I117-J117,"")</x:f>
        <x:v>-1.776912666080591</x:v>
      </x:c>
      <x:c r="L117" s="14" t="n">
        <x:f>IF(ISNUMBER(K117),K117/I117,"")</x:f>
        <x:v>-0.004398113790131783</x:v>
      </x:c>
      <x:c r="M117" s="15" t="n">
        <x:f>IF(AND(ISNUMBER(E117),ISNUMBER(F117),ISNUMBER(I117),ISNUMBER(J117)),1,0)</x:f>
        <x:v>1</x:v>
      </x:c>
      <x:c r="N117" s="15" t="n">
        <x:v>0</x:v>
      </x:c>
      <x:c r="O117" s="2" t="str">
        <x:v>3/3种子均可行</x:v>
      </x:c>
      <x:c r="P117" s="2" t="str">
        <x:v>3/3种子均可行</x:v>
      </x:c>
      <x:c r="Q117" s="2" t="str">
        <x:v>3/3种子均可行</x:v>
      </x:c>
      <x:c r="R117" s="2" t="str">
        <x:v>3/3种子均可行</x:v>
      </x:c>
    </x:row>
    <x:row r="118" ht="24" customHeight="1">
      <x:c r="A118" s="2" t="n">
        <x:v>20</x:v>
      </x:c>
      <x:c r="B118" s="2" t="str">
        <x:v>中型</x:v>
      </x:c>
      <x:c r="C118" s="2" t="str">
        <x:v>zhou_Set2_100-5-2_subset20_b1</x:v>
      </x:c>
      <x:c r="D118" s="2" t="str">
        <x:v>ALNS三种子均值</x:v>
      </x:c>
      <x:c r="E118" s="13" t="n">
        <x:v>375.73264552045475</x:v>
      </x:c>
      <x:c r="F118" s="13" t="n">
        <x:v>374.3931588684948</x:v>
      </x:c>
      <x:c r="G118" s="13" t="n">
        <x:f>IF(AND(ISNUMBER(E118),ISNUMBER(F118),E118&gt;0),E118-F118,"")</x:f>
        <x:v>1.3394866519599304</x:v>
      </x:c>
      <x:c r="H118" s="14" t="n">
        <x:f>IF(ISNUMBER(G118),G118/E118,"")</x:f>
        <x:v>0.003564999389671104</x:v>
      </x:c>
      <x:c r="I118" s="13" t="n">
        <x:v>410.5531188429795</x:v>
      </x:c>
      <x:c r="J118" s="13" t="n">
        <x:v>408.59924513610474</x:v>
      </x:c>
      <x:c r="K118" s="13" t="n">
        <x:f>IF(AND(ISNUMBER(I118),ISNUMBER(J118),I118&gt;0),I118-J118,"")</x:f>
        <x:v>1.953873706874731</x:v>
      </x:c>
      <x:c r="L118" s="14" t="n">
        <x:f>IF(ISNUMBER(K118),K118/I118,"")</x:f>
        <x:v>0.0047591252317876346</x:v>
      </x:c>
      <x:c r="M118" s="15" t="n">
        <x:f>IF(AND(ISNUMBER(E118),ISNUMBER(F118),ISNUMBER(I118),ISNUMBER(J118)),1,0)</x:f>
        <x:v>1</x:v>
      </x:c>
      <x:c r="N118" s="15" t="n">
        <x:v>0</x:v>
      </x:c>
      <x:c r="O118" s="2" t="str">
        <x:v>3/3种子均可行</x:v>
      </x:c>
      <x:c r="P118" s="2" t="str">
        <x:v>3/3种子均可行</x:v>
      </x:c>
      <x:c r="Q118" s="2" t="str">
        <x:v>3/3种子均可行</x:v>
      </x:c>
      <x:c r="R118" s="2" t="str">
        <x:v>3/3种子均可行</x:v>
      </x:c>
    </x:row>
    <x:row r="119" ht="24" customHeight="1">
      <x:c r="A119" s="2" t="n">
        <x:v>20</x:v>
      </x:c>
      <x:c r="B119" s="2" t="str">
        <x:v>中型</x:v>
      </x:c>
      <x:c r="C119" s="2" t="str">
        <x:v>zhou_Set2_100-5-2_subset20_scenario02_b1</x:v>
      </x:c>
      <x:c r="D119" s="2" t="str">
        <x:v>精确时限可行解</x:v>
      </x:c>
      <x:c r="E119" s="13" t="n">
        <x:v>375.73264552045475</x:v>
      </x:c>
      <x:c r="F119" s="13" t="n">
        <x:v>367.17594871345915</x:v>
      </x:c>
      <x:c r="G119" s="13" t="n">
        <x:f>IF(AND(ISNUMBER(E119),ISNUMBER(F119),E119&gt;0),E119-F119,"")</x:f>
        <x:v>8.556696806995603</x:v>
      </x:c>
      <x:c r="H119" s="14" t="n">
        <x:f>IF(ISNUMBER(G119),G119/E119,"")</x:f>
        <x:v>0.022773365341047482</x:v>
      </x:c>
      <x:c r="I119" s="13" t="n">
        <x:v>404.8592909923152</x:v>
      </x:c>
      <x:c r="J119" s="13" t="n">
        <x:v>402.6532939075705</x:v>
      </x:c>
      <x:c r="K119" s="13" t="n">
        <x:f>IF(AND(ISNUMBER(I119),ISNUMBER(J119),I119&gt;0),I119-J119,"")</x:f>
        <x:v>2.205997084744695</x:v>
      </x:c>
      <x:c r="L119" s="14" t="n">
        <x:f>IF(ISNUMBER(K119),K119/I119,"")</x:f>
        <x:v>0.005448799456566177</x:v>
      </x:c>
      <x:c r="M119" s="15" t="n">
        <x:f>IF(AND(ISNUMBER(E119),ISNUMBER(F119),ISNUMBER(I119),ISNUMBER(J119)),1,0)</x:f>
        <x:v>1</x:v>
      </x:c>
      <x:c r="N119" s="15" t="n">
        <x:v>0</x:v>
      </x:c>
      <x:c r="O119" s="2" t="str">
        <x:v>已证最优</x:v>
      </x:c>
      <x:c r="P119" s="2" t="str">
        <x:v>可行未证最优</x:v>
      </x:c>
      <x:c r="Q119" s="2" t="str">
        <x:v>已证最优</x:v>
      </x:c>
      <x:c r="R119" s="2" t="str">
        <x:v>可行未证最优</x:v>
      </x:c>
    </x:row>
    <x:row r="120" ht="24" customHeight="1">
      <x:c r="A120" s="2" t="n">
        <x:v>20</x:v>
      </x:c>
      <x:c r="B120" s="2" t="str">
        <x:v>中型</x:v>
      </x:c>
      <x:c r="C120" s="2" t="str">
        <x:v>zhou_Set2_100-5-2_subset20_scenario02_b1</x:v>
      </x:c>
      <x:c r="D120" s="2" t="str">
        <x:v>ALNS三种子最好</x:v>
      </x:c>
      <x:c r="E120" s="13" t="n">
        <x:v>375.73264552045475</x:v>
      </x:c>
      <x:c r="F120" s="13" t="n">
        <x:v>373.7234155425149</x:v>
      </x:c>
      <x:c r="G120" s="13" t="n">
        <x:f>IF(AND(ISNUMBER(E120),ISNUMBER(F120),E120&gt;0),E120-F120,"")</x:f>
        <x:v>2.0092299779398672</x:v>
      </x:c>
      <x:c r="H120" s="14" t="n">
        <x:f>IF(ISNUMBER(G120),G120/E120,"")</x:f>
        <x:v>0.00534749908450658</x:v>
      </x:c>
      <x:c r="I120" s="13" t="n">
        <x:v>404.8592909923151</x:v>
      </x:c>
      <x:c r="J120" s="13" t="n">
        <x:v>402.85006101437534</x:v>
      </x:c>
      <x:c r="K120" s="13" t="n">
        <x:f>IF(AND(ISNUMBER(I120),ISNUMBER(J120),I120&gt;0),I120-J120,"")</x:f>
        <x:v>2.0092299779397536</x:v>
      </x:c>
      <x:c r="L120" s="14" t="n">
        <x:f>IF(ISNUMBER(K120),K120/I120,"")</x:f>
        <x:v>0.004962785892884182</x:v>
      </x:c>
      <x:c r="M120" s="15" t="n">
        <x:f>IF(AND(ISNUMBER(E120),ISNUMBER(F120),ISNUMBER(I120),ISNUMBER(J120)),1,0)</x:f>
        <x:v>1</x:v>
      </x:c>
      <x:c r="N120" s="15" t="n">
        <x:v>0</x:v>
      </x:c>
      <x:c r="O120" s="2" t="str">
        <x:v>3/3种子均可行</x:v>
      </x:c>
      <x:c r="P120" s="2" t="str">
        <x:v>3/3种子均可行</x:v>
      </x:c>
      <x:c r="Q120" s="2" t="str">
        <x:v>3/3种子均可行</x:v>
      </x:c>
      <x:c r="R120" s="2" t="str">
        <x:v>3/3种子均可行</x:v>
      </x:c>
    </x:row>
    <x:row r="121" ht="24" customHeight="1">
      <x:c r="A121" s="2" t="n">
        <x:v>20</x:v>
      </x:c>
      <x:c r="B121" s="2" t="str">
        <x:v>中型</x:v>
      </x:c>
      <x:c r="C121" s="2" t="str">
        <x:v>zhou_Set2_100-5-2_subset20_scenario02_b1</x:v>
      </x:c>
      <x:c r="D121" s="2" t="str">
        <x:v>ALNS三种子均值</x:v>
      </x:c>
      <x:c r="E121" s="13" t="n">
        <x:v>375.7326455204548</x:v>
      </x:c>
      <x:c r="F121" s="13" t="n">
        <x:v>374.3931588684948</x:v>
      </x:c>
      <x:c r="G121" s="13" t="n">
        <x:f>IF(AND(ISNUMBER(E121),ISNUMBER(F121),E121&gt;0),E121-F121,"")</x:f>
        <x:v>1.3394866519599873</x:v>
      </x:c>
      <x:c r="H121" s="14" t="n">
        <x:f>IF(ISNUMBER(G121),G121/E121,"")</x:f>
        <x:v>0.0035649993896712546</x:v>
      </x:c>
      <x:c r="I121" s="13" t="n">
        <x:v>408.3179940393703</x:v>
      </x:c>
      <x:c r="J121" s="13" t="n">
        <x:v>409.7674671084857</x:v>
      </x:c>
      <x:c r="K121" s="13" t="n">
        <x:f>IF(AND(ISNUMBER(I121),ISNUMBER(J121),I121&gt;0),I121-J121,"")</x:f>
        <x:v>-1.4494730691153563</x:v>
      </x:c>
      <x:c r="L121" s="14" t="n">
        <x:f>IF(ISNUMBER(K121),K121/I121,"")</x:f>
        <x:v>-0.003549863317989354</x:v>
      </x:c>
      <x:c r="M121" s="15" t="n">
        <x:f>IF(AND(ISNUMBER(E121),ISNUMBER(F121),ISNUMBER(I121),ISNUMBER(J121)),1,0)</x:f>
        <x:v>1</x:v>
      </x:c>
      <x:c r="N121" s="15" t="n">
        <x:v>0</x:v>
      </x:c>
      <x:c r="O121" s="2" t="str">
        <x:v>3/3种子均可行</x:v>
      </x:c>
      <x:c r="P121" s="2" t="str">
        <x:v>3/3种子均可行</x:v>
      </x:c>
      <x:c r="Q121" s="2" t="str">
        <x:v>3/3种子均可行</x:v>
      </x:c>
      <x:c r="R121" s="2" t="str">
        <x:v>3/3种子均可行</x:v>
      </x:c>
    </x:row>
    <x:row r="122" ht="24" customHeight="1">
      <x:c r="A122" s="2" t="n">
        <x:v>20</x:v>
      </x:c>
      <x:c r="B122" s="2" t="str">
        <x:v>中型</x:v>
      </x:c>
      <x:c r="C122" s="2" t="str">
        <x:v>zhou_Set2_100-5-3_subset20_b1</x:v>
      </x:c>
      <x:c r="D122" s="2" t="str">
        <x:v>精确时限可行解</x:v>
      </x:c>
      <x:c r="E122" s="13" t="n">
        <x:v>454.13081082014594</x:v>
      </x:c>
      <x:c r="F122" s="13" t="n">
        <x:v>399.43321102572764</x:v>
      </x:c>
      <x:c r="G122" s="13" t="n">
        <x:f>IF(AND(ISNUMBER(E122),ISNUMBER(F122),E122&gt;0),E122-F122,"")</x:f>
        <x:v>54.697599794418295</x:v>
      </x:c>
      <x:c r="H122" s="14" t="n">
        <x:f>IF(ISNUMBER(G122),G122/E122,"")</x:f>
        <x:v>0.12044459105436196</x:v>
      </x:c>
      <x:c r="I122" s="13" t="n">
        <x:v>571.6027381524069</x:v>
      </x:c>
      <x:c r="J122" s="13" t="n">
        <x:v>545.1745842724849</x:v>
      </x:c>
      <x:c r="K122" s="13" t="n">
        <x:f>IF(AND(ISNUMBER(I122),ISNUMBER(J122),I122&gt;0),I122-J122,"")</x:f>
        <x:v>26.42815387992198</x:v>
      </x:c>
      <x:c r="L122" s="14" t="n">
        <x:f>IF(ISNUMBER(K122),K122/I122,"")</x:f>
        <x:v>0.04623517718852393</x:v>
      </x:c>
      <x:c r="M122" s="15" t="n">
        <x:f>IF(AND(ISNUMBER(E122),ISNUMBER(F122),ISNUMBER(I122),ISNUMBER(J122)),1,0)</x:f>
        <x:v>1</x:v>
      </x:c>
      <x:c r="N122" s="15" t="n">
        <x:v>0</x:v>
      </x:c>
      <x:c r="O122" s="2" t="str">
        <x:v>已证最优</x:v>
      </x:c>
      <x:c r="P122" s="2" t="str">
        <x:v>可行未证最优</x:v>
      </x:c>
      <x:c r="Q122" s="2" t="str">
        <x:v>已证最优</x:v>
      </x:c>
      <x:c r="R122" s="2" t="str">
        <x:v>可行未证最优</x:v>
      </x:c>
    </x:row>
    <x:row r="123" ht="24" customHeight="1">
      <x:c r="A123" s="2" t="n">
        <x:v>20</x:v>
      </x:c>
      <x:c r="B123" s="2" t="str">
        <x:v>中型</x:v>
      </x:c>
      <x:c r="C123" s="2" t="str">
        <x:v>zhou_Set2_100-5-3_subset20_b1</x:v>
      </x:c>
      <x:c r="D123" s="2" t="str">
        <x:v>ALNS三种子最好</x:v>
      </x:c>
      <x:c r="E123" s="13" t="n">
        <x:v>454.13081082014594</x:v>
      </x:c>
      <x:c r="F123" s="13" t="n">
        <x:v>425.4423856307651</x:v>
      </x:c>
      <x:c r="G123" s="13" t="n">
        <x:f>IF(AND(ISNUMBER(E123),ISNUMBER(F123),E123&gt;0),E123-F123,"")</x:f>
        <x:v>28.688425189380837</x:v>
      </x:c>
      <x:c r="H123" s="14" t="n">
        <x:f>IF(ISNUMBER(G123),G123/E123,"")</x:f>
        <x:v>0.06317216208600876</x:v>
      </x:c>
      <x:c r="I123" s="13" t="n">
        <x:v>571.602738152407</x:v>
      </x:c>
      <x:c r="J123" s="13" t="n">
        <x:v>534.8789137096965</x:v>
      </x:c>
      <x:c r="K123" s="13" t="n">
        <x:f>IF(AND(ISNUMBER(I123),ISNUMBER(J123),I123&gt;0),I123-J123,"")</x:f>
        <x:v>36.723824442710566</x:v>
      </x:c>
      <x:c r="L123" s="14" t="n">
        <x:f>IF(ISNUMBER(K123),K123/I123,"")</x:f>
        <x:v>0.06424711078434137</x:v>
      </x:c>
      <x:c r="M123" s="15" t="n">
        <x:f>IF(AND(ISNUMBER(E123),ISNUMBER(F123),ISNUMBER(I123),ISNUMBER(J123)),1,0)</x:f>
        <x:v>1</x:v>
      </x:c>
      <x:c r="N123" s="15" t="n">
        <x:v>0</x:v>
      </x:c>
      <x:c r="O123" s="2" t="str">
        <x:v>3/3种子均可行</x:v>
      </x:c>
      <x:c r="P123" s="2" t="str">
        <x:v>3/3种子均可行</x:v>
      </x:c>
      <x:c r="Q123" s="2" t="str">
        <x:v>3/3种子均可行</x:v>
      </x:c>
      <x:c r="R123" s="2" t="str">
        <x:v>3/3种子均可行</x:v>
      </x:c>
    </x:row>
    <x:row r="124" ht="24" customHeight="1">
      <x:c r="A124" s="2" t="n">
        <x:v>20</x:v>
      </x:c>
      <x:c r="B124" s="2" t="str">
        <x:v>中型</x:v>
      </x:c>
      <x:c r="C124" s="2" t="str">
        <x:v>zhou_Set2_100-5-3_subset20_b1</x:v>
      </x:c>
      <x:c r="D124" s="2" t="str">
        <x:v>ALNS三种子均值</x:v>
      </x:c>
      <x:c r="E124" s="13" t="n">
        <x:v>454.130810820146</x:v>
      </x:c>
      <x:c r="F124" s="13" t="n">
        <x:v>427.0049183739519</x:v>
      </x:c>
      <x:c r="G124" s="13" t="n">
        <x:f>IF(AND(ISNUMBER(E124),ISNUMBER(F124),E124&gt;0),E124-F124,"")</x:f>
        <x:v>27.125892446194086</x:v>
      </x:c>
      <x:c r="H124" s="14" t="n">
        <x:f>IF(ISNUMBER(G124),G124/E124,"")</x:f>
        <x:v>0.05973145137896629</x:v>
      </x:c>
      <x:c r="I124" s="13" t="n">
        <x:v>578.6375617786076</x:v>
      </x:c>
      <x:c r="J124" s="13" t="n">
        <x:v>538.8459727189859</x:v>
      </x:c>
      <x:c r="K124" s="13" t="n">
        <x:f>IF(AND(ISNUMBER(I124),ISNUMBER(J124),I124&gt;0),I124-J124,"")</x:f>
        <x:v>39.79158905962174</x:v>
      </x:c>
      <x:c r="L124" s="14" t="n">
        <x:f>IF(ISNUMBER(K124),K124/I124,"")</x:f>
        <x:v>0.06876772558164206</x:v>
      </x:c>
      <x:c r="M124" s="15" t="n">
        <x:f>IF(AND(ISNUMBER(E124),ISNUMBER(F124),ISNUMBER(I124),ISNUMBER(J124)),1,0)</x:f>
        <x:v>1</x:v>
      </x:c>
      <x:c r="N124" s="15" t="n">
        <x:v>0</x:v>
      </x:c>
      <x:c r="O124" s="2" t="str">
        <x:v>3/3种子均可行</x:v>
      </x:c>
      <x:c r="P124" s="2" t="str">
        <x:v>3/3种子均可行</x:v>
      </x:c>
      <x:c r="Q124" s="2" t="str">
        <x:v>3/3种子均可行</x:v>
      </x:c>
      <x:c r="R124" s="2" t="str">
        <x:v>3/3种子均可行</x:v>
      </x:c>
    </x:row>
    <x:row r="125" ht="24" customHeight="1">
      <x:c r="A125" s="2" t="n">
        <x:v>20</x:v>
      </x:c>
      <x:c r="B125" s="2" t="str">
        <x:v>中型</x:v>
      </x:c>
      <x:c r="C125" s="2" t="str">
        <x:v>zhou_Set2_100-5-3_subset20_scenario02_b1</x:v>
      </x:c>
      <x:c r="D125" s="2" t="str">
        <x:v>精确时限可行解</x:v>
      </x:c>
      <x:c r="E125" s="13" t="n">
        <x:v>454.13081082014594</x:v>
      </x:c>
      <x:c r="F125" s="13" t="n">
        <x:v>399.43321102572764</x:v>
      </x:c>
      <x:c r="G125" s="13" t="n">
        <x:f>IF(AND(ISNUMBER(E125),ISNUMBER(F125),E125&gt;0),E125-F125,"")</x:f>
        <x:v>54.697599794418295</x:v>
      </x:c>
      <x:c r="H125" s="14" t="n">
        <x:f>IF(ISNUMBER(G125),G125/E125,"")</x:f>
        <x:v>0.12044459105436196</x:v>
      </x:c>
      <x:c r="I125" s="13" t="n">
        <x:v>577.6027381524069</x:v>
      </x:c>
      <x:c r="J125" s="13" t="n">
        <x:v>534.2040720192849</x:v>
      </x:c>
      <x:c r="K125" s="13" t="n">
        <x:f>IF(AND(ISNUMBER(I125),ISNUMBER(J125),I125&gt;0),I125-J125,"")</x:f>
        <x:v>43.39866613312199</x:v>
      </x:c>
      <x:c r="L125" s="14" t="n">
        <x:f>IF(ISNUMBER(K125),K125/I125,"")</x:f>
        <x:v>0.07513583864221705</x:v>
      </x:c>
      <x:c r="M125" s="15" t="n">
        <x:f>IF(AND(ISNUMBER(E125),ISNUMBER(F125),ISNUMBER(I125),ISNUMBER(J125)),1,0)</x:f>
        <x:v>1</x:v>
      </x:c>
      <x:c r="N125" s="15" t="n">
        <x:v>0</x:v>
      </x:c>
      <x:c r="O125" s="2" t="str">
        <x:v>已证最优</x:v>
      </x:c>
      <x:c r="P125" s="2" t="str">
        <x:v>可行未证最优</x:v>
      </x:c>
      <x:c r="Q125" s="2" t="str">
        <x:v>已证最优</x:v>
      </x:c>
      <x:c r="R125" s="2" t="str">
        <x:v>可行未证最优</x:v>
      </x:c>
    </x:row>
    <x:row r="126" ht="24" customHeight="1">
      <x:c r="A126" s="2" t="n">
        <x:v>20</x:v>
      </x:c>
      <x:c r="B126" s="2" t="str">
        <x:v>中型</x:v>
      </x:c>
      <x:c r="C126" s="2" t="str">
        <x:v>zhou_Set2_100-5-3_subset20_scenario02_b1</x:v>
      </x:c>
      <x:c r="D126" s="2" t="str">
        <x:v>ALNS三种子最好</x:v>
      </x:c>
      <x:c r="E126" s="13" t="n">
        <x:v>454.13081082014594</x:v>
      </x:c>
      <x:c r="F126" s="13" t="n">
        <x:v>425.4423856307651</x:v>
      </x:c>
      <x:c r="G126" s="13" t="n">
        <x:f>IF(AND(ISNUMBER(E126),ISNUMBER(F126),E126&gt;0),E126-F126,"")</x:f>
        <x:v>28.688425189380837</x:v>
      </x:c>
      <x:c r="H126" s="14" t="n">
        <x:f>IF(ISNUMBER(G126),G126/E126,"")</x:f>
        <x:v>0.06317216208600876</x:v>
      </x:c>
      <x:c r="I126" s="13" t="n">
        <x:v>580.2598187135992</x:v>
      </x:c>
      <x:c r="J126" s="13" t="n">
        <x:v>550.3317200065678</x:v>
      </x:c>
      <x:c r="K126" s="13" t="n">
        <x:f>IF(AND(ISNUMBER(I126),ISNUMBER(J126),I126&gt;0),I126-J126,"")</x:f>
        <x:v>29.92809870703138</x:v>
      </x:c>
      <x:c r="L126" s="14" t="n">
        <x:f>IF(ISNUMBER(K126),K126/I126,"")</x:f>
        <x:v>0.05157706555208348</x:v>
      </x:c>
      <x:c r="M126" s="15" t="n">
        <x:f>IF(AND(ISNUMBER(E126),ISNUMBER(F126),ISNUMBER(I126),ISNUMBER(J126)),1,0)</x:f>
        <x:v>1</x:v>
      </x:c>
      <x:c r="N126" s="15" t="n">
        <x:v>0</x:v>
      </x:c>
      <x:c r="O126" s="2" t="str">
        <x:v>3/3种子均可行</x:v>
      </x:c>
      <x:c r="P126" s="2" t="str">
        <x:v>3/3种子均可行</x:v>
      </x:c>
      <x:c r="Q126" s="2" t="str">
        <x:v>3/3种子均可行</x:v>
      </x:c>
      <x:c r="R126" s="2" t="str">
        <x:v>3/3种子均可行</x:v>
      </x:c>
    </x:row>
    <x:row r="127" ht="24" customHeight="1">
      <x:c r="A127" s="2" t="n">
        <x:v>20</x:v>
      </x:c>
      <x:c r="B127" s="2" t="str">
        <x:v>中型</x:v>
      </x:c>
      <x:c r="C127" s="2" t="str">
        <x:v>zhou_Set2_100-5-3_subset20_scenario02_b1</x:v>
      </x:c>
      <x:c r="D127" s="2" t="str">
        <x:v>ALNS三种子均值</x:v>
      </x:c>
      <x:c r="E127" s="13" t="n">
        <x:v>454.130810820146</x:v>
      </x:c>
      <x:c r="F127" s="13" t="n">
        <x:v>428.56745111713866</x:v>
      </x:c>
      <x:c r="G127" s="13" t="n">
        <x:f>IF(AND(ISNUMBER(E127),ISNUMBER(F127),E127&gt;0),E127-F127,"")</x:f>
        <x:v>25.563359703007336</x:v>
      </x:c>
      <x:c r="H127" s="14" t="n">
        <x:f>IF(ISNUMBER(G127),G127/E127,"")</x:f>
        <x:v>0.05629074067192382</x:v>
      </x:c>
      <x:c r="I127" s="13" t="n">
        <x:v>580.2598187135992</x:v>
      </x:c>
      <x:c r="J127" s="13" t="n">
        <x:v>556.964667460102</x:v>
      </x:c>
      <x:c r="K127" s="13" t="n">
        <x:f>IF(AND(ISNUMBER(I127),ISNUMBER(J127),I127&gt;0),I127-J127,"")</x:f>
        <x:v>23.295151253497238</x:v>
      </x:c>
      <x:c r="L127" s="14" t="n">
        <x:f>IF(ISNUMBER(K127),K127/I127,"")</x:f>
        <x:v>0.040146069919404684</x:v>
      </x:c>
      <x:c r="M127" s="15" t="n">
        <x:f>IF(AND(ISNUMBER(E127),ISNUMBER(F127),ISNUMBER(I127),ISNUMBER(J127)),1,0)</x:f>
        <x:v>1</x:v>
      </x:c>
      <x:c r="N127" s="15" t="n">
        <x:v>0</x:v>
      </x:c>
      <x:c r="O127" s="2" t="str">
        <x:v>3/3种子均可行</x:v>
      </x:c>
      <x:c r="P127" s="2" t="str">
        <x:v>3/3种子均可行</x:v>
      </x:c>
      <x:c r="Q127" s="2" t="str">
        <x:v>3/3种子均可行</x:v>
      </x:c>
      <x:c r="R127" s="2" t="str">
        <x:v>3/3种子均可行</x:v>
      </x:c>
    </x:row>
    <x:row r="128" ht="24" customHeight="1">
      <x:c r="A128" s="2" t="n">
        <x:v>30</x:v>
      </x:c>
      <x:c r="B128" s="2" t="str">
        <x:v>中型</x:v>
      </x:c>
      <x:c r="C128" s="2" t="str">
        <x:v>zhou_Set2_100-10-1_subset30_b1</x:v>
      </x:c>
      <x:c r="D128" s="2" t="str">
        <x:v>精确时限可行解</x:v>
      </x:c>
      <x:c r="E128" s="13" t="n">
        <x:v>720.3329052909475</x:v>
      </x:c>
      <x:c r="F128" s="13" t="n">
        <x:v>719.0528652492139</x:v>
      </x:c>
      <x:c r="G128" s="13" t="n">
        <x:f>IF(AND(ISNUMBER(E128),ISNUMBER(F128),E128&gt;0),E128-F128,"")</x:f>
        <x:v>1.280040041733514</x:v>
      </x:c>
      <x:c r="H128" s="14" t="n">
        <x:f>IF(ISNUMBER(G128),G128/E128,"")</x:f>
        <x:v>0.0017770117571076348</x:v>
      </x:c>
      <x:c r="I128" s="13"/>
      <x:c r="J128" s="13" t="n">
        <x:v>923.3270097087595</x:v>
      </x:c>
      <x:c r="K128" s="13" t="str">
        <x:f>IF(AND(ISNUMBER(I128),ISNUMBER(J128),I128&gt;0),I128-J128,"")</x:f>
      </x:c>
      <x:c r="L128" s="14" t="str">
        <x:f>IF(ISNUMBER(K128),K128/I128,"")</x:f>
      </x:c>
      <x:c r="M128" s="15" t="n">
        <x:f>IF(AND(ISNUMBER(E128),ISNUMBER(F128),ISNUMBER(I128),ISNUMBER(J128)),1,0)</x:f>
        <x:v>0</x:v>
      </x:c>
      <x:c r="N128" s="15" t="n">
        <x:v>0</x:v>
      </x:c>
      <x:c r="O128" s="2" t="str">
        <x:v>可行未证最优</x:v>
      </x:c>
      <x:c r="P128" s="2" t="str">
        <x:v>可行未证最优</x:v>
      </x:c>
      <x:c r="Q128" s="2" t="str">
        <x:v>TIME_LIMIT，无审计可行解</x:v>
      </x:c>
      <x:c r="R128" s="2" t="str">
        <x:v>可行未证最优</x:v>
      </x:c>
    </x:row>
    <x:row r="129" ht="24" customHeight="1">
      <x:c r="A129" s="2" t="n">
        <x:v>30</x:v>
      </x:c>
      <x:c r="B129" s="2" t="str">
        <x:v>中型</x:v>
      </x:c>
      <x:c r="C129" s="2" t="str">
        <x:v>zhou_Set2_100-10-1_subset30_b1</x:v>
      </x:c>
      <x:c r="D129" s="2" t="str">
        <x:v>ALNS三种子最好</x:v>
      </x:c>
      <x:c r="E129" s="13" t="n">
        <x:v>721.0085860243463</x:v>
      </x:c>
      <x:c r="F129" s="13" t="n">
        <x:v>675.3293880001415</x:v>
      </x:c>
      <x:c r="G129" s="13" t="n">
        <x:f>IF(AND(ISNUMBER(E129),ISNUMBER(F129),E129&gt;0),E129-F129,"")</x:f>
        <x:v>45.679198024204766</x:v>
      </x:c>
      <x:c r="H129" s="14" t="n">
        <x:f>IF(ISNUMBER(G129),G129/E129,"")</x:f>
        <x:v>0.06335458260778924</x:v>
      </x:c>
      <x:c r="I129" s="13" t="n">
        <x:v>816.413610445937</x:v>
      </x:c>
      <x:c r="J129" s="13" t="n">
        <x:v>725.6368468583781</x:v>
      </x:c>
      <x:c r="K129" s="13" t="n">
        <x:f>IF(AND(ISNUMBER(I129),ISNUMBER(J129),I129&gt;0),I129-J129,"")</x:f>
        <x:v>90.77676358755889</x:v>
      </x:c>
      <x:c r="L129" s="14" t="n">
        <x:f>IF(ISNUMBER(K129),K129/I129,"")</x:f>
        <x:v>0.11118967448126606</x:v>
      </x:c>
      <x:c r="M129" s="15" t="n">
        <x:f>IF(AND(ISNUMBER(E129),ISNUMBER(F129),ISNUMBER(I129),ISNUMBER(J129)),1,0)</x:f>
        <x:v>1</x:v>
      </x:c>
      <x:c r="N129" s="15" t="n">
        <x:v>0</x:v>
      </x:c>
      <x:c r="O129" s="2" t="str">
        <x:v>3/3种子均可行</x:v>
      </x:c>
      <x:c r="P129" s="2" t="str">
        <x:v>3/3种子均可行</x:v>
      </x:c>
      <x:c r="Q129" s="2" t="str">
        <x:v>3/3种子均可行</x:v>
      </x:c>
      <x:c r="R129" s="2" t="str">
        <x:v>3/3种子均可行</x:v>
      </x:c>
    </x:row>
    <x:row r="130" ht="24" customHeight="1">
      <x:c r="A130" s="2" t="n">
        <x:v>30</x:v>
      </x:c>
      <x:c r="B130" s="2" t="str">
        <x:v>中型</x:v>
      </x:c>
      <x:c r="C130" s="2" t="str">
        <x:v>zhou_Set2_100-10-1_subset30_b1</x:v>
      </x:c>
      <x:c r="D130" s="2" t="str">
        <x:v>ALNS三种子均值</x:v>
      </x:c>
      <x:c r="E130" s="13" t="n">
        <x:v>721.7450472690995</x:v>
      </x:c>
      <x:c r="F130" s="13" t="n">
        <x:v>677.3488037910727</x:v>
      </x:c>
      <x:c r="G130" s="13" t="n">
        <x:f>IF(AND(ISNUMBER(E130),ISNUMBER(F130),E130&gt;0),E130-F130,"")</x:f>
        <x:v>44.396243478026804</x:v>
      </x:c>
      <x:c r="H130" s="14" t="n">
        <x:f>IF(ISNUMBER(G130),G130/E130,"")</x:f>
        <x:v>0.06151236318975925</x:v>
      </x:c>
      <x:c r="I130" s="13" t="n">
        <x:v>837.789398728401</x:v>
      </x:c>
      <x:c r="J130" s="13" t="n">
        <x:v>740.6290135712607</x:v>
      </x:c>
      <x:c r="K130" s="13" t="n">
        <x:f>IF(AND(ISNUMBER(I130),ISNUMBER(J130),I130&gt;0),I130-J130,"")</x:f>
        <x:v>97.16038515714035</x:v>
      </x:c>
      <x:c r="L130" s="14" t="n">
        <x:f>IF(ISNUMBER(K130),K130/I130,"")</x:f>
        <x:v>0.11597232586687137</x:v>
      </x:c>
      <x:c r="M130" s="15" t="n">
        <x:f>IF(AND(ISNUMBER(E130),ISNUMBER(F130),ISNUMBER(I130),ISNUMBER(J130)),1,0)</x:f>
        <x:v>1</x:v>
      </x:c>
      <x:c r="N130" s="15" t="n">
        <x:v>0</x:v>
      </x:c>
      <x:c r="O130" s="2" t="str">
        <x:v>3/3种子均可行</x:v>
      </x:c>
      <x:c r="P130" s="2" t="str">
        <x:v>3/3种子均可行</x:v>
      </x:c>
      <x:c r="Q130" s="2" t="str">
        <x:v>3/3种子均可行</x:v>
      </x:c>
      <x:c r="R130" s="2" t="str">
        <x:v>3/3种子均可行</x:v>
      </x:c>
    </x:row>
    <x:row r="131" ht="24" customHeight="1">
      <x:c r="A131" s="2" t="n">
        <x:v>30</x:v>
      </x:c>
      <x:c r="B131" s="2" t="str">
        <x:v>中型</x:v>
      </x:c>
      <x:c r="C131" s="2" t="str">
        <x:v>zhou_Set2_100-10-1_subset30_scenario02_b1</x:v>
      </x:c>
      <x:c r="D131" s="2" t="str">
        <x:v>精确时限可行解</x:v>
      </x:c>
      <x:c r="E131" s="13" t="n">
        <x:v>720.3329052909475</x:v>
      </x:c>
      <x:c r="F131" s="13" t="n">
        <x:v>719.0528652492139</x:v>
      </x:c>
      <x:c r="G131" s="13" t="n">
        <x:f>IF(AND(ISNUMBER(E131),ISNUMBER(F131),E131&gt;0),E131-F131,"")</x:f>
        <x:v>1.280040041733514</x:v>
      </x:c>
      <x:c r="H131" s="14" t="n">
        <x:f>IF(ISNUMBER(G131),G131/E131,"")</x:f>
        <x:v>0.0017770117571076348</x:v>
      </x:c>
      <x:c r="I131" s="13" t="n">
        <x:v>836.1370946042077</x:v>
      </x:c>
      <x:c r="J131" s="13" t="n">
        <x:v>937.4720172769445</x:v>
      </x:c>
      <x:c r="K131" s="13" t="n">
        <x:f>IF(AND(ISNUMBER(I131),ISNUMBER(J131),I131&gt;0),I131-J131,"")</x:f>
        <x:v>-101.33492267273675</x:v>
      </x:c>
      <x:c r="L131" s="14" t="n">
        <x:f>IF(ISNUMBER(K131),K131/I131,"")</x:f>
        <x:v>-0.12119414785766018</x:v>
      </x:c>
      <x:c r="M131" s="15" t="n">
        <x:f>IF(AND(ISNUMBER(E131),ISNUMBER(F131),ISNUMBER(I131),ISNUMBER(J131)),1,0)</x:f>
        <x:v>1</x:v>
      </x:c>
      <x:c r="N131" s="15" t="n">
        <x:v>0</x:v>
      </x:c>
      <x:c r="O131" s="2" t="str">
        <x:v>可行未证最优</x:v>
      </x:c>
      <x:c r="P131" s="2" t="str">
        <x:v>可行未证最优</x:v>
      </x:c>
      <x:c r="Q131" s="2" t="str">
        <x:v>可行未证最优</x:v>
      </x:c>
      <x:c r="R131" s="2" t="str">
        <x:v>可行未证最优</x:v>
      </x:c>
    </x:row>
    <x:row r="132" ht="24" customHeight="1">
      <x:c r="A132" s="2" t="n">
        <x:v>30</x:v>
      </x:c>
      <x:c r="B132" s="2" t="str">
        <x:v>中型</x:v>
      </x:c>
      <x:c r="C132" s="2" t="str">
        <x:v>zhou_Set2_100-10-1_subset30_scenario02_b1</x:v>
      </x:c>
      <x:c r="D132" s="2" t="str">
        <x:v>ALNS三种子最好</x:v>
      </x:c>
      <x:c r="E132" s="13" t="n">
        <x:v>721.0085860243462</x:v>
      </x:c>
      <x:c r="F132" s="13" t="n">
        <x:v>675.3293880001415</x:v>
      </x:c>
      <x:c r="G132" s="13" t="n">
        <x:f>IF(AND(ISNUMBER(E132),ISNUMBER(F132),E132&gt;0),E132-F132,"")</x:f>
        <x:v>45.67919802420465</x:v>
      </x:c>
      <x:c r="H132" s="14" t="n">
        <x:f>IF(ISNUMBER(G132),G132/E132,"")</x:f>
        <x:v>0.0633545826077891</x:v>
      </x:c>
      <x:c r="I132" s="13" t="n">
        <x:v>839.9559333391925</x:v>
      </x:c>
      <x:c r="J132" s="13" t="n">
        <x:v>734.4665043078637</x:v>
      </x:c>
      <x:c r="K132" s="13" t="n">
        <x:f>IF(AND(ISNUMBER(I132),ISNUMBER(J132),I132&gt;0),I132-J132,"")</x:f>
        <x:v>105.48942903132877</x:v>
      </x:c>
      <x:c r="L132" s="14" t="n">
        <x:f>IF(ISNUMBER(K132),K132/I132,"")</x:f>
        <x:v>0.12558924205935676</x:v>
      </x:c>
      <x:c r="M132" s="15" t="n">
        <x:f>IF(AND(ISNUMBER(E132),ISNUMBER(F132),ISNUMBER(I132),ISNUMBER(J132)),1,0)</x:f>
        <x:v>1</x:v>
      </x:c>
      <x:c r="N132" s="15" t="n">
        <x:v>0</x:v>
      </x:c>
      <x:c r="O132" s="2" t="str">
        <x:v>3/3种子均可行</x:v>
      </x:c>
      <x:c r="P132" s="2" t="str">
        <x:v>3/3种子均可行</x:v>
      </x:c>
      <x:c r="Q132" s="2" t="str">
        <x:v>3/3种子均可行</x:v>
      </x:c>
      <x:c r="R132" s="2" t="str">
        <x:v>3/3种子均可行</x:v>
      </x:c>
    </x:row>
    <x:row r="133" ht="24" customHeight="1">
      <x:c r="A133" s="2" t="n">
        <x:v>30</x:v>
      </x:c>
      <x:c r="B133" s="2" t="str">
        <x:v>中型</x:v>
      </x:c>
      <x:c r="C133" s="2" t="str">
        <x:v>zhou_Set2_100-10-1_subset30_scenario02_b1</x:v>
      </x:c>
      <x:c r="D133" s="2" t="str">
        <x:v>ALNS三种子均值</x:v>
      </x:c>
      <x:c r="E133" s="13" t="n">
        <x:v>721.9739161948664</x:v>
      </x:c>
      <x:c r="F133" s="13" t="n">
        <x:v>681.1320320377074</x:v>
      </x:c>
      <x:c r="G133" s="13" t="n">
        <x:f>IF(AND(ISNUMBER(E133),ISNUMBER(F133),E133&gt;0),E133-F133,"")</x:f>
        <x:v>40.84188415715903</x:v>
      </x:c>
      <x:c r="H133" s="14" t="n">
        <x:f>IF(ISNUMBER(G133),G133/E133,"")</x:f>
        <x:v>0.05656975029293923</x:v>
      </x:c>
      <x:c r="I133" s="13" t="n">
        <x:v>841.7141799082129</x:v>
      </x:c>
      <x:c r="J133" s="13" t="n">
        <x:v>749.5936939507318</x:v>
      </x:c>
      <x:c r="K133" s="13" t="n">
        <x:f>IF(AND(ISNUMBER(I133),ISNUMBER(J133),I133&gt;0),I133-J133,"")</x:f>
        <x:v>92.12048595748115</x:v>
      </x:c>
      <x:c r="L133" s="14" t="n">
        <x:f>IF(ISNUMBER(K133),K133/I133,"")</x:f>
        <x:v>0.10944390406673045</x:v>
      </x:c>
      <x:c r="M133" s="15" t="n">
        <x:f>IF(AND(ISNUMBER(E133),ISNUMBER(F133),ISNUMBER(I133),ISNUMBER(J133)),1,0)</x:f>
        <x:v>1</x:v>
      </x:c>
      <x:c r="N133" s="15" t="n">
        <x:v>0</x:v>
      </x:c>
      <x:c r="O133" s="2" t="str">
        <x:v>3/3种子均可行</x:v>
      </x:c>
      <x:c r="P133" s="2" t="str">
        <x:v>3/3种子均可行</x:v>
      </x:c>
      <x:c r="Q133" s="2" t="str">
        <x:v>3/3种子均可行</x:v>
      </x:c>
      <x:c r="R133" s="2" t="str">
        <x:v>3/3种子均可行</x:v>
      </x:c>
    </x:row>
    <x:row r="134" ht="24" customHeight="1">
      <x:c r="A134" s="2" t="n">
        <x:v>30</x:v>
      </x:c>
      <x:c r="B134" s="2" t="str">
        <x:v>中型</x:v>
      </x:c>
      <x:c r="C134" s="2" t="str">
        <x:v>zhou_Set2_100-10-2_subset30_b1</x:v>
      </x:c>
      <x:c r="D134" s="2" t="str">
        <x:v>精确时限可行解</x:v>
      </x:c>
      <x:c r="E134" s="13" t="n">
        <x:v>459.15611927140185</x:v>
      </x:c>
      <x:c r="F134" s="13" t="n">
        <x:v>498.3826677061973</x:v>
      </x:c>
      <x:c r="G134" s="13" t="n">
        <x:f>IF(AND(ISNUMBER(E134),ISNUMBER(F134),E134&gt;0),E134-F134,"")</x:f>
        <x:v>-39.22654843479546</x:v>
      </x:c>
      <x:c r="H134" s="14" t="n">
        <x:f>IF(ISNUMBER(G134),G134/E134,"")</x:f>
        <x:v>-0.08543183198133336</x:v>
      </x:c>
      <x:c r="I134" s="13"/>
      <x:c r="J134" s="13" t="n">
        <x:v>585.8925016079569</x:v>
      </x:c>
      <x:c r="K134" s="13" t="str">
        <x:f>IF(AND(ISNUMBER(I134),ISNUMBER(J134),I134&gt;0),I134-J134,"")</x:f>
      </x:c>
      <x:c r="L134" s="14" t="str">
        <x:f>IF(ISNUMBER(K134),K134/I134,"")</x:f>
      </x:c>
      <x:c r="M134" s="15" t="n">
        <x:f>IF(AND(ISNUMBER(E134),ISNUMBER(F134),ISNUMBER(I134),ISNUMBER(J134)),1,0)</x:f>
        <x:v>0</x:v>
      </x:c>
      <x:c r="N134" s="15" t="n">
        <x:v>0</x:v>
      </x:c>
      <x:c r="O134" s="2" t="str">
        <x:v>可行未证最优</x:v>
      </x:c>
      <x:c r="P134" s="2" t="str">
        <x:v>可行未证最优</x:v>
      </x:c>
      <x:c r="Q134" s="2" t="str">
        <x:v>TIME_LIMIT，无审计可行解</x:v>
      </x:c>
      <x:c r="R134" s="2" t="str">
        <x:v>可行未证最优</x:v>
      </x:c>
    </x:row>
    <x:row r="135" ht="24" customHeight="1">
      <x:c r="A135" s="2" t="n">
        <x:v>30</x:v>
      </x:c>
      <x:c r="B135" s="2" t="str">
        <x:v>中型</x:v>
      </x:c>
      <x:c r="C135" s="2" t="str">
        <x:v>zhou_Set2_100-10-2_subset30_b1</x:v>
      </x:c>
      <x:c r="D135" s="2" t="str">
        <x:v>ALNS三种子最好</x:v>
      </x:c>
      <x:c r="E135" s="13" t="n">
        <x:v>454.16014313039176</x:v>
      </x:c>
      <x:c r="F135" s="13" t="n">
        <x:v>456.6895873370483</x:v>
      </x:c>
      <x:c r="G135" s="13" t="n">
        <x:f>IF(AND(ISNUMBER(E135),ISNUMBER(F135),E135&gt;0),E135-F135,"")</x:f>
        <x:v>-2.5294442066565352</x:v>
      </x:c>
      <x:c r="H135" s="14" t="n">
        <x:f>IF(ISNUMBER(G135),G135/E135,"")</x:f>
        <x:v>-0.005569498435555844</x:v>
      </x:c>
      <x:c r="I135" s="13" t="n">
        <x:v>515.365619742276</x:v>
      </x:c>
      <x:c r="J135" s="13" t="n">
        <x:v>507.94042280752524</x:v>
      </x:c>
      <x:c r="K135" s="13" t="n">
        <x:f>IF(AND(ISNUMBER(I135),ISNUMBER(J135),I135&gt;0),I135-J135,"")</x:f>
        <x:v>7.425196934750716</x:v>
      </x:c>
      <x:c r="L135" s="14" t="n">
        <x:f>IF(ISNUMBER(K135),K135/I135,"")</x:f>
        <x:v>0.014407629555234803</x:v>
      </x:c>
      <x:c r="M135" s="15" t="n">
        <x:f>IF(AND(ISNUMBER(E135),ISNUMBER(F135),ISNUMBER(I135),ISNUMBER(J135)),1,0)</x:f>
        <x:v>1</x:v>
      </x:c>
      <x:c r="N135" s="15" t="n">
        <x:v>0</x:v>
      </x:c>
      <x:c r="O135" s="2" t="str">
        <x:v>3/3种子均可行</x:v>
      </x:c>
      <x:c r="P135" s="2" t="str">
        <x:v>3/3种子均可行</x:v>
      </x:c>
      <x:c r="Q135" s="2" t="str">
        <x:v>3/3种子均可行</x:v>
      </x:c>
      <x:c r="R135" s="2" t="str">
        <x:v>3/3种子均可行</x:v>
      </x:c>
    </x:row>
    <x:row r="136" ht="24" customHeight="1">
      <x:c r="A136" s="2" t="n">
        <x:v>30</x:v>
      </x:c>
      <x:c r="B136" s="2" t="str">
        <x:v>中型</x:v>
      </x:c>
      <x:c r="C136" s="2" t="str">
        <x:v>zhou_Set2_100-10-2_subset30_b1</x:v>
      </x:c>
      <x:c r="D136" s="2" t="str">
        <x:v>ALNS三种子均值</x:v>
      </x:c>
      <x:c r="E136" s="13" t="n">
        <x:v>457.7804784407994</x:v>
      </x:c>
      <x:c r="F136" s="13" t="n">
        <x:v>458.33394195995066</x:v>
      </x:c>
      <x:c r="G136" s="13" t="n">
        <x:f>IF(AND(ISNUMBER(E136),ISNUMBER(F136),E136&gt;0),E136-F136,"")</x:f>
        <x:v>-0.5534635191512507</x:v>
      </x:c>
      <x:c r="H136" s="14" t="n">
        <x:f>IF(ISNUMBER(G136),G136/E136,"")</x:f>
        <x:v>-0.0012090151179804517</x:v>
      </x:c>
      <x:c r="I136" s="13" t="n">
        <x:v>520.9405648214394</x:v>
      </x:c>
      <x:c r="J136" s="13" t="n">
        <x:v>522.7397666298723</x:v>
      </x:c>
      <x:c r="K136" s="13" t="n">
        <x:f>IF(AND(ISNUMBER(I136),ISNUMBER(J136),I136&gt;0),I136-J136,"")</x:f>
        <x:v>-1.7992018084329402</x:v>
      </x:c>
      <x:c r="L136" s="14" t="n">
        <x:f>IF(ISNUMBER(K136),K136/I136,"")</x:f>
        <x:v>-0.003453756397430185</x:v>
      </x:c>
      <x:c r="M136" s="15" t="n">
        <x:f>IF(AND(ISNUMBER(E136),ISNUMBER(F136),ISNUMBER(I136),ISNUMBER(J136)),1,0)</x:f>
        <x:v>1</x:v>
      </x:c>
      <x:c r="N136" s="15" t="n">
        <x:v>0</x:v>
      </x:c>
      <x:c r="O136" s="2" t="str">
        <x:v>3/3种子均可行</x:v>
      </x:c>
      <x:c r="P136" s="2" t="str">
        <x:v>3/3种子均可行</x:v>
      </x:c>
      <x:c r="Q136" s="2" t="str">
        <x:v>3/3种子均可行</x:v>
      </x:c>
      <x:c r="R136" s="2" t="str">
        <x:v>3/3种子均可行</x:v>
      </x:c>
    </x:row>
    <x:row r="137" ht="24" customHeight="1">
      <x:c r="A137" s="2" t="n">
        <x:v>30</x:v>
      </x:c>
      <x:c r="B137" s="2" t="str">
        <x:v>中型</x:v>
      </x:c>
      <x:c r="C137" s="2" t="str">
        <x:v>zhou_Set2_100-10-2_subset30_scenario02_b1</x:v>
      </x:c>
      <x:c r="D137" s="2" t="str">
        <x:v>精确时限可行解</x:v>
      </x:c>
      <x:c r="E137" s="13" t="n">
        <x:v>459.15611927140185</x:v>
      </x:c>
      <x:c r="F137" s="13" t="n">
        <x:v>465.1486467466922</x:v>
      </x:c>
      <x:c r="G137" s="13" t="n">
        <x:f>IF(AND(ISNUMBER(E137),ISNUMBER(F137),E137&gt;0),E137-F137,"")</x:f>
        <x:v>-5.992527475290331</x:v>
      </x:c>
      <x:c r="H137" s="14" t="n">
        <x:f>IF(ISNUMBER(G137),G137/E137,"")</x:f>
        <x:v>-0.013051176329304711</x:v>
      </x:c>
      <x:c r="I137" s="13"/>
      <x:c r="J137" s="13"/>
      <x:c r="K137" s="13" t="str">
        <x:f>IF(AND(ISNUMBER(I137),ISNUMBER(J137),I137&gt;0),I137-J137,"")</x:f>
      </x:c>
      <x:c r="L137" s="14" t="str">
        <x:f>IF(ISNUMBER(K137),K137/I137,"")</x:f>
      </x:c>
      <x:c r="M137" s="15" t="n">
        <x:f>IF(AND(ISNUMBER(E137),ISNUMBER(F137),ISNUMBER(I137),ISNUMBER(J137)),1,0)</x:f>
        <x:v>0</x:v>
      </x:c>
      <x:c r="N137" s="15" t="n">
        <x:v>0</x:v>
      </x:c>
      <x:c r="O137" s="2" t="str">
        <x:v>可行未证最优</x:v>
      </x:c>
      <x:c r="P137" s="2" t="str">
        <x:v>可行未证最优</x:v>
      </x:c>
      <x:c r="Q137" s="2" t="str">
        <x:v>TIME_LIMIT，无审计可行解</x:v>
      </x:c>
      <x:c r="R137" s="2" t="str">
        <x:v>TIME_LIMIT，无审计可行解</x:v>
      </x:c>
    </x:row>
    <x:row r="138" ht="24" customHeight="1">
      <x:c r="A138" s="2" t="n">
        <x:v>30</x:v>
      </x:c>
      <x:c r="B138" s="2" t="str">
        <x:v>中型</x:v>
      </x:c>
      <x:c r="C138" s="2" t="str">
        <x:v>zhou_Set2_100-10-2_subset30_scenario02_b1</x:v>
      </x:c>
      <x:c r="D138" s="2" t="str">
        <x:v>ALNS三种子最好</x:v>
      </x:c>
      <x:c r="E138" s="13" t="n">
        <x:v>456.70702497821446</x:v>
      </x:c>
      <x:c r="F138" s="13" t="n">
        <x:v>457.81636756736384</x:v>
      </x:c>
      <x:c r="G138" s="13" t="n">
        <x:f>IF(AND(ISNUMBER(E138),ISNUMBER(F138),E138&gt;0),E138-F138,"")</x:f>
        <x:v>-1.109342589149378</x:v>
      </x:c>
      <x:c r="H138" s="14" t="n">
        <x:f>IF(ISNUMBER(G138),G138/E138,"")</x:f>
        <x:v>-0.0024290026832897854</x:v>
      </x:c>
      <x:c r="I138" s="13" t="n">
        <x:v>522.1881499978724</x:v>
      </x:c>
      <x:c r="J138" s="13" t="n">
        <x:v>528.0155605181085</x:v>
      </x:c>
      <x:c r="K138" s="13" t="n">
        <x:f>IF(AND(ISNUMBER(I138),ISNUMBER(J138),I138&gt;0),I138-J138,"")</x:f>
        <x:v>-5.8274105202360715</x:v>
      </x:c>
      <x:c r="L138" s="14" t="n">
        <x:f>IF(ISNUMBER(K138),K138/I138,"")</x:f>
        <x:v>-0.011159599313503792</x:v>
      </x:c>
      <x:c r="M138" s="15" t="n">
        <x:f>IF(AND(ISNUMBER(E138),ISNUMBER(F138),ISNUMBER(I138),ISNUMBER(J138)),1,0)</x:f>
        <x:v>1</x:v>
      </x:c>
      <x:c r="N138" s="15" t="n">
        <x:v>0</x:v>
      </x:c>
      <x:c r="O138" s="2" t="str">
        <x:v>3/3种子均可行</x:v>
      </x:c>
      <x:c r="P138" s="2" t="str">
        <x:v>3/3种子均可行</x:v>
      </x:c>
      <x:c r="Q138" s="2" t="str">
        <x:v>3/3种子均可行</x:v>
      </x:c>
      <x:c r="R138" s="2" t="str">
        <x:v>3/3种子均可行</x:v>
      </x:c>
    </x:row>
    <x:row r="139" ht="24" customHeight="1">
      <x:c r="A139" s="2" t="n">
        <x:v>30</x:v>
      </x:c>
      <x:c r="B139" s="2" t="str">
        <x:v>中型</x:v>
      </x:c>
      <x:c r="C139" s="2" t="str">
        <x:v>zhou_Set2_100-10-2_subset30_scenario02_b1</x:v>
      </x:c>
      <x:c r="D139" s="2" t="str">
        <x:v>ALNS三种子均值</x:v>
      </x:c>
      <x:c r="E139" s="13" t="n">
        <x:v>458.08026152040514</x:v>
      </x:c>
      <x:c r="F139" s="13" t="n">
        <x:v>458.70953537005585</x:v>
      </x:c>
      <x:c r="G139" s="13" t="n">
        <x:f>IF(AND(ISNUMBER(E139),ISNUMBER(F139),E139&gt;0),E139-F139,"")</x:f>
        <x:v>-0.6292738496507013</x:v>
      </x:c>
      <x:c r="H139" s="14" t="n">
        <x:f>IF(ISNUMBER(G139),G139/E139,"")</x:f>
        <x:v>-0.0013737196349873076</x:v>
      </x:c>
      <x:c r="I139" s="13" t="n">
        <x:v>527.6432738088108</x:v>
      </x:c>
      <x:c r="J139" s="13" t="n">
        <x:v>531.1470843104831</x:v>
      </x:c>
      <x:c r="K139" s="13" t="n">
        <x:f>IF(AND(ISNUMBER(I139),ISNUMBER(J139),I139&gt;0),I139-J139,"")</x:f>
        <x:v>-3.5038105016723193</x:v>
      </x:c>
      <x:c r="L139" s="14" t="n">
        <x:f>IF(ISNUMBER(K139),K139/I139,"")</x:f>
        <x:v>-0.006640491171961588</x:v>
      </x:c>
      <x:c r="M139" s="15" t="n">
        <x:f>IF(AND(ISNUMBER(E139),ISNUMBER(F139),ISNUMBER(I139),ISNUMBER(J139)),1,0)</x:f>
        <x:v>1</x:v>
      </x:c>
      <x:c r="N139" s="15" t="n">
        <x:v>0</x:v>
      </x:c>
      <x:c r="O139" s="2" t="str">
        <x:v>3/3种子均可行</x:v>
      </x:c>
      <x:c r="P139" s="2" t="str">
        <x:v>3/3种子均可行</x:v>
      </x:c>
      <x:c r="Q139" s="2" t="str">
        <x:v>3/3种子均可行</x:v>
      </x:c>
      <x:c r="R139" s="2" t="str">
        <x:v>3/3种子均可行</x:v>
      </x:c>
    </x:row>
    <x:row r="140" ht="24" customHeight="1">
      <x:c r="A140" s="2" t="n">
        <x:v>30</x:v>
      </x:c>
      <x:c r="B140" s="2" t="str">
        <x:v>中型</x:v>
      </x:c>
      <x:c r="C140" s="2" t="str">
        <x:v>zhou_Set2_100-5-1b_subset30_b1</x:v>
      </x:c>
      <x:c r="D140" s="2" t="str">
        <x:v>精确时限可行解</x:v>
      </x:c>
      <x:c r="E140" s="13" t="n">
        <x:v>774.6531209851446</x:v>
      </x:c>
      <x:c r="F140" s="13" t="n">
        <x:v>753.3578532618483</x:v>
      </x:c>
      <x:c r="G140" s="13" t="n">
        <x:f>IF(AND(ISNUMBER(E140),ISNUMBER(F140),E140&gt;0),E140-F140,"")</x:f>
        <x:v>21.29526772329632</x:v>
      </x:c>
      <x:c r="H140" s="14" t="n">
        <x:f>IF(ISNUMBER(G140),G140/E140,"")</x:f>
        <x:v>0.027490068969469362</x:v>
      </x:c>
      <x:c r="I140" s="13" t="n">
        <x:v>924.4118512008673</x:v>
      </x:c>
      <x:c r="J140" s="13" t="n">
        <x:v>1128.8681022697983</x:v>
      </x:c>
      <x:c r="K140" s="13" t="n">
        <x:f>IF(AND(ISNUMBER(I140),ISNUMBER(J140),I140&gt;0),I140-J140,"")</x:f>
        <x:v>-204.456251068931</x:v>
      </x:c>
      <x:c r="L140" s="14" t="n">
        <x:f>IF(ISNUMBER(K140),K140/I140,"")</x:f>
        <x:v>-0.22117441571452148</x:v>
      </x:c>
      <x:c r="M140" s="15" t="n">
        <x:f>IF(AND(ISNUMBER(E140),ISNUMBER(F140),ISNUMBER(I140),ISNUMBER(J140)),1,0)</x:f>
        <x:v>1</x:v>
      </x:c>
      <x:c r="N140" s="15" t="n">
        <x:v>0</x:v>
      </x:c>
      <x:c r="O140" s="2" t="str">
        <x:v>可行未证最优</x:v>
      </x:c>
      <x:c r="P140" s="2" t="str">
        <x:v>可行未证最优</x:v>
      </x:c>
      <x:c r="Q140" s="2" t="str">
        <x:v>可行未证最优</x:v>
      </x:c>
      <x:c r="R140" s="2" t="str">
        <x:v>可行未证最优</x:v>
      </x:c>
    </x:row>
    <x:row r="141" ht="24" customHeight="1">
      <x:c r="A141" s="2" t="n">
        <x:v>30</x:v>
      </x:c>
      <x:c r="B141" s="2" t="str">
        <x:v>中型</x:v>
      </x:c>
      <x:c r="C141" s="2" t="str">
        <x:v>zhou_Set2_100-5-1b_subset30_b1</x:v>
      </x:c>
      <x:c r="D141" s="2" t="str">
        <x:v>ALNS三种子最好</x:v>
      </x:c>
      <x:c r="E141" s="13" t="n">
        <x:v>774.6531209851446</x:v>
      </x:c>
      <x:c r="F141" s="13" t="n">
        <x:v>726.9858757559939</x:v>
      </x:c>
      <x:c r="G141" s="13" t="n">
        <x:f>IF(AND(ISNUMBER(E141),ISNUMBER(F141),E141&gt;0),E141-F141,"")</x:f>
        <x:v>47.667245229150694</x:v>
      </x:c>
      <x:c r="H141" s="14" t="n">
        <x:f>IF(ISNUMBER(G141),G141/E141,"")</x:f>
        <x:v>0.061533664472339746</x:v>
      </x:c>
      <x:c r="I141" s="13" t="n">
        <x:v>847.0187935694298</x:v>
      </x:c>
      <x:c r="J141" s="13" t="n">
        <x:v>812.8053954731068</x:v>
      </x:c>
      <x:c r="K141" s="13" t="n">
        <x:f>IF(AND(ISNUMBER(I141),ISNUMBER(J141),I141&gt;0),I141-J141,"")</x:f>
        <x:v>34.213398096322976</x:v>
      </x:c>
      <x:c r="L141" s="14" t="n">
        <x:f>IF(ISNUMBER(K141),K141/I141,"")</x:f>
        <x:v>0.04039272606000154</x:v>
      </x:c>
      <x:c r="M141" s="15" t="n">
        <x:f>IF(AND(ISNUMBER(E141),ISNUMBER(F141),ISNUMBER(I141),ISNUMBER(J141)),1,0)</x:f>
        <x:v>1</x:v>
      </x:c>
      <x:c r="N141" s="15" t="n">
        <x:v>0</x:v>
      </x:c>
      <x:c r="O141" s="2" t="str">
        <x:v>3/3种子均可行</x:v>
      </x:c>
      <x:c r="P141" s="2" t="str">
        <x:v>3/3种子均可行</x:v>
      </x:c>
      <x:c r="Q141" s="2" t="str">
        <x:v>3/3种子均可行</x:v>
      </x:c>
      <x:c r="R141" s="2" t="str">
        <x:v>3/3种子均可行</x:v>
      </x:c>
    </x:row>
    <x:row r="142" ht="24" customHeight="1">
      <x:c r="A142" s="2" t="n">
        <x:v>30</x:v>
      </x:c>
      <x:c r="B142" s="2" t="str">
        <x:v>中型</x:v>
      </x:c>
      <x:c r="C142" s="2" t="str">
        <x:v>zhou_Set2_100-5-1b_subset30_b1</x:v>
      </x:c>
      <x:c r="D142" s="2" t="str">
        <x:v>ALNS三种子均值</x:v>
      </x:c>
      <x:c r="E142" s="13" t="n">
        <x:v>788.1161708789139</x:v>
      </x:c>
      <x:c r="F142" s="13" t="n">
        <x:v>745.8175688028085</x:v>
      </x:c>
      <x:c r="G142" s="13" t="n">
        <x:f>IF(AND(ISNUMBER(E142),ISNUMBER(F142),E142&gt;0),E142-F142,"")</x:f>
        <x:v>42.29860207610534</x:v>
      </x:c>
      <x:c r="H142" s="14" t="n">
        <x:f>IF(ISNUMBER(G142),G142/E142,"")</x:f>
        <x:v>0.053670516656108676</x:v>
      </x:c>
      <x:c r="I142" s="13" t="n">
        <x:v>853.8205483034172</x:v>
      </x:c>
      <x:c r="J142" s="13" t="n">
        <x:v>837.637916269059</x:v>
      </x:c>
      <x:c r="K142" s="13" t="n">
        <x:f>IF(AND(ISNUMBER(I142),ISNUMBER(J142),I142&gt;0),I142-J142,"")</x:f>
        <x:v>16.18263203435822</x:v>
      </x:c>
      <x:c r="L142" s="14" t="n">
        <x:f>IF(ISNUMBER(K142),K142/I142,"")</x:f>
        <x:v>0.018953200489861592</x:v>
      </x:c>
      <x:c r="M142" s="15" t="n">
        <x:f>IF(AND(ISNUMBER(E142),ISNUMBER(F142),ISNUMBER(I142),ISNUMBER(J142)),1,0)</x:f>
        <x:v>1</x:v>
      </x:c>
      <x:c r="N142" s="15" t="n">
        <x:v>0</x:v>
      </x:c>
      <x:c r="O142" s="2" t="str">
        <x:v>3/3种子均可行</x:v>
      </x:c>
      <x:c r="P142" s="2" t="str">
        <x:v>3/3种子均可行</x:v>
      </x:c>
      <x:c r="Q142" s="2" t="str">
        <x:v>3/3种子均可行</x:v>
      </x:c>
      <x:c r="R142" s="2" t="str">
        <x:v>3/3种子均可行</x:v>
      </x:c>
    </x:row>
    <x:row r="143" ht="24" customHeight="1">
      <x:c r="A143" s="2" t="n">
        <x:v>30</x:v>
      </x:c>
      <x:c r="B143" s="2" t="str">
        <x:v>中型</x:v>
      </x:c>
      <x:c r="C143" s="2" t="str">
        <x:v>zhou_Set2_100-5-1b_subset30_scenario02_b1</x:v>
      </x:c>
      <x:c r="D143" s="2" t="str">
        <x:v>精确时限可行解</x:v>
      </x:c>
      <x:c r="E143" s="13" t="n">
        <x:v>774.6531209851446</x:v>
      </x:c>
      <x:c r="F143" s="13" t="n">
        <x:v>753.3578532618483</x:v>
      </x:c>
      <x:c r="G143" s="13" t="n">
        <x:f>IF(AND(ISNUMBER(E143),ISNUMBER(F143),E143&gt;0),E143-F143,"")</x:f>
        <x:v>21.29526772329632</x:v>
      </x:c>
      <x:c r="H143" s="14" t="n">
        <x:f>IF(ISNUMBER(G143),G143/E143,"")</x:f>
        <x:v>0.027490068969469362</x:v>
      </x:c>
      <x:c r="I143" s="13"/>
      <x:c r="J143" s="13" t="n">
        <x:v>1021.3340008166386</x:v>
      </x:c>
      <x:c r="K143" s="13" t="str">
        <x:f>IF(AND(ISNUMBER(I143),ISNUMBER(J143),I143&gt;0),I143-J143,"")</x:f>
      </x:c>
      <x:c r="L143" s="14" t="str">
        <x:f>IF(ISNUMBER(K143),K143/I143,"")</x:f>
      </x:c>
      <x:c r="M143" s="15" t="n">
        <x:f>IF(AND(ISNUMBER(E143),ISNUMBER(F143),ISNUMBER(I143),ISNUMBER(J143)),1,0)</x:f>
        <x:v>0</x:v>
      </x:c>
      <x:c r="N143" s="15" t="n">
        <x:v>0</x:v>
      </x:c>
      <x:c r="O143" s="2" t="str">
        <x:v>可行未证最优</x:v>
      </x:c>
      <x:c r="P143" s="2" t="str">
        <x:v>可行未证最优</x:v>
      </x:c>
      <x:c r="Q143" s="2" t="str">
        <x:v>TIME_LIMIT，无审计可行解</x:v>
      </x:c>
      <x:c r="R143" s="2" t="str">
        <x:v>可行未证最优</x:v>
      </x:c>
    </x:row>
    <x:row r="144" ht="24" customHeight="1">
      <x:c r="A144" s="2" t="n">
        <x:v>30</x:v>
      </x:c>
      <x:c r="B144" s="2" t="str">
        <x:v>中型</x:v>
      </x:c>
      <x:c r="C144" s="2" t="str">
        <x:v>zhou_Set2_100-5-1b_subset30_scenario02_b1</x:v>
      </x:c>
      <x:c r="D144" s="2" t="str">
        <x:v>ALNS三种子最好</x:v>
      </x:c>
      <x:c r="E144" s="13" t="n">
        <x:v>774.6531209851446</x:v>
      </x:c>
      <x:c r="F144" s="13" t="n">
        <x:v>726.3199991122495</x:v>
      </x:c>
      <x:c r="G144" s="13" t="n">
        <x:f>IF(AND(ISNUMBER(E144),ISNUMBER(F144),E144&gt;0),E144-F144,"")</x:f>
        <x:v>48.33312187289505</x:v>
      </x:c>
      <x:c r="H144" s="14" t="n">
        <x:f>IF(ISNUMBER(G144),G144/E144,"")</x:f>
        <x:v>0.06239324487769272</x:v>
      </x:c>
      <x:c r="I144" s="13" t="n">
        <x:v>855.2974924378431</x:v>
      </x:c>
      <x:c r="J144" s="13" t="n">
        <x:v>816.4178202249361</x:v>
      </x:c>
      <x:c r="K144" s="13" t="n">
        <x:f>IF(AND(ISNUMBER(I144),ISNUMBER(J144),I144&gt;0),I144-J144,"")</x:f>
        <x:v>38.87967221290694</x:v>
      </x:c>
      <x:c r="L144" s="14" t="n">
        <x:f>IF(ISNUMBER(K144),K144/I144,"")</x:f>
        <x:v>0.04545748415804275</x:v>
      </x:c>
      <x:c r="M144" s="15" t="n">
        <x:f>IF(AND(ISNUMBER(E144),ISNUMBER(F144),ISNUMBER(I144),ISNUMBER(J144)),1,0)</x:f>
        <x:v>1</x:v>
      </x:c>
      <x:c r="N144" s="15" t="n">
        <x:v>0</x:v>
      </x:c>
      <x:c r="O144" s="2" t="str">
        <x:v>3/3种子均可行</x:v>
      </x:c>
      <x:c r="P144" s="2" t="str">
        <x:v>3/3种子均可行</x:v>
      </x:c>
      <x:c r="Q144" s="2" t="str">
        <x:v>3/3种子均可行</x:v>
      </x:c>
      <x:c r="R144" s="2" t="str">
        <x:v>3/3种子均可行</x:v>
      </x:c>
    </x:row>
    <x:row r="145" ht="24" customHeight="1">
      <x:c r="A145" s="2" t="n">
        <x:v>30</x:v>
      </x:c>
      <x:c r="B145" s="2" t="str">
        <x:v>中型</x:v>
      </x:c>
      <x:c r="C145" s="2" t="str">
        <x:v>zhou_Set2_100-5-1b_subset30_scenario02_b1</x:v>
      </x:c>
      <x:c r="D145" s="2" t="str">
        <x:v>ALNS三种子均值</x:v>
      </x:c>
      <x:c r="E145" s="13" t="n">
        <x:v>774.6531209851447</x:v>
      </x:c>
      <x:c r="F145" s="13" t="n">
        <x:v>736.3431214062896</x:v>
      </x:c>
      <x:c r="G145" s="13" t="n">
        <x:f>IF(AND(ISNUMBER(E145),ISNUMBER(F145),E145&gt;0),E145-F145,"")</x:f>
        <x:v>38.30999957885513</x:v>
      </x:c>
      <x:c r="H145" s="14" t="n">
        <x:f>IF(ISNUMBER(G145),G145/E145,"")</x:f>
        <x:v>0.04945439260624858</x:v>
      </x:c>
      <x:c r="I145" s="13" t="n">
        <x:v>868.0246958880792</x:v>
      </x:c>
      <x:c r="J145" s="13" t="n">
        <x:v>847.0740547866864</x:v>
      </x:c>
      <x:c r="K145" s="13" t="n">
        <x:f>IF(AND(ISNUMBER(I145),ISNUMBER(J145),I145&gt;0),I145-J145,"")</x:f>
        <x:v>20.950641101392875</x:v>
      </x:c>
      <x:c r="L145" s="14" t="n">
        <x:f>IF(ISNUMBER(K145),K145/I145,"")</x:f>
        <x:v>0.02413599659161563</x:v>
      </x:c>
      <x:c r="M145" s="15" t="n">
        <x:f>IF(AND(ISNUMBER(E145),ISNUMBER(F145),ISNUMBER(I145),ISNUMBER(J145)),1,0)</x:f>
        <x:v>1</x:v>
      </x:c>
      <x:c r="N145" s="15" t="n">
        <x:v>0</x:v>
      </x:c>
      <x:c r="O145" s="2" t="str">
        <x:v>3/3种子均可行</x:v>
      </x:c>
      <x:c r="P145" s="2" t="str">
        <x:v>3/3种子均可行</x:v>
      </x:c>
      <x:c r="Q145" s="2" t="str">
        <x:v>3/3种子均可行</x:v>
      </x:c>
      <x:c r="R145" s="2" t="str">
        <x:v>3/3种子均可行</x:v>
      </x:c>
    </x:row>
    <x:row r="146" ht="24" customHeight="1">
      <x:c r="A146" s="2" t="n">
        <x:v>30</x:v>
      </x:c>
      <x:c r="B146" s="2" t="str">
        <x:v>中型</x:v>
      </x:c>
      <x:c r="C146" s="2" t="str">
        <x:v>zhou_Set2_100-5-2_subset30_b1</x:v>
      </x:c>
      <x:c r="D146" s="2" t="str">
        <x:v>精确时限可行解</x:v>
      </x:c>
      <x:c r="E146" s="13" t="n">
        <x:v>457.49849809403906</x:v>
      </x:c>
      <x:c r="F146" s="13" t="n">
        <x:v>444.0795290739385</x:v>
      </x:c>
      <x:c r="G146" s="13" t="n">
        <x:f>IF(AND(ISNUMBER(E146),ISNUMBER(F146),E146&gt;0),E146-F146,"")</x:f>
        <x:v>13.418969020100576</x:v>
      </x:c>
      <x:c r="H146" s="14" t="n">
        <x:f>IF(ISNUMBER(G146),G146/E146,"")</x:f>
        <x:v>0.029331176115341695</x:v>
      </x:c>
      <x:c r="I146" s="13" t="n">
        <x:v>566.8286273551399</x:v>
      </x:c>
      <x:c r="J146" s="13" t="n">
        <x:v>815.5524720192833</x:v>
      </x:c>
      <x:c r="K146" s="13" t="n">
        <x:f>IF(AND(ISNUMBER(I146),ISNUMBER(J146),I146&gt;0),I146-J146,"")</x:f>
        <x:v>-248.72384466414337</x:v>
      </x:c>
      <x:c r="L146" s="14" t="n">
        <x:f>IF(ISNUMBER(K146),K146/I146,"")</x:f>
        <x:v>-0.4387990173056456</x:v>
      </x:c>
      <x:c r="M146" s="15" t="n">
        <x:f>IF(AND(ISNUMBER(E146),ISNUMBER(F146),ISNUMBER(I146),ISNUMBER(J146)),1,0)</x:f>
        <x:v>1</x:v>
      </x:c>
      <x:c r="N146" s="15" t="n">
        <x:v>0</x:v>
      </x:c>
      <x:c r="O146" s="2" t="str">
        <x:v>已证最优</x:v>
      </x:c>
      <x:c r="P146" s="2" t="str">
        <x:v>可行未证最优</x:v>
      </x:c>
      <x:c r="Q146" s="2" t="str">
        <x:v>可行未证最优</x:v>
      </x:c>
      <x:c r="R146" s="2" t="str">
        <x:v>可行未证最优</x:v>
      </x:c>
    </x:row>
    <x:row r="147" ht="24" customHeight="1">
      <x:c r="A147" s="2" t="n">
        <x:v>30</x:v>
      </x:c>
      <x:c r="B147" s="2" t="str">
        <x:v>中型</x:v>
      </x:c>
      <x:c r="C147" s="2" t="str">
        <x:v>zhou_Set2_100-5-2_subset30_b1</x:v>
      </x:c>
      <x:c r="D147" s="2" t="str">
        <x:v>ALNS三种子最好</x:v>
      </x:c>
      <x:c r="E147" s="13" t="n">
        <x:v>457.49849809403906</x:v>
      </x:c>
      <x:c r="F147" s="13" t="n">
        <x:v>457.49849809403906</x:v>
      </x:c>
      <x:c r="G147" s="13" t="n">
        <x:f>IF(AND(ISNUMBER(E147),ISNUMBER(F147),E147&gt;0),E147-F147,"")</x:f>
        <x:v>0</x:v>
      </x:c>
      <x:c r="H147" s="14" t="n">
        <x:f>IF(ISNUMBER(G147),G147/E147,"")</x:f>
        <x:v>0</x:v>
      </x:c>
      <x:c r="I147" s="13" t="n">
        <x:v>579.6707671001025</x:v>
      </x:c>
      <x:c r="J147" s="13" t="n">
        <x:v>529.1191591936813</x:v>
      </x:c>
      <x:c r="K147" s="13" t="n">
        <x:f>IF(AND(ISNUMBER(I147),ISNUMBER(J147),I147&gt;0),I147-J147,"")</x:f>
        <x:v>50.55160790642117</x:v>
      </x:c>
      <x:c r="L147" s="14" t="n">
        <x:f>IF(ISNUMBER(K147),K147/I147,"")</x:f>
        <x:v>0.0872074473572539</x:v>
      </x:c>
      <x:c r="M147" s="15" t="n">
        <x:f>IF(AND(ISNUMBER(E147),ISNUMBER(F147),ISNUMBER(I147),ISNUMBER(J147)),1,0)</x:f>
        <x:v>1</x:v>
      </x:c>
      <x:c r="N147" s="15" t="n">
        <x:v>0</x:v>
      </x:c>
      <x:c r="O147" s="2" t="str">
        <x:v>3/3种子均可行</x:v>
      </x:c>
      <x:c r="P147" s="2" t="str">
        <x:v>3/3种子均可行</x:v>
      </x:c>
      <x:c r="Q147" s="2" t="str">
        <x:v>3/3种子均可行</x:v>
      </x:c>
      <x:c r="R147" s="2" t="str">
        <x:v>3/3种子均可行</x:v>
      </x:c>
    </x:row>
    <x:row r="148" ht="24" customHeight="1">
      <x:c r="A148" s="2" t="n">
        <x:v>30</x:v>
      </x:c>
      <x:c r="B148" s="2" t="str">
        <x:v>中型</x:v>
      </x:c>
      <x:c r="C148" s="2" t="str">
        <x:v>zhou_Set2_100-5-2_subset30_b1</x:v>
      </x:c>
      <x:c r="D148" s="2" t="str">
        <x:v>ALNS三种子均值</x:v>
      </x:c>
      <x:c r="E148" s="13" t="n">
        <x:v>457.4984980940391</x:v>
      </x:c>
      <x:c r="F148" s="13" t="n">
        <x:v>470.32426850250897</x:v>
      </x:c>
      <x:c r="G148" s="13" t="n">
        <x:f>IF(AND(ISNUMBER(E148),ISNUMBER(F148),E148&gt;0),E148-F148,"")</x:f>
        <x:v>-12.82577040846985</x:v>
      </x:c>
      <x:c r="H148" s="14" t="n">
        <x:f>IF(ISNUMBER(G148),G148/E148,"")</x:f>
        <x:v>-0.028034562871578007</x:v>
      </x:c>
      <x:c r="I148" s="13" t="n">
        <x:v>580.5304751996086</x:v>
      </x:c>
      <x:c r="J148" s="13" t="n">
        <x:v>536.614727892383</x:v>
      </x:c>
      <x:c r="K148" s="13" t="n">
        <x:f>IF(AND(ISNUMBER(I148),ISNUMBER(J148),I148&gt;0),I148-J148,"")</x:f>
        <x:v>43.915747307225615</x:v>
      </x:c>
      <x:c r="L148" s="14" t="n">
        <x:f>IF(ISNUMBER(K148),K148/I148,"")</x:f>
        <x:v>0.07564761745216855</x:v>
      </x:c>
      <x:c r="M148" s="15" t="n">
        <x:f>IF(AND(ISNUMBER(E148),ISNUMBER(F148),ISNUMBER(I148),ISNUMBER(J148)),1,0)</x:f>
        <x:v>1</x:v>
      </x:c>
      <x:c r="N148" s="15" t="n">
        <x:v>0</x:v>
      </x:c>
      <x:c r="O148" s="2" t="str">
        <x:v>3/3种子均可行</x:v>
      </x:c>
      <x:c r="P148" s="2" t="str">
        <x:v>3/3种子均可行</x:v>
      </x:c>
      <x:c r="Q148" s="2" t="str">
        <x:v>3/3种子均可行</x:v>
      </x:c>
      <x:c r="R148" s="2" t="str">
        <x:v>3/3种子均可行</x:v>
      </x:c>
    </x:row>
    <x:row r="149" ht="24" customHeight="1">
      <x:c r="A149" s="2" t="n">
        <x:v>30</x:v>
      </x:c>
      <x:c r="B149" s="2" t="str">
        <x:v>中型</x:v>
      </x:c>
      <x:c r="C149" s="2" t="str">
        <x:v>zhou_Set2_100-5-2_subset30_scenario02_b1</x:v>
      </x:c>
      <x:c r="D149" s="2" t="str">
        <x:v>精确时限可行解</x:v>
      </x:c>
      <x:c r="E149" s="13" t="n">
        <x:v>457.49849809403906</x:v>
      </x:c>
      <x:c r="F149" s="13" t="n">
        <x:v>457.869416159161</x:v>
      </x:c>
      <x:c r="G149" s="13" t="n">
        <x:f>IF(AND(ISNUMBER(E149),ISNUMBER(F149),E149&gt;0),E149-F149,"")</x:f>
        <x:v>-0.37091806512194125</x:v>
      </x:c>
      <x:c r="H149" s="14" t="n">
        <x:f>IF(ISNUMBER(G149),G149/E149,"")</x:f>
        <x:v>-0.0008107525307016393</x:v>
      </x:c>
      <x:c r="I149" s="13" t="n">
        <x:v>502.48917906905206</x:v>
      </x:c>
      <x:c r="J149" s="13"/>
      <x:c r="K149" s="13" t="str">
        <x:f>IF(AND(ISNUMBER(I149),ISNUMBER(J149),I149&gt;0),I149-J149,"")</x:f>
      </x:c>
      <x:c r="L149" s="14" t="str">
        <x:f>IF(ISNUMBER(K149),K149/I149,"")</x:f>
      </x:c>
      <x:c r="M149" s="15" t="n">
        <x:f>IF(AND(ISNUMBER(E149),ISNUMBER(F149),ISNUMBER(I149),ISNUMBER(J149)),1,0)</x:f>
        <x:v>0</x:v>
      </x:c>
      <x:c r="N149" s="15" t="n">
        <x:v>0</x:v>
      </x:c>
      <x:c r="O149" s="2" t="str">
        <x:v>已证最优</x:v>
      </x:c>
      <x:c r="P149" s="2" t="str">
        <x:v>可行未证最优</x:v>
      </x:c>
      <x:c r="Q149" s="2" t="str">
        <x:v>已证最优</x:v>
      </x:c>
      <x:c r="R149" s="2" t="str">
        <x:v>TIME_LIMIT，无审计可行解</x:v>
      </x:c>
    </x:row>
    <x:row r="150" ht="24" customHeight="1">
      <x:c r="A150" s="2" t="n">
        <x:v>30</x:v>
      </x:c>
      <x:c r="B150" s="2" t="str">
        <x:v>中型</x:v>
      </x:c>
      <x:c r="C150" s="2" t="str">
        <x:v>zhou_Set2_100-5-2_subset30_scenario02_b1</x:v>
      </x:c>
      <x:c r="D150" s="2" t="str">
        <x:v>ALNS三种子最好</x:v>
      </x:c>
      <x:c r="E150" s="13" t="n">
        <x:v>457.49849809403906</x:v>
      </x:c>
      <x:c r="F150" s="13" t="n">
        <x:v>457.4984980940391</x:v>
      </x:c>
      <x:c r="G150" s="13" t="n">
        <x:f>IF(AND(ISNUMBER(E150),ISNUMBER(F150),E150&gt;0),E150-F150,"")</x:f>
        <x:v>-5.684341886080802e-14</x:v>
      </x:c>
      <x:c r="H150" s="14" t="n">
        <x:f>IF(ISNUMBER(G150),G150/E150,"")</x:f>
        <x:v>-1.2424831796742602e-16</x:v>
      </x:c>
      <x:c r="I150" s="13" t="n">
        <x:v>584.0771995607986</x:v>
      </x:c>
      <x:c r="J150" s="13" t="n">
        <x:v>481.9424668631811</x:v>
      </x:c>
      <x:c r="K150" s="13" t="n">
        <x:f>IF(AND(ISNUMBER(I150),ISNUMBER(J150),I150&gt;0),I150-J150,"")</x:f>
        <x:v>102.1347326976175</x:v>
      </x:c>
      <x:c r="L150" s="14" t="n">
        <x:f>IF(ISNUMBER(K150),K150/I150,"")</x:f>
        <x:v>0.1748651253197668</x:v>
      </x:c>
      <x:c r="M150" s="15" t="n">
        <x:f>IF(AND(ISNUMBER(E150),ISNUMBER(F150),ISNUMBER(I150),ISNUMBER(J150)),1,0)</x:f>
        <x:v>1</x:v>
      </x:c>
      <x:c r="N150" s="15" t="n">
        <x:v>0</x:v>
      </x:c>
      <x:c r="O150" s="2" t="str">
        <x:v>3/3种子均可行</x:v>
      </x:c>
      <x:c r="P150" s="2" t="str">
        <x:v>3/3种子均可行</x:v>
      </x:c>
      <x:c r="Q150" s="2" t="str">
        <x:v>3/3种子均可行</x:v>
      </x:c>
      <x:c r="R150" s="2" t="str">
        <x:v>3/3种子均可行</x:v>
      </x:c>
    </x:row>
    <x:row r="151" ht="24" customHeight="1">
      <x:c r="A151" s="2" t="n">
        <x:v>30</x:v>
      </x:c>
      <x:c r="B151" s="2" t="str">
        <x:v>中型</x:v>
      </x:c>
      <x:c r="C151" s="2" t="str">
        <x:v>zhou_Set2_100-5-2_subset30_scenario02_b1</x:v>
      </x:c>
      <x:c r="D151" s="2" t="str">
        <x:v>ALNS三种子均值</x:v>
      </x:c>
      <x:c r="E151" s="13" t="n">
        <x:v>457.4984980940391</x:v>
      </x:c>
      <x:c r="F151" s="13" t="n">
        <x:v>457.4984980940391</x:v>
      </x:c>
      <x:c r="G151" s="13" t="n">
        <x:f>IF(AND(ISNUMBER(E151),ISNUMBER(F151),E151&gt;0),E151-F151,"")</x:f>
        <x:v>0</x:v>
      </x:c>
      <x:c r="H151" s="14" t="n">
        <x:f>IF(ISNUMBER(G151),G151/E151,"")</x:f>
        <x:v>0</x:v>
      </x:c>
      <x:c r="I151" s="13" t="n">
        <x:v>584.1847465503013</x:v>
      </x:c>
      <x:c r="J151" s="13" t="n">
        <x:v>551.0059276621157</x:v>
      </x:c>
      <x:c r="K151" s="13" t="n">
        <x:f>IF(AND(ISNUMBER(I151),ISNUMBER(J151),I151&gt;0),I151-J151,"")</x:f>
        <x:v>33.17881888818556</x:v>
      </x:c>
      <x:c r="L151" s="14" t="n">
        <x:f>IF(ISNUMBER(K151),K151/I151,"")</x:f>
        <x:v>0.05679507909802759</x:v>
      </x:c>
      <x:c r="M151" s="15" t="n">
        <x:f>IF(AND(ISNUMBER(E151),ISNUMBER(F151),ISNUMBER(I151),ISNUMBER(J151)),1,0)</x:f>
        <x:v>1</x:v>
      </x:c>
      <x:c r="N151" s="15" t="n">
        <x:v>0</x:v>
      </x:c>
      <x:c r="O151" s="2" t="str">
        <x:v>3/3种子均可行</x:v>
      </x:c>
      <x:c r="P151" s="2" t="str">
        <x:v>3/3种子均可行</x:v>
      </x:c>
      <x:c r="Q151" s="2" t="str">
        <x:v>3/3种子均可行</x:v>
      </x:c>
      <x:c r="R151" s="2" t="str">
        <x:v>3/3种子均可行</x:v>
      </x:c>
    </x:row>
    <x:row r="152" ht="24" customHeight="1">
      <x:c r="A152" s="2" t="n">
        <x:v>30</x:v>
      </x:c>
      <x:c r="B152" s="2" t="str">
        <x:v>中型</x:v>
      </x:c>
      <x:c r="C152" s="2" t="str">
        <x:v>zhou_Set2_100-5-3_subset30_b1</x:v>
      </x:c>
      <x:c r="D152" s="2" t="str">
        <x:v>精确时限可行解</x:v>
      </x:c>
      <x:c r="E152" s="13" t="n">
        <x:v>533.613592910091</x:v>
      </x:c>
      <x:c r="F152" s="13" t="n">
        <x:v>529.0338826387201</x:v>
      </x:c>
      <x:c r="G152" s="13" t="n">
        <x:f>IF(AND(ISNUMBER(E152),ISNUMBER(F152),E152&gt;0),E152-F152,"")</x:f>
        <x:v>4.579710271370914</x:v>
      </x:c>
      <x:c r="H152" s="14" t="n">
        <x:f>IF(ISNUMBER(G152),G152/E152,"")</x:f>
        <x:v>0.008582446797120015</x:v>
      </x:c>
      <x:c r="I152" s="13" t="n">
        <x:v>730.678354509886</x:v>
      </x:c>
      <x:c r="J152" s="13" t="n">
        <x:v>837.7008130417</x:v>
      </x:c>
      <x:c r="K152" s="13" t="n">
        <x:f>IF(AND(ISNUMBER(I152),ISNUMBER(J152),I152&gt;0),I152-J152,"")</x:f>
        <x:v>-107.02245853181398</x:v>
      </x:c>
      <x:c r="L152" s="14" t="n">
        <x:f>IF(ISNUMBER(K152),K152/I152,"")</x:f>
        <x:v>-0.14646999992712384</x:v>
      </x:c>
      <x:c r="M152" s="15" t="n">
        <x:f>IF(AND(ISNUMBER(E152),ISNUMBER(F152),ISNUMBER(I152),ISNUMBER(J152)),1,0)</x:f>
        <x:v>1</x:v>
      </x:c>
      <x:c r="N152" s="15" t="n">
        <x:v>0</x:v>
      </x:c>
      <x:c r="O152" s="2" t="str">
        <x:v>已证最优</x:v>
      </x:c>
      <x:c r="P152" s="2" t="str">
        <x:v>可行未证最优</x:v>
      </x:c>
      <x:c r="Q152" s="2" t="str">
        <x:v>可行未证最优</x:v>
      </x:c>
      <x:c r="R152" s="2" t="str">
        <x:v>可行未证最优</x:v>
      </x:c>
    </x:row>
    <x:row r="153" ht="24" customHeight="1">
      <x:c r="A153" s="2" t="n">
        <x:v>30</x:v>
      </x:c>
      <x:c r="B153" s="2" t="str">
        <x:v>中型</x:v>
      </x:c>
      <x:c r="C153" s="2" t="str">
        <x:v>zhou_Set2_100-5-3_subset30_b1</x:v>
      </x:c>
      <x:c r="D153" s="2" t="str">
        <x:v>ALNS三种子最好</x:v>
      </x:c>
      <x:c r="E153" s="13" t="n">
        <x:v>533.613592910091</x:v>
      </x:c>
      <x:c r="F153" s="13" t="n">
        <x:v>523.5977984234141</x:v>
      </x:c>
      <x:c r="G153" s="13" t="n">
        <x:f>IF(AND(ISNUMBER(E153),ISNUMBER(F153),E153&gt;0),E153-F153,"")</x:f>
        <x:v>10.015794486676896</x:v>
      </x:c>
      <x:c r="H153" s="14" t="n">
        <x:f>IF(ISNUMBER(G153),G153/E153,"")</x:f>
        <x:v>0.018769751407671627</x:v>
      </x:c>
      <x:c r="I153" s="13" t="n">
        <x:v>704.0139155836107</x:v>
      </x:c>
      <x:c r="J153" s="13" t="n">
        <x:v>655.0336208526909</x:v>
      </x:c>
      <x:c r="K153" s="13" t="n">
        <x:f>IF(AND(ISNUMBER(I153),ISNUMBER(J153),I153&gt;0),I153-J153,"")</x:f>
        <x:v>48.98029473091981</x:v>
      </x:c>
      <x:c r="L153" s="14" t="n">
        <x:f>IF(ISNUMBER(K153),K153/I153,"")</x:f>
        <x:v>0.06957290707857147</x:v>
      </x:c>
      <x:c r="M153" s="15" t="n">
        <x:f>IF(AND(ISNUMBER(E153),ISNUMBER(F153),ISNUMBER(I153),ISNUMBER(J153)),1,0)</x:f>
        <x:v>1</x:v>
      </x:c>
      <x:c r="N153" s="15" t="n">
        <x:v>0</x:v>
      </x:c>
      <x:c r="O153" s="2" t="str">
        <x:v>3/3种子均可行</x:v>
      </x:c>
      <x:c r="P153" s="2" t="str">
        <x:v>3/3种子均可行</x:v>
      </x:c>
      <x:c r="Q153" s="2" t="str">
        <x:v>3/3种子均可行</x:v>
      </x:c>
      <x:c r="R153" s="2" t="str">
        <x:v>3/3种子均可行</x:v>
      </x:c>
    </x:row>
    <x:row r="154" ht="24" customHeight="1">
      <x:c r="A154" s="2" t="n">
        <x:v>30</x:v>
      </x:c>
      <x:c r="B154" s="2" t="str">
        <x:v>中型</x:v>
      </x:c>
      <x:c r="C154" s="2" t="str">
        <x:v>zhou_Set2_100-5-3_subset30_b1</x:v>
      </x:c>
      <x:c r="D154" s="2" t="str">
        <x:v>ALNS三种子均值</x:v>
      </x:c>
      <x:c r="E154" s="13" t="n">
        <x:v>534.8875697726523</x:v>
      </x:c>
      <x:c r="F154" s="13" t="n">
        <x:v>524.5764623282445</x:v>
      </x:c>
      <x:c r="G154" s="13" t="n">
        <x:f>IF(AND(ISNUMBER(E154),ISNUMBER(F154),E154&gt;0),E154-F154,"")</x:f>
        <x:v>10.311107444407867</x:v>
      </x:c>
      <x:c r="H154" s="14" t="n">
        <x:f>IF(ISNUMBER(G154),G154/E154,"")</x:f>
        <x:v>0.01927714911900174</x:v>
      </x:c>
      <x:c r="I154" s="13" t="n">
        <x:v>707.1767218018374</x:v>
      </x:c>
      <x:c r="J154" s="13" t="n">
        <x:v>657.0054059271135</x:v>
      </x:c>
      <x:c r="K154" s="13" t="n">
        <x:f>IF(AND(ISNUMBER(I154),ISNUMBER(J154),I154&gt;0),I154-J154,"")</x:f>
        <x:v>50.17131587472386</x:v>
      </x:c>
      <x:c r="L154" s="14" t="n">
        <x:f>IF(ISNUMBER(K154),K154/I154,"")</x:f>
        <x:v>0.0709459380208257</x:v>
      </x:c>
      <x:c r="M154" s="15" t="n">
        <x:f>IF(AND(ISNUMBER(E154),ISNUMBER(F154),ISNUMBER(I154),ISNUMBER(J154)),1,0)</x:f>
        <x:v>1</x:v>
      </x:c>
      <x:c r="N154" s="15" t="n">
        <x:v>0</x:v>
      </x:c>
      <x:c r="O154" s="2" t="str">
        <x:v>3/3种子均可行</x:v>
      </x:c>
      <x:c r="P154" s="2" t="str">
        <x:v>3/3种子均可行</x:v>
      </x:c>
      <x:c r="Q154" s="2" t="str">
        <x:v>3/3种子均可行</x:v>
      </x:c>
      <x:c r="R154" s="2" t="str">
        <x:v>3/3种子均可行</x:v>
      </x:c>
    </x:row>
    <x:row r="155" ht="24" customHeight="1">
      <x:c r="A155" s="2" t="n">
        <x:v>30</x:v>
      </x:c>
      <x:c r="B155" s="2" t="str">
        <x:v>中型</x:v>
      </x:c>
      <x:c r="C155" s="2" t="str">
        <x:v>zhou_Set2_100-5-3_subset30_scenario02_b1</x:v>
      </x:c>
      <x:c r="D155" s="2" t="str">
        <x:v>精确时限可行解</x:v>
      </x:c>
      <x:c r="E155" s="13" t="n">
        <x:v>533.613592910091</x:v>
      </x:c>
      <x:c r="F155" s="13" t="n">
        <x:v>529.5268672358214</x:v>
      </x:c>
      <x:c r="G155" s="13" t="n">
        <x:f>IF(AND(ISNUMBER(E155),ISNUMBER(F155),E155&gt;0),E155-F155,"")</x:f>
        <x:v>4.086725674269587</x:v>
      </x:c>
      <x:c r="H155" s="14" t="n">
        <x:f>IF(ISNUMBER(G155),G155/E155,"")</x:f>
        <x:v>0.00765858615404155</x:v>
      </x:c>
      <x:c r="I155" s="13" t="n">
        <x:v>707.7535467061732</x:v>
      </x:c>
      <x:c r="J155" s="13" t="n">
        <x:v>848.9510746229535</x:v>
      </x:c>
      <x:c r="K155" s="13" t="n">
        <x:f>IF(AND(ISNUMBER(I155),ISNUMBER(J155),I155&gt;0),I155-J155,"")</x:f>
        <x:v>-141.19752791678025</x:v>
      </x:c>
      <x:c r="L155" s="14" t="n">
        <x:f>IF(ISNUMBER(K155),K155/I155,"")</x:f>
        <x:v>-0.1995009824732097</x:v>
      </x:c>
      <x:c r="M155" s="15" t="n">
        <x:f>IF(AND(ISNUMBER(E155),ISNUMBER(F155),ISNUMBER(I155),ISNUMBER(J155)),1,0)</x:f>
        <x:v>1</x:v>
      </x:c>
      <x:c r="N155" s="15" t="n">
        <x:v>0</x:v>
      </x:c>
      <x:c r="O155" s="2" t="str">
        <x:v>已证最优</x:v>
      </x:c>
      <x:c r="P155" s="2" t="str">
        <x:v>可行未证最优</x:v>
      </x:c>
      <x:c r="Q155" s="2" t="str">
        <x:v>可行未证最优</x:v>
      </x:c>
      <x:c r="R155" s="2" t="str">
        <x:v>可行未证最优</x:v>
      </x:c>
    </x:row>
    <x:row r="156" ht="24" customHeight="1">
      <x:c r="A156" s="2" t="n">
        <x:v>30</x:v>
      </x:c>
      <x:c r="B156" s="2" t="str">
        <x:v>中型</x:v>
      </x:c>
      <x:c r="C156" s="2" t="str">
        <x:v>zhou_Set2_100-5-3_subset30_scenario02_b1</x:v>
      </x:c>
      <x:c r="D156" s="2" t="str">
        <x:v>ALNS三种子最好</x:v>
      </x:c>
      <x:c r="E156" s="13" t="n">
        <x:v>533.6135929100909</x:v>
      </x:c>
      <x:c r="F156" s="13" t="n">
        <x:v>523.5977984234141</x:v>
      </x:c>
      <x:c r="G156" s="13" t="n">
        <x:f>IF(AND(ISNUMBER(E156),ISNUMBER(F156),E156&gt;0),E156-F156,"")</x:f>
        <x:v>10.015794486676782</x:v>
      </x:c>
      <x:c r="H156" s="14" t="n">
        <x:f>IF(ISNUMBER(G156),G156/E156,"")</x:f>
        <x:v>0.01876975140767142</x:v>
      </x:c>
      <x:c r="I156" s="13" t="n">
        <x:v>686.7222408099208</x:v>
      </x:c>
      <x:c r="J156" s="13" t="n">
        <x:v>658.195412955655</x:v>
      </x:c>
      <x:c r="K156" s="13" t="n">
        <x:f>IF(AND(ISNUMBER(I156),ISNUMBER(J156),I156&gt;0),I156-J156,"")</x:f>
        <x:v>28.526827854265775</x:v>
      </x:c>
      <x:c r="L156" s="14" t="n">
        <x:f>IF(ISNUMBER(K156),K156/I156,"")</x:f>
        <x:v>0.041540562048232504</x:v>
      </x:c>
      <x:c r="M156" s="15" t="n">
        <x:f>IF(AND(ISNUMBER(E156),ISNUMBER(F156),ISNUMBER(I156),ISNUMBER(J156)),1,0)</x:f>
        <x:v>1</x:v>
      </x:c>
      <x:c r="N156" s="15" t="n">
        <x:v>0</x:v>
      </x:c>
      <x:c r="O156" s="2" t="str">
        <x:v>3/3种子均可行</x:v>
      </x:c>
      <x:c r="P156" s="2" t="str">
        <x:v>3/3种子均可行</x:v>
      </x:c>
      <x:c r="Q156" s="2" t="str">
        <x:v>3/3种子均可行</x:v>
      </x:c>
      <x:c r="R156" s="2" t="str">
        <x:v>3/3种子均可行</x:v>
      </x:c>
    </x:row>
    <x:row r="157" ht="24" customHeight="1">
      <x:c r="A157" s="2" t="n">
        <x:v>30</x:v>
      </x:c>
      <x:c r="B157" s="2" t="str">
        <x:v>中型</x:v>
      </x:c>
      <x:c r="C157" s="2" t="str">
        <x:v>zhou_Set2_100-5-3_subset30_scenario02_b1</x:v>
      </x:c>
      <x:c r="D157" s="2" t="str">
        <x:v>ALNS三种子均值</x:v>
      </x:c>
      <x:c r="E157" s="13" t="n">
        <x:v>542.4308179740575</x:v>
      </x:c>
      <x:c r="F157" s="13" t="n">
        <x:v>528.1502601523681</x:v>
      </x:c>
      <x:c r="G157" s="13" t="n">
        <x:f>IF(AND(ISNUMBER(E157),ISNUMBER(F157),E157&gt;0),E157-F157,"")</x:f>
        <x:v>14.2805578216894</x:v>
      </x:c>
      <x:c r="H157" s="14" t="n">
        <x:f>IF(ISNUMBER(G157),G157/E157,"")</x:f>
        <x:v>0.026326966220367638</x:v>
      </x:c>
      <x:c r="I157" s="13" t="n">
        <x:v>687.3992349490571</x:v>
      </x:c>
      <x:c r="J157" s="13" t="n">
        <x:v>667.827517735555</x:v>
      </x:c>
      <x:c r="K157" s="13" t="n">
        <x:f>IF(AND(ISNUMBER(I157),ISNUMBER(J157),I157&gt;0),I157-J157,"")</x:f>
        <x:v>19.571717213502097</x:v>
      </x:c>
      <x:c r="L157" s="14" t="n">
        <x:f>IF(ISNUMBER(K157),K157/I157,"")</x:f>
        <x:v>0.028472125394426062</x:v>
      </x:c>
      <x:c r="M157" s="15" t="n">
        <x:f>IF(AND(ISNUMBER(E157),ISNUMBER(F157),ISNUMBER(I157),ISNUMBER(J157)),1,0)</x:f>
        <x:v>1</x:v>
      </x:c>
      <x:c r="N157" s="15" t="n">
        <x:v>0</x:v>
      </x:c>
      <x:c r="O157" s="2" t="str">
        <x:v>3/3种子均可行</x:v>
      </x:c>
      <x:c r="P157" s="2" t="str">
        <x:v>3/3种子均可行</x:v>
      </x:c>
      <x:c r="Q157" s="2" t="str">
        <x:v>3/3种子均可行</x:v>
      </x:c>
      <x:c r="R157" s="2" t="str">
        <x:v>3/3种子均可行</x:v>
      </x:c>
    </x:row>
    <x:row r="158" ht="24" customHeight="1">
      <x:c r="A158" s="2" t="n">
        <x:v>50</x:v>
      </x:c>
      <x:c r="B158" s="2" t="str">
        <x:v>大型</x:v>
      </x:c>
      <x:c r="C158" s="2" t="str">
        <x:v>zhou_Set2_100-10-1_subset50_b1</x:v>
      </x:c>
      <x:c r="D158" s="2" t="str">
        <x:v>精确时限可行解</x:v>
      </x:c>
      <x:c r="E158" s="13" t="n">
        <x:v>809.8321010590607</x:v>
      </x:c>
      <x:c r="F158" s="13" t="n">
        <x:v>1077.8922656904065</x:v>
      </x:c>
      <x:c r="G158" s="13" t="n">
        <x:f>IF(AND(ISNUMBER(E158),ISNUMBER(F158),E158&gt;0),E158-F158,"")</x:f>
        <x:v>-268.06016463134574</x:v>
      </x:c>
      <x:c r="H158" s="14" t="n">
        <x:f>IF(ISNUMBER(G158),G158/E158,"")</x:f>
        <x:v>-0.33100708687737757</x:v>
      </x:c>
      <x:c r="I158" s="13"/>
      <x:c r="J158" s="13"/>
      <x:c r="K158" s="13" t="str">
        <x:f>IF(AND(ISNUMBER(I158),ISNUMBER(J158),I158&gt;0),I158-J158,"")</x:f>
      </x:c>
      <x:c r="L158" s="14" t="str">
        <x:f>IF(ISNUMBER(K158),K158/I158,"")</x:f>
      </x:c>
      <x:c r="M158" s="15" t="n">
        <x:f>IF(AND(ISNUMBER(E158),ISNUMBER(F158),ISNUMBER(I158),ISNUMBER(J158)),1,0)</x:f>
        <x:v>0</x:v>
      </x:c>
      <x:c r="N158" s="15" t="n">
        <x:v>0</x:v>
      </x:c>
      <x:c r="O158" s="2" t="str">
        <x:v>可行未证最优</x:v>
      </x:c>
      <x:c r="P158" s="2" t="str">
        <x:v>可行未证最优</x:v>
      </x:c>
      <x:c r="Q158" s="2" t="str">
        <x:v>TIME_LIMIT，无审计可行解</x:v>
      </x:c>
      <x:c r="R158" s="2" t="str">
        <x:v>TIME_LIMIT，无审计可行解</x:v>
      </x:c>
    </x:row>
    <x:row r="159" ht="24" customHeight="1">
      <x:c r="A159" s="2" t="n">
        <x:v>50</x:v>
      </x:c>
      <x:c r="B159" s="2" t="str">
        <x:v>大型</x:v>
      </x:c>
      <x:c r="C159" s="2" t="str">
        <x:v>zhou_Set2_100-10-1_subset50_b1</x:v>
      </x:c>
      <x:c r="D159" s="2" t="str">
        <x:v>ALNS三种子最好</x:v>
      </x:c>
      <x:c r="E159" s="13" t="n">
        <x:v>814.6434047539744</x:v>
      </x:c>
      <x:c r="F159" s="13" t="n">
        <x:v>810.6442634776265</x:v>
      </x:c>
      <x:c r="G159" s="13" t="n">
        <x:f>IF(AND(ISNUMBER(E159),ISNUMBER(F159),E159&gt;0),E159-F159,"")</x:f>
        <x:v>3.9991412763479275</x:v>
      </x:c>
      <x:c r="H159" s="14" t="n">
        <x:f>IF(ISNUMBER(G159),G159/E159,"")</x:f>
        <x:v>0.004909069726717648</x:v>
      </x:c>
      <x:c r="I159" s="13" t="n">
        <x:v>878.5835095401965</x:v>
      </x:c>
      <x:c r="J159" s="13" t="n">
        <x:v>879.4791501255996</x:v>
      </x:c>
      <x:c r="K159" s="13" t="n">
        <x:f>IF(AND(ISNUMBER(I159),ISNUMBER(J159),I159&gt;0),I159-J159,"")</x:f>
        <x:v>-0.8956405854031573</x:v>
      </x:c>
      <x:c r="L159" s="14" t="n">
        <x:f>IF(ISNUMBER(K159),K159/I159,"")</x:f>
        <x:v>-0.0010194142909327852</x:v>
      </x:c>
      <x:c r="M159" s="15" t="n">
        <x:f>IF(AND(ISNUMBER(E159),ISNUMBER(F159),ISNUMBER(I159),ISNUMBER(J159)),1,0)</x:f>
        <x:v>1</x:v>
      </x:c>
      <x:c r="N159" s="15" t="n">
        <x:v>0</x:v>
      </x:c>
      <x:c r="O159" s="2" t="str">
        <x:v>3/3种子均可行</x:v>
      </x:c>
      <x:c r="P159" s="2" t="str">
        <x:v>3/3种子均可行</x:v>
      </x:c>
      <x:c r="Q159" s="2" t="str">
        <x:v>3/3种子均可行</x:v>
      </x:c>
      <x:c r="R159" s="2" t="str">
        <x:v>3/3种子均可行</x:v>
      </x:c>
    </x:row>
    <x:row r="160" ht="24" customHeight="1">
      <x:c r="A160" s="2" t="n">
        <x:v>50</x:v>
      </x:c>
      <x:c r="B160" s="2" t="str">
        <x:v>大型</x:v>
      </x:c>
      <x:c r="C160" s="2" t="str">
        <x:v>zhou_Set2_100-10-1_subset50_b1</x:v>
      </x:c>
      <x:c r="D160" s="2" t="str">
        <x:v>ALNS三种子均值</x:v>
      </x:c>
      <x:c r="E160" s="13" t="n">
        <x:v>820.7800264144981</x:v>
      </x:c>
      <x:c r="F160" s="13" t="n">
        <x:v>817.2274557623721</x:v>
      </x:c>
      <x:c r="G160" s="13" t="n">
        <x:f>IF(AND(ISNUMBER(E160),ISNUMBER(F160),E160&gt;0),E160-F160,"")</x:f>
        <x:v>3.5525706521260645</x:v>
      </x:c>
      <x:c r="H160" s="14" t="n">
        <x:f>IF(ISNUMBER(G160),G160/E160,"")</x:f>
        <x:v>0.004328285944828777</x:v>
      </x:c>
      <x:c r="I160" s="13" t="n">
        <x:v>906.6280715540818</x:v>
      </x:c>
      <x:c r="J160" s="13" t="n">
        <x:v>895.4097395410688</x:v>
      </x:c>
      <x:c r="K160" s="13" t="n">
        <x:f>IF(AND(ISNUMBER(I160),ISNUMBER(J160),I160&gt;0),I160-J160,"")</x:f>
        <x:v>11.218332013012969</x:v>
      </x:c>
      <x:c r="L160" s="14" t="n">
        <x:f>IF(ISNUMBER(K160),K160/I160,"")</x:f>
        <x:v>0.012373687033298282</x:v>
      </x:c>
      <x:c r="M160" s="15" t="n">
        <x:f>IF(AND(ISNUMBER(E160),ISNUMBER(F160),ISNUMBER(I160),ISNUMBER(J160)),1,0)</x:f>
        <x:v>1</x:v>
      </x:c>
      <x:c r="N160" s="15" t="n">
        <x:v>0</x:v>
      </x:c>
      <x:c r="O160" s="2" t="str">
        <x:v>3/3种子均可行</x:v>
      </x:c>
      <x:c r="P160" s="2" t="str">
        <x:v>3/3种子均可行</x:v>
      </x:c>
      <x:c r="Q160" s="2" t="str">
        <x:v>3/3种子均可行</x:v>
      </x:c>
      <x:c r="R160" s="2" t="str">
        <x:v>3/3种子均可行</x:v>
      </x:c>
    </x:row>
    <x:row r="161" ht="24" customHeight="1">
      <x:c r="A161" s="2" t="n">
        <x:v>50</x:v>
      </x:c>
      <x:c r="B161" s="2" t="str">
        <x:v>大型</x:v>
      </x:c>
      <x:c r="C161" s="2" t="str">
        <x:v>zhou_Set2_100-10-1_subset50_scenario02_b1</x:v>
      </x:c>
      <x:c r="D161" s="2" t="str">
        <x:v>精确时限可行解</x:v>
      </x:c>
      <x:c r="E161" s="13" t="n">
        <x:v>810.1557085474083</x:v>
      </x:c>
      <x:c r="F161" s="13" t="n">
        <x:v>1191.9344755244178</x:v>
      </x:c>
      <x:c r="G161" s="13" t="n">
        <x:f>IF(AND(ISNUMBER(E161),ISNUMBER(F161),E161&gt;0),E161-F161,"")</x:f>
        <x:v>-381.7787669770096</x:v>
      </x:c>
      <x:c r="H161" s="14" t="n">
        <x:f>IF(ISNUMBER(G161),G161/E161,"")</x:f>
        <x:v>-0.4712412230749206</x:v>
      </x:c>
      <x:c r="I161" s="13"/>
      <x:c r="J161" s="13"/>
      <x:c r="K161" s="13" t="str">
        <x:f>IF(AND(ISNUMBER(I161),ISNUMBER(J161),I161&gt;0),I161-J161,"")</x:f>
      </x:c>
      <x:c r="L161" s="14" t="str">
        <x:f>IF(ISNUMBER(K161),K161/I161,"")</x:f>
      </x:c>
      <x:c r="M161" s="15" t="n">
        <x:f>IF(AND(ISNUMBER(E161),ISNUMBER(F161),ISNUMBER(I161),ISNUMBER(J161)),1,0)</x:f>
        <x:v>0</x:v>
      </x:c>
      <x:c r="N161" s="15" t="n">
        <x:v>0</x:v>
      </x:c>
      <x:c r="O161" s="2" t="str">
        <x:v>可行未证最优</x:v>
      </x:c>
      <x:c r="P161" s="2" t="str">
        <x:v>可行未证最优</x:v>
      </x:c>
      <x:c r="Q161" s="2" t="str">
        <x:v>TIME_LIMIT，无审计可行解</x:v>
      </x:c>
      <x:c r="R161" s="2" t="str">
        <x:v>TIME_LIMIT，无审计可行解</x:v>
      </x:c>
    </x:row>
    <x:row r="162" ht="24" customHeight="1">
      <x:c r="A162" s="2" t="n">
        <x:v>50</x:v>
      </x:c>
      <x:c r="B162" s="2" t="str">
        <x:v>大型</x:v>
      </x:c>
      <x:c r="C162" s="2" t="str">
        <x:v>zhou_Set2_100-10-1_subset50_scenario02_b1</x:v>
      </x:c>
      <x:c r="D162" s="2" t="str">
        <x:v>ALNS三种子最好</x:v>
      </x:c>
      <x:c r="E162" s="13" t="n">
        <x:v>812.870828149791</x:v>
      </x:c>
      <x:c r="F162" s="13" t="n">
        <x:v>816.4529121488034</x:v>
      </x:c>
      <x:c r="G162" s="13" t="n">
        <x:f>IF(AND(ISNUMBER(E162),ISNUMBER(F162),E162&gt;0),E162-F162,"")</x:f>
        <x:v>-3.5820839990124114</x:v>
      </x:c>
      <x:c r="H162" s="14" t="n">
        <x:f>IF(ISNUMBER(G162),G162/E162,"")</x:f>
        <x:v>-0.004406707529615426</x:v>
      </x:c>
      <x:c r="I162" s="13" t="n">
        <x:v>887.1209725225831</x:v>
      </x:c>
      <x:c r="J162" s="13" t="n">
        <x:v>899.3999672427351</x:v>
      </x:c>
      <x:c r="K162" s="13" t="n">
        <x:f>IF(AND(ISNUMBER(I162),ISNUMBER(J162),I162&gt;0),I162-J162,"")</x:f>
        <x:v>-12.278994720152014</x:v>
      </x:c>
      <x:c r="L162" s="14" t="n">
        <x:f>IF(ISNUMBER(K162),K162/I162,"")</x:f>
        <x:v>-0.013841398299079703</x:v>
      </x:c>
      <x:c r="M162" s="15" t="n">
        <x:f>IF(AND(ISNUMBER(E162),ISNUMBER(F162),ISNUMBER(I162),ISNUMBER(J162)),1,0)</x:f>
        <x:v>1</x:v>
      </x:c>
      <x:c r="N162" s="15" t="n">
        <x:v>0</x:v>
      </x:c>
      <x:c r="O162" s="2" t="str">
        <x:v>3/3种子均可行</x:v>
      </x:c>
      <x:c r="P162" s="2" t="str">
        <x:v>3/3种子均可行</x:v>
      </x:c>
      <x:c r="Q162" s="2" t="str">
        <x:v>3/3种子均可行</x:v>
      </x:c>
      <x:c r="R162" s="2" t="str">
        <x:v>3/3种子均可行</x:v>
      </x:c>
    </x:row>
    <x:row r="163" ht="24" customHeight="1">
      <x:c r="A163" s="2" t="n">
        <x:v>50</x:v>
      </x:c>
      <x:c r="B163" s="2" t="str">
        <x:v>大型</x:v>
      </x:c>
      <x:c r="C163" s="2" t="str">
        <x:v>zhou_Set2_100-10-1_subset50_scenario02_b1</x:v>
      </x:c>
      <x:c r="D163" s="2" t="str">
        <x:v>ALNS三种子均值</x:v>
      </x:c>
      <x:c r="E163" s="13" t="n">
        <x:v>817.8306157888203</x:v>
      </x:c>
      <x:c r="F163" s="13" t="n">
        <x:v>818.4434427477547</x:v>
      </x:c>
      <x:c r="G163" s="13" t="n">
        <x:f>IF(AND(ISNUMBER(E163),ISNUMBER(F163),E163&gt;0),E163-F163,"")</x:f>
        <x:v>-0.61282695893442</x:v>
      </x:c>
      <x:c r="H163" s="14" t="n">
        <x:f>IF(ISNUMBER(G163),G163/E163,"")</x:f>
        <x:v>-0.0007493323765378132</x:v>
      </x:c>
      <x:c r="I163" s="13" t="n">
        <x:v>898.2760787939984</x:v>
      </x:c>
      <x:c r="J163" s="13" t="n">
        <x:v>909.9655058224985</x:v>
      </x:c>
      <x:c r="K163" s="13" t="n">
        <x:f>IF(AND(ISNUMBER(I163),ISNUMBER(J163),I163&gt;0),I163-J163,"")</x:f>
        <x:v>-11.689427028500063</x:v>
      </x:c>
      <x:c r="L163" s="14" t="n">
        <x:f>IF(ISNUMBER(K163),K163/I163,"")</x:f>
        <x:v>-0.013013178581126168</x:v>
      </x:c>
      <x:c r="M163" s="15" t="n">
        <x:f>IF(AND(ISNUMBER(E163),ISNUMBER(F163),ISNUMBER(I163),ISNUMBER(J163)),1,0)</x:f>
        <x:v>1</x:v>
      </x:c>
      <x:c r="N163" s="15" t="n">
        <x:v>0</x:v>
      </x:c>
      <x:c r="O163" s="2" t="str">
        <x:v>3/3种子均可行</x:v>
      </x:c>
      <x:c r="P163" s="2" t="str">
        <x:v>3/3种子均可行</x:v>
      </x:c>
      <x:c r="Q163" s="2" t="str">
        <x:v>3/3种子均可行</x:v>
      </x:c>
      <x:c r="R163" s="2" t="str">
        <x:v>3/3种子均可行</x:v>
      </x:c>
    </x:row>
    <x:row r="164" ht="24" customHeight="1">
      <x:c r="A164" s="2" t="n">
        <x:v>50</x:v>
      </x:c>
      <x:c r="B164" s="2" t="str">
        <x:v>大型</x:v>
      </x:c>
      <x:c r="C164" s="2" t="str">
        <x:v>zhou_Set2_100-10-2_subset50_b1</x:v>
      </x:c>
      <x:c r="D164" s="2" t="str">
        <x:v>精确时限可行解</x:v>
      </x:c>
      <x:c r="E164" s="13" t="n">
        <x:v>785.9770363137075</x:v>
      </x:c>
      <x:c r="F164" s="13" t="n">
        <x:v>1156.250182467987</x:v>
      </x:c>
      <x:c r="G164" s="13" t="n">
        <x:f>IF(AND(ISNUMBER(E164),ISNUMBER(F164),E164&gt;0),E164-F164,"")</x:f>
        <x:v>-370.27314615427963</x:v>
      </x:c>
      <x:c r="H164" s="14" t="n">
        <x:f>IF(ISNUMBER(G164),G164/E164,"")</x:f>
        <x:v>-0.471099191257405</x:v>
      </x:c>
      <x:c r="I164" s="13" t="n">
        <x:v>1225.17581742743</x:v>
      </x:c>
      <x:c r="J164" s="13" t="n">
        <x:v>1304.3144894352442</x:v>
      </x:c>
      <x:c r="K164" s="13" t="n">
        <x:f>IF(AND(ISNUMBER(I164),ISNUMBER(J164),I164&gt;0),I164-J164,"")</x:f>
        <x:v>-79.1386720078142</x:v>
      </x:c>
      <x:c r="L164" s="14" t="n">
        <x:f>IF(ISNUMBER(K164),K164/I164,"")</x:f>
        <x:v>-0.06459372677954588</x:v>
      </x:c>
      <x:c r="M164" s="15" t="n">
        <x:f>IF(AND(ISNUMBER(E164),ISNUMBER(F164),ISNUMBER(I164),ISNUMBER(J164)),1,0)</x:f>
        <x:v>1</x:v>
      </x:c>
      <x:c r="N164" s="15" t="n">
        <x:v>0</x:v>
      </x:c>
      <x:c r="O164" s="2" t="str">
        <x:v>可行未证最优</x:v>
      </x:c>
      <x:c r="P164" s="2" t="str">
        <x:v>可行未证最优</x:v>
      </x:c>
      <x:c r="Q164" s="2" t="str">
        <x:v>可行未证最优</x:v>
      </x:c>
      <x:c r="R164" s="2" t="str">
        <x:v>可行未证最优</x:v>
      </x:c>
    </x:row>
    <x:row r="165" ht="24" customHeight="1">
      <x:c r="A165" s="2" t="n">
        <x:v>50</x:v>
      </x:c>
      <x:c r="B165" s="2" t="str">
        <x:v>大型</x:v>
      </x:c>
      <x:c r="C165" s="2" t="str">
        <x:v>zhou_Set2_100-10-2_subset50_b1</x:v>
      </x:c>
      <x:c r="D165" s="2" t="str">
        <x:v>ALNS三种子最好</x:v>
      </x:c>
      <x:c r="E165" s="13" t="n">
        <x:v>764.2061310743937</x:v>
      </x:c>
      <x:c r="F165" s="13" t="n">
        <x:v>717.9493805712941</x:v>
      </x:c>
      <x:c r="G165" s="13" t="n">
        <x:f>IF(AND(ISNUMBER(E165),ISNUMBER(F165),E165&gt;0),E165-F165,"")</x:f>
        <x:v>46.256750503099624</x:v>
      </x:c>
      <x:c r="H165" s="14" t="n">
        <x:f>IF(ISNUMBER(G165),G165/E165,"")</x:f>
        <x:v>0.06052915387902932</x:v>
      </x:c>
      <x:c r="I165" s="13" t="n">
        <x:v>911.6198589174976</x:v>
      </x:c>
      <x:c r="J165" s="13" t="n">
        <x:v>882.7699218309734</x:v>
      </x:c>
      <x:c r="K165" s="13" t="n">
        <x:f>IF(AND(ISNUMBER(I165),ISNUMBER(J165),I165&gt;0),I165-J165,"")</x:f>
        <x:v>28.849937086524164</x:v>
      </x:c>
      <x:c r="L165" s="14" t="n">
        <x:f>IF(ISNUMBER(K165),K165/I165,"")</x:f>
        <x:v>0.03164689404724246</x:v>
      </x:c>
      <x:c r="M165" s="15" t="n">
        <x:f>IF(AND(ISNUMBER(E165),ISNUMBER(F165),ISNUMBER(I165),ISNUMBER(J165)),1,0)</x:f>
        <x:v>1</x:v>
      </x:c>
      <x:c r="N165" s="15" t="n">
        <x:v>0</x:v>
      </x:c>
      <x:c r="O165" s="2" t="str">
        <x:v>3/3种子均可行</x:v>
      </x:c>
      <x:c r="P165" s="2" t="str">
        <x:v>3/3种子均可行</x:v>
      </x:c>
      <x:c r="Q165" s="2" t="str">
        <x:v>3/3种子均可行</x:v>
      </x:c>
      <x:c r="R165" s="2" t="str">
        <x:v>3/3种子均可行</x:v>
      </x:c>
    </x:row>
    <x:row r="166" ht="24" customHeight="1">
      <x:c r="A166" s="2" t="n">
        <x:v>50</x:v>
      </x:c>
      <x:c r="B166" s="2" t="str">
        <x:v>大型</x:v>
      </x:c>
      <x:c r="C166" s="2" t="str">
        <x:v>zhou_Set2_100-10-2_subset50_b1</x:v>
      </x:c>
      <x:c r="D166" s="2" t="str">
        <x:v>ALNS三种子均值</x:v>
      </x:c>
      <x:c r="E166" s="13" t="n">
        <x:v>767.598899325981</x:v>
      </x:c>
      <x:c r="F166" s="13" t="n">
        <x:v>723.2909417338274</x:v>
      </x:c>
      <x:c r="G166" s="13" t="n">
        <x:f>IF(AND(ISNUMBER(E166),ISNUMBER(F166),E166&gt;0),E166-F166,"")</x:f>
        <x:v>44.307957592153684</x:v>
      </x:c>
      <x:c r="H166" s="14" t="n">
        <x:f>IF(ISNUMBER(G166),G166/E166,"")</x:f>
        <x:v>0.057722799799556704</x:v>
      </x:c>
      <x:c r="I166" s="13" t="n">
        <x:v>919.018990556964</x:v>
      </x:c>
      <x:c r="J166" s="13" t="n">
        <x:v>940.203053838944</x:v>
      </x:c>
      <x:c r="K166" s="13" t="n">
        <x:f>IF(AND(ISNUMBER(I166),ISNUMBER(J166),I166&gt;0),I166-J166,"")</x:f>
        <x:v>-21.184063281980002</x:v>
      </x:c>
      <x:c r="L166" s="14" t="n">
        <x:f>IF(ISNUMBER(K166),K166/I166,"")</x:f>
        <x:v>-0.023050735076912365</x:v>
      </x:c>
      <x:c r="M166" s="15" t="n">
        <x:f>IF(AND(ISNUMBER(E166),ISNUMBER(F166),ISNUMBER(I166),ISNUMBER(J166)),1,0)</x:f>
        <x:v>1</x:v>
      </x:c>
      <x:c r="N166" s="15" t="n">
        <x:v>0</x:v>
      </x:c>
      <x:c r="O166" s="2" t="str">
        <x:v>3/3种子均可行</x:v>
      </x:c>
      <x:c r="P166" s="2" t="str">
        <x:v>3/3种子均可行</x:v>
      </x:c>
      <x:c r="Q166" s="2" t="str">
        <x:v>3/3种子均可行</x:v>
      </x:c>
      <x:c r="R166" s="2" t="str">
        <x:v>3/3种子均可行</x:v>
      </x:c>
    </x:row>
    <x:row r="167" ht="24" customHeight="1">
      <x:c r="A167" s="2" t="n">
        <x:v>50</x:v>
      </x:c>
      <x:c r="B167" s="2" t="str">
        <x:v>大型</x:v>
      </x:c>
      <x:c r="C167" s="2" t="str">
        <x:v>zhou_Set2_100-10-2_subset50_scenario02_b1</x:v>
      </x:c>
      <x:c r="D167" s="2" t="str">
        <x:v>精确时限可行解</x:v>
      </x:c>
      <x:c r="E167" s="13" t="n">
        <x:v>785.9770363137075</x:v>
      </x:c>
      <x:c r="F167" s="13" t="n">
        <x:v>963.597960581269</x:v>
      </x:c>
      <x:c r="G167" s="13" t="n">
        <x:f>IF(AND(ISNUMBER(E167),ISNUMBER(F167),E167&gt;0),E167-F167,"")</x:f>
        <x:v>-177.62092426756158</x:v>
      </x:c>
      <x:c r="H167" s="14" t="n">
        <x:f>IF(ISNUMBER(G167),G167/E167,"")</x:f>
        <x:v>-0.22598742210156333</x:v>
      </x:c>
      <x:c r="I167" s="13"/>
      <x:c r="J167" s="13" t="n">
        <x:v>1313.7274281775447</x:v>
      </x:c>
      <x:c r="K167" s="13" t="str">
        <x:f>IF(AND(ISNUMBER(I167),ISNUMBER(J167),I167&gt;0),I167-J167,"")</x:f>
      </x:c>
      <x:c r="L167" s="14" t="str">
        <x:f>IF(ISNUMBER(K167),K167/I167,"")</x:f>
      </x:c>
      <x:c r="M167" s="15" t="n">
        <x:f>IF(AND(ISNUMBER(E167),ISNUMBER(F167),ISNUMBER(I167),ISNUMBER(J167)),1,0)</x:f>
        <x:v>0</x:v>
      </x:c>
      <x:c r="N167" s="15" t="n">
        <x:v>0</x:v>
      </x:c>
      <x:c r="O167" s="2" t="str">
        <x:v>可行未证最优</x:v>
      </x:c>
      <x:c r="P167" s="2" t="str">
        <x:v>可行未证最优</x:v>
      </x:c>
      <x:c r="Q167" s="2" t="str">
        <x:v>TIME_LIMIT，无审计可行解</x:v>
      </x:c>
      <x:c r="R167" s="2" t="str">
        <x:v>可行未证最优</x:v>
      </x:c>
    </x:row>
    <x:row r="168" ht="24" customHeight="1">
      <x:c r="A168" s="2" t="n">
        <x:v>50</x:v>
      </x:c>
      <x:c r="B168" s="2" t="str">
        <x:v>大型</x:v>
      </x:c>
      <x:c r="C168" s="2" t="str">
        <x:v>zhou_Set2_100-10-2_subset50_scenario02_b1</x:v>
      </x:c>
      <x:c r="D168" s="2" t="str">
        <x:v>ALNS三种子最好</x:v>
      </x:c>
      <x:c r="E168" s="13" t="n">
        <x:v>764.2061310743937</x:v>
      </x:c>
      <x:c r="F168" s="13" t="n">
        <x:v>711.8457750297572</x:v>
      </x:c>
      <x:c r="G168" s="13" t="n">
        <x:f>IF(AND(ISNUMBER(E168),ISNUMBER(F168),E168&gt;0),E168-F168,"")</x:f>
        <x:v>52.360356044636546</x:v>
      </x:c>
      <x:c r="H168" s="14" t="n">
        <x:f>IF(ISNUMBER(G168),G168/E168,"")</x:f>
        <x:v>0.06851601147327015</x:v>
      </x:c>
      <x:c r="I168" s="13" t="n">
        <x:v>916.796192563689</x:v>
      </x:c>
      <x:c r="J168" s="13" t="n">
        <x:v>866.5844283279497</x:v>
      </x:c>
      <x:c r="K168" s="13" t="n">
        <x:f>IF(AND(ISNUMBER(I168),ISNUMBER(J168),I168&gt;0),I168-J168,"")</x:f>
        <x:v>50.21176423573934</x:v>
      </x:c>
      <x:c r="L168" s="14" t="n">
        <x:f>IF(ISNUMBER(K168),K168/I168,"")</x:f>
        <x:v>0.05476873120003841</x:v>
      </x:c>
      <x:c r="M168" s="15" t="n">
        <x:f>IF(AND(ISNUMBER(E168),ISNUMBER(F168),ISNUMBER(I168),ISNUMBER(J168)),1,0)</x:f>
        <x:v>1</x:v>
      </x:c>
      <x:c r="N168" s="15" t="n">
        <x:v>0</x:v>
      </x:c>
      <x:c r="O168" s="2" t="str">
        <x:v>3/3种子均可行</x:v>
      </x:c>
      <x:c r="P168" s="2" t="str">
        <x:v>3/3种子均可行</x:v>
      </x:c>
      <x:c r="Q168" s="2" t="str">
        <x:v>3/3种子均可行</x:v>
      </x:c>
      <x:c r="R168" s="2" t="str">
        <x:v>3/3种子均可行</x:v>
      </x:c>
    </x:row>
    <x:row r="169" ht="24" customHeight="1">
      <x:c r="A169" s="2" t="n">
        <x:v>50</x:v>
      </x:c>
      <x:c r="B169" s="2" t="str">
        <x:v>大型</x:v>
      </x:c>
      <x:c r="C169" s="2" t="str">
        <x:v>zhou_Set2_100-10-2_subset50_scenario02_b1</x:v>
      </x:c>
      <x:c r="D169" s="2" t="str">
        <x:v>ALNS三种子均值</x:v>
      </x:c>
      <x:c r="E169" s="13" t="n">
        <x:v>766.9783506128853</x:v>
      </x:c>
      <x:c r="F169" s="13" t="n">
        <x:v>714.6754783047363</x:v>
      </x:c>
      <x:c r="G169" s="13" t="n">
        <x:f>IF(AND(ISNUMBER(E169),ISNUMBER(F169),E169&gt;0),E169-F169,"")</x:f>
        <x:v>52.30287230814895</x:v>
      </x:c>
      <x:c r="H169" s="14" t="n">
        <x:f>IF(ISNUMBER(G169),G169/E169,"")</x:f>
        <x:v>0.06819341415093948</x:v>
      </x:c>
      <x:c r="I169" s="13" t="n">
        <x:v>928.9273073581287</x:v>
      </x:c>
      <x:c r="J169" s="13" t="n">
        <x:v>874.1917141091068</x:v>
      </x:c>
      <x:c r="K169" s="13" t="n">
        <x:f>IF(AND(ISNUMBER(I169),ISNUMBER(J169),I169&gt;0),I169-J169,"")</x:f>
        <x:v>54.73559324902192</x:v>
      </x:c>
      <x:c r="L169" s="14" t="n">
        <x:f>IF(ISNUMBER(K169),K169/I169,"")</x:f>
        <x:v>0.05892344084995204</x:v>
      </x:c>
      <x:c r="M169" s="15" t="n">
        <x:f>IF(AND(ISNUMBER(E169),ISNUMBER(F169),ISNUMBER(I169),ISNUMBER(J169)),1,0)</x:f>
        <x:v>1</x:v>
      </x:c>
      <x:c r="N169" s="15" t="n">
        <x:v>0</x:v>
      </x:c>
      <x:c r="O169" s="2" t="str">
        <x:v>3/3种子均可行</x:v>
      </x:c>
      <x:c r="P169" s="2" t="str">
        <x:v>3/3种子均可行</x:v>
      </x:c>
      <x:c r="Q169" s="2" t="str">
        <x:v>3/3种子均可行</x:v>
      </x:c>
      <x:c r="R169" s="2" t="str">
        <x:v>3/3种子均可行</x:v>
      </x:c>
    </x:row>
    <x:row r="170" ht="24" customHeight="1">
      <x:c r="A170" s="2" t="n">
        <x:v>50</x:v>
      </x:c>
      <x:c r="B170" s="2" t="str">
        <x:v>大型</x:v>
      </x:c>
      <x:c r="C170" s="2" t="str">
        <x:v>zhou_Set2_100-5-1b_subset50_b1</x:v>
      </x:c>
      <x:c r="D170" s="2" t="str">
        <x:v>精确时限可行解</x:v>
      </x:c>
      <x:c r="E170" s="13" t="n">
        <x:v>1155.8702693784776</x:v>
      </x:c>
      <x:c r="F170" s="13" t="n">
        <x:v>1478.473310834559</x:v>
      </x:c>
      <x:c r="G170" s="13" t="n">
        <x:f>IF(AND(ISNUMBER(E170),ISNUMBER(F170),E170&gt;0),E170-F170,"")</x:f>
        <x:v>-322.6030414560814</x:v>
      </x:c>
      <x:c r="H170" s="14" t="n">
        <x:f>IF(ISNUMBER(G170),G170/E170,"")</x:f>
        <x:v>-0.27909969656849826</x:v>
      </x:c>
      <x:c r="I170" s="13" t="n">
        <x:v>1504.0799219816709</x:v>
      </x:c>
      <x:c r="J170" s="13" t="n">
        <x:v>1776.6445579059186</x:v>
      </x:c>
      <x:c r="K170" s="13" t="n">
        <x:f>IF(AND(ISNUMBER(I170),ISNUMBER(J170),I170&gt;0),I170-J170,"")</x:f>
        <x:v>-272.5646359242478</x:v>
      </x:c>
      <x:c r="L170" s="14" t="n">
        <x:f>IF(ISNUMBER(K170),K170/I170,"")</x:f>
        <x:v>-0.18121685685766992</x:v>
      </x:c>
      <x:c r="M170" s="15" t="n">
        <x:f>IF(AND(ISNUMBER(E170),ISNUMBER(F170),ISNUMBER(I170),ISNUMBER(J170)),1,0)</x:f>
        <x:v>1</x:v>
      </x:c>
      <x:c r="N170" s="15" t="n">
        <x:v>0</x:v>
      </x:c>
      <x:c r="O170" s="2" t="str">
        <x:v>可行未证最优</x:v>
      </x:c>
      <x:c r="P170" s="2" t="str">
        <x:v>可行未证最优</x:v>
      </x:c>
      <x:c r="Q170" s="2" t="str">
        <x:v>可行未证最优</x:v>
      </x:c>
      <x:c r="R170" s="2" t="str">
        <x:v>可行未证最优</x:v>
      </x:c>
    </x:row>
    <x:row r="171" ht="24" customHeight="1">
      <x:c r="A171" s="2" t="n">
        <x:v>50</x:v>
      </x:c>
      <x:c r="B171" s="2" t="str">
        <x:v>大型</x:v>
      </x:c>
      <x:c r="C171" s="2" t="str">
        <x:v>zhou_Set2_100-5-1b_subset50_b1</x:v>
      </x:c>
      <x:c r="D171" s="2" t="str">
        <x:v>ALNS三种子最好</x:v>
      </x:c>
      <x:c r="E171" s="13" t="n">
        <x:v>1091.4283149779537</x:v>
      </x:c>
      <x:c r="F171" s="13" t="n">
        <x:v>1011.4917110181493</x:v>
      </x:c>
      <x:c r="G171" s="13" t="n">
        <x:f>IF(AND(ISNUMBER(E171),ISNUMBER(F171),E171&gt;0),E171-F171,"")</x:f>
        <x:v>79.93660395980442</x:v>
      </x:c>
      <x:c r="H171" s="14" t="n">
        <x:f>IF(ISNUMBER(G171),G171/E171,"")</x:f>
        <x:v>0.07324036115135889</x:v>
      </x:c>
      <x:c r="I171" s="13" t="n">
        <x:v>1337.7188055080915</x:v>
      </x:c>
      <x:c r="J171" s="13" t="n">
        <x:v>1242.3118327233658</x:v>
      </x:c>
      <x:c r="K171" s="13" t="n">
        <x:f>IF(AND(ISNUMBER(I171),ISNUMBER(J171),I171&gt;0),I171-J171,"")</x:f>
        <x:v>95.40697278472567</x:v>
      </x:c>
      <x:c r="L171" s="14" t="n">
        <x:f>IF(ISNUMBER(K171),K171/I171,"")</x:f>
        <x:v>0.07132064854877199</x:v>
      </x:c>
      <x:c r="M171" s="15" t="n">
        <x:f>IF(AND(ISNUMBER(E171),ISNUMBER(F171),ISNUMBER(I171),ISNUMBER(J171)),1,0)</x:f>
        <x:v>1</x:v>
      </x:c>
      <x:c r="N171" s="15" t="n">
        <x:v>0</x:v>
      </x:c>
      <x:c r="O171" s="2" t="str">
        <x:v>3/3种子均可行</x:v>
      </x:c>
      <x:c r="P171" s="2" t="str">
        <x:v>3/3种子均可行</x:v>
      </x:c>
      <x:c r="Q171" s="2" t="str">
        <x:v>3/3种子均可行</x:v>
      </x:c>
      <x:c r="R171" s="2" t="str">
        <x:v>3/3种子均可行</x:v>
      </x:c>
    </x:row>
    <x:row r="172" ht="24" customHeight="1">
      <x:c r="A172" s="2" t="n">
        <x:v>50</x:v>
      </x:c>
      <x:c r="B172" s="2" t="str">
        <x:v>大型</x:v>
      </x:c>
      <x:c r="C172" s="2" t="str">
        <x:v>zhou_Set2_100-5-1b_subset50_b1</x:v>
      </x:c>
      <x:c r="D172" s="2" t="str">
        <x:v>ALNS三种子均值</x:v>
      </x:c>
      <x:c r="E172" s="13" t="n">
        <x:v>1114.9509806852545</x:v>
      </x:c>
      <x:c r="F172" s="13" t="n">
        <x:v>1046.9647261787873</x:v>
      </x:c>
      <x:c r="G172" s="13" t="n">
        <x:f>IF(AND(ISNUMBER(E172),ISNUMBER(F172),E172&gt;0),E172-F172,"")</x:f>
        <x:v>67.98625450646728</x:v>
      </x:c>
      <x:c r="H172" s="14" t="n">
        <x:f>IF(ISNUMBER(G172),G172/E172,"")</x:f>
        <x:v>0.06097690004692635</x:v>
      </x:c>
      <x:c r="I172" s="13" t="n">
        <x:v>1351.8696455486267</x:v>
      </x:c>
      <x:c r="J172" s="13" t="n">
        <x:v>1297.366825582673</x:v>
      </x:c>
      <x:c r="K172" s="13" t="n">
        <x:f>IF(AND(ISNUMBER(I172),ISNUMBER(J172),I172&gt;0),I172-J172,"")</x:f>
        <x:v>54.50281996595368</x:v>
      </x:c>
      <x:c r="L172" s="14" t="n">
        <x:f>IF(ISNUMBER(K172),K172/I172,"")</x:f>
        <x:v>0.040316623829389185</x:v>
      </x:c>
      <x:c r="M172" s="15" t="n">
        <x:f>IF(AND(ISNUMBER(E172),ISNUMBER(F172),ISNUMBER(I172),ISNUMBER(J172)),1,0)</x:f>
        <x:v>1</x:v>
      </x:c>
      <x:c r="N172" s="15" t="n">
        <x:v>0</x:v>
      </x:c>
      <x:c r="O172" s="2" t="str">
        <x:v>3/3种子均可行</x:v>
      </x:c>
      <x:c r="P172" s="2" t="str">
        <x:v>3/3种子均可行</x:v>
      </x:c>
      <x:c r="Q172" s="2" t="str">
        <x:v>3/3种子均可行</x:v>
      </x:c>
      <x:c r="R172" s="2" t="str">
        <x:v>3/3种子均可行</x:v>
      </x:c>
    </x:row>
    <x:row r="173" ht="24" customHeight="1">
      <x:c r="A173" s="2" t="n">
        <x:v>50</x:v>
      </x:c>
      <x:c r="B173" s="2" t="str">
        <x:v>大型</x:v>
      </x:c>
      <x:c r="C173" s="2" t="str">
        <x:v>zhou_Set2_100-5-1b_subset50_scenario02_b1</x:v>
      </x:c>
      <x:c r="D173" s="2" t="str">
        <x:v>精确时限可行解</x:v>
      </x:c>
      <x:c r="E173" s="13" t="n">
        <x:v>1177.0396270997212</x:v>
      </x:c>
      <x:c r="F173" s="13" t="n">
        <x:v>1478.473310834559</x:v>
      </x:c>
      <x:c r="G173" s="13" t="n">
        <x:f>IF(AND(ISNUMBER(E173),ISNUMBER(F173),E173&gt;0),E173-F173,"")</x:f>
        <x:v>-301.4336837348378</x:v>
      </x:c>
      <x:c r="H173" s="14" t="n">
        <x:f>IF(ISNUMBER(G173),G173/E173,"")</x:f>
        <x:v>-0.25609476248270757</x:v>
      </x:c>
      <x:c r="I173" s="13"/>
      <x:c r="J173" s="13" t="n">
        <x:v>1844.652016772899</x:v>
      </x:c>
      <x:c r="K173" s="13" t="str">
        <x:f>IF(AND(ISNUMBER(I173),ISNUMBER(J173),I173&gt;0),I173-J173,"")</x:f>
      </x:c>
      <x:c r="L173" s="14" t="str">
        <x:f>IF(ISNUMBER(K173),K173/I173,"")</x:f>
      </x:c>
      <x:c r="M173" s="15" t="n">
        <x:f>IF(AND(ISNUMBER(E173),ISNUMBER(F173),ISNUMBER(I173),ISNUMBER(J173)),1,0)</x:f>
        <x:v>0</x:v>
      </x:c>
      <x:c r="N173" s="15" t="n">
        <x:v>0</x:v>
      </x:c>
      <x:c r="O173" s="2" t="str">
        <x:v>可行未证最优</x:v>
      </x:c>
      <x:c r="P173" s="2" t="str">
        <x:v>可行未证最优</x:v>
      </x:c>
      <x:c r="Q173" s="2" t="str">
        <x:v>TIME_LIMIT，无审计可行解</x:v>
      </x:c>
      <x:c r="R173" s="2" t="str">
        <x:v>可行未证最优</x:v>
      </x:c>
    </x:row>
    <x:row r="174" ht="24" customHeight="1">
      <x:c r="A174" s="2" t="n">
        <x:v>50</x:v>
      </x:c>
      <x:c r="B174" s="2" t="str">
        <x:v>大型</x:v>
      </x:c>
      <x:c r="C174" s="2" t="str">
        <x:v>zhou_Set2_100-5-1b_subset50_scenario02_b1</x:v>
      </x:c>
      <x:c r="D174" s="2" t="str">
        <x:v>ALNS三种子最好</x:v>
      </x:c>
      <x:c r="E174" s="13" t="n">
        <x:v>1114.8987882244535</x:v>
      </x:c>
      <x:c r="F174" s="13" t="n">
        <x:v>1024.9616879863088</x:v>
      </x:c>
      <x:c r="G174" s="13" t="n">
        <x:f>IF(AND(ISNUMBER(E174),ISNUMBER(F174),E174&gt;0),E174-F174,"")</x:f>
        <x:v>89.9371002381447</x:v>
      </x:c>
      <x:c r="H174" s="14" t="n">
        <x:f>IF(ISNUMBER(G174),G174/E174,"")</x:f>
        <x:v>0.08066839895070223</x:v>
      </x:c>
      <x:c r="I174" s="13" t="n">
        <x:v>1367.0215980184687</x:v>
      </x:c>
      <x:c r="J174" s="13" t="n">
        <x:v>1254.486172012973</x:v>
      </x:c>
      <x:c r="K174" s="13" t="n">
        <x:f>IF(AND(ISNUMBER(I174),ISNUMBER(J174),I174&gt;0),I174-J174,"")</x:f>
        <x:v>112.53542600549576</x:v>
      </x:c>
      <x:c r="L174" s="14" t="n">
        <x:f>IF(ISNUMBER(K174),K174/I174,"")</x:f>
        <x:v>0.08232161523169687</x:v>
      </x:c>
      <x:c r="M174" s="15" t="n">
        <x:f>IF(AND(ISNUMBER(E174),ISNUMBER(F174),ISNUMBER(I174),ISNUMBER(J174)),1,0)</x:f>
        <x:v>1</x:v>
      </x:c>
      <x:c r="N174" s="15" t="n">
        <x:v>0</x:v>
      </x:c>
      <x:c r="O174" s="2" t="str">
        <x:v>3/3种子均可行</x:v>
      </x:c>
      <x:c r="P174" s="2" t="str">
        <x:v>3/3种子均可行</x:v>
      </x:c>
      <x:c r="Q174" s="2" t="str">
        <x:v>3/3种子均可行</x:v>
      </x:c>
      <x:c r="R174" s="2" t="str">
        <x:v>3/3种子均可行</x:v>
      </x:c>
    </x:row>
    <x:row r="175" ht="24" customHeight="1">
      <x:c r="A175" s="2" t="n">
        <x:v>50</x:v>
      </x:c>
      <x:c r="B175" s="2" t="str">
        <x:v>大型</x:v>
      </x:c>
      <x:c r="C175" s="2" t="str">
        <x:v>zhou_Set2_100-5-1b_subset50_scenario02_b1</x:v>
      </x:c>
      <x:c r="D175" s="2" t="str">
        <x:v>ALNS三种子均值</x:v>
      </x:c>
      <x:c r="E175" s="13" t="n">
        <x:v>1121.5533632000484</x:v>
      </x:c>
      <x:c r="F175" s="13" t="n">
        <x:v>1036.7763514139554</x:v>
      </x:c>
      <x:c r="G175" s="13" t="n">
        <x:f>IF(AND(ISNUMBER(E175),ISNUMBER(F175),E175&gt;0),E175-F175,"")</x:f>
        <x:v>84.777011786093</x:v>
      </x:c>
      <x:c r="H175" s="14" t="n">
        <x:f>IF(ISNUMBER(G175),G175/E175,"")</x:f>
        <x:v>0.07558892386912806</x:v>
      </x:c>
      <x:c r="I175" s="13" t="n">
        <x:v>1374.5599697553798</x:v>
      </x:c>
      <x:c r="J175" s="13" t="n">
        <x:v>1295.0442492494246</x:v>
      </x:c>
      <x:c r="K175" s="13" t="n">
        <x:f>IF(AND(ISNUMBER(I175),ISNUMBER(J175),I175&gt;0),I175-J175,"")</x:f>
        <x:v>79.51572050595519</x:v>
      </x:c>
      <x:c r="L175" s="14" t="n">
        <x:f>IF(ISNUMBER(K175),K175/I175,"")</x:f>
        <x:v>0.05784812758668216</x:v>
      </x:c>
      <x:c r="M175" s="15" t="n">
        <x:f>IF(AND(ISNUMBER(E175),ISNUMBER(F175),ISNUMBER(I175),ISNUMBER(J175)),1,0)</x:f>
        <x:v>1</x:v>
      </x:c>
      <x:c r="N175" s="15" t="n">
        <x:v>0</x:v>
      </x:c>
      <x:c r="O175" s="2" t="str">
        <x:v>3/3种子均可行</x:v>
      </x:c>
      <x:c r="P175" s="2" t="str">
        <x:v>3/3种子均可行</x:v>
      </x:c>
      <x:c r="Q175" s="2" t="str">
        <x:v>3/3种子均可行</x:v>
      </x:c>
      <x:c r="R175" s="2" t="str">
        <x:v>3/3种子均可行</x:v>
      </x:c>
    </x:row>
    <x:row r="176" ht="24" customHeight="1">
      <x:c r="A176" s="2" t="n">
        <x:v>50</x:v>
      </x:c>
      <x:c r="B176" s="2" t="str">
        <x:v>大型</x:v>
      </x:c>
      <x:c r="C176" s="2" t="str">
        <x:v>zhou_Set2_100-5-2_subset50_b1</x:v>
      </x:c>
      <x:c r="D176" s="2" t="str">
        <x:v>精确时限可行解</x:v>
      </x:c>
      <x:c r="E176" s="13" t="n">
        <x:v>647.7449344274855</x:v>
      </x:c>
      <x:c r="F176" s="13" t="n">
        <x:v>1049.5727318423192</x:v>
      </x:c>
      <x:c r="G176" s="13" t="n">
        <x:f>IF(AND(ISNUMBER(E176),ISNUMBER(F176),E176&gt;0),E176-F176,"")</x:f>
        <x:v>-401.82779741483364</x:v>
      </x:c>
      <x:c r="H176" s="14" t="n">
        <x:f>IF(ISNUMBER(G176),G176/E176,"")</x:f>
        <x:v>-0.6203488071581638</x:v>
      </x:c>
      <x:c r="I176" s="13"/>
      <x:c r="J176" s="13"/>
      <x:c r="K176" s="13" t="str">
        <x:f>IF(AND(ISNUMBER(I176),ISNUMBER(J176),I176&gt;0),I176-J176,"")</x:f>
      </x:c>
      <x:c r="L176" s="14" t="str">
        <x:f>IF(ISNUMBER(K176),K176/I176,"")</x:f>
      </x:c>
      <x:c r="M176" s="15" t="n">
        <x:f>IF(AND(ISNUMBER(E176),ISNUMBER(F176),ISNUMBER(I176),ISNUMBER(J176)),1,0)</x:f>
        <x:v>0</x:v>
      </x:c>
      <x:c r="N176" s="15" t="n">
        <x:v>0</x:v>
      </x:c>
      <x:c r="O176" s="2" t="str">
        <x:v>可行未证最优</x:v>
      </x:c>
      <x:c r="P176" s="2" t="str">
        <x:v>可行未证最优</x:v>
      </x:c>
      <x:c r="Q176" s="2" t="str">
        <x:v>TIME_LIMIT，无审计可行解</x:v>
      </x:c>
      <x:c r="R176" s="2" t="str">
        <x:v>TIME_LIMIT，无审计可行解</x:v>
      </x:c>
    </x:row>
    <x:row r="177" ht="24" customHeight="1">
      <x:c r="A177" s="2" t="n">
        <x:v>50</x:v>
      </x:c>
      <x:c r="B177" s="2" t="str">
        <x:v>大型</x:v>
      </x:c>
      <x:c r="C177" s="2" t="str">
        <x:v>zhou_Set2_100-5-2_subset50_b1</x:v>
      </x:c>
      <x:c r="D177" s="2" t="str">
        <x:v>ALNS三种子最好</x:v>
      </x:c>
      <x:c r="E177" s="13" t="n">
        <x:v>585.7497431782788</x:v>
      </x:c>
      <x:c r="F177" s="13" t="n">
        <x:v>585.3064694890085</x:v>
      </x:c>
      <x:c r="G177" s="13" t="n">
        <x:f>IF(AND(ISNUMBER(E177),ISNUMBER(F177),E177&gt;0),E177-F177,"")</x:f>
        <x:v>0.4432736892703133</x:v>
      </x:c>
      <x:c r="H177" s="14" t="n">
        <x:f>IF(ISNUMBER(G177),G177/E177,"")</x:f>
        <x:v>0.0007567629255202227</x:v>
      </x:c>
      <x:c r="I177" s="13" t="n">
        <x:v>745.8830701939401</x:v>
      </x:c>
      <x:c r="J177" s="13" t="n">
        <x:v>766.1398172241957</x:v>
      </x:c>
      <x:c r="K177" s="13" t="n">
        <x:f>IF(AND(ISNUMBER(I177),ISNUMBER(J177),I177&gt;0),I177-J177,"")</x:f>
        <x:v>-20.25674703025561</x:v>
      </x:c>
      <x:c r="L177" s="14" t="n">
        <x:f>IF(ISNUMBER(K177),K177/I177,"")</x:f>
        <x:v>-0.027158073215133537</x:v>
      </x:c>
      <x:c r="M177" s="15" t="n">
        <x:f>IF(AND(ISNUMBER(E177),ISNUMBER(F177),ISNUMBER(I177),ISNUMBER(J177)),1,0)</x:f>
        <x:v>1</x:v>
      </x:c>
      <x:c r="N177" s="15" t="n">
        <x:v>0</x:v>
      </x:c>
      <x:c r="O177" s="2" t="str">
        <x:v>3/3种子均可行</x:v>
      </x:c>
      <x:c r="P177" s="2" t="str">
        <x:v>3/3种子均可行</x:v>
      </x:c>
      <x:c r="Q177" s="2" t="str">
        <x:v>3/3种子均可行</x:v>
      </x:c>
      <x:c r="R177" s="2" t="str">
        <x:v>3/3种子均可行</x:v>
      </x:c>
    </x:row>
    <x:row r="178" ht="24" customHeight="1">
      <x:c r="A178" s="2" t="n">
        <x:v>50</x:v>
      </x:c>
      <x:c r="B178" s="2" t="str">
        <x:v>大型</x:v>
      </x:c>
      <x:c r="C178" s="2" t="str">
        <x:v>zhou_Set2_100-5-2_subset50_b1</x:v>
      </x:c>
      <x:c r="D178" s="2" t="str">
        <x:v>ALNS三种子均值</x:v>
      </x:c>
      <x:c r="E178" s="13" t="n">
        <x:v>588.7731882452201</x:v>
      </x:c>
      <x:c r="F178" s="13" t="n">
        <x:v>587.2836325196502</x:v>
      </x:c>
      <x:c r="G178" s="13" t="n">
        <x:f>IF(AND(ISNUMBER(E178),ISNUMBER(F178),E178&gt;0),E178-F178,"")</x:f>
        <x:v>1.4895557255699714</x:v>
      </x:c>
      <x:c r="H178" s="14" t="n">
        <x:f>IF(ISNUMBER(G178),G178/E178,"")</x:f>
        <x:v>0.002529931313634447</x:v>
      </x:c>
      <x:c r="I178" s="13" t="n">
        <x:v>752.4228538066694</x:v>
      </x:c>
      <x:c r="J178" s="13" t="n">
        <x:v>790.8511450127335</x:v>
      </x:c>
      <x:c r="K178" s="13" t="n">
        <x:f>IF(AND(ISNUMBER(I178),ISNUMBER(J178),I178&gt;0),I178-J178,"")</x:f>
        <x:v>-38.428291206064046</x:v>
      </x:c>
      <x:c r="L178" s="14" t="n">
        <x:f>IF(ISNUMBER(K178),K178/I178,"")</x:f>
        <x:v>-0.05107273258865947</x:v>
      </x:c>
      <x:c r="M178" s="15" t="n">
        <x:f>IF(AND(ISNUMBER(E178),ISNUMBER(F178),ISNUMBER(I178),ISNUMBER(J178)),1,0)</x:f>
        <x:v>1</x:v>
      </x:c>
      <x:c r="N178" s="15" t="n">
        <x:v>0</x:v>
      </x:c>
      <x:c r="O178" s="2" t="str">
        <x:v>3/3种子均可行</x:v>
      </x:c>
      <x:c r="P178" s="2" t="str">
        <x:v>3/3种子均可行</x:v>
      </x:c>
      <x:c r="Q178" s="2" t="str">
        <x:v>3/3种子均可行</x:v>
      </x:c>
      <x:c r="R178" s="2" t="str">
        <x:v>3/3种子均可行</x:v>
      </x:c>
    </x:row>
    <x:row r="179" ht="24" customHeight="1">
      <x:c r="A179" s="2" t="n">
        <x:v>50</x:v>
      </x:c>
      <x:c r="B179" s="2" t="str">
        <x:v>大型</x:v>
      </x:c>
      <x:c r="C179" s="2" t="str">
        <x:v>zhou_Set2_100-5-2_subset50_scenario02_b1</x:v>
      </x:c>
      <x:c r="D179" s="2" t="str">
        <x:v>精确时限可行解</x:v>
      </x:c>
      <x:c r="E179" s="13" t="n">
        <x:v>595.1115172058761</x:v>
      </x:c>
      <x:c r="F179" s="13" t="n">
        <x:v>936.1930705918029</x:v>
      </x:c>
      <x:c r="G179" s="13" t="n">
        <x:f>IF(AND(ISNUMBER(E179),ISNUMBER(F179),E179&gt;0),E179-F179,"")</x:f>
        <x:v>-341.0815533859268</x:v>
      </x:c>
      <x:c r="H179" s="14" t="n">
        <x:f>IF(ISNUMBER(G179),G179/E179,"")</x:f>
        <x:v>-0.5731388883000413</x:v>
      </x:c>
      <x:c r="I179" s="13"/>
      <x:c r="J179" s="13"/>
      <x:c r="K179" s="13" t="str">
        <x:f>IF(AND(ISNUMBER(I179),ISNUMBER(J179),I179&gt;0),I179-J179,"")</x:f>
      </x:c>
      <x:c r="L179" s="14" t="str">
        <x:f>IF(ISNUMBER(K179),K179/I179,"")</x:f>
      </x:c>
      <x:c r="M179" s="15" t="n">
        <x:f>IF(AND(ISNUMBER(E179),ISNUMBER(F179),ISNUMBER(I179),ISNUMBER(J179)),1,0)</x:f>
        <x:v>0</x:v>
      </x:c>
      <x:c r="N179" s="15" t="n">
        <x:v>0</x:v>
      </x:c>
      <x:c r="O179" s="2" t="str">
        <x:v>可行未证最优</x:v>
      </x:c>
      <x:c r="P179" s="2" t="str">
        <x:v>可行未证最优</x:v>
      </x:c>
      <x:c r="Q179" s="2" t="str">
        <x:v>TIME_LIMIT，无审计可行解</x:v>
      </x:c>
      <x:c r="R179" s="2" t="str">
        <x:v>TIME_LIMIT，无审计可行解</x:v>
      </x:c>
    </x:row>
    <x:row r="180" ht="24" customHeight="1">
      <x:c r="A180" s="2" t="n">
        <x:v>50</x:v>
      </x:c>
      <x:c r="B180" s="2" t="str">
        <x:v>大型</x:v>
      </x:c>
      <x:c r="C180" s="2" t="str">
        <x:v>zhou_Set2_100-5-2_subset50_scenario02_b1</x:v>
      </x:c>
      <x:c r="D180" s="2" t="str">
        <x:v>ALNS三种子最好</x:v>
      </x:c>
      <x:c r="E180" s="13" t="n">
        <x:v>587.3450474459096</x:v>
      </x:c>
      <x:c r="F180" s="13" t="n">
        <x:v>586.1354402769098</x:v>
      </x:c>
      <x:c r="G180" s="13" t="n">
        <x:f>IF(AND(ISNUMBER(E180),ISNUMBER(F180),E180&gt;0),E180-F180,"")</x:f>
        <x:v>1.2096071689998098</x:v>
      </x:c>
      <x:c r="H180" s="14" t="n">
        <x:f>IF(ISNUMBER(G180),G180/E180,"")</x:f>
        <x:v>0.002059448997245876</x:v>
      </x:c>
      <x:c r="I180" s="13" t="n">
        <x:v>753.9284051530735</x:v>
      </x:c>
      <x:c r="J180" s="13" t="n">
        <x:v>740.1541862459098</x:v>
      </x:c>
      <x:c r="K180" s="13" t="n">
        <x:f>IF(AND(ISNUMBER(I180),ISNUMBER(J180),I180&gt;0),I180-J180,"")</x:f>
        <x:v>13.774218907163686</x:v>
      </x:c>
      <x:c r="L180" s="14" t="n">
        <x:f>IF(ISNUMBER(K180),K180/I180,"")</x:f>
        <x:v>0.018269929628619105</x:v>
      </x:c>
      <x:c r="M180" s="15" t="n">
        <x:f>IF(AND(ISNUMBER(E180),ISNUMBER(F180),ISNUMBER(I180),ISNUMBER(J180)),1,0)</x:f>
        <x:v>1</x:v>
      </x:c>
      <x:c r="N180" s="15" t="n">
        <x:v>0</x:v>
      </x:c>
      <x:c r="O180" s="2" t="str">
        <x:v>3/3种子均可行</x:v>
      </x:c>
      <x:c r="P180" s="2" t="str">
        <x:v>3/3种子均可行</x:v>
      </x:c>
      <x:c r="Q180" s="2" t="str">
        <x:v>3/3种子均可行</x:v>
      </x:c>
      <x:c r="R180" s="2" t="str">
        <x:v>3/3种子均可行</x:v>
      </x:c>
    </x:row>
    <x:row r="181" ht="24" customHeight="1">
      <x:c r="A181" s="2" t="n">
        <x:v>50</x:v>
      </x:c>
      <x:c r="B181" s="2" t="str">
        <x:v>大型</x:v>
      </x:c>
      <x:c r="C181" s="2" t="str">
        <x:v>zhou_Set2_100-5-2_subset50_scenario02_b1</x:v>
      </x:c>
      <x:c r="D181" s="2" t="str">
        <x:v>ALNS三种子均值</x:v>
      </x:c>
      <x:c r="E181" s="13" t="n">
        <x:v>589.5782028144461</x:v>
      </x:c>
      <x:c r="F181" s="13" t="n">
        <x:v>588.4470708829572</x:v>
      </x:c>
      <x:c r="G181" s="13" t="n">
        <x:f>IF(AND(ISNUMBER(E181),ISNUMBER(F181),E181&gt;0),E181-F181,"")</x:f>
        <x:v>1.1311319314888806</x:v>
      </x:c>
      <x:c r="H181" s="14" t="n">
        <x:f>IF(ISNUMBER(G181),G181/E181,"")</x:f>
        <x:v>0.0019185443527071405</x:v>
      </x:c>
      <x:c r="I181" s="13" t="n">
        <x:v>763.3760123733925</x:v>
      </x:c>
      <x:c r="J181" s="13" t="n">
        <x:v>756.5041737170834</x:v>
      </x:c>
      <x:c r="K181" s="13" t="n">
        <x:f>IF(AND(ISNUMBER(I181),ISNUMBER(J181),I181&gt;0),I181-J181,"")</x:f>
        <x:v>6.871838656309137</x:v>
      </x:c>
      <x:c r="L181" s="14" t="n">
        <x:f>IF(ISNUMBER(K181),K181/I181,"")</x:f>
        <x:v>0.009001905410865717</x:v>
      </x:c>
      <x:c r="M181" s="15" t="n">
        <x:f>IF(AND(ISNUMBER(E181),ISNUMBER(F181),ISNUMBER(I181),ISNUMBER(J181)),1,0)</x:f>
        <x:v>1</x:v>
      </x:c>
      <x:c r="N181" s="15" t="n">
        <x:v>0</x:v>
      </x:c>
      <x:c r="O181" s="2" t="str">
        <x:v>3/3种子均可行</x:v>
      </x:c>
      <x:c r="P181" s="2" t="str">
        <x:v>3/3种子均可行</x:v>
      </x:c>
      <x:c r="Q181" s="2" t="str">
        <x:v>3/3种子均可行</x:v>
      </x:c>
      <x:c r="R181" s="2" t="str">
        <x:v>3/3种子均可行</x:v>
      </x:c>
    </x:row>
    <x:row r="182" ht="24" customHeight="1">
      <x:c r="A182" s="2" t="n">
        <x:v>50</x:v>
      </x:c>
      <x:c r="B182" s="2" t="str">
        <x:v>大型</x:v>
      </x:c>
      <x:c r="C182" s="2" t="str">
        <x:v>zhou_Set2_100-5-3_subset50_b1</x:v>
      </x:c>
      <x:c r="D182" s="2" t="str">
        <x:v>精确时限可行解</x:v>
      </x:c>
      <x:c r="E182" s="13" t="n">
        <x:v>821.2292219653598</x:v>
      </x:c>
      <x:c r="F182" s="13" t="n">
        <x:v>1043.7357107359285</x:v>
      </x:c>
      <x:c r="G182" s="13" t="n">
        <x:f>IF(AND(ISNUMBER(E182),ISNUMBER(F182),E182&gt;0),E182-F182,"")</x:f>
        <x:v>-222.5064887705687</x:v>
      </x:c>
      <x:c r="H182" s="14" t="n">
        <x:f>IF(ISNUMBER(G182),G182/E182,"")</x:f>
        <x:v>-0.27094321879836153</x:v>
      </x:c>
      <x:c r="I182" s="13"/>
      <x:c r="J182" s="13"/>
      <x:c r="K182" s="13" t="str">
        <x:f>IF(AND(ISNUMBER(I182),ISNUMBER(J182),I182&gt;0),I182-J182,"")</x:f>
      </x:c>
      <x:c r="L182" s="14" t="str">
        <x:f>IF(ISNUMBER(K182),K182/I182,"")</x:f>
      </x:c>
      <x:c r="M182" s="15" t="n">
        <x:f>IF(AND(ISNUMBER(E182),ISNUMBER(F182),ISNUMBER(I182),ISNUMBER(J182)),1,0)</x:f>
        <x:v>0</x:v>
      </x:c>
      <x:c r="N182" s="15" t="n">
        <x:v>0</x:v>
      </x:c>
      <x:c r="O182" s="2" t="str">
        <x:v>可行未证最优</x:v>
      </x:c>
      <x:c r="P182" s="2" t="str">
        <x:v>可行未证最优</x:v>
      </x:c>
      <x:c r="Q182" s="2" t="str">
        <x:v>TIME_LIMIT，无审计可行解</x:v>
      </x:c>
      <x:c r="R182" s="2" t="str">
        <x:v>TIME_LIMIT，无审计可行解</x:v>
      </x:c>
    </x:row>
    <x:row r="183" ht="24" customHeight="1">
      <x:c r="A183" s="2" t="n">
        <x:v>50</x:v>
      </x:c>
      <x:c r="B183" s="2" t="str">
        <x:v>大型</x:v>
      </x:c>
      <x:c r="C183" s="2" t="str">
        <x:v>zhou_Set2_100-5-3_subset50_b1</x:v>
      </x:c>
      <x:c r="D183" s="2" t="str">
        <x:v>ALNS三种子最好</x:v>
      </x:c>
      <x:c r="E183" s="13" t="n">
        <x:v>811.5252610123897</x:v>
      </x:c>
      <x:c r="F183" s="13" t="n">
        <x:v>736.5167406074414</x:v>
      </x:c>
      <x:c r="G183" s="13" t="n">
        <x:f>IF(AND(ISNUMBER(E183),ISNUMBER(F183),E183&gt;0),E183-F183,"")</x:f>
        <x:v>75.00852040494829</x:v>
      </x:c>
      <x:c r="H183" s="14" t="n">
        <x:f>IF(ISNUMBER(G183),G183/E183,"")</x:f>
        <x:v>0.09242906414444087</x:v>
      </x:c>
      <x:c r="I183" s="13" t="n">
        <x:v>946.1810379220146</x:v>
      </x:c>
      <x:c r="J183" s="13" t="n">
        <x:v>875.6857249152769</x:v>
      </x:c>
      <x:c r="K183" s="13" t="n">
        <x:f>IF(AND(ISNUMBER(I183),ISNUMBER(J183),I183&gt;0),I183-J183,"")</x:f>
        <x:v>70.49531300673777</x:v>
      </x:c>
      <x:c r="L183" s="14" t="n">
        <x:f>IF(ISNUMBER(K183),K183/I183,"")</x:f>
        <x:v>0.07450510016725581</x:v>
      </x:c>
      <x:c r="M183" s="15" t="n">
        <x:f>IF(AND(ISNUMBER(E183),ISNUMBER(F183),ISNUMBER(I183),ISNUMBER(J183)),1,0)</x:f>
        <x:v>1</x:v>
      </x:c>
      <x:c r="N183" s="15" t="n">
        <x:v>0</x:v>
      </x:c>
      <x:c r="O183" s="2" t="str">
        <x:v>3/3种子均可行</x:v>
      </x:c>
      <x:c r="P183" s="2" t="str">
        <x:v>3/3种子均可行</x:v>
      </x:c>
      <x:c r="Q183" s="2" t="str">
        <x:v>3/3种子均可行</x:v>
      </x:c>
      <x:c r="R183" s="2" t="str">
        <x:v>3/3种子均可行</x:v>
      </x:c>
    </x:row>
    <x:row r="184" ht="24" customHeight="1">
      <x:c r="A184" s="2" t="n">
        <x:v>50</x:v>
      </x:c>
      <x:c r="B184" s="2" t="str">
        <x:v>大型</x:v>
      </x:c>
      <x:c r="C184" s="2" t="str">
        <x:v>zhou_Set2_100-5-3_subset50_b1</x:v>
      </x:c>
      <x:c r="D184" s="2" t="str">
        <x:v>ALNS三种子均值</x:v>
      </x:c>
      <x:c r="E184" s="13" t="n">
        <x:v>818.7828110489328</x:v>
      </x:c>
      <x:c r="F184" s="13" t="n">
        <x:v>767.2478867722358</x:v>
      </x:c>
      <x:c r="G184" s="13" t="n">
        <x:f>IF(AND(ISNUMBER(E184),ISNUMBER(F184),E184&gt;0),E184-F184,"")</x:f>
        <x:v>51.534924276696984</x:v>
      </x:c>
      <x:c r="H184" s="14" t="n">
        <x:f>IF(ISNUMBER(G184),G184/E184,"")</x:f>
        <x:v>0.06294089663494061</x:v>
      </x:c>
      <x:c r="I184" s="13" t="n">
        <x:v>959.2438443553846</x:v>
      </x:c>
      <x:c r="J184" s="13" t="n">
        <x:v>894.7673619527606</x:v>
      </x:c>
      <x:c r="K184" s="13" t="n">
        <x:f>IF(AND(ISNUMBER(I184),ISNUMBER(J184),I184&gt;0),I184-J184,"")</x:f>
        <x:v>64.47648240262401</x:v>
      </x:c>
      <x:c r="L184" s="14" t="n">
        <x:f>IF(ISNUMBER(K184),K184/I184,"")</x:f>
        <x:v>0.06721594595788358</x:v>
      </x:c>
      <x:c r="M184" s="15" t="n">
        <x:f>IF(AND(ISNUMBER(E184),ISNUMBER(F184),ISNUMBER(I184),ISNUMBER(J184)),1,0)</x:f>
        <x:v>1</x:v>
      </x:c>
      <x:c r="N184" s="15" t="n">
        <x:v>0</x:v>
      </x:c>
      <x:c r="O184" s="2" t="str">
        <x:v>3/3种子均可行</x:v>
      </x:c>
      <x:c r="P184" s="2" t="str">
        <x:v>3/3种子均可行</x:v>
      </x:c>
      <x:c r="Q184" s="2" t="str">
        <x:v>3/3种子均可行</x:v>
      </x:c>
      <x:c r="R184" s="2" t="str">
        <x:v>3/3种子均可行</x:v>
      </x:c>
    </x:row>
    <x:row r="185" ht="24" customHeight="1">
      <x:c r="A185" s="2" t="n">
        <x:v>50</x:v>
      </x:c>
      <x:c r="B185" s="2" t="str">
        <x:v>大型</x:v>
      </x:c>
      <x:c r="C185" s="2" t="str">
        <x:v>zhou_Set2_100-5-3_subset50_scenario02_b1</x:v>
      </x:c>
      <x:c r="D185" s="2" t="str">
        <x:v>精确时限可行解</x:v>
      </x:c>
      <x:c r="E185" s="13" t="n">
        <x:v>835.3895019490708</x:v>
      </x:c>
      <x:c r="F185" s="13" t="n">
        <x:v>1043.7357107359287</x:v>
      </x:c>
      <x:c r="G185" s="13" t="n">
        <x:f>IF(AND(ISNUMBER(E185),ISNUMBER(F185),E185&gt;0),E185-F185,"")</x:f>
        <x:v>-208.34620878685791</x:v>
      </x:c>
      <x:c r="H185" s="14" t="n">
        <x:f>IF(ISNUMBER(G185),G185/E185,"")</x:f>
        <x:v>-0.2494000802030185</x:v>
      </x:c>
      <x:c r="I185" s="13"/>
      <x:c r="J185" s="13"/>
      <x:c r="K185" s="13" t="str">
        <x:f>IF(AND(ISNUMBER(I185),ISNUMBER(J185),I185&gt;0),I185-J185,"")</x:f>
      </x:c>
      <x:c r="L185" s="14" t="str">
        <x:f>IF(ISNUMBER(K185),K185/I185,"")</x:f>
      </x:c>
      <x:c r="M185" s="15" t="n">
        <x:f>IF(AND(ISNUMBER(E185),ISNUMBER(F185),ISNUMBER(I185),ISNUMBER(J185)),1,0)</x:f>
        <x:v>0</x:v>
      </x:c>
      <x:c r="N185" s="15" t="n">
        <x:v>0</x:v>
      </x:c>
      <x:c r="O185" s="2" t="str">
        <x:v>可行未证最优</x:v>
      </x:c>
      <x:c r="P185" s="2" t="str">
        <x:v>可行未证最优</x:v>
      </x:c>
      <x:c r="Q185" s="2" t="str">
        <x:v>TIME_LIMIT，无审计可行解</x:v>
      </x:c>
      <x:c r="R185" s="2" t="str">
        <x:v>TIME_LIMIT，无审计可行解</x:v>
      </x:c>
    </x:row>
    <x:row r="186" ht="24" customHeight="1">
      <x:c r="A186" s="2" t="n">
        <x:v>50</x:v>
      </x:c>
      <x:c r="B186" s="2" t="str">
        <x:v>大型</x:v>
      </x:c>
      <x:c r="C186" s="2" t="str">
        <x:v>zhou_Set2_100-5-3_subset50_scenario02_b1</x:v>
      </x:c>
      <x:c r="D186" s="2" t="str">
        <x:v>ALNS三种子最好</x:v>
      </x:c>
      <x:c r="E186" s="13" t="n">
        <x:v>817.4990818937355</x:v>
      </x:c>
      <x:c r="F186" s="13" t="n">
        <x:v>713.7718137753061</x:v>
      </x:c>
      <x:c r="G186" s="13" t="n">
        <x:f>IF(AND(ISNUMBER(E186),ISNUMBER(F186),E186&gt;0),E186-F186,"")</x:f>
        <x:v>103.72726811842938</x:v>
      </x:c>
      <x:c r="H186" s="14" t="n">
        <x:f>IF(ISNUMBER(G186),G186/E186,"")</x:f>
        <x:v>0.1268836509004332</x:v>
      </x:c>
      <x:c r="I186" s="13" t="n">
        <x:v>920.1972412730697</x:v>
      </x:c>
      <x:c r="J186" s="13" t="n">
        <x:v>830.3993642356838</x:v>
      </x:c>
      <x:c r="K186" s="13" t="n">
        <x:f>IF(AND(ISNUMBER(I186),ISNUMBER(J186),I186&gt;0),I186-J186,"")</x:f>
        <x:v>89.79787703738589</x:v>
      </x:c>
      <x:c r="L186" s="14" t="n">
        <x:f>IF(ISNUMBER(K186),K186/I186,"")</x:f>
        <x:v>0.09758546647363645</x:v>
      </x:c>
      <x:c r="M186" s="15" t="n">
        <x:f>IF(AND(ISNUMBER(E186),ISNUMBER(F186),ISNUMBER(I186),ISNUMBER(J186)),1,0)</x:f>
        <x:v>1</x:v>
      </x:c>
      <x:c r="N186" s="15" t="n">
        <x:v>0</x:v>
      </x:c>
      <x:c r="O186" s="2" t="str">
        <x:v>3/3种子均可行</x:v>
      </x:c>
      <x:c r="P186" s="2" t="str">
        <x:v>3/3种子均可行</x:v>
      </x:c>
      <x:c r="Q186" s="2" t="str">
        <x:v>3/3种子均可行</x:v>
      </x:c>
      <x:c r="R186" s="2" t="str">
        <x:v>3/3种子均可行</x:v>
      </x:c>
    </x:row>
    <x:row r="187" ht="24" customHeight="1">
      <x:c r="A187" s="2" t="n">
        <x:v>50</x:v>
      </x:c>
      <x:c r="B187" s="2" t="str">
        <x:v>大型</x:v>
      </x:c>
      <x:c r="C187" s="2" t="str">
        <x:v>zhou_Set2_100-5-3_subset50_scenario02_b1</x:v>
      </x:c>
      <x:c r="D187" s="2" t="str">
        <x:v>ALNS三种子均值</x:v>
      </x:c>
      <x:c r="E187" s="13" t="n">
        <x:v>820.3287514951314</x:v>
      </x:c>
      <x:c r="F187" s="13" t="n">
        <x:v>729.0834835480382</x:v>
      </x:c>
      <x:c r="G187" s="13" t="n">
        <x:f>IF(AND(ISNUMBER(E187),ISNUMBER(F187),E187&gt;0),E187-F187,"")</x:f>
        <x:v>91.24526794709323</x:v>
      </x:c>
      <x:c r="H187" s="14" t="n">
        <x:f>IF(ISNUMBER(G187),G187/E187,"")</x:f>
        <x:v>0.11123012302176362</x:v>
      </x:c>
      <x:c r="I187" s="13" t="n">
        <x:v>938.4135677621941</x:v>
      </x:c>
      <x:c r="J187" s="13" t="n">
        <x:v>870.0900092285998</x:v>
      </x:c>
      <x:c r="K187" s="13" t="n">
        <x:f>IF(AND(ISNUMBER(I187),ISNUMBER(J187),I187&gt;0),I187-J187,"")</x:f>
        <x:v>68.32355853359434</x:v>
      </x:c>
      <x:c r="L187" s="14" t="n">
        <x:f>IF(ISNUMBER(K187),K187/I187,"")</x:f>
        <x:v>0.07280751353214492</x:v>
      </x:c>
      <x:c r="M187" s="15" t="n">
        <x:f>IF(AND(ISNUMBER(E187),ISNUMBER(F187),ISNUMBER(I187),ISNUMBER(J187)),1,0)</x:f>
        <x:v>1</x:v>
      </x:c>
      <x:c r="N187" s="15" t="n">
        <x:v>0</x:v>
      </x:c>
      <x:c r="O187" s="2" t="str">
        <x:v>3/3种子均可行</x:v>
      </x:c>
      <x:c r="P187" s="2" t="str">
        <x:v>3/3种子均可行</x:v>
      </x:c>
      <x:c r="Q187" s="2" t="str">
        <x:v>3/3种子均可行</x:v>
      </x:c>
      <x:c r="R187" s="2" t="str">
        <x:v>3/3种子均可行</x:v>
      </x:c>
    </x:row>
    <x:row r="188" ht="24" customHeight="1">
      <x:c r="A188" s="2" t="n">
        <x:v>100</x:v>
      </x:c>
      <x:c r="B188" s="2" t="str">
        <x:v>大型</x:v>
      </x:c>
      <x:c r="C188" s="2" t="str">
        <x:v>zhou_Set2_100-10-1_b1</x:v>
      </x:c>
      <x:c r="D188" s="2" t="str">
        <x:v>精确时限可行解</x:v>
      </x:c>
      <x:c r="E188" s="13"/>
      <x:c r="F188" s="13" t="n">
        <x:v>2147.4312486968342</x:v>
      </x:c>
      <x:c r="G188" s="13" t="str">
        <x:f>IF(AND(ISNUMBER(E188),ISNUMBER(F188),E188&gt;0),E188-F188,"")</x:f>
      </x:c>
      <x:c r="H188" s="14" t="str">
        <x:f>IF(ISNUMBER(G188),G188/E188,"")</x:f>
      </x:c>
      <x:c r="I188" s="13"/>
      <x:c r="J188" s="13"/>
      <x:c r="K188" s="13" t="str">
        <x:f>IF(AND(ISNUMBER(I188),ISNUMBER(J188),I188&gt;0),I188-J188,"")</x:f>
      </x:c>
      <x:c r="L188" s="14" t="str">
        <x:f>IF(ISNUMBER(K188),K188/I188,"")</x:f>
      </x:c>
      <x:c r="M188" s="15" t="n">
        <x:f>IF(AND(ISNUMBER(E188),ISNUMBER(F188),ISNUMBER(I188),ISNUMBER(J188)),1,0)</x:f>
        <x:v>0</x:v>
      </x:c>
      <x:c r="N188" s="15" t="n">
        <x:v>0</x:v>
      </x:c>
      <x:c r="O188" s="2" t="str">
        <x:v>TIME_LIMIT，无审计可行解</x:v>
      </x:c>
      <x:c r="P188" s="2" t="str">
        <x:v>可行未证最优</x:v>
      </x:c>
      <x:c r="Q188" s="2" t="str">
        <x:v>TIME_LIMIT，无审计可行解</x:v>
      </x:c>
      <x:c r="R188" s="2" t="str">
        <x:v>TIME_LIMIT，无审计可行解</x:v>
      </x:c>
    </x:row>
    <x:row r="189" ht="24" customHeight="1">
      <x:c r="A189" s="2" t="n">
        <x:v>100</x:v>
      </x:c>
      <x:c r="B189" s="2" t="str">
        <x:v>大型</x:v>
      </x:c>
      <x:c r="C189" s="2" t="str">
        <x:v>zhou_Set2_100-10-1_b1</x:v>
      </x:c>
      <x:c r="D189" s="2" t="str">
        <x:v>ALNS三种子最好</x:v>
      </x:c>
      <x:c r="E189" s="13" t="n">
        <x:v>1243.7747743736884</x:v>
      </x:c>
      <x:c r="F189" s="13" t="n">
        <x:v>1247.842274383164</x:v>
      </x:c>
      <x:c r="G189" s="13" t="n">
        <x:f>IF(AND(ISNUMBER(E189),ISNUMBER(F189),E189&gt;0),E189-F189,"")</x:f>
        <x:v>-4.06750000947568</x:v>
      </x:c>
      <x:c r="H189" s="14" t="n">
        <x:f>IF(ISNUMBER(G189),G189/E189,"")</x:f>
        <x:v>-0.0032702866252645284</x:v>
      </x:c>
      <x:c r="I189" s="13" t="n">
        <x:v>1493.5428620666205</x:v>
      </x:c>
      <x:c r="J189" s="13" t="n">
        <x:v>1528.1931323010942</x:v>
      </x:c>
      <x:c r="K189" s="13" t="n">
        <x:f>IF(AND(ISNUMBER(I189),ISNUMBER(J189),I189&gt;0),I189-J189,"")</x:f>
        <x:v>-34.65027023447374</x:v>
      </x:c>
      <x:c r="L189" s="14" t="n">
        <x:f>IF(ISNUMBER(K189),K189/I189,"")</x:f>
        <x:v>-0.023200050774925894</x:v>
      </x:c>
      <x:c r="M189" s="15" t="n">
        <x:f>IF(AND(ISNUMBER(E189),ISNUMBER(F189),ISNUMBER(I189),ISNUMBER(J189)),1,0)</x:f>
        <x:v>1</x:v>
      </x:c>
      <x:c r="N189" s="15" t="n">
        <x:v>0</x:v>
      </x:c>
      <x:c r="O189" s="2" t="str">
        <x:v>3/3种子均可行</x:v>
      </x:c>
      <x:c r="P189" s="2" t="str">
        <x:v>3/3种子均可行</x:v>
      </x:c>
      <x:c r="Q189" s="2" t="str">
        <x:v>3/3种子均可行</x:v>
      </x:c>
      <x:c r="R189" s="2" t="str">
        <x:v>3/3种子均可行</x:v>
      </x:c>
    </x:row>
    <x:row r="190" ht="24" customHeight="1">
      <x:c r="A190" s="2" t="n">
        <x:v>100</x:v>
      </x:c>
      <x:c r="B190" s="2" t="str">
        <x:v>大型</x:v>
      </x:c>
      <x:c r="C190" s="2" t="str">
        <x:v>zhou_Set2_100-10-1_b1</x:v>
      </x:c>
      <x:c r="D190" s="2" t="str">
        <x:v>ALNS三种子均值</x:v>
      </x:c>
      <x:c r="E190" s="13" t="n">
        <x:v>1295.14794043135</x:v>
      </x:c>
      <x:c r="F190" s="13" t="n">
        <x:v>1261.9586367874329</x:v>
      </x:c>
      <x:c r="G190" s="13" t="n">
        <x:f>IF(AND(ISNUMBER(E190),ISNUMBER(F190),E190&gt;0),E190-F190,"")</x:f>
        <x:v>33.18930364391713</x:v>
      </x:c>
      <x:c r="H190" s="14" t="n">
        <x:f>IF(ISNUMBER(G190),G190/E190,"")</x:f>
        <x:v>0.025625878409584163</x:v>
      </x:c>
      <x:c r="I190" s="13" t="n">
        <x:v>1610.9780425580389</x:v>
      </x:c>
      <x:c r="J190" s="13" t="n">
        <x:v>1641.428957954558</x:v>
      </x:c>
      <x:c r="K190" s="13" t="n">
        <x:f>IF(AND(ISNUMBER(I190),ISNUMBER(J190),I190&gt;0),I190-J190,"")</x:f>
        <x:v>-30.45091539651912</x:v>
      </x:c>
      <x:c r="L190" s="14" t="n">
        <x:f>IF(ISNUMBER(K190),K190/I190,"")</x:f>
        <x:v>-0.018902129384809455</x:v>
      </x:c>
      <x:c r="M190" s="15" t="n">
        <x:f>IF(AND(ISNUMBER(E190),ISNUMBER(F190),ISNUMBER(I190),ISNUMBER(J190)),1,0)</x:f>
        <x:v>1</x:v>
      </x:c>
      <x:c r="N190" s="15" t="n">
        <x:v>0</x:v>
      </x:c>
      <x:c r="O190" s="2" t="str">
        <x:v>3/3种子均可行</x:v>
      </x:c>
      <x:c r="P190" s="2" t="str">
        <x:v>3/3种子均可行</x:v>
      </x:c>
      <x:c r="Q190" s="2" t="str">
        <x:v>3/3种子均可行</x:v>
      </x:c>
      <x:c r="R190" s="2" t="str">
        <x:v>3/3种子均可行</x:v>
      </x:c>
    </x:row>
    <x:row r="191" ht="24" customHeight="1">
      <x:c r="A191" s="2" t="n">
        <x:v>100</x:v>
      </x:c>
      <x:c r="B191" s="2" t="str">
        <x:v>大型</x:v>
      </x:c>
      <x:c r="C191" s="2" t="str">
        <x:v>zhou_Set2_100-10-1_scenario02_b1</x:v>
      </x:c>
      <x:c r="D191" s="2" t="str">
        <x:v>精确时限可行解</x:v>
      </x:c>
      <x:c r="E191" s="13" t="n">
        <x:v>1834.1218447760184</x:v>
      </x:c>
      <x:c r="F191" s="13" t="n">
        <x:v>2147.4312486968342</x:v>
      </x:c>
      <x:c r="G191" s="13" t="n">
        <x:f>IF(AND(ISNUMBER(E191),ISNUMBER(F191),E191&gt;0),E191-F191,"")</x:f>
        <x:v>-313.30940392081584</x:v>
      </x:c>
      <x:c r="H191" s="14" t="n">
        <x:f>IF(ISNUMBER(G191),G191/E191,"")</x:f>
        <x:v>-0.17082256820242875</x:v>
      </x:c>
      <x:c r="I191" s="13"/>
      <x:c r="J191" s="13"/>
      <x:c r="K191" s="13" t="str">
        <x:f>IF(AND(ISNUMBER(I191),ISNUMBER(J191),I191&gt;0),I191-J191,"")</x:f>
      </x:c>
      <x:c r="L191" s="14" t="str">
        <x:f>IF(ISNUMBER(K191),K191/I191,"")</x:f>
      </x:c>
      <x:c r="M191" s="15" t="n">
        <x:f>IF(AND(ISNUMBER(E191),ISNUMBER(F191),ISNUMBER(I191),ISNUMBER(J191)),1,0)</x:f>
        <x:v>0</x:v>
      </x:c>
      <x:c r="N191" s="15" t="n">
        <x:v>0</x:v>
      </x:c>
      <x:c r="O191" s="2" t="str">
        <x:v>可行未证最优</x:v>
      </x:c>
      <x:c r="P191" s="2" t="str">
        <x:v>可行未证最优</x:v>
      </x:c>
      <x:c r="Q191" s="2" t="str">
        <x:v>TIME_LIMIT，无审计可行解</x:v>
      </x:c>
      <x:c r="R191" s="2" t="str">
        <x:v>TIME_LIMIT，无审计可行解</x:v>
      </x:c>
    </x:row>
    <x:row r="192" ht="24" customHeight="1">
      <x:c r="A192" s="2" t="n">
        <x:v>100</x:v>
      </x:c>
      <x:c r="B192" s="2" t="str">
        <x:v>大型</x:v>
      </x:c>
      <x:c r="C192" s="2" t="str">
        <x:v>zhou_Set2_100-10-1_scenario02_b1</x:v>
      </x:c>
      <x:c r="D192" s="2" t="str">
        <x:v>ALNS三种子最好</x:v>
      </x:c>
      <x:c r="E192" s="13" t="n">
        <x:v>1243.6537293685547</x:v>
      </x:c>
      <x:c r="F192" s="13" t="n">
        <x:v>1246.4497777348759</x:v>
      </x:c>
      <x:c r="G192" s="13" t="n">
        <x:f>IF(AND(ISNUMBER(E192),ISNUMBER(F192),E192&gt;0),E192-F192,"")</x:f>
        <x:v>-2.7960483663212017</x:v>
      </x:c>
      <x:c r="H192" s="14" t="n">
        <x:f>IF(ISNUMBER(G192),G192/E192,"")</x:f>
        <x:v>-0.002248253111210345</x:v>
      </x:c>
      <x:c r="I192" s="13" t="n">
        <x:v>1542.2526382265598</x:v>
      </x:c>
      <x:c r="J192" s="13" t="n">
        <x:v>1622.0354521475429</x:v>
      </x:c>
      <x:c r="K192" s="13" t="n">
        <x:f>IF(AND(ISNUMBER(I192),ISNUMBER(J192),I192&gt;0),I192-J192,"")</x:f>
        <x:v>-79.78281392098302</x:v>
      </x:c>
      <x:c r="L192" s="14" t="n">
        <x:f>IF(ISNUMBER(K192),K192/I192,"")</x:f>
        <x:v>-0.051731351883259204</x:v>
      </x:c>
      <x:c r="M192" s="15" t="n">
        <x:f>IF(AND(ISNUMBER(E192),ISNUMBER(F192),ISNUMBER(I192),ISNUMBER(J192)),1,0)</x:f>
        <x:v>1</x:v>
      </x:c>
      <x:c r="N192" s="15" t="n">
        <x:v>0</x:v>
      </x:c>
      <x:c r="O192" s="2" t="str">
        <x:v>3/3种子均可行</x:v>
      </x:c>
      <x:c r="P192" s="2" t="str">
        <x:v>3/3种子均可行</x:v>
      </x:c>
      <x:c r="Q192" s="2" t="str">
        <x:v>3/3种子均可行</x:v>
      </x:c>
      <x:c r="R192" s="2" t="str">
        <x:v>3/3种子均可行</x:v>
      </x:c>
    </x:row>
    <x:row r="193" ht="24" customHeight="1">
      <x:c r="A193" s="2" t="n">
        <x:v>100</x:v>
      </x:c>
      <x:c r="B193" s="2" t="str">
        <x:v>大型</x:v>
      </x:c>
      <x:c r="C193" s="2" t="str">
        <x:v>zhou_Set2_100-10-1_scenario02_b1</x:v>
      </x:c>
      <x:c r="D193" s="2" t="str">
        <x:v>ALNS三种子均值</x:v>
      </x:c>
      <x:c r="E193" s="13" t="n">
        <x:v>1257.8406636275201</x:v>
      </x:c>
      <x:c r="F193" s="13" t="n">
        <x:v>1282.759044664705</x:v>
      </x:c>
      <x:c r="G193" s="13" t="n">
        <x:f>IF(AND(ISNUMBER(E193),ISNUMBER(F193),E193&gt;0),E193-F193,"")</x:f>
        <x:v>-24.918381037184872</x:v>
      </x:c>
      <x:c r="H193" s="14" t="n">
        <x:f>IF(ISNUMBER(G193),G193/E193,"")</x:f>
        <x:v>-0.019810443212514763</x:v>
      </x:c>
      <x:c r="I193" s="13" t="n">
        <x:v>1608.3791531653203</x:v>
      </x:c>
      <x:c r="J193" s="13" t="n">
        <x:v>1628.6546488977406</x:v>
      </x:c>
      <x:c r="K193" s="13" t="n">
        <x:f>IF(AND(ISNUMBER(I193),ISNUMBER(J193),I193&gt;0),I193-J193,"")</x:f>
        <x:v>-20.275495732420268</x:v>
      </x:c>
      <x:c r="L193" s="14" t="n">
        <x:f>IF(ISNUMBER(K193),K193/I193,"")</x:f>
        <x:v>-0.01260616670672317</x:v>
      </x:c>
      <x:c r="M193" s="15" t="n">
        <x:f>IF(AND(ISNUMBER(E193),ISNUMBER(F193),ISNUMBER(I193),ISNUMBER(J193)),1,0)</x:f>
        <x:v>1</x:v>
      </x:c>
      <x:c r="N193" s="15" t="n">
        <x:v>0</x:v>
      </x:c>
      <x:c r="O193" s="2" t="str">
        <x:v>3/3种子均可行</x:v>
      </x:c>
      <x:c r="P193" s="2" t="str">
        <x:v>3/3种子均可行</x:v>
      </x:c>
      <x:c r="Q193" s="2" t="str">
        <x:v>3/3种子均可行</x:v>
      </x:c>
      <x:c r="R193" s="2" t="str">
        <x:v>3/3种子均可行</x:v>
      </x:c>
    </x:row>
    <x:row r="194" ht="24" customHeight="1">
      <x:c r="A194" s="2" t="n">
        <x:v>100</x:v>
      </x:c>
      <x:c r="B194" s="2" t="str">
        <x:v>大型</x:v>
      </x:c>
      <x:c r="C194" s="2" t="str">
        <x:v>zhou_Set2_100-10-2_b1</x:v>
      </x:c>
      <x:c r="D194" s="2" t="str">
        <x:v>精确时限可行解</x:v>
      </x:c>
      <x:c r="E194" s="13" t="n">
        <x:v>1761.1013893242032</x:v>
      </x:c>
      <x:c r="F194" s="13" t="n">
        <x:v>1762.5562461575828</x:v>
      </x:c>
      <x:c r="G194" s="13" t="n">
        <x:f>IF(AND(ISNUMBER(E194),ISNUMBER(F194),E194&gt;0),E194-F194,"")</x:f>
        <x:v>-1.4548568333796084</x:v>
      </x:c>
      <x:c r="H194" s="14" t="n">
        <x:f>IF(ISNUMBER(G194),G194/E194,"")</x:f>
        <x:v>-0.0008261062322697323</x:v>
      </x:c>
      <x:c r="I194" s="13"/>
      <x:c r="J194" s="13"/>
      <x:c r="K194" s="13" t="str">
        <x:f>IF(AND(ISNUMBER(I194),ISNUMBER(J194),I194&gt;0),I194-J194,"")</x:f>
      </x:c>
      <x:c r="L194" s="14" t="str">
        <x:f>IF(ISNUMBER(K194),K194/I194,"")</x:f>
      </x:c>
      <x:c r="M194" s="15" t="n">
        <x:f>IF(AND(ISNUMBER(E194),ISNUMBER(F194),ISNUMBER(I194),ISNUMBER(J194)),1,0)</x:f>
        <x:v>0</x:v>
      </x:c>
      <x:c r="N194" s="15" t="n">
        <x:v>0</x:v>
      </x:c>
      <x:c r="O194" s="2" t="str">
        <x:v>可行未证最优</x:v>
      </x:c>
      <x:c r="P194" s="2" t="str">
        <x:v>可行未证最优</x:v>
      </x:c>
      <x:c r="Q194" s="2" t="str">
        <x:v>TIME_LIMIT，无审计可行解</x:v>
      </x:c>
      <x:c r="R194" s="2" t="str">
        <x:v>TIME_LIMIT，无审计可行解</x:v>
      </x:c>
    </x:row>
    <x:row r="195" ht="24" customHeight="1">
      <x:c r="A195" s="2" t="n">
        <x:v>100</x:v>
      </x:c>
      <x:c r="B195" s="2" t="str">
        <x:v>大型</x:v>
      </x:c>
      <x:c r="C195" s="2" t="str">
        <x:v>zhou_Set2_100-10-2_b1</x:v>
      </x:c>
      <x:c r="D195" s="2" t="str">
        <x:v>ALNS三种子最好</x:v>
      </x:c>
      <x:c r="E195" s="13" t="n">
        <x:v>1099.9472626132235</x:v>
      </x:c>
      <x:c r="F195" s="13" t="n">
        <x:v>1106.2017781364696</x:v>
      </x:c>
      <x:c r="G195" s="13" t="n">
        <x:f>IF(AND(ISNUMBER(E195),ISNUMBER(F195),E195&gt;0),E195-F195,"")</x:f>
        <x:v>-6.254515523246027</x:v>
      </x:c>
      <x:c r="H195" s="14" t="n">
        <x:f>IF(ISNUMBER(G195),G195/E195,"")</x:f>
        <x:v>-0.0056861958166855445</x:v>
      </x:c>
      <x:c r="I195" s="13" t="n">
        <x:v>1396.2613112881152</x:v>
      </x:c>
      <x:c r="J195" s="13" t="n">
        <x:v>1446.187178746192</x:v>
      </x:c>
      <x:c r="K195" s="13" t="n">
        <x:f>IF(AND(ISNUMBER(I195),ISNUMBER(J195),I195&gt;0),I195-J195,"")</x:f>
        <x:v>-49.92586745807694</x:v>
      </x:c>
      <x:c r="L195" s="14" t="n">
        <x:f>IF(ISNUMBER(K195),K195/I195,"")</x:f>
        <x:v>-0.03575682220401712</x:v>
      </x:c>
      <x:c r="M195" s="15" t="n">
        <x:f>IF(AND(ISNUMBER(E195),ISNUMBER(F195),ISNUMBER(I195),ISNUMBER(J195)),1,0)</x:f>
        <x:v>1</x:v>
      </x:c>
      <x:c r="N195" s="15" t="n">
        <x:v>0</x:v>
      </x:c>
      <x:c r="O195" s="2" t="str">
        <x:v>3/3种子均可行</x:v>
      </x:c>
      <x:c r="P195" s="2" t="str">
        <x:v>3/3种子均可行</x:v>
      </x:c>
      <x:c r="Q195" s="2" t="str">
        <x:v>3/3种子均可行</x:v>
      </x:c>
      <x:c r="R195" s="2" t="str">
        <x:v>3/3种子均可行</x:v>
      </x:c>
    </x:row>
    <x:row r="196" ht="24" customHeight="1">
      <x:c r="A196" s="2" t="n">
        <x:v>100</x:v>
      </x:c>
      <x:c r="B196" s="2" t="str">
        <x:v>大型</x:v>
      </x:c>
      <x:c r="C196" s="2" t="str">
        <x:v>zhou_Set2_100-10-2_b1</x:v>
      </x:c>
      <x:c r="D196" s="2" t="str">
        <x:v>ALNS三种子均值</x:v>
      </x:c>
      <x:c r="E196" s="13" t="n">
        <x:v>1109.8680061338434</x:v>
      </x:c>
      <x:c r="F196" s="13" t="n">
        <x:v>1126.7023998154714</x:v>
      </x:c>
      <x:c r="G196" s="13" t="n">
        <x:f>IF(AND(ISNUMBER(E196),ISNUMBER(F196),E196&gt;0),E196-F196,"")</x:f>
        <x:v>-16.834393681627944</x:v>
      </x:c>
      <x:c r="H196" s="14" t="n">
        <x:f>IF(ISNUMBER(G196),G196/E196,"")</x:f>
        <x:v>-0.015167924103217925</x:v>
      </x:c>
      <x:c r="I196" s="13" t="n">
        <x:v>1475.3721292704188</x:v>
      </x:c>
      <x:c r="J196" s="13" t="n">
        <x:v>1500.5306759904247</x:v>
      </x:c>
      <x:c r="K196" s="13" t="n">
        <x:f>IF(AND(ISNUMBER(I196),ISNUMBER(J196),I196&gt;0),I196-J196,"")</x:f>
        <x:v>-25.158546720005916</x:v>
      </x:c>
      <x:c r="L196" s="14" t="n">
        <x:f>IF(ISNUMBER(K196),K196/I196,"")</x:f>
        <x:v>-0.01705233969171356</x:v>
      </x:c>
      <x:c r="M196" s="15" t="n">
        <x:f>IF(AND(ISNUMBER(E196),ISNUMBER(F196),ISNUMBER(I196),ISNUMBER(J196)),1,0)</x:f>
        <x:v>1</x:v>
      </x:c>
      <x:c r="N196" s="15" t="n">
        <x:v>0</x:v>
      </x:c>
      <x:c r="O196" s="2" t="str">
        <x:v>3/3种子均可行</x:v>
      </x:c>
      <x:c r="P196" s="2" t="str">
        <x:v>3/3种子均可行</x:v>
      </x:c>
      <x:c r="Q196" s="2" t="str">
        <x:v>3/3种子均可行</x:v>
      </x:c>
      <x:c r="R196" s="2" t="str">
        <x:v>3/3种子均可行</x:v>
      </x:c>
    </x:row>
    <x:row r="197" ht="24" customHeight="1">
      <x:c r="A197" s="2" t="n">
        <x:v>100</x:v>
      </x:c>
      <x:c r="B197" s="2" t="str">
        <x:v>大型</x:v>
      </x:c>
      <x:c r="C197" s="2" t="str">
        <x:v>zhou_Set2_100-10-2_scenario02_b1</x:v>
      </x:c>
      <x:c r="D197" s="2" t="str">
        <x:v>精确时限可行解</x:v>
      </x:c>
      <x:c r="E197" s="13" t="n">
        <x:v>1779.9401790279226</x:v>
      </x:c>
      <x:c r="F197" s="13" t="n">
        <x:v>1762.5562461575828</x:v>
      </x:c>
      <x:c r="G197" s="13" t="n">
        <x:f>IF(AND(ISNUMBER(E197),ISNUMBER(F197),E197&gt;0),E197-F197,"")</x:f>
        <x:v>17.383932870339777</x:v>
      </x:c>
      <x:c r="H197" s="14" t="n">
        <x:f>IF(ISNUMBER(G197),G197/E197,"")</x:f>
        <x:v>0.009766582649892004</x:v>
      </x:c>
      <x:c r="I197" s="13"/>
      <x:c r="J197" s="13"/>
      <x:c r="K197" s="13" t="str">
        <x:f>IF(AND(ISNUMBER(I197),ISNUMBER(J197),I197&gt;0),I197-J197,"")</x:f>
      </x:c>
      <x:c r="L197" s="14" t="str">
        <x:f>IF(ISNUMBER(K197),K197/I197,"")</x:f>
      </x:c>
      <x:c r="M197" s="15" t="n">
        <x:f>IF(AND(ISNUMBER(E197),ISNUMBER(F197),ISNUMBER(I197),ISNUMBER(J197)),1,0)</x:f>
        <x:v>0</x:v>
      </x:c>
      <x:c r="N197" s="15" t="n">
        <x:v>0</x:v>
      </x:c>
      <x:c r="O197" s="2" t="str">
        <x:v>可行未证最优</x:v>
      </x:c>
      <x:c r="P197" s="2" t="str">
        <x:v>可行未证最优</x:v>
      </x:c>
      <x:c r="Q197" s="2" t="str">
        <x:v>TIME_LIMIT，无审计可行解</x:v>
      </x:c>
      <x:c r="R197" s="2" t="str">
        <x:v>TIME_LIMIT，无审计可行解</x:v>
      </x:c>
    </x:row>
    <x:row r="198" ht="24" customHeight="1">
      <x:c r="A198" s="2" t="n">
        <x:v>100</x:v>
      </x:c>
      <x:c r="B198" s="2" t="str">
        <x:v>大型</x:v>
      </x:c>
      <x:c r="C198" s="2" t="str">
        <x:v>zhou_Set2_100-10-2_scenario02_b1</x:v>
      </x:c>
      <x:c r="D198" s="2" t="str">
        <x:v>ALNS三种子最好</x:v>
      </x:c>
      <x:c r="E198" s="13" t="n">
        <x:v>1085.3795205699032</x:v>
      </x:c>
      <x:c r="F198" s="13" t="n">
        <x:v>1110.5426733681163</x:v>
      </x:c>
      <x:c r="G198" s="13" t="n">
        <x:f>IF(AND(ISNUMBER(E198),ISNUMBER(F198),E198&gt;0),E198-F198,"")</x:f>
        <x:v>-25.163152798213105</x:v>
      </x:c>
      <x:c r="H198" s="14" t="n">
        <x:f>IF(ISNUMBER(G198),G198/E198,"")</x:f>
        <x:v>-0.023183736491545943</x:v>
      </x:c>
      <x:c r="I198" s="13" t="n">
        <x:v>1442.6103180709986</x:v>
      </x:c>
      <x:c r="J198" s="13" t="n">
        <x:v>1330.8769835519738</x:v>
      </x:c>
      <x:c r="K198" s="13" t="n">
        <x:f>IF(AND(ISNUMBER(I198),ISNUMBER(J198),I198&gt;0),I198-J198,"")</x:f>
        <x:v>111.73333451902477</x:v>
      </x:c>
      <x:c r="L198" s="14" t="n">
        <x:f>IF(ISNUMBER(K198),K198/I198,"")</x:f>
        <x:v>0.07745219420614581</x:v>
      </x:c>
      <x:c r="M198" s="15" t="n">
        <x:f>IF(AND(ISNUMBER(E198),ISNUMBER(F198),ISNUMBER(I198),ISNUMBER(J198)),1,0)</x:f>
        <x:v>1</x:v>
      </x:c>
      <x:c r="N198" s="15" t="n">
        <x:v>0</x:v>
      </x:c>
      <x:c r="O198" s="2" t="str">
        <x:v>3/3种子均可行</x:v>
      </x:c>
      <x:c r="P198" s="2" t="str">
        <x:v>3/3种子均可行</x:v>
      </x:c>
      <x:c r="Q198" s="2" t="str">
        <x:v>3/3种子均可行</x:v>
      </x:c>
      <x:c r="R198" s="2" t="str">
        <x:v>3/3种子均可行</x:v>
      </x:c>
    </x:row>
    <x:row r="199" ht="24" customHeight="1">
      <x:c r="A199" s="2" t="n">
        <x:v>100</x:v>
      </x:c>
      <x:c r="B199" s="2" t="str">
        <x:v>大型</x:v>
      </x:c>
      <x:c r="C199" s="2" t="str">
        <x:v>zhou_Set2_100-10-2_scenario02_b1</x:v>
      </x:c>
      <x:c r="D199" s="2" t="str">
        <x:v>ALNS三种子均值</x:v>
      </x:c>
      <x:c r="E199" s="13" t="n">
        <x:v>1111.752505600799</x:v>
      </x:c>
      <x:c r="F199" s="13" t="n">
        <x:v>1130.7579673137288</x:v>
      </x:c>
      <x:c r="G199" s="13" t="n">
        <x:f>IF(AND(ISNUMBER(E199),ISNUMBER(F199),E199&gt;0),E199-F199,"")</x:f>
        <x:v>-19.0054617129299</x:v>
      </x:c>
      <x:c r="H199" s="14" t="n">
        <x:f>IF(ISNUMBER(G199),G199/E199,"")</x:f>
        <x:v>-0.01709504733938892</x:v>
      </x:c>
      <x:c r="I199" s="13" t="n">
        <x:v>1486.8601129750068</x:v>
      </x:c>
      <x:c r="J199" s="13" t="n">
        <x:v>1428.3043377394545</x:v>
      </x:c>
      <x:c r="K199" s="13" t="n">
        <x:f>IF(AND(ISNUMBER(I199),ISNUMBER(J199),I199&gt;0),I199-J199,"")</x:f>
        <x:v>58.555775235552346</x:v>
      </x:c>
      <x:c r="L199" s="14" t="n">
        <x:f>IF(ISNUMBER(K199),K199/I199,"")</x:f>
        <x:v>0.03938216831870627</x:v>
      </x:c>
      <x:c r="M199" s="15" t="n">
        <x:f>IF(AND(ISNUMBER(E199),ISNUMBER(F199),ISNUMBER(I199),ISNUMBER(J199)),1,0)</x:f>
        <x:v>1</x:v>
      </x:c>
      <x:c r="N199" s="15" t="n">
        <x:v>0</x:v>
      </x:c>
      <x:c r="O199" s="2" t="str">
        <x:v>3/3种子均可行</x:v>
      </x:c>
      <x:c r="P199" s="2" t="str">
        <x:v>3/3种子均可行</x:v>
      </x:c>
      <x:c r="Q199" s="2" t="str">
        <x:v>3/3种子均可行</x:v>
      </x:c>
      <x:c r="R199" s="2" t="str">
        <x:v>3/3种子均可行</x:v>
      </x:c>
    </x:row>
    <x:row r="200" ht="24" customHeight="1">
      <x:c r="A200" s="2" t="n">
        <x:v>100</x:v>
      </x:c>
      <x:c r="B200" s="2" t="str">
        <x:v>大型</x:v>
      </x:c>
      <x:c r="C200" s="2" t="str">
        <x:v>zhou_Set2_100-5-1b_b1</x:v>
      </x:c>
      <x:c r="D200" s="2" t="str">
        <x:v>精确时限可行解</x:v>
      </x:c>
      <x:c r="E200" s="13"/>
      <x:c r="F200" s="13" t="n">
        <x:v>2975.4688148740097</x:v>
      </x:c>
      <x:c r="G200" s="13" t="str">
        <x:f>IF(AND(ISNUMBER(E200),ISNUMBER(F200),E200&gt;0),E200-F200,"")</x:f>
      </x:c>
      <x:c r="H200" s="14" t="str">
        <x:f>IF(ISNUMBER(G200),G200/E200,"")</x:f>
      </x:c>
      <x:c r="I200" s="13"/>
      <x:c r="J200" s="13" t="n">
        <x:v>3468.9908115643916</x:v>
      </x:c>
      <x:c r="K200" s="13" t="str">
        <x:f>IF(AND(ISNUMBER(I200),ISNUMBER(J200),I200&gt;0),I200-J200,"")</x:f>
      </x:c>
      <x:c r="L200" s="14" t="str">
        <x:f>IF(ISNUMBER(K200),K200/I200,"")</x:f>
      </x:c>
      <x:c r="M200" s="15" t="n">
        <x:f>IF(AND(ISNUMBER(E200),ISNUMBER(F200),ISNUMBER(I200),ISNUMBER(J200)),1,0)</x:f>
        <x:v>0</x:v>
      </x:c>
      <x:c r="N200" s="15" t="n">
        <x:v>0</x:v>
      </x:c>
      <x:c r="O200" s="2" t="str">
        <x:v>TIME_LIMIT，无审计可行解</x:v>
      </x:c>
      <x:c r="P200" s="2" t="str">
        <x:v>可行未证最优</x:v>
      </x:c>
      <x:c r="Q200" s="2" t="str">
        <x:v>TIME_LIMIT，无审计可行解</x:v>
      </x:c>
      <x:c r="R200" s="2" t="str">
        <x:v>可行未证最优</x:v>
      </x:c>
    </x:row>
    <x:row r="201" ht="24" customHeight="1">
      <x:c r="A201" s="2" t="n">
        <x:v>100</x:v>
      </x:c>
      <x:c r="B201" s="2" t="str">
        <x:v>大型</x:v>
      </x:c>
      <x:c r="C201" s="2" t="str">
        <x:v>zhou_Set2_100-5-1b_b1</x:v>
      </x:c>
      <x:c r="D201" s="2" t="str">
        <x:v>ALNS三种子最好</x:v>
      </x:c>
      <x:c r="E201" s="13" t="n">
        <x:v>2009.121826952909</x:v>
      </x:c>
      <x:c r="F201" s="13" t="n">
        <x:v>1905.0397216212089</x:v>
      </x:c>
      <x:c r="G201" s="13" t="n">
        <x:f>IF(AND(ISNUMBER(E201),ISNUMBER(F201),E201&gt;0),E201-F201,"")</x:f>
        <x:v>104.08210533170018</x:v>
      </x:c>
      <x:c r="H201" s="14" t="n">
        <x:f>IF(ISNUMBER(G201),G201/E201,"")</x:f>
        <x:v>0.05180477556682266</x:v>
      </x:c>
      <x:c r="I201" s="13" t="n">
        <x:v>2377.717502762673</x:v>
      </x:c>
      <x:c r="J201" s="13" t="n">
        <x:v>2524.7416912469757</x:v>
      </x:c>
      <x:c r="K201" s="13" t="n">
        <x:f>IF(AND(ISNUMBER(I201),ISNUMBER(J201),I201&gt;0),I201-J201,"")</x:f>
        <x:v>-147.0241884843026</x:v>
      </x:c>
      <x:c r="L201" s="14" t="n">
        <x:f>IF(ISNUMBER(K201),K201/I201,"")</x:f>
        <x:v>-0.061834170086848</x:v>
      </x:c>
      <x:c r="M201" s="15" t="n">
        <x:f>IF(AND(ISNUMBER(E201),ISNUMBER(F201),ISNUMBER(I201),ISNUMBER(J201)),1,0)</x:f>
        <x:v>1</x:v>
      </x:c>
      <x:c r="N201" s="15" t="n">
        <x:v>0</x:v>
      </x:c>
      <x:c r="O201" s="2" t="str">
        <x:v>3/3种子均可行</x:v>
      </x:c>
      <x:c r="P201" s="2" t="str">
        <x:v>3/3种子均可行</x:v>
      </x:c>
      <x:c r="Q201" s="2" t="str">
        <x:v>3/3种子均可行</x:v>
      </x:c>
      <x:c r="R201" s="2" t="str">
        <x:v>3/3种子均可行</x:v>
      </x:c>
    </x:row>
    <x:row r="202" ht="24" customHeight="1">
      <x:c r="A202" s="2" t="n">
        <x:v>100</x:v>
      </x:c>
      <x:c r="B202" s="2" t="str">
        <x:v>大型</x:v>
      </x:c>
      <x:c r="C202" s="2" t="str">
        <x:v>zhou_Set2_100-5-1b_b1</x:v>
      </x:c>
      <x:c r="D202" s="2" t="str">
        <x:v>ALNS三种子均值</x:v>
      </x:c>
      <x:c r="E202" s="13" t="n">
        <x:v>2041.3081657403523</x:v>
      </x:c>
      <x:c r="F202" s="13" t="n">
        <x:v>2001.786750231857</x:v>
      </x:c>
      <x:c r="G202" s="13" t="n">
        <x:f>IF(AND(ISNUMBER(E202),ISNUMBER(F202),E202&gt;0),E202-F202,"")</x:f>
        <x:v>39.52141550849524</x:v>
      </x:c>
      <x:c r="H202" s="14" t="n">
        <x:f>IF(ISNUMBER(G202),G202/E202,"")</x:f>
        <x:v>0.019360827616226876</x:v>
      </x:c>
      <x:c r="I202" s="13" t="n">
        <x:v>2448.7694392387757</x:v>
      </x:c>
      <x:c r="J202" s="13" t="n">
        <x:v>2600.6561174517333</x:v>
      </x:c>
      <x:c r="K202" s="13" t="n">
        <x:f>IF(AND(ISNUMBER(I202),ISNUMBER(J202),I202&gt;0),I202-J202,"")</x:f>
        <x:v>-151.88667821295758</x:v>
      </x:c>
      <x:c r="L202" s="14" t="n">
        <x:f>IF(ISNUMBER(K202),K202/I202,"")</x:f>
        <x:v>-0.062025716173660296</x:v>
      </x:c>
      <x:c r="M202" s="15" t="n">
        <x:f>IF(AND(ISNUMBER(E202),ISNUMBER(F202),ISNUMBER(I202),ISNUMBER(J202)),1,0)</x:f>
        <x:v>1</x:v>
      </x:c>
      <x:c r="N202" s="15" t="n">
        <x:v>0</x:v>
      </x:c>
      <x:c r="O202" s="2" t="str">
        <x:v>3/3种子均可行</x:v>
      </x:c>
      <x:c r="P202" s="2" t="str">
        <x:v>3/3种子均可行</x:v>
      </x:c>
      <x:c r="Q202" s="2" t="str">
        <x:v>3/3种子均可行</x:v>
      </x:c>
      <x:c r="R202" s="2" t="str">
        <x:v>3/3种子均可行</x:v>
      </x:c>
    </x:row>
    <x:row r="203" ht="24" customHeight="1">
      <x:c r="A203" s="2" t="n">
        <x:v>100</x:v>
      </x:c>
      <x:c r="B203" s="2" t="str">
        <x:v>大型</x:v>
      </x:c>
      <x:c r="C203" s="2" t="str">
        <x:v>zhou_Set2_100-5-1b_scenario02_b1</x:v>
      </x:c>
      <x:c r="D203" s="2" t="str">
        <x:v>精确时限可行解</x:v>
      </x:c>
      <x:c r="E203" s="13" t="n">
        <x:v>2914.514313000305</x:v>
      </x:c>
      <x:c r="F203" s="13" t="n">
        <x:v>2975.4688148740097</x:v>
      </x:c>
      <x:c r="G203" s="13" t="n">
        <x:f>IF(AND(ISNUMBER(E203),ISNUMBER(F203),E203&gt;0),E203-F203,"")</x:f>
        <x:v>-60.954501873704885</x:v>
      </x:c>
      <x:c r="H203" s="14" t="n">
        <x:f>IF(ISNUMBER(G203),G203/E203,"")</x:f>
        <x:v>-0.02091411992791216</x:v>
      </x:c>
      <x:c r="I203" s="13"/>
      <x:c r="J203" s="13"/>
      <x:c r="K203" s="13" t="str">
        <x:f>IF(AND(ISNUMBER(I203),ISNUMBER(J203),I203&gt;0),I203-J203,"")</x:f>
      </x:c>
      <x:c r="L203" s="14" t="str">
        <x:f>IF(ISNUMBER(K203),K203/I203,"")</x:f>
      </x:c>
      <x:c r="M203" s="15" t="n">
        <x:f>IF(AND(ISNUMBER(E203),ISNUMBER(F203),ISNUMBER(I203),ISNUMBER(J203)),1,0)</x:f>
        <x:v>0</x:v>
      </x:c>
      <x:c r="N203" s="15" t="n">
        <x:v>0</x:v>
      </x:c>
      <x:c r="O203" s="2" t="str">
        <x:v>可行未证最优</x:v>
      </x:c>
      <x:c r="P203" s="2" t="str">
        <x:v>可行未证最优</x:v>
      </x:c>
      <x:c r="Q203" s="2" t="str">
        <x:v>TIME_LIMIT，无审计可行解</x:v>
      </x:c>
      <x:c r="R203" s="2" t="str">
        <x:v>TIME_LIMIT，无审计可行解</x:v>
      </x:c>
    </x:row>
    <x:row r="204" ht="24" customHeight="1">
      <x:c r="A204" s="2" t="n">
        <x:v>100</x:v>
      </x:c>
      <x:c r="B204" s="2" t="str">
        <x:v>大型</x:v>
      </x:c>
      <x:c r="C204" s="2" t="str">
        <x:v>zhou_Set2_100-5-1b_scenario02_b1</x:v>
      </x:c>
      <x:c r="D204" s="2" t="str">
        <x:v>ALNS三种子最好</x:v>
      </x:c>
      <x:c r="E204" s="13" t="n">
        <x:v>1887.5659283411962</x:v>
      </x:c>
      <x:c r="F204" s="13" t="n">
        <x:v>1843.9024419095692</x:v>
      </x:c>
      <x:c r="G204" s="13" t="n">
        <x:f>IF(AND(ISNUMBER(E204),ISNUMBER(F204),E204&gt;0),E204-F204,"")</x:f>
        <x:v>43.66348643162701</x:v>
      </x:c>
      <x:c r="H204" s="14" t="n">
        <x:f>IF(ISNUMBER(G204),G204/E204,"")</x:f>
        <x:v>0.023132164962311397</x:v>
      </x:c>
      <x:c r="I204" s="13" t="n">
        <x:v>2400.035231156081</x:v>
      </x:c>
      <x:c r="J204" s="13" t="n">
        <x:v>2541.356031795526</x:v>
      </x:c>
      <x:c r="K204" s="13" t="n">
        <x:f>IF(AND(ISNUMBER(I204),ISNUMBER(J204),I204&gt;0),I204-J204,"")</x:f>
        <x:v>-141.32080063944522</x:v>
      </x:c>
      <x:c r="L204" s="14" t="n">
        <x:f>IF(ISNUMBER(K204),K204/I204,"")</x:f>
        <x:v>-0.05888280255426581</x:v>
      </x:c>
      <x:c r="M204" s="15" t="n">
        <x:f>IF(AND(ISNUMBER(E204),ISNUMBER(F204),ISNUMBER(I204),ISNUMBER(J204)),1,0)</x:f>
        <x:v>1</x:v>
      </x:c>
      <x:c r="N204" s="15" t="n">
        <x:v>0</x:v>
      </x:c>
      <x:c r="O204" s="2" t="str">
        <x:v>3/3种子均可行</x:v>
      </x:c>
      <x:c r="P204" s="2" t="str">
        <x:v>3/3种子均可行</x:v>
      </x:c>
      <x:c r="Q204" s="2" t="str">
        <x:v>3/3种子均可行</x:v>
      </x:c>
      <x:c r="R204" s="2" t="str">
        <x:v>3/3种子均可行</x:v>
      </x:c>
    </x:row>
    <x:row r="205" ht="24" customHeight="1">
      <x:c r="A205" s="2" t="n">
        <x:v>100</x:v>
      </x:c>
      <x:c r="B205" s="2" t="str">
        <x:v>大型</x:v>
      </x:c>
      <x:c r="C205" s="2" t="str">
        <x:v>zhou_Set2_100-5-1b_scenario02_b1</x:v>
      </x:c>
      <x:c r="D205" s="2" t="str">
        <x:v>ALNS三种子均值</x:v>
      </x:c>
      <x:c r="E205" s="13" t="n">
        <x:v>1991.6907756330563</x:v>
      </x:c>
      <x:c r="F205" s="13" t="n">
        <x:v>1900.1986864689484</x:v>
      </x:c>
      <x:c r="G205" s="13" t="n">
        <x:f>IF(AND(ISNUMBER(E205),ISNUMBER(F205),E205&gt;0),E205-F205,"")</x:f>
        <x:v>91.49208916410794</x:v>
      </x:c>
      <x:c r="H205" s="14" t="n">
        <x:f>IF(ISNUMBER(G205),G205/E205,"")</x:f>
        <x:v>0.04593689456387993</x:v>
      </x:c>
      <x:c r="I205" s="13" t="n">
        <x:v>2523.9202622901867</x:v>
      </x:c>
      <x:c r="J205" s="13" t="n">
        <x:v>2596.031877454087</x:v>
      </x:c>
      <x:c r="K205" s="13" t="n">
        <x:f>IF(AND(ISNUMBER(I205),ISNUMBER(J205),I205&gt;0),I205-J205,"")</x:f>
        <x:v>-72.1116151639003</x:v>
      </x:c>
      <x:c r="L205" s="14" t="n">
        <x:f>IF(ISNUMBER(K205),K205/I205,"")</x:f>
        <x:v>-0.028571273126698046</x:v>
      </x:c>
      <x:c r="M205" s="15" t="n">
        <x:f>IF(AND(ISNUMBER(E205),ISNUMBER(F205),ISNUMBER(I205),ISNUMBER(J205)),1,0)</x:f>
        <x:v>1</x:v>
      </x:c>
      <x:c r="N205" s="15" t="n">
        <x:v>0</x:v>
      </x:c>
      <x:c r="O205" s="2" t="str">
        <x:v>3/3种子均可行</x:v>
      </x:c>
      <x:c r="P205" s="2" t="str">
        <x:v>3/3种子均可行</x:v>
      </x:c>
      <x:c r="Q205" s="2" t="str">
        <x:v>3/3种子均可行</x:v>
      </x:c>
      <x:c r="R205" s="2" t="str">
        <x:v>3/3种子均可行</x:v>
      </x:c>
    </x:row>
    <x:row r="206" ht="24" customHeight="1">
      <x:c r="A206" s="2" t="n">
        <x:v>100</x:v>
      </x:c>
      <x:c r="B206" s="2" t="str">
        <x:v>大型</x:v>
      </x:c>
      <x:c r="C206" s="2" t="str">
        <x:v>zhou_Set2_100-5-2_b1</x:v>
      </x:c>
      <x:c r="D206" s="2" t="str">
        <x:v>精确时限可行解</x:v>
      </x:c>
      <x:c r="E206" s="13"/>
      <x:c r="F206" s="13" t="n">
        <x:v>1715.593092217122</x:v>
      </x:c>
      <x:c r="G206" s="13" t="str">
        <x:f>IF(AND(ISNUMBER(E206),ISNUMBER(F206),E206&gt;0),E206-F206,"")</x:f>
      </x:c>
      <x:c r="H206" s="14" t="str">
        <x:f>IF(ISNUMBER(G206),G206/E206,"")</x:f>
      </x:c>
      <x:c r="I206" s="13"/>
      <x:c r="J206" s="13"/>
      <x:c r="K206" s="13" t="str">
        <x:f>IF(AND(ISNUMBER(I206),ISNUMBER(J206),I206&gt;0),I206-J206,"")</x:f>
      </x:c>
      <x:c r="L206" s="14" t="str">
        <x:f>IF(ISNUMBER(K206),K206/I206,"")</x:f>
      </x:c>
      <x:c r="M206" s="15" t="n">
        <x:f>IF(AND(ISNUMBER(E206),ISNUMBER(F206),ISNUMBER(I206),ISNUMBER(J206)),1,0)</x:f>
        <x:v>0</x:v>
      </x:c>
      <x:c r="N206" s="15" t="n">
        <x:v>0</x:v>
      </x:c>
      <x:c r="O206" s="2" t="str">
        <x:v>TIME_LIMIT，无审计可行解</x:v>
      </x:c>
      <x:c r="P206" s="2" t="str">
        <x:v>可行未证最优</x:v>
      </x:c>
      <x:c r="Q206" s="2" t="str">
        <x:v>TIME_LIMIT，无审计可行解</x:v>
      </x:c>
      <x:c r="R206" s="2" t="str">
        <x:v>TIME_LIMIT，无审计可行解</x:v>
      </x:c>
    </x:row>
    <x:row r="207" ht="24" customHeight="1">
      <x:c r="A207" s="2" t="n">
        <x:v>100</x:v>
      </x:c>
      <x:c r="B207" s="2" t="str">
        <x:v>大型</x:v>
      </x:c>
      <x:c r="C207" s="2" t="str">
        <x:v>zhou_Set2_100-5-2_b1</x:v>
      </x:c>
      <x:c r="D207" s="2" t="str">
        <x:v>ALNS三种子最好</x:v>
      </x:c>
      <x:c r="E207" s="13" t="n">
        <x:v>1136.082460650313</x:v>
      </x:c>
      <x:c r="F207" s="13" t="n">
        <x:v>1134.8295647688315</x:v>
      </x:c>
      <x:c r="G207" s="13" t="n">
        <x:f>IF(AND(ISNUMBER(E207),ISNUMBER(F207),E207&gt;0),E207-F207,"")</x:f>
        <x:v>1.252895881481436</x:v>
      </x:c>
      <x:c r="H207" s="14" t="n">
        <x:f>IF(ISNUMBER(G207),G207/E207,"")</x:f>
        <x:v>0.0011028212518695668</x:v>
      </x:c>
      <x:c r="I207" s="13" t="n">
        <x:v>1464.32951571494</x:v>
      </x:c>
      <x:c r="J207" s="13" t="n">
        <x:v>1492.1320928648875</x:v>
      </x:c>
      <x:c r="K207" s="13" t="n">
        <x:f>IF(AND(ISNUMBER(I207),ISNUMBER(J207),I207&gt;0),I207-J207,"")</x:f>
        <x:v>-27.80257714994741</x:v>
      </x:c>
      <x:c r="L207" s="14" t="n">
        <x:f>IF(ISNUMBER(K207),K207/I207,"")</x:f>
        <x:v>-0.018986557910343805</x:v>
      </x:c>
      <x:c r="M207" s="15" t="n">
        <x:f>IF(AND(ISNUMBER(E207),ISNUMBER(F207),ISNUMBER(I207),ISNUMBER(J207)),1,0)</x:f>
        <x:v>1</x:v>
      </x:c>
      <x:c r="N207" s="15" t="n">
        <x:v>0</x:v>
      </x:c>
      <x:c r="O207" s="2" t="str">
        <x:v>3/3种子均可行</x:v>
      </x:c>
      <x:c r="P207" s="2" t="str">
        <x:v>3/3种子均可行</x:v>
      </x:c>
      <x:c r="Q207" s="2" t="str">
        <x:v>3/3种子均可行</x:v>
      </x:c>
      <x:c r="R207" s="2" t="str">
        <x:v>3/3种子均可行</x:v>
      </x:c>
    </x:row>
    <x:row r="208" ht="24" customHeight="1">
      <x:c r="A208" s="2" t="n">
        <x:v>100</x:v>
      </x:c>
      <x:c r="B208" s="2" t="str">
        <x:v>大型</x:v>
      </x:c>
      <x:c r="C208" s="2" t="str">
        <x:v>zhou_Set2_100-5-2_b1</x:v>
      </x:c>
      <x:c r="D208" s="2" t="str">
        <x:v>ALNS三种子均值</x:v>
      </x:c>
      <x:c r="E208" s="13" t="n">
        <x:v>1139.6316544937645</x:v>
      </x:c>
      <x:c r="F208" s="13" t="n">
        <x:v>1165.4956431830992</x:v>
      </x:c>
      <x:c r="G208" s="13" t="n">
        <x:f>IF(AND(ISNUMBER(E208),ISNUMBER(F208),E208&gt;0),E208-F208,"")</x:f>
        <x:v>-25.863988689334747</x:v>
      </x:c>
      <x:c r="H208" s="14" t="n">
        <x:f>IF(ISNUMBER(G208),G208/E208,"")</x:f>
        <x:v>-0.022695042373865777</x:v>
      </x:c>
      <x:c r="I208" s="13" t="n">
        <x:v>1502.638111535648</x:v>
      </x:c>
      <x:c r="J208" s="13" t="n">
        <x:v>1541.842097276441</x:v>
      </x:c>
      <x:c r="K208" s="13" t="n">
        <x:f>IF(AND(ISNUMBER(I208),ISNUMBER(J208),I208&gt;0),I208-J208,"")</x:f>
        <x:v>-39.20398574079309</x:v>
      </x:c>
      <x:c r="L208" s="14" t="n">
        <x:f>IF(ISNUMBER(K208),K208/I208,"")</x:f>
        <x:v>-0.026090104756312796</x:v>
      </x:c>
      <x:c r="M208" s="15" t="n">
        <x:f>IF(AND(ISNUMBER(E208),ISNUMBER(F208),ISNUMBER(I208),ISNUMBER(J208)),1,0)</x:f>
        <x:v>1</x:v>
      </x:c>
      <x:c r="N208" s="15" t="n">
        <x:v>0</x:v>
      </x:c>
      <x:c r="O208" s="2" t="str">
        <x:v>3/3种子均可行</x:v>
      </x:c>
      <x:c r="P208" s="2" t="str">
        <x:v>3/3种子均可行</x:v>
      </x:c>
      <x:c r="Q208" s="2" t="str">
        <x:v>3/3种子均可行</x:v>
      </x:c>
      <x:c r="R208" s="2" t="str">
        <x:v>3/3种子均可行</x:v>
      </x:c>
    </x:row>
    <x:row r="209" ht="24" customHeight="1">
      <x:c r="A209" s="2" t="n">
        <x:v>100</x:v>
      </x:c>
      <x:c r="B209" s="2" t="str">
        <x:v>大型</x:v>
      </x:c>
      <x:c r="C209" s="2" t="str">
        <x:v>zhou_Set2_100-5-2_scenario02_b1</x:v>
      </x:c>
      <x:c r="D209" s="2" t="str">
        <x:v>精确时限可行解</x:v>
      </x:c>
      <x:c r="E209" s="13"/>
      <x:c r="F209" s="13" t="n">
        <x:v>1715.593092217122</x:v>
      </x:c>
      <x:c r="G209" s="13" t="str">
        <x:f>IF(AND(ISNUMBER(E209),ISNUMBER(F209),E209&gt;0),E209-F209,"")</x:f>
      </x:c>
      <x:c r="H209" s="14" t="str">
        <x:f>IF(ISNUMBER(G209),G209/E209,"")</x:f>
      </x:c>
      <x:c r="I209" s="13"/>
      <x:c r="J209" s="13"/>
      <x:c r="K209" s="13" t="str">
        <x:f>IF(AND(ISNUMBER(I209),ISNUMBER(J209),I209&gt;0),I209-J209,"")</x:f>
      </x:c>
      <x:c r="L209" s="14" t="str">
        <x:f>IF(ISNUMBER(K209),K209/I209,"")</x:f>
      </x:c>
      <x:c r="M209" s="15" t="n">
        <x:f>IF(AND(ISNUMBER(E209),ISNUMBER(F209),ISNUMBER(I209),ISNUMBER(J209)),1,0)</x:f>
        <x:v>0</x:v>
      </x:c>
      <x:c r="N209" s="15" t="n">
        <x:v>0</x:v>
      </x:c>
      <x:c r="O209" s="2" t="str">
        <x:v>TIME_LIMIT，无审计可行解</x:v>
      </x:c>
      <x:c r="P209" s="2" t="str">
        <x:v>可行未证最优</x:v>
      </x:c>
      <x:c r="Q209" s="2" t="str">
        <x:v>TIME_LIMIT，无审计可行解</x:v>
      </x:c>
      <x:c r="R209" s="2" t="str">
        <x:v>TIME_LIMIT，无审计可行解</x:v>
      </x:c>
    </x:row>
    <x:row r="210" ht="24" customHeight="1">
      <x:c r="A210" s="2" t="n">
        <x:v>100</x:v>
      </x:c>
      <x:c r="B210" s="2" t="str">
        <x:v>大型</x:v>
      </x:c>
      <x:c r="C210" s="2" t="str">
        <x:v>zhou_Set2_100-5-2_scenario02_b1</x:v>
      </x:c>
      <x:c r="D210" s="2" t="str">
        <x:v>ALNS三种子最好</x:v>
      </x:c>
      <x:c r="E210" s="13" t="n">
        <x:v>1153.0353158372934</x:v>
      </x:c>
      <x:c r="F210" s="13" t="n">
        <x:v>1154.0925636095787</x:v>
      </x:c>
      <x:c r="G210" s="13" t="n">
        <x:f>IF(AND(ISNUMBER(E210),ISNUMBER(F210),E210&gt;0),E210-F210,"")</x:f>
        <x:v>-1.0572477722853364</x:v>
      </x:c>
      <x:c r="H210" s="14" t="n">
        <x:f>IF(ISNUMBER(G210),G210/E210,"")</x:f>
        <x:v>-0.0009169257504637666</x:v>
      </x:c>
      <x:c r="I210" s="13" t="n">
        <x:v>1438.238313580117</x:v>
      </x:c>
      <x:c r="J210" s="13" t="n">
        <x:v>1344.3429654741801</x:v>
      </x:c>
      <x:c r="K210" s="13" t="n">
        <x:f>IF(AND(ISNUMBER(I210),ISNUMBER(J210),I210&gt;0),I210-J210,"")</x:f>
        <x:v>93.89534810593682</x:v>
      </x:c>
      <x:c r="L210" s="14" t="n">
        <x:f>IF(ISNUMBER(K210),K210/I210,"")</x:f>
        <x:v>0.0652849720518215</x:v>
      </x:c>
      <x:c r="M210" s="15" t="n">
        <x:f>IF(AND(ISNUMBER(E210),ISNUMBER(F210),ISNUMBER(I210),ISNUMBER(J210)),1,0)</x:f>
        <x:v>1</x:v>
      </x:c>
      <x:c r="N210" s="15" t="n">
        <x:v>0</x:v>
      </x:c>
      <x:c r="O210" s="2" t="str">
        <x:v>3/3种子均可行</x:v>
      </x:c>
      <x:c r="P210" s="2" t="str">
        <x:v>3/3种子均可行</x:v>
      </x:c>
      <x:c r="Q210" s="2" t="str">
        <x:v>3/3种子均可行</x:v>
      </x:c>
      <x:c r="R210" s="2" t="str">
        <x:v>3/3种子均可行</x:v>
      </x:c>
    </x:row>
    <x:row r="211" ht="24" customHeight="1">
      <x:c r="A211" s="2" t="n">
        <x:v>100</x:v>
      </x:c>
      <x:c r="B211" s="2" t="str">
        <x:v>大型</x:v>
      </x:c>
      <x:c r="C211" s="2" t="str">
        <x:v>zhou_Set2_100-5-2_scenario02_b1</x:v>
      </x:c>
      <x:c r="D211" s="2" t="str">
        <x:v>ALNS三种子均值</x:v>
      </x:c>
      <x:c r="E211" s="13" t="n">
        <x:v>1168.7534636094042</x:v>
      </x:c>
      <x:c r="F211" s="13" t="n">
        <x:v>1165.0708830772885</x:v>
      </x:c>
      <x:c r="G211" s="13" t="n">
        <x:f>IF(AND(ISNUMBER(E211),ISNUMBER(F211),E211&gt;0),E211-F211,"")</x:f>
        <x:v>3.6825805321157077</x:v>
      </x:c>
      <x:c r="H211" s="14" t="n">
        <x:f>IF(ISNUMBER(G211),G211/E211,"")</x:f>
        <x:v>0.0031508617058921685</x:v>
      </x:c>
      <x:c r="I211" s="13" t="n">
        <x:v>1468.0664429178937</x:v>
      </x:c>
      <x:c r="J211" s="13" t="n">
        <x:v>1423.2448909556815</x:v>
      </x:c>
      <x:c r="K211" s="13" t="n">
        <x:f>IF(AND(ISNUMBER(I211),ISNUMBER(J211),I211&gt;0),I211-J211,"")</x:f>
        <x:v>44.8215519622122</x:v>
      </x:c>
      <x:c r="L211" s="14" t="n">
        <x:f>IF(ISNUMBER(K211),K211/I211,"")</x:f>
        <x:v>0.03053101048555129</x:v>
      </x:c>
      <x:c r="M211" s="15" t="n">
        <x:f>IF(AND(ISNUMBER(E211),ISNUMBER(F211),ISNUMBER(I211),ISNUMBER(J211)),1,0)</x:f>
        <x:v>1</x:v>
      </x:c>
      <x:c r="N211" s="15" t="n">
        <x:v>0</x:v>
      </x:c>
      <x:c r="O211" s="2" t="str">
        <x:v>3/3种子均可行</x:v>
      </x:c>
      <x:c r="P211" s="2" t="str">
        <x:v>3/3种子均可行</x:v>
      </x:c>
      <x:c r="Q211" s="2" t="str">
        <x:v>3/3种子均可行</x:v>
      </x:c>
      <x:c r="R211" s="2" t="str">
        <x:v>3/3种子均可行</x:v>
      </x:c>
    </x:row>
    <x:row r="212" ht="24" customHeight="1">
      <x:c r="A212" s="2" t="n">
        <x:v>100</x:v>
      </x:c>
      <x:c r="B212" s="2" t="str">
        <x:v>大型</x:v>
      </x:c>
      <x:c r="C212" s="2" t="str">
        <x:v>zhou_Set2_100-5-3_b1</x:v>
      </x:c>
      <x:c r="D212" s="2" t="str">
        <x:v>精确时限可行解</x:v>
      </x:c>
      <x:c r="E212" s="13" t="n">
        <x:v>1786.5425580100807</x:v>
      </x:c>
      <x:c r="F212" s="13" t="n">
        <x:v>1879.364867936497</x:v>
      </x:c>
      <x:c r="G212" s="13" t="n">
        <x:f>IF(AND(ISNUMBER(E212),ISNUMBER(F212),E212&gt;0),E212-F212,"")</x:f>
        <x:v>-92.82230992641621</x:v>
      </x:c>
      <x:c r="H212" s="14" t="n">
        <x:f>IF(ISNUMBER(G212),G212/E212,"")</x:f>
        <x:v>-0.05195639449518921</x:v>
      </x:c>
      <x:c r="I212" s="13"/>
      <x:c r="J212" s="13"/>
      <x:c r="K212" s="13" t="str">
        <x:f>IF(AND(ISNUMBER(I212),ISNUMBER(J212),I212&gt;0),I212-J212,"")</x:f>
      </x:c>
      <x:c r="L212" s="14" t="str">
        <x:f>IF(ISNUMBER(K212),K212/I212,"")</x:f>
      </x:c>
      <x:c r="M212" s="15" t="n">
        <x:f>IF(AND(ISNUMBER(E212),ISNUMBER(F212),ISNUMBER(I212),ISNUMBER(J212)),1,0)</x:f>
        <x:v>0</x:v>
      </x:c>
      <x:c r="N212" s="15" t="n">
        <x:v>0</x:v>
      </x:c>
      <x:c r="O212" s="2" t="str">
        <x:v>可行未证最优</x:v>
      </x:c>
      <x:c r="P212" s="2" t="str">
        <x:v>可行未证最优</x:v>
      </x:c>
      <x:c r="Q212" s="2" t="str">
        <x:v>TIME_LIMIT，无审计可行解</x:v>
      </x:c>
      <x:c r="R212" s="2" t="str">
        <x:v>TIME_LIMIT，无审计可行解</x:v>
      </x:c>
    </x:row>
    <x:row r="213" ht="24" customHeight="1">
      <x:c r="A213" s="2" t="n">
        <x:v>100</x:v>
      </x:c>
      <x:c r="B213" s="2" t="str">
        <x:v>大型</x:v>
      </x:c>
      <x:c r="C213" s="2" t="str">
        <x:v>zhou_Set2_100-5-3_b1</x:v>
      </x:c>
      <x:c r="D213" s="2" t="str">
        <x:v>ALNS三种子最好</x:v>
      </x:c>
      <x:c r="E213" s="13" t="n">
        <x:v>1237.4590250696506</x:v>
      </x:c>
      <x:c r="F213" s="13" t="n">
        <x:v>1227.1185624135394</x:v>
      </x:c>
      <x:c r="G213" s="13" t="n">
        <x:f>IF(AND(ISNUMBER(E213),ISNUMBER(F213),E213&gt;0),E213-F213,"")</x:f>
        <x:v>10.340462656111185</x:v>
      </x:c>
      <x:c r="H213" s="14" t="n">
        <x:f>IF(ISNUMBER(G213),G213/E213,"")</x:f>
        <x:v>0.008356206101878138</x:v>
      </x:c>
      <x:c r="I213" s="13" t="n">
        <x:v>1511.7119007321348</x:v>
      </x:c>
      <x:c r="J213" s="13" t="n">
        <x:v>1582.4712585593159</x:v>
      </x:c>
      <x:c r="K213" s="13" t="n">
        <x:f>IF(AND(ISNUMBER(I213),ISNUMBER(J213),I213&gt;0),I213-J213,"")</x:f>
        <x:v>-70.75935782718102</x:v>
      </x:c>
      <x:c r="L213" s="14" t="n">
        <x:f>IF(ISNUMBER(K213),K213/I213,"")</x:f>
        <x:v>-0.04680743585660182</x:v>
      </x:c>
      <x:c r="M213" s="15" t="n">
        <x:f>IF(AND(ISNUMBER(E213),ISNUMBER(F213),ISNUMBER(I213),ISNUMBER(J213)),1,0)</x:f>
        <x:v>1</x:v>
      </x:c>
      <x:c r="N213" s="15" t="n">
        <x:v>0</x:v>
      </x:c>
      <x:c r="O213" s="2" t="str">
        <x:v>3/3种子均可行</x:v>
      </x:c>
      <x:c r="P213" s="2" t="str">
        <x:v>3/3种子均可行</x:v>
      </x:c>
      <x:c r="Q213" s="2" t="str">
        <x:v>3/3种子均可行</x:v>
      </x:c>
      <x:c r="R213" s="2" t="str">
        <x:v>3/3种子均可行</x:v>
      </x:c>
    </x:row>
    <x:row r="214" ht="24" customHeight="1">
      <x:c r="A214" s="2" t="n">
        <x:v>100</x:v>
      </x:c>
      <x:c r="B214" s="2" t="str">
        <x:v>大型</x:v>
      </x:c>
      <x:c r="C214" s="2" t="str">
        <x:v>zhou_Set2_100-5-3_b1</x:v>
      </x:c>
      <x:c r="D214" s="2" t="str">
        <x:v>ALNS三种子均值</x:v>
      </x:c>
      <x:c r="E214" s="13" t="n">
        <x:v>1244.7357671316292</x:v>
      </x:c>
      <x:c r="F214" s="13" t="n">
        <x:v>1243.6885940903617</x:v>
      </x:c>
      <x:c r="G214" s="13" t="n">
        <x:f>IF(AND(ISNUMBER(E214),ISNUMBER(F214),E214&gt;0),E214-F214,"")</x:f>
        <x:v>1.0471730412675697</x:v>
      </x:c>
      <x:c r="H214" s="14" t="n">
        <x:f>IF(ISNUMBER(G214),G214/E214,"")</x:f>
        <x:v>0.0008412813939465053</x:v>
      </x:c>
      <x:c r="I214" s="13" t="n">
        <x:v>1586.2329424929574</x:v>
      </x:c>
      <x:c r="J214" s="13" t="n">
        <x:v>1671.0208556695757</x:v>
      </x:c>
      <x:c r="K214" s="13" t="n">
        <x:f>IF(AND(ISNUMBER(I214),ISNUMBER(J214),I214&gt;0),I214-J214,"")</x:f>
        <x:v>-84.7879131766183</x:v>
      </x:c>
      <x:c r="L214" s="14" t="n">
        <x:f>IF(ISNUMBER(K214),K214/I214,"")</x:f>
        <x:v>-0.0534523719091118</x:v>
      </x:c>
      <x:c r="M214" s="15" t="n">
        <x:f>IF(AND(ISNUMBER(E214),ISNUMBER(F214),ISNUMBER(I214),ISNUMBER(J214)),1,0)</x:f>
        <x:v>1</x:v>
      </x:c>
      <x:c r="N214" s="15" t="n">
        <x:v>0</x:v>
      </x:c>
      <x:c r="O214" s="2" t="str">
        <x:v>3/3种子均可行</x:v>
      </x:c>
      <x:c r="P214" s="2" t="str">
        <x:v>3/3种子均可行</x:v>
      </x:c>
      <x:c r="Q214" s="2" t="str">
        <x:v>3/3种子均可行</x:v>
      </x:c>
      <x:c r="R214" s="2" t="str">
        <x:v>3/3种子均可行</x:v>
      </x:c>
    </x:row>
    <x:row r="215" ht="24" customHeight="1">
      <x:c r="A215" s="2" t="n">
        <x:v>100</x:v>
      </x:c>
      <x:c r="B215" s="2" t="str">
        <x:v>大型</x:v>
      </x:c>
      <x:c r="C215" s="2" t="str">
        <x:v>zhou_Set2_100-5-3_scenario02_b1</x:v>
      </x:c>
      <x:c r="D215" s="2" t="str">
        <x:v>精确时限可行解</x:v>
      </x:c>
      <x:c r="E215" s="13" t="n">
        <x:v>1786.5425580100807</x:v>
      </x:c>
      <x:c r="F215" s="13" t="n">
        <x:v>1879.364867936497</x:v>
      </x:c>
      <x:c r="G215" s="13" t="n">
        <x:f>IF(AND(ISNUMBER(E215),ISNUMBER(F215),E215&gt;0),E215-F215,"")</x:f>
        <x:v>-92.82230992641621</x:v>
      </x:c>
      <x:c r="H215" s="14" t="n">
        <x:f>IF(ISNUMBER(G215),G215/E215,"")</x:f>
        <x:v>-0.05195639449518921</x:v>
      </x:c>
      <x:c r="I215" s="13"/>
      <x:c r="J215" s="13"/>
      <x:c r="K215" s="13" t="str">
        <x:f>IF(AND(ISNUMBER(I215),ISNUMBER(J215),I215&gt;0),I215-J215,"")</x:f>
      </x:c>
      <x:c r="L215" s="14" t="str">
        <x:f>IF(ISNUMBER(K215),K215/I215,"")</x:f>
      </x:c>
      <x:c r="M215" s="15" t="n">
        <x:f>IF(AND(ISNUMBER(E215),ISNUMBER(F215),ISNUMBER(I215),ISNUMBER(J215)),1,0)</x:f>
        <x:v>0</x:v>
      </x:c>
      <x:c r="N215" s="15" t="n">
        <x:v>0</x:v>
      </x:c>
      <x:c r="O215" s="2" t="str">
        <x:v>可行未证最优</x:v>
      </x:c>
      <x:c r="P215" s="2" t="str">
        <x:v>可行未证最优</x:v>
      </x:c>
      <x:c r="Q215" s="2" t="str">
        <x:v>TIME_LIMIT，无审计可行解</x:v>
      </x:c>
      <x:c r="R215" s="2" t="str">
        <x:v>TIME_LIMIT，无审计可行解</x:v>
      </x:c>
    </x:row>
    <x:row r="216" ht="24" customHeight="1">
      <x:c r="A216" s="2" t="n">
        <x:v>100</x:v>
      </x:c>
      <x:c r="B216" s="2" t="str">
        <x:v>大型</x:v>
      </x:c>
      <x:c r="C216" s="2" t="str">
        <x:v>zhou_Set2_100-5-3_scenario02_b1</x:v>
      </x:c>
      <x:c r="D216" s="2" t="str">
        <x:v>ALNS三种子最好</x:v>
      </x:c>
      <x:c r="E216" s="13" t="n">
        <x:v>1218.9848681985873</x:v>
      </x:c>
      <x:c r="F216" s="13" t="n">
        <x:v>1200.1705887630994</x:v>
      </x:c>
      <x:c r="G216" s="13" t="n">
        <x:f>IF(AND(ISNUMBER(E216),ISNUMBER(F216),E216&gt;0),E216-F216,"")</x:f>
        <x:v>18.814279435487833</x:v>
      </x:c>
      <x:c r="H216" s="14" t="n">
        <x:f>IF(ISNUMBER(G216),G216/E216,"")</x:f>
        <x:v>0.015434383089013671</x:v>
      </x:c>
      <x:c r="I216" s="13" t="n">
        <x:v>1468.0121803471875</x:v>
      </x:c>
      <x:c r="J216" s="13" t="n">
        <x:v>1555.2943482998733</x:v>
      </x:c>
      <x:c r="K216" s="13" t="n">
        <x:f>IF(AND(ISNUMBER(I216),ISNUMBER(J216),I216&gt;0),I216-J216,"")</x:f>
        <x:v>-87.28216795268577</x:v>
      </x:c>
      <x:c r="L216" s="14" t="n">
        <x:f>IF(ISNUMBER(K216),K216/I216,"")</x:f>
        <x:v>-0.05945602435808358</x:v>
      </x:c>
      <x:c r="M216" s="15" t="n">
        <x:f>IF(AND(ISNUMBER(E216),ISNUMBER(F216),ISNUMBER(I216),ISNUMBER(J216)),1,0)</x:f>
        <x:v>1</x:v>
      </x:c>
      <x:c r="N216" s="15" t="n">
        <x:v>0</x:v>
      </x:c>
      <x:c r="O216" s="2" t="str">
        <x:v>3/3种子均可行</x:v>
      </x:c>
      <x:c r="P216" s="2" t="str">
        <x:v>3/3种子均可行</x:v>
      </x:c>
      <x:c r="Q216" s="2" t="str">
        <x:v>3/3种子均可行</x:v>
      </x:c>
      <x:c r="R216" s="2" t="str">
        <x:v>3/3种子均可行</x:v>
      </x:c>
    </x:row>
    <x:row r="217" ht="24" customHeight="1">
      <x:c r="A217" s="2" t="n">
        <x:v>100</x:v>
      </x:c>
      <x:c r="B217" s="2" t="str">
        <x:v>大型</x:v>
      </x:c>
      <x:c r="C217" s="2" t="str">
        <x:v>zhou_Set2_100-5-3_scenario02_b1</x:v>
      </x:c>
      <x:c r="D217" s="2" t="str">
        <x:v>ALNS三种子均值</x:v>
      </x:c>
      <x:c r="E217" s="13" t="n">
        <x:v>1232.5301049773057</x:v>
      </x:c>
      <x:c r="F217" s="13" t="n">
        <x:v>1231.95961207413</x:v>
      </x:c>
      <x:c r="G217" s="13" t="n">
        <x:f>IF(AND(ISNUMBER(E217),ISNUMBER(F217),E217&gt;0),E217-F217,"")</x:f>
        <x:v>0.570492903175591</x:v>
      </x:c>
      <x:c r="H217" s="14" t="n">
        <x:f>IF(ISNUMBER(G217),G217/E217,"")</x:f>
        <x:v>0.00046286326059848684</x:v>
      </x:c>
      <x:c r="I217" s="13" t="n">
        <x:v>1544.6445794044296</x:v>
      </x:c>
      <x:c r="J217" s="13" t="n">
        <x:v>1670.387218391537</x:v>
      </x:c>
      <x:c r="K217" s="13" t="n">
        <x:f>IF(AND(ISNUMBER(I217),ISNUMBER(J217),I217&gt;0),I217-J217,"")</x:f>
        <x:v>-125.74263898710751</x:v>
      </x:c>
      <x:c r="L217" s="14" t="n">
        <x:f>IF(ISNUMBER(K217),K217/I217,"")</x:f>
        <x:v>-0.08140554834665606</x:v>
      </x:c>
      <x:c r="M217" s="15" t="n">
        <x:f>IF(AND(ISNUMBER(E217),ISNUMBER(F217),ISNUMBER(I217),ISNUMBER(J217)),1,0)</x:f>
        <x:v>1</x:v>
      </x:c>
      <x:c r="N217" s="15" t="n">
        <x:v>0</x:v>
      </x:c>
      <x:c r="O217" s="2" t="str">
        <x:v>3/3种子均可行</x:v>
      </x:c>
      <x:c r="P217" s="2" t="str">
        <x:v>3/3种子均可行</x:v>
      </x:c>
      <x:c r="Q217" s="2" t="str">
        <x:v>3/3种子均可行</x:v>
      </x:c>
      <x:c r="R217" s="2" t="str">
        <x:v>3/3种子均可行</x:v>
      </x:c>
    </x:row>
  </x:sheetData>
  <x:conditionalFormatting sqref="H8:H217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L8:L217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</x:worksheet>
</file>